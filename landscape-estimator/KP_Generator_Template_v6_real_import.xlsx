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Алексей\Documents\my-project\landscape-estimator\"/>
    </mc:Choice>
  </mc:AlternateContent>
  <xr:revisionPtr revIDLastSave="0" documentId="13_ncr:1_{92E0BDE0-67FB-48F9-9EAA-75522CC0EA52}" xr6:coauthVersionLast="47" xr6:coauthVersionMax="47" xr10:uidLastSave="{00000000-0000-0000-0000-000000000000}"/>
  <bookViews>
    <workbookView xWindow="108" yWindow="48" windowWidth="10896" windowHeight="11940" tabRatio="805" firstSheet="34" activeTab="34" xr2:uid="{00000000-000D-0000-FFFF-FFFF00000000}"/>
  </bookViews>
  <sheets>
    <sheet name="README" sheetId="1" r:id="rId1"/>
    <sheet name="CRITIQUE_AND_GAPS" sheetId="2" r:id="rId2"/>
    <sheet name="CALC_PRECEDENCE" sheetId="3" r:id="rId3"/>
    <sheet name="DICTIONARIES" sheetId="4" r:id="rId4"/>
    <sheet name="WORK_MASTER" sheetId="5" r:id="rId5"/>
    <sheet name="WORK_VARIANTS" sheetId="6" r:id="rId6"/>
    <sheet name="MATERIAL_MASTER" sheetId="7" r:id="rId7"/>
    <sheet name="MATERIAL_VARIANTS" sheetId="8" r:id="rId8"/>
    <sheet name="RAW_MAPPING" sheetId="9" r:id="rId9"/>
    <sheet name="VALIDATION_RULES" sheetId="10" r:id="rId10"/>
    <sheet name="VALIDATION_EXAMPLE" sheetId="11" r:id="rId11"/>
    <sheet name="OBJECT_CONDITIONS" sheetId="12" r:id="rId12"/>
    <sheet name="SITE_COEFFS" sheetId="13" r:id="rId13"/>
    <sheet name="OPERATING_COEFFS" sheetId="14" r:id="rId14"/>
    <sheet name="TAX_MODES" sheetId="15" r:id="rId15"/>
    <sheet name="WORK_FACTOR_APPLICABILITY" sheetId="16" r:id="rId16"/>
    <sheet name="CONDITION_RULES" sheetId="17" r:id="rId17"/>
    <sheet name="DEPENDENCY_RULES" sheetId="18" r:id="rId18"/>
    <sheet name="MATERIAL_ALLOWANCES" sheetId="19" r:id="rId19"/>
    <sheet name="PROCUREMENT_RULES" sheetId="20" r:id="rId20"/>
    <sheet name="MATERIAL_FACTOR_APPLICABILITY" sheetId="21" r:id="rId21"/>
    <sheet name="MATERIAL_QUANTITY_EXAMPLE" sheetId="22" r:id="rId22"/>
    <sheet name="TARIFF_PROFILES" sheetId="23" r:id="rId23"/>
    <sheet name="COMMERCIAL_POLICY" sheetId="24" r:id="rId24"/>
    <sheet name="WORK_TARIFF_RULES" sheetId="25" r:id="rId25"/>
    <sheet name="MATERIAL_TARIFF_RULES" sheetId="26" r:id="rId26"/>
    <sheet name="TARIFF_COMPOSITION_RULES" sheetId="27" r:id="rId27"/>
    <sheet name="OUTPUT_RULES" sheetId="28" r:id="rId28"/>
    <sheet name="EXCLUSIONS_LIBRARY" sheetId="29" r:id="rId29"/>
    <sheet name="TARIFF_KP_EXAMPLE" sheetId="30" r:id="rId30"/>
    <sheet name="KP_ENGINE_V5_EXAMPLE" sheetId="31" r:id="rId31"/>
    <sheet name="IMPORT_SUMMARY" sheetId="32" r:id="rId32"/>
    <sheet name="PRICE_MASTER_REAL" sheetId="33" r:id="rId33"/>
    <sheet name="WORK_MASTER_REAL" sheetId="34" r:id="rId34"/>
    <sheet name="WORK_VARIANTS_REAL" sheetId="35" r:id="rId35"/>
    <sheet name="MATERIAL_MASTER_REAL" sheetId="36" r:id="rId36"/>
    <sheet name="MATERIAL_VARIANTS_REAL" sheetId="37" r:id="rId37"/>
    <sheet name="RAW_MAPPING_REAL" sheetId="38" r:id="rId38"/>
    <sheet name="REAL_TARIFF_DEFAULTS_WORK" sheetId="39" r:id="rId39"/>
    <sheet name="REAL_TARIFF_DEFAULTS_MATERIAL" sheetId="40" r:id="rId40"/>
    <sheet name="REAL_NORMALIZATION_REVIEW" sheetId="41" r:id="rId41"/>
    <sheet name="REAL_GAPS" sheetId="42" r:id="rId42"/>
  </sheets>
  <definedNames>
    <definedName name="_xlnm._FilterDatabase" localSheetId="2" hidden="1">CALC_PRECEDENCE!$A$1:$I$11</definedName>
    <definedName name="_xlnm._FilterDatabase" localSheetId="23" hidden="1">COMMERCIAL_POLICY!$A$1:$L$4</definedName>
    <definedName name="_xlnm._FilterDatabase" localSheetId="1" hidden="1">CRITIQUE_AND_GAPS!$A$1:$F$13</definedName>
    <definedName name="_xlnm._FilterDatabase" localSheetId="17" hidden="1">DEPENDENCY_RULES!$A$1:$L$6</definedName>
    <definedName name="_xlnm._FilterDatabase" localSheetId="28" hidden="1">EXCLUSIONS_LIBRARY!$A$1:$G$6</definedName>
    <definedName name="_xlnm._FilterDatabase" localSheetId="31" hidden="1">IMPORT_SUMMARY!$A$1:$C$9</definedName>
    <definedName name="_xlnm._FilterDatabase" localSheetId="30" hidden="1">KP_ENGINE_V5_EXAMPLE!$A$1:$U$60</definedName>
    <definedName name="_xlnm._FilterDatabase" localSheetId="35" hidden="1">MATERIAL_MASTER_REAL!$A$1:$R$122</definedName>
    <definedName name="_xlnm._FilterDatabase" localSheetId="25" hidden="1">MATERIAL_TARIFF_RULES!$A$1:$J$150</definedName>
    <definedName name="_xlnm._FilterDatabase" localSheetId="7" hidden="1">MATERIAL_VARIANTS!$A$1:$Y$150</definedName>
    <definedName name="_xlnm._FilterDatabase" localSheetId="36" hidden="1">MATERIAL_VARIANTS_REAL!$A$1:$AA$122</definedName>
    <definedName name="_xlnm._FilterDatabase" localSheetId="11" hidden="1">OBJECT_CONDITIONS!$A$1:$AP$1000</definedName>
    <definedName name="_xlnm._FilterDatabase" localSheetId="13" hidden="1">OPERATING_COEFFS!$A$1:$F$12</definedName>
    <definedName name="_xlnm._FilterDatabase" localSheetId="27" hidden="1">OUTPUT_RULES!$A$1:$L$7</definedName>
    <definedName name="_xlnm._FilterDatabase" localSheetId="32" hidden="1">PRICE_MASTER_REAL!$A$1:$S$280</definedName>
    <definedName name="_xlnm._FilterDatabase" localSheetId="19" hidden="1">PROCUREMENT_RULES!$A$1:$N$6</definedName>
    <definedName name="_xlnm._FilterDatabase" localSheetId="37" hidden="1">RAW_MAPPING_REAL!$A$1:$L$280</definedName>
    <definedName name="_xlnm._FilterDatabase" localSheetId="41" hidden="1">REAL_GAPS!$A$1:$H$18</definedName>
    <definedName name="_xlnm._FilterDatabase" localSheetId="40" hidden="1">REAL_NORMALIZATION_REVIEW!$A$1:$G$23</definedName>
    <definedName name="_xlnm._FilterDatabase" localSheetId="39" hidden="1">REAL_TARIFF_DEFAULTS_MATERIAL!$A$1:$J$364</definedName>
    <definedName name="_xlnm._FilterDatabase" localSheetId="38" hidden="1">REAL_TARIFF_DEFAULTS_WORK!$A$1:$J$472</definedName>
    <definedName name="_xlnm._FilterDatabase" localSheetId="26" hidden="1">TARIFF_COMPOSITION_RULES!$A$1:$H$150</definedName>
    <definedName name="_xlnm._FilterDatabase" localSheetId="29" hidden="1">TARIFF_KP_EXAMPLE!$A$1:$O$150</definedName>
    <definedName name="_xlnm._FilterDatabase" localSheetId="22" hidden="1">TARIFF_PROFILES!$A$1:$K$150</definedName>
    <definedName name="_xlnm._FilterDatabase" localSheetId="14" hidden="1">TAX_MODES!$A$1:$D$4</definedName>
    <definedName name="_xlnm._FilterDatabase" localSheetId="10" hidden="1">VALIDATION_EXAMPLE!$A$1:$I$5</definedName>
    <definedName name="_xlnm._FilterDatabase" localSheetId="9" hidden="1">VALIDATION_RULES!$A$1:$I$8</definedName>
    <definedName name="_xlnm._FilterDatabase" localSheetId="4" hidden="1">WORK_MASTER!$A$1:$V$1000</definedName>
    <definedName name="_xlnm._FilterDatabase" localSheetId="33" hidden="1">WORK_MASTER_REAL!$A$1:$T$158</definedName>
    <definedName name="_xlnm._FilterDatabase" localSheetId="24" hidden="1">WORK_TARIFF_RULES!$A$1:$J$150</definedName>
    <definedName name="_xlnm._FilterDatabase" localSheetId="34" hidden="1">WORK_VARIANTS_REAL!$A$1:$K$158</definedName>
  </definedNames>
  <calcPr calcId="181029" forceFullCalc="1"/>
</workbook>
</file>

<file path=xl/calcChain.xml><?xml version="1.0" encoding="utf-8"?>
<calcChain xmlns="http://schemas.openxmlformats.org/spreadsheetml/2006/main">
  <c r="U60" i="31" l="1"/>
  <c r="R60" i="31"/>
  <c r="S60" i="31" s="1"/>
  <c r="Q60" i="31"/>
  <c r="T60" i="31" s="1"/>
  <c r="P60" i="31"/>
  <c r="O60" i="31"/>
  <c r="N60" i="31"/>
  <c r="M60" i="31"/>
  <c r="L60" i="31"/>
  <c r="K60" i="31"/>
  <c r="J60" i="31"/>
  <c r="I60" i="31"/>
  <c r="F60" i="31"/>
  <c r="U59" i="31"/>
  <c r="R59" i="31"/>
  <c r="S59" i="31" s="1"/>
  <c r="Q59" i="31"/>
  <c r="T59" i="31" s="1"/>
  <c r="P59" i="31"/>
  <c r="O59" i="31"/>
  <c r="N59" i="31"/>
  <c r="M59" i="31"/>
  <c r="L59" i="31"/>
  <c r="K59" i="31"/>
  <c r="J59" i="31"/>
  <c r="I59" i="31"/>
  <c r="F59" i="31"/>
  <c r="U58" i="31"/>
  <c r="R58" i="31"/>
  <c r="S58" i="31" s="1"/>
  <c r="Q58" i="31"/>
  <c r="T58" i="31" s="1"/>
  <c r="P58" i="31"/>
  <c r="O58" i="31"/>
  <c r="N58" i="31"/>
  <c r="M58" i="31"/>
  <c r="L58" i="31"/>
  <c r="K58" i="31"/>
  <c r="J58" i="31"/>
  <c r="I58" i="31"/>
  <c r="F58" i="31"/>
  <c r="U57" i="31"/>
  <c r="R57" i="31"/>
  <c r="S57" i="31" s="1"/>
  <c r="Q57" i="31"/>
  <c r="T57" i="31" s="1"/>
  <c r="P57" i="31"/>
  <c r="O57" i="31"/>
  <c r="N57" i="31"/>
  <c r="M57" i="31"/>
  <c r="L57" i="31"/>
  <c r="K57" i="31"/>
  <c r="J57" i="31"/>
  <c r="I57" i="31"/>
  <c r="F57" i="31"/>
  <c r="U56" i="31"/>
  <c r="R56" i="31"/>
  <c r="S56" i="31" s="1"/>
  <c r="Q56" i="31"/>
  <c r="T56" i="31" s="1"/>
  <c r="P56" i="31"/>
  <c r="O56" i="31"/>
  <c r="N56" i="31"/>
  <c r="M56" i="31"/>
  <c r="L56" i="31"/>
  <c r="K56" i="31"/>
  <c r="J56" i="31"/>
  <c r="I56" i="31"/>
  <c r="F56" i="31"/>
  <c r="U55" i="31"/>
  <c r="R55" i="31"/>
  <c r="S55" i="31" s="1"/>
  <c r="Q55" i="31"/>
  <c r="T55" i="31" s="1"/>
  <c r="P55" i="31"/>
  <c r="O55" i="31"/>
  <c r="N55" i="31"/>
  <c r="M55" i="31"/>
  <c r="L55" i="31"/>
  <c r="K55" i="31"/>
  <c r="J55" i="31"/>
  <c r="I55" i="31"/>
  <c r="F55" i="31"/>
  <c r="U54" i="31"/>
  <c r="R54" i="31"/>
  <c r="S54" i="31" s="1"/>
  <c r="Q54" i="31"/>
  <c r="T54" i="31" s="1"/>
  <c r="P54" i="31"/>
  <c r="O54" i="31"/>
  <c r="N54" i="31"/>
  <c r="M54" i="31"/>
  <c r="L54" i="31"/>
  <c r="K54" i="31"/>
  <c r="J54" i="31"/>
  <c r="I54" i="31"/>
  <c r="F54" i="31"/>
  <c r="U53" i="31"/>
  <c r="R53" i="31"/>
  <c r="S53" i="31" s="1"/>
  <c r="Q53" i="31"/>
  <c r="T53" i="31" s="1"/>
  <c r="P53" i="31"/>
  <c r="O53" i="31"/>
  <c r="N53" i="31"/>
  <c r="M53" i="31"/>
  <c r="L53" i="31"/>
  <c r="K53" i="31"/>
  <c r="J53" i="31"/>
  <c r="I53" i="31"/>
  <c r="F53" i="31"/>
  <c r="U52" i="31"/>
  <c r="R52" i="31"/>
  <c r="S52" i="31" s="1"/>
  <c r="Q52" i="31"/>
  <c r="T52" i="31" s="1"/>
  <c r="P52" i="31"/>
  <c r="O52" i="31"/>
  <c r="N52" i="31"/>
  <c r="M52" i="31"/>
  <c r="L52" i="31"/>
  <c r="K52" i="31"/>
  <c r="J52" i="31"/>
  <c r="I52" i="31"/>
  <c r="F52" i="31"/>
  <c r="U51" i="31"/>
  <c r="R51" i="31"/>
  <c r="S51" i="31" s="1"/>
  <c r="Q51" i="31"/>
  <c r="T51" i="31" s="1"/>
  <c r="P51" i="31"/>
  <c r="O51" i="31"/>
  <c r="N51" i="31"/>
  <c r="M51" i="31"/>
  <c r="L51" i="31"/>
  <c r="K51" i="31"/>
  <c r="J51" i="31"/>
  <c r="I51" i="31"/>
  <c r="F51" i="31"/>
  <c r="U50" i="31"/>
  <c r="R50" i="31"/>
  <c r="S50" i="31" s="1"/>
  <c r="Q50" i="31"/>
  <c r="T50" i="31" s="1"/>
  <c r="P50" i="31"/>
  <c r="O50" i="31"/>
  <c r="N50" i="31"/>
  <c r="M50" i="31"/>
  <c r="L50" i="31"/>
  <c r="K50" i="31"/>
  <c r="J50" i="31"/>
  <c r="I50" i="31"/>
  <c r="F50" i="31"/>
  <c r="U49" i="31"/>
  <c r="R49" i="31"/>
  <c r="S49" i="31" s="1"/>
  <c r="Q49" i="31"/>
  <c r="T49" i="31" s="1"/>
  <c r="P49" i="31"/>
  <c r="O49" i="31"/>
  <c r="N49" i="31"/>
  <c r="M49" i="31"/>
  <c r="L49" i="31"/>
  <c r="K49" i="31"/>
  <c r="J49" i="31"/>
  <c r="I49" i="31"/>
  <c r="F49" i="31"/>
  <c r="U48" i="31"/>
  <c r="R48" i="31"/>
  <c r="S48" i="31" s="1"/>
  <c r="Q48" i="31"/>
  <c r="T48" i="31" s="1"/>
  <c r="P48" i="31"/>
  <c r="O48" i="31"/>
  <c r="N48" i="31"/>
  <c r="M48" i="31"/>
  <c r="L48" i="31"/>
  <c r="K48" i="31"/>
  <c r="J48" i="31"/>
  <c r="I48" i="31"/>
  <c r="F48" i="31"/>
  <c r="U47" i="31"/>
  <c r="R47" i="31"/>
  <c r="S47" i="31" s="1"/>
  <c r="Q47" i="31"/>
  <c r="T47" i="31" s="1"/>
  <c r="P47" i="31"/>
  <c r="O47" i="31"/>
  <c r="N47" i="31"/>
  <c r="M47" i="31"/>
  <c r="L47" i="31"/>
  <c r="K47" i="31"/>
  <c r="J47" i="31"/>
  <c r="I47" i="31"/>
  <c r="F47" i="31"/>
  <c r="U46" i="31"/>
  <c r="R46" i="31"/>
  <c r="S46" i="31" s="1"/>
  <c r="Q46" i="31"/>
  <c r="T46" i="31" s="1"/>
  <c r="P46" i="31"/>
  <c r="O46" i="31"/>
  <c r="N46" i="31"/>
  <c r="M46" i="31"/>
  <c r="L46" i="31"/>
  <c r="K46" i="31"/>
  <c r="J46" i="31"/>
  <c r="I46" i="31"/>
  <c r="F46" i="31"/>
  <c r="U45" i="31"/>
  <c r="R45" i="31"/>
  <c r="S45" i="31" s="1"/>
  <c r="Q45" i="31"/>
  <c r="T45" i="31" s="1"/>
  <c r="P45" i="31"/>
  <c r="O45" i="31"/>
  <c r="N45" i="31"/>
  <c r="M45" i="31"/>
  <c r="L45" i="31"/>
  <c r="K45" i="31"/>
  <c r="J45" i="31"/>
  <c r="I45" i="31"/>
  <c r="F45" i="31"/>
  <c r="U44" i="31"/>
  <c r="R44" i="31"/>
  <c r="S44" i="31" s="1"/>
  <c r="Q44" i="31"/>
  <c r="T44" i="31" s="1"/>
  <c r="P44" i="31"/>
  <c r="O44" i="31"/>
  <c r="N44" i="31"/>
  <c r="M44" i="31"/>
  <c r="L44" i="31"/>
  <c r="K44" i="31"/>
  <c r="J44" i="31"/>
  <c r="I44" i="31"/>
  <c r="F44" i="31"/>
  <c r="U43" i="31"/>
  <c r="R43" i="31"/>
  <c r="S43" i="31" s="1"/>
  <c r="Q43" i="31"/>
  <c r="T43" i="31" s="1"/>
  <c r="P43" i="31"/>
  <c r="O43" i="31"/>
  <c r="N43" i="31"/>
  <c r="M43" i="31"/>
  <c r="L43" i="31"/>
  <c r="K43" i="31"/>
  <c r="J43" i="31"/>
  <c r="I43" i="31"/>
  <c r="F43" i="31"/>
  <c r="U42" i="31"/>
  <c r="R42" i="31"/>
  <c r="S42" i="31" s="1"/>
  <c r="Q42" i="31"/>
  <c r="T42" i="31" s="1"/>
  <c r="P42" i="31"/>
  <c r="O42" i="31"/>
  <c r="N42" i="31"/>
  <c r="M42" i="31"/>
  <c r="L42" i="31"/>
  <c r="K42" i="31"/>
  <c r="J42" i="31"/>
  <c r="I42" i="31"/>
  <c r="F42" i="31"/>
  <c r="U41" i="31"/>
  <c r="R41" i="31"/>
  <c r="S41" i="31" s="1"/>
  <c r="Q41" i="31"/>
  <c r="T41" i="31" s="1"/>
  <c r="P41" i="31"/>
  <c r="O41" i="31"/>
  <c r="N41" i="31"/>
  <c r="M41" i="31"/>
  <c r="L41" i="31"/>
  <c r="K41" i="31"/>
  <c r="J41" i="31"/>
  <c r="I41" i="31"/>
  <c r="F41" i="31"/>
  <c r="U40" i="31"/>
  <c r="R40" i="31"/>
  <c r="S40" i="31" s="1"/>
  <c r="Q40" i="31"/>
  <c r="T40" i="31" s="1"/>
  <c r="P40" i="31"/>
  <c r="O40" i="31"/>
  <c r="N40" i="31"/>
  <c r="M40" i="31"/>
  <c r="L40" i="31"/>
  <c r="K40" i="31"/>
  <c r="J40" i="31"/>
  <c r="I40" i="31"/>
  <c r="F40" i="31"/>
  <c r="U39" i="31"/>
  <c r="R39" i="31"/>
  <c r="S39" i="31" s="1"/>
  <c r="Q39" i="31"/>
  <c r="T39" i="31" s="1"/>
  <c r="P39" i="31"/>
  <c r="O39" i="31"/>
  <c r="N39" i="31"/>
  <c r="M39" i="31"/>
  <c r="L39" i="31"/>
  <c r="K39" i="31"/>
  <c r="J39" i="31"/>
  <c r="I39" i="31"/>
  <c r="F39" i="31"/>
  <c r="U38" i="31"/>
  <c r="R38" i="31"/>
  <c r="S38" i="31" s="1"/>
  <c r="Q38" i="31"/>
  <c r="T38" i="31" s="1"/>
  <c r="P38" i="31"/>
  <c r="O38" i="31"/>
  <c r="N38" i="31"/>
  <c r="M38" i="31"/>
  <c r="L38" i="31"/>
  <c r="K38" i="31"/>
  <c r="J38" i="31"/>
  <c r="I38" i="31"/>
  <c r="F38" i="31"/>
  <c r="U37" i="31"/>
  <c r="R37" i="31"/>
  <c r="S37" i="31" s="1"/>
  <c r="Q37" i="31"/>
  <c r="T37" i="31" s="1"/>
  <c r="P37" i="31"/>
  <c r="O37" i="31"/>
  <c r="N37" i="31"/>
  <c r="M37" i="31"/>
  <c r="L37" i="31"/>
  <c r="K37" i="31"/>
  <c r="J37" i="31"/>
  <c r="I37" i="31"/>
  <c r="F37" i="31"/>
  <c r="U36" i="31"/>
  <c r="R36" i="31"/>
  <c r="S36" i="31" s="1"/>
  <c r="Q36" i="31"/>
  <c r="T36" i="31" s="1"/>
  <c r="P36" i="31"/>
  <c r="O36" i="31"/>
  <c r="N36" i="31"/>
  <c r="M36" i="31"/>
  <c r="L36" i="31"/>
  <c r="K36" i="31"/>
  <c r="J36" i="31"/>
  <c r="I36" i="31"/>
  <c r="F36" i="31"/>
  <c r="U35" i="31"/>
  <c r="R35" i="31"/>
  <c r="S35" i="31" s="1"/>
  <c r="Q35" i="31"/>
  <c r="T35" i="31" s="1"/>
  <c r="P35" i="31"/>
  <c r="O35" i="31"/>
  <c r="N35" i="31"/>
  <c r="M35" i="31"/>
  <c r="L35" i="31"/>
  <c r="K35" i="31"/>
  <c r="J35" i="31"/>
  <c r="I35" i="31"/>
  <c r="F35" i="31"/>
  <c r="U34" i="31"/>
  <c r="R34" i="31"/>
  <c r="S34" i="31" s="1"/>
  <c r="Q34" i="31"/>
  <c r="T34" i="31" s="1"/>
  <c r="P34" i="31"/>
  <c r="O34" i="31"/>
  <c r="N34" i="31"/>
  <c r="M34" i="31"/>
  <c r="L34" i="31"/>
  <c r="K34" i="31"/>
  <c r="J34" i="31"/>
  <c r="I34" i="31"/>
  <c r="F34" i="31"/>
  <c r="U33" i="31"/>
  <c r="R33" i="31"/>
  <c r="S33" i="31" s="1"/>
  <c r="Q33" i="31"/>
  <c r="T33" i="31" s="1"/>
  <c r="P33" i="31"/>
  <c r="O33" i="31"/>
  <c r="N33" i="31"/>
  <c r="M33" i="31"/>
  <c r="L33" i="31"/>
  <c r="K33" i="31"/>
  <c r="J33" i="31"/>
  <c r="I33" i="31"/>
  <c r="F33" i="31"/>
  <c r="U32" i="31"/>
  <c r="R32" i="31"/>
  <c r="S32" i="31" s="1"/>
  <c r="Q32" i="31"/>
  <c r="T32" i="31" s="1"/>
  <c r="P32" i="31"/>
  <c r="O32" i="31"/>
  <c r="N32" i="31"/>
  <c r="M32" i="31"/>
  <c r="L32" i="31"/>
  <c r="K32" i="31"/>
  <c r="J32" i="31"/>
  <c r="I32" i="31"/>
  <c r="F32" i="31"/>
  <c r="U31" i="31"/>
  <c r="R31" i="31"/>
  <c r="S31" i="31" s="1"/>
  <c r="Q31" i="31"/>
  <c r="T31" i="31" s="1"/>
  <c r="P31" i="31"/>
  <c r="O31" i="31"/>
  <c r="N31" i="31"/>
  <c r="M31" i="31"/>
  <c r="L31" i="31"/>
  <c r="K31" i="31"/>
  <c r="J31" i="31"/>
  <c r="I31" i="31"/>
  <c r="F31" i="31"/>
  <c r="U30" i="31"/>
  <c r="R30" i="31"/>
  <c r="S30" i="31" s="1"/>
  <c r="Q30" i="31"/>
  <c r="T30" i="31" s="1"/>
  <c r="P30" i="31"/>
  <c r="O30" i="31"/>
  <c r="N30" i="31"/>
  <c r="M30" i="31"/>
  <c r="L30" i="31"/>
  <c r="K30" i="31"/>
  <c r="J30" i="31"/>
  <c r="I30" i="31"/>
  <c r="F30" i="31"/>
  <c r="U29" i="31"/>
  <c r="R29" i="31"/>
  <c r="S29" i="31" s="1"/>
  <c r="Q29" i="31"/>
  <c r="T29" i="31" s="1"/>
  <c r="P29" i="31"/>
  <c r="O29" i="31"/>
  <c r="N29" i="31"/>
  <c r="M29" i="31"/>
  <c r="L29" i="31"/>
  <c r="K29" i="31"/>
  <c r="J29" i="31"/>
  <c r="I29" i="31"/>
  <c r="F29" i="31"/>
  <c r="U28" i="31"/>
  <c r="R28" i="31"/>
  <c r="S28" i="31" s="1"/>
  <c r="Q28" i="31"/>
  <c r="T28" i="31" s="1"/>
  <c r="P28" i="31"/>
  <c r="O28" i="31"/>
  <c r="N28" i="31"/>
  <c r="M28" i="31"/>
  <c r="L28" i="31"/>
  <c r="K28" i="31"/>
  <c r="J28" i="31"/>
  <c r="I28" i="31"/>
  <c r="F28" i="31"/>
  <c r="U27" i="31"/>
  <c r="R27" i="31"/>
  <c r="S27" i="31" s="1"/>
  <c r="Q27" i="31"/>
  <c r="T27" i="31" s="1"/>
  <c r="P27" i="31"/>
  <c r="O27" i="31"/>
  <c r="N27" i="31"/>
  <c r="M27" i="31"/>
  <c r="L27" i="31"/>
  <c r="K27" i="31"/>
  <c r="J27" i="31"/>
  <c r="I27" i="31"/>
  <c r="F27" i="31"/>
  <c r="U26" i="31"/>
  <c r="R26" i="31"/>
  <c r="S26" i="31" s="1"/>
  <c r="Q26" i="31"/>
  <c r="T26" i="31" s="1"/>
  <c r="P26" i="31"/>
  <c r="O26" i="31"/>
  <c r="N26" i="31"/>
  <c r="M26" i="31"/>
  <c r="L26" i="31"/>
  <c r="K26" i="31"/>
  <c r="J26" i="31"/>
  <c r="I26" i="31"/>
  <c r="F26" i="31"/>
  <c r="U25" i="31"/>
  <c r="R25" i="31"/>
  <c r="S25" i="31" s="1"/>
  <c r="Q25" i="31"/>
  <c r="T25" i="31" s="1"/>
  <c r="P25" i="31"/>
  <c r="O25" i="31"/>
  <c r="N25" i="31"/>
  <c r="M25" i="31"/>
  <c r="L25" i="31"/>
  <c r="K25" i="31"/>
  <c r="J25" i="31"/>
  <c r="I25" i="31"/>
  <c r="F25" i="31"/>
  <c r="U24" i="31"/>
  <c r="R24" i="31"/>
  <c r="S24" i="31" s="1"/>
  <c r="Q24" i="31"/>
  <c r="T24" i="31" s="1"/>
  <c r="P24" i="31"/>
  <c r="O24" i="31"/>
  <c r="N24" i="31"/>
  <c r="M24" i="31"/>
  <c r="L24" i="31"/>
  <c r="K24" i="31"/>
  <c r="J24" i="31"/>
  <c r="I24" i="31"/>
  <c r="F24" i="31"/>
  <c r="U23" i="31"/>
  <c r="R23" i="31"/>
  <c r="S23" i="31" s="1"/>
  <c r="Q23" i="31"/>
  <c r="T23" i="31" s="1"/>
  <c r="P23" i="31"/>
  <c r="O23" i="31"/>
  <c r="N23" i="31"/>
  <c r="M23" i="31"/>
  <c r="L23" i="31"/>
  <c r="K23" i="31"/>
  <c r="J23" i="31"/>
  <c r="I23" i="31"/>
  <c r="F23" i="31"/>
  <c r="U22" i="31"/>
  <c r="R22" i="31"/>
  <c r="S22" i="31" s="1"/>
  <c r="Q22" i="31"/>
  <c r="T22" i="31" s="1"/>
  <c r="P22" i="31"/>
  <c r="O22" i="31"/>
  <c r="N22" i="31"/>
  <c r="M22" i="31"/>
  <c r="L22" i="31"/>
  <c r="K22" i="31"/>
  <c r="J22" i="31"/>
  <c r="I22" i="31"/>
  <c r="F22" i="31"/>
  <c r="U21" i="31"/>
  <c r="R21" i="31"/>
  <c r="S21" i="31" s="1"/>
  <c r="Q21" i="31"/>
  <c r="T21" i="31" s="1"/>
  <c r="P21" i="31"/>
  <c r="O21" i="31"/>
  <c r="N21" i="31"/>
  <c r="M21" i="31"/>
  <c r="L21" i="31"/>
  <c r="K21" i="31"/>
  <c r="J21" i="31"/>
  <c r="I21" i="31"/>
  <c r="F21" i="31"/>
  <c r="U20" i="31"/>
  <c r="R20" i="31"/>
  <c r="S20" i="31" s="1"/>
  <c r="Q20" i="31"/>
  <c r="T20" i="31" s="1"/>
  <c r="P20" i="31"/>
  <c r="O20" i="31"/>
  <c r="N20" i="31"/>
  <c r="M20" i="31"/>
  <c r="L20" i="31"/>
  <c r="K20" i="31"/>
  <c r="J20" i="31"/>
  <c r="I20" i="31"/>
  <c r="F20" i="31"/>
  <c r="U19" i="31"/>
  <c r="R19" i="31"/>
  <c r="S19" i="31" s="1"/>
  <c r="Q19" i="31"/>
  <c r="T19" i="31" s="1"/>
  <c r="P19" i="31"/>
  <c r="O19" i="31"/>
  <c r="N19" i="31"/>
  <c r="M19" i="31"/>
  <c r="L19" i="31"/>
  <c r="K19" i="31"/>
  <c r="J19" i="31"/>
  <c r="I19" i="31"/>
  <c r="F19" i="31"/>
  <c r="U18" i="31"/>
  <c r="R18" i="31"/>
  <c r="S18" i="31" s="1"/>
  <c r="Q18" i="31"/>
  <c r="T18" i="31" s="1"/>
  <c r="P18" i="31"/>
  <c r="O18" i="31"/>
  <c r="N18" i="31"/>
  <c r="M18" i="31"/>
  <c r="L18" i="31"/>
  <c r="K18" i="31"/>
  <c r="J18" i="31"/>
  <c r="I18" i="31"/>
  <c r="F18" i="31"/>
  <c r="U17" i="31"/>
  <c r="R17" i="31"/>
  <c r="S17" i="31" s="1"/>
  <c r="Q17" i="31"/>
  <c r="T17" i="31" s="1"/>
  <c r="P17" i="31"/>
  <c r="O17" i="31"/>
  <c r="N17" i="31"/>
  <c r="M17" i="31"/>
  <c r="L17" i="31"/>
  <c r="K17" i="31"/>
  <c r="J17" i="31"/>
  <c r="I17" i="31"/>
  <c r="F17" i="31"/>
  <c r="U16" i="31"/>
  <c r="R16" i="31"/>
  <c r="S16" i="31" s="1"/>
  <c r="Q16" i="31"/>
  <c r="T16" i="31" s="1"/>
  <c r="P16" i="31"/>
  <c r="O16" i="31"/>
  <c r="N16" i="31"/>
  <c r="M16" i="31"/>
  <c r="L16" i="31"/>
  <c r="K16" i="31"/>
  <c r="J16" i="31"/>
  <c r="I16" i="31"/>
  <c r="F16" i="31"/>
  <c r="U15" i="31"/>
  <c r="R15" i="31"/>
  <c r="S15" i="31" s="1"/>
  <c r="Q15" i="31"/>
  <c r="T15" i="31" s="1"/>
  <c r="P15" i="31"/>
  <c r="O15" i="31"/>
  <c r="N15" i="31"/>
  <c r="M15" i="31"/>
  <c r="L15" i="31"/>
  <c r="K15" i="31"/>
  <c r="J15" i="31"/>
  <c r="I15" i="31"/>
  <c r="F15" i="31"/>
  <c r="U14" i="31"/>
  <c r="R14" i="31"/>
  <c r="S14" i="31" s="1"/>
  <c r="Q14" i="31"/>
  <c r="T14" i="31" s="1"/>
  <c r="P14" i="31"/>
  <c r="O14" i="31"/>
  <c r="N14" i="31"/>
  <c r="M14" i="31"/>
  <c r="L14" i="31"/>
  <c r="K14" i="31"/>
  <c r="J14" i="31"/>
  <c r="I14" i="31"/>
  <c r="F14" i="31"/>
  <c r="U13" i="31"/>
  <c r="R13" i="31"/>
  <c r="S13" i="31" s="1"/>
  <c r="Q13" i="31"/>
  <c r="T13" i="31" s="1"/>
  <c r="P13" i="31"/>
  <c r="O13" i="31"/>
  <c r="N13" i="31"/>
  <c r="M13" i="31"/>
  <c r="L13" i="31"/>
  <c r="K13" i="31"/>
  <c r="J13" i="31"/>
  <c r="I13" i="31"/>
  <c r="F13" i="31"/>
  <c r="U12" i="31"/>
  <c r="R12" i="31"/>
  <c r="S12" i="31" s="1"/>
  <c r="Q12" i="31"/>
  <c r="T12" i="31" s="1"/>
  <c r="P12" i="31"/>
  <c r="O12" i="31"/>
  <c r="N12" i="31"/>
  <c r="M12" i="31"/>
  <c r="L12" i="31"/>
  <c r="K12" i="31"/>
  <c r="J12" i="31"/>
  <c r="I12" i="31"/>
  <c r="F12" i="31"/>
  <c r="U11" i="31"/>
  <c r="R11" i="31"/>
  <c r="S11" i="31" s="1"/>
  <c r="Q11" i="31"/>
  <c r="T11" i="31" s="1"/>
  <c r="P11" i="31"/>
  <c r="O11" i="31"/>
  <c r="N11" i="31"/>
  <c r="M11" i="31"/>
  <c r="L11" i="31"/>
  <c r="K11" i="31"/>
  <c r="J11" i="31"/>
  <c r="I11" i="31"/>
  <c r="F11" i="31"/>
  <c r="U10" i="31"/>
  <c r="R10" i="31"/>
  <c r="S10" i="31" s="1"/>
  <c r="Q10" i="31"/>
  <c r="T10" i="31" s="1"/>
  <c r="P10" i="31"/>
  <c r="O10" i="31"/>
  <c r="N10" i="31"/>
  <c r="M10" i="31"/>
  <c r="L10" i="31"/>
  <c r="K10" i="31"/>
  <c r="J10" i="31"/>
  <c r="I10" i="31"/>
  <c r="F10" i="31"/>
  <c r="U9" i="31"/>
  <c r="R9" i="31"/>
  <c r="S9" i="31" s="1"/>
  <c r="Q9" i="31"/>
  <c r="T9" i="31" s="1"/>
  <c r="P9" i="31"/>
  <c r="O9" i="31"/>
  <c r="N9" i="31"/>
  <c r="M9" i="31"/>
  <c r="L9" i="31"/>
  <c r="K9" i="31"/>
  <c r="J9" i="31"/>
  <c r="I9" i="31"/>
  <c r="F9" i="31"/>
  <c r="U8" i="31"/>
  <c r="R8" i="31"/>
  <c r="S8" i="31" s="1"/>
  <c r="Q8" i="31"/>
  <c r="T8" i="31" s="1"/>
  <c r="P8" i="31"/>
  <c r="O8" i="31"/>
  <c r="N8" i="31"/>
  <c r="M8" i="31"/>
  <c r="L8" i="31"/>
  <c r="K8" i="31"/>
  <c r="J8" i="31"/>
  <c r="I8" i="31"/>
  <c r="F8" i="31"/>
  <c r="U7" i="31"/>
  <c r="R7" i="31"/>
  <c r="S7" i="31" s="1"/>
  <c r="Q7" i="31"/>
  <c r="T7" i="31" s="1"/>
  <c r="P7" i="31"/>
  <c r="O7" i="31"/>
  <c r="N7" i="31"/>
  <c r="M7" i="31"/>
  <c r="L7" i="31"/>
  <c r="K7" i="31"/>
  <c r="J7" i="31"/>
  <c r="I7" i="31"/>
  <c r="F7" i="31"/>
  <c r="U6" i="31"/>
  <c r="R6" i="31"/>
  <c r="S6" i="31" s="1"/>
  <c r="Q6" i="31"/>
  <c r="T6" i="31" s="1"/>
  <c r="P6" i="31"/>
  <c r="O6" i="31"/>
  <c r="N6" i="31"/>
  <c r="M6" i="31"/>
  <c r="L6" i="31"/>
  <c r="K6" i="31"/>
  <c r="J6" i="31"/>
  <c r="I6" i="31"/>
  <c r="F6" i="31"/>
  <c r="U5" i="31"/>
  <c r="R5" i="31"/>
  <c r="S5" i="31" s="1"/>
  <c r="P5" i="31"/>
  <c r="O5" i="31"/>
  <c r="N5" i="31"/>
  <c r="M5" i="31"/>
  <c r="K5" i="31"/>
  <c r="J5" i="31"/>
  <c r="I5" i="31"/>
  <c r="F5" i="31"/>
  <c r="U4" i="31"/>
  <c r="R4" i="31"/>
  <c r="S4" i="31" s="1"/>
  <c r="P4" i="31"/>
  <c r="O4" i="31"/>
  <c r="N4" i="31"/>
  <c r="M4" i="31"/>
  <c r="K4" i="31"/>
  <c r="J4" i="31"/>
  <c r="I4" i="31"/>
  <c r="F4" i="31"/>
  <c r="U3" i="31"/>
  <c r="R3" i="31"/>
  <c r="S3" i="31" s="1"/>
  <c r="P3" i="31"/>
  <c r="N3" i="31"/>
  <c r="O3" i="31" s="1"/>
  <c r="M3" i="31"/>
  <c r="L3" i="31"/>
  <c r="K3" i="31"/>
  <c r="J3" i="31"/>
  <c r="I3" i="31"/>
  <c r="F3" i="31"/>
  <c r="U2" i="31"/>
  <c r="R2" i="31"/>
  <c r="S2" i="31" s="1"/>
  <c r="O2" i="31"/>
  <c r="N2" i="31"/>
  <c r="M2" i="31"/>
  <c r="J2" i="31"/>
  <c r="I2" i="31"/>
  <c r="F2" i="31"/>
  <c r="O100" i="30"/>
  <c r="N100" i="30"/>
  <c r="M100" i="30"/>
  <c r="L100" i="30"/>
  <c r="K100" i="30"/>
  <c r="J100" i="30"/>
  <c r="I100" i="30"/>
  <c r="H100" i="30"/>
  <c r="F100" i="30"/>
  <c r="O99" i="30"/>
  <c r="N99" i="30"/>
  <c r="M99" i="30"/>
  <c r="L99" i="30"/>
  <c r="K99" i="30"/>
  <c r="J99" i="30"/>
  <c r="I99" i="30"/>
  <c r="H99" i="30"/>
  <c r="F99" i="30"/>
  <c r="O98" i="30"/>
  <c r="N98" i="30"/>
  <c r="M98" i="30"/>
  <c r="L98" i="30"/>
  <c r="K98" i="30"/>
  <c r="J98" i="30"/>
  <c r="I98" i="30"/>
  <c r="H98" i="30"/>
  <c r="F98" i="30"/>
  <c r="O97" i="30"/>
  <c r="N97" i="30"/>
  <c r="M97" i="30"/>
  <c r="L97" i="30"/>
  <c r="K97" i="30"/>
  <c r="J97" i="30"/>
  <c r="I97" i="30"/>
  <c r="H97" i="30"/>
  <c r="F97" i="30"/>
  <c r="O96" i="30"/>
  <c r="N96" i="30"/>
  <c r="M96" i="30"/>
  <c r="L96" i="30"/>
  <c r="K96" i="30"/>
  <c r="J96" i="30"/>
  <c r="I96" i="30"/>
  <c r="H96" i="30"/>
  <c r="F96" i="30"/>
  <c r="O95" i="30"/>
  <c r="N95" i="30"/>
  <c r="M95" i="30"/>
  <c r="L95" i="30"/>
  <c r="K95" i="30"/>
  <c r="J95" i="30"/>
  <c r="I95" i="30"/>
  <c r="H95" i="30"/>
  <c r="F95" i="30"/>
  <c r="O94" i="30"/>
  <c r="N94" i="30"/>
  <c r="M94" i="30"/>
  <c r="L94" i="30"/>
  <c r="K94" i="30"/>
  <c r="J94" i="30"/>
  <c r="I94" i="30"/>
  <c r="H94" i="30"/>
  <c r="F94" i="30"/>
  <c r="O93" i="30"/>
  <c r="N93" i="30"/>
  <c r="M93" i="30"/>
  <c r="L93" i="30"/>
  <c r="K93" i="30"/>
  <c r="J93" i="30"/>
  <c r="I93" i="30"/>
  <c r="H93" i="30"/>
  <c r="F93" i="30"/>
  <c r="O92" i="30"/>
  <c r="N92" i="30"/>
  <c r="M92" i="30"/>
  <c r="L92" i="30"/>
  <c r="K92" i="30"/>
  <c r="J92" i="30"/>
  <c r="I92" i="30"/>
  <c r="H92" i="30"/>
  <c r="F92" i="30"/>
  <c r="O91" i="30"/>
  <c r="N91" i="30"/>
  <c r="M91" i="30"/>
  <c r="L91" i="30"/>
  <c r="K91" i="30"/>
  <c r="J91" i="30"/>
  <c r="I91" i="30"/>
  <c r="H91" i="30"/>
  <c r="F91" i="30"/>
  <c r="O90" i="30"/>
  <c r="N90" i="30"/>
  <c r="M90" i="30"/>
  <c r="L90" i="30"/>
  <c r="K90" i="30"/>
  <c r="J90" i="30"/>
  <c r="I90" i="30"/>
  <c r="H90" i="30"/>
  <c r="F90" i="30"/>
  <c r="O89" i="30"/>
  <c r="N89" i="30"/>
  <c r="M89" i="30"/>
  <c r="L89" i="30"/>
  <c r="K89" i="30"/>
  <c r="J89" i="30"/>
  <c r="I89" i="30"/>
  <c r="H89" i="30"/>
  <c r="F89" i="30"/>
  <c r="O88" i="30"/>
  <c r="N88" i="30"/>
  <c r="M88" i="30"/>
  <c r="L88" i="30"/>
  <c r="K88" i="30"/>
  <c r="J88" i="30"/>
  <c r="I88" i="30"/>
  <c r="H88" i="30"/>
  <c r="F88" i="30"/>
  <c r="O87" i="30"/>
  <c r="N87" i="30"/>
  <c r="M87" i="30"/>
  <c r="L87" i="30"/>
  <c r="K87" i="30"/>
  <c r="J87" i="30"/>
  <c r="I87" i="30"/>
  <c r="H87" i="30"/>
  <c r="F87" i="30"/>
  <c r="O86" i="30"/>
  <c r="N86" i="30"/>
  <c r="M86" i="30"/>
  <c r="L86" i="30"/>
  <c r="K86" i="30"/>
  <c r="J86" i="30"/>
  <c r="I86" i="30"/>
  <c r="H86" i="30"/>
  <c r="F86" i="30"/>
  <c r="O85" i="30"/>
  <c r="N85" i="30"/>
  <c r="M85" i="30"/>
  <c r="L85" i="30"/>
  <c r="K85" i="30"/>
  <c r="J85" i="30"/>
  <c r="I85" i="30"/>
  <c r="H85" i="30"/>
  <c r="F85" i="30"/>
  <c r="O84" i="30"/>
  <c r="N84" i="30"/>
  <c r="M84" i="30"/>
  <c r="L84" i="30"/>
  <c r="K84" i="30"/>
  <c r="J84" i="30"/>
  <c r="I84" i="30"/>
  <c r="H84" i="30"/>
  <c r="F84" i="30"/>
  <c r="O83" i="30"/>
  <c r="N83" i="30"/>
  <c r="M83" i="30"/>
  <c r="L83" i="30"/>
  <c r="K83" i="30"/>
  <c r="J83" i="30"/>
  <c r="I83" i="30"/>
  <c r="H83" i="30"/>
  <c r="F83" i="30"/>
  <c r="O82" i="30"/>
  <c r="N82" i="30"/>
  <c r="M82" i="30"/>
  <c r="L82" i="30"/>
  <c r="K82" i="30"/>
  <c r="J82" i="30"/>
  <c r="I82" i="30"/>
  <c r="H82" i="30"/>
  <c r="F82" i="30"/>
  <c r="O81" i="30"/>
  <c r="N81" i="30"/>
  <c r="M81" i="30"/>
  <c r="L81" i="30"/>
  <c r="K81" i="30"/>
  <c r="J81" i="30"/>
  <c r="I81" i="30"/>
  <c r="H81" i="30"/>
  <c r="F81" i="30"/>
  <c r="O80" i="30"/>
  <c r="N80" i="30"/>
  <c r="M80" i="30"/>
  <c r="L80" i="30"/>
  <c r="K80" i="30"/>
  <c r="J80" i="30"/>
  <c r="I80" i="30"/>
  <c r="H80" i="30"/>
  <c r="F80" i="30"/>
  <c r="O79" i="30"/>
  <c r="N79" i="30"/>
  <c r="M79" i="30"/>
  <c r="L79" i="30"/>
  <c r="K79" i="30"/>
  <c r="J79" i="30"/>
  <c r="I79" i="30"/>
  <c r="H79" i="30"/>
  <c r="F79" i="30"/>
  <c r="O78" i="30"/>
  <c r="N78" i="30"/>
  <c r="M78" i="30"/>
  <c r="L78" i="30"/>
  <c r="K78" i="30"/>
  <c r="J78" i="30"/>
  <c r="I78" i="30"/>
  <c r="H78" i="30"/>
  <c r="F78" i="30"/>
  <c r="O77" i="30"/>
  <c r="N77" i="30"/>
  <c r="M77" i="30"/>
  <c r="L77" i="30"/>
  <c r="K77" i="30"/>
  <c r="J77" i="30"/>
  <c r="I77" i="30"/>
  <c r="H77" i="30"/>
  <c r="F77" i="30"/>
  <c r="O76" i="30"/>
  <c r="N76" i="30"/>
  <c r="M76" i="30"/>
  <c r="L76" i="30"/>
  <c r="K76" i="30"/>
  <c r="J76" i="30"/>
  <c r="I76" i="30"/>
  <c r="H76" i="30"/>
  <c r="F76" i="30"/>
  <c r="O75" i="30"/>
  <c r="N75" i="30"/>
  <c r="M75" i="30"/>
  <c r="L75" i="30"/>
  <c r="K75" i="30"/>
  <c r="J75" i="30"/>
  <c r="I75" i="30"/>
  <c r="H75" i="30"/>
  <c r="F75" i="30"/>
  <c r="O74" i="30"/>
  <c r="N74" i="30"/>
  <c r="M74" i="30"/>
  <c r="L74" i="30"/>
  <c r="K74" i="30"/>
  <c r="J74" i="30"/>
  <c r="I74" i="30"/>
  <c r="H74" i="30"/>
  <c r="F74" i="30"/>
  <c r="O73" i="30"/>
  <c r="N73" i="30"/>
  <c r="M73" i="30"/>
  <c r="L73" i="30"/>
  <c r="K73" i="30"/>
  <c r="J73" i="30"/>
  <c r="I73" i="30"/>
  <c r="H73" i="30"/>
  <c r="F73" i="30"/>
  <c r="O72" i="30"/>
  <c r="N72" i="30"/>
  <c r="M72" i="30"/>
  <c r="L72" i="30"/>
  <c r="K72" i="30"/>
  <c r="J72" i="30"/>
  <c r="I72" i="30"/>
  <c r="H72" i="30"/>
  <c r="F72" i="30"/>
  <c r="O71" i="30"/>
  <c r="N71" i="30"/>
  <c r="M71" i="30"/>
  <c r="L71" i="30"/>
  <c r="K71" i="30"/>
  <c r="J71" i="30"/>
  <c r="I71" i="30"/>
  <c r="H71" i="30"/>
  <c r="F71" i="30"/>
  <c r="O70" i="30"/>
  <c r="N70" i="30"/>
  <c r="M70" i="30"/>
  <c r="L70" i="30"/>
  <c r="K70" i="30"/>
  <c r="J70" i="30"/>
  <c r="I70" i="30"/>
  <c r="H70" i="30"/>
  <c r="F70" i="30"/>
  <c r="O69" i="30"/>
  <c r="N69" i="30"/>
  <c r="M69" i="30"/>
  <c r="L69" i="30"/>
  <c r="K69" i="30"/>
  <c r="J69" i="30"/>
  <c r="I69" i="30"/>
  <c r="H69" i="30"/>
  <c r="F69" i="30"/>
  <c r="O68" i="30"/>
  <c r="N68" i="30"/>
  <c r="M68" i="30"/>
  <c r="L68" i="30"/>
  <c r="K68" i="30"/>
  <c r="J68" i="30"/>
  <c r="I68" i="30"/>
  <c r="H68" i="30"/>
  <c r="F68" i="30"/>
  <c r="O67" i="30"/>
  <c r="N67" i="30"/>
  <c r="M67" i="30"/>
  <c r="L67" i="30"/>
  <c r="K67" i="30"/>
  <c r="J67" i="30"/>
  <c r="I67" i="30"/>
  <c r="H67" i="30"/>
  <c r="F67" i="30"/>
  <c r="O66" i="30"/>
  <c r="N66" i="30"/>
  <c r="M66" i="30"/>
  <c r="L66" i="30"/>
  <c r="K66" i="30"/>
  <c r="J66" i="30"/>
  <c r="I66" i="30"/>
  <c r="H66" i="30"/>
  <c r="F66" i="30"/>
  <c r="O65" i="30"/>
  <c r="N65" i="30"/>
  <c r="M65" i="30"/>
  <c r="L65" i="30"/>
  <c r="K65" i="30"/>
  <c r="J65" i="30"/>
  <c r="I65" i="30"/>
  <c r="H65" i="30"/>
  <c r="F65" i="30"/>
  <c r="O64" i="30"/>
  <c r="N64" i="30"/>
  <c r="M64" i="30"/>
  <c r="L64" i="30"/>
  <c r="K64" i="30"/>
  <c r="J64" i="30"/>
  <c r="I64" i="30"/>
  <c r="H64" i="30"/>
  <c r="F64" i="30"/>
  <c r="O63" i="30"/>
  <c r="N63" i="30"/>
  <c r="M63" i="30"/>
  <c r="L63" i="30"/>
  <c r="K63" i="30"/>
  <c r="J63" i="30"/>
  <c r="I63" i="30"/>
  <c r="H63" i="30"/>
  <c r="F63" i="30"/>
  <c r="O62" i="30"/>
  <c r="N62" i="30"/>
  <c r="M62" i="30"/>
  <c r="L62" i="30"/>
  <c r="K62" i="30"/>
  <c r="J62" i="30"/>
  <c r="I62" i="30"/>
  <c r="H62" i="30"/>
  <c r="F62" i="30"/>
  <c r="O61" i="30"/>
  <c r="N61" i="30"/>
  <c r="M61" i="30"/>
  <c r="L61" i="30"/>
  <c r="K61" i="30"/>
  <c r="J61" i="30"/>
  <c r="I61" i="30"/>
  <c r="H61" i="30"/>
  <c r="F61" i="30"/>
  <c r="O60" i="30"/>
  <c r="N60" i="30"/>
  <c r="M60" i="30"/>
  <c r="L60" i="30"/>
  <c r="K60" i="30"/>
  <c r="J60" i="30"/>
  <c r="I60" i="30"/>
  <c r="H60" i="30"/>
  <c r="F60" i="30"/>
  <c r="O59" i="30"/>
  <c r="N59" i="30"/>
  <c r="M59" i="30"/>
  <c r="L59" i="30"/>
  <c r="K59" i="30"/>
  <c r="J59" i="30"/>
  <c r="I59" i="30"/>
  <c r="H59" i="30"/>
  <c r="F59" i="30"/>
  <c r="O58" i="30"/>
  <c r="N58" i="30"/>
  <c r="M58" i="30"/>
  <c r="L58" i="30"/>
  <c r="K58" i="30"/>
  <c r="J58" i="30"/>
  <c r="I58" i="30"/>
  <c r="H58" i="30"/>
  <c r="F58" i="30"/>
  <c r="O57" i="30"/>
  <c r="N57" i="30"/>
  <c r="M57" i="30"/>
  <c r="L57" i="30"/>
  <c r="K57" i="30"/>
  <c r="J57" i="30"/>
  <c r="I57" i="30"/>
  <c r="H57" i="30"/>
  <c r="F57" i="30"/>
  <c r="O56" i="30"/>
  <c r="N56" i="30"/>
  <c r="M56" i="30"/>
  <c r="L56" i="30"/>
  <c r="K56" i="30"/>
  <c r="J56" i="30"/>
  <c r="I56" i="30"/>
  <c r="H56" i="30"/>
  <c r="F56" i="30"/>
  <c r="O55" i="30"/>
  <c r="N55" i="30"/>
  <c r="M55" i="30"/>
  <c r="L55" i="30"/>
  <c r="K55" i="30"/>
  <c r="J55" i="30"/>
  <c r="I55" i="30"/>
  <c r="H55" i="30"/>
  <c r="F55" i="30"/>
  <c r="O54" i="30"/>
  <c r="N54" i="30"/>
  <c r="M54" i="30"/>
  <c r="L54" i="30"/>
  <c r="K54" i="30"/>
  <c r="J54" i="30"/>
  <c r="I54" i="30"/>
  <c r="H54" i="30"/>
  <c r="F54" i="30"/>
  <c r="O53" i="30"/>
  <c r="N53" i="30"/>
  <c r="M53" i="30"/>
  <c r="L53" i="30"/>
  <c r="K53" i="30"/>
  <c r="J53" i="30"/>
  <c r="I53" i="30"/>
  <c r="H53" i="30"/>
  <c r="F53" i="30"/>
  <c r="O52" i="30"/>
  <c r="N52" i="30"/>
  <c r="M52" i="30"/>
  <c r="L52" i="30"/>
  <c r="K52" i="30"/>
  <c r="J52" i="30"/>
  <c r="I52" i="30"/>
  <c r="H52" i="30"/>
  <c r="F52" i="30"/>
  <c r="O51" i="30"/>
  <c r="N51" i="30"/>
  <c r="M51" i="30"/>
  <c r="L51" i="30"/>
  <c r="K51" i="30"/>
  <c r="J51" i="30"/>
  <c r="I51" i="30"/>
  <c r="H51" i="30"/>
  <c r="F51" i="30"/>
  <c r="O50" i="30"/>
  <c r="N50" i="30"/>
  <c r="M50" i="30"/>
  <c r="L50" i="30"/>
  <c r="K50" i="30"/>
  <c r="J50" i="30"/>
  <c r="I50" i="30"/>
  <c r="H50" i="30"/>
  <c r="F50" i="30"/>
  <c r="O49" i="30"/>
  <c r="N49" i="30"/>
  <c r="M49" i="30"/>
  <c r="L49" i="30"/>
  <c r="K49" i="30"/>
  <c r="J49" i="30"/>
  <c r="I49" i="30"/>
  <c r="H49" i="30"/>
  <c r="F49" i="30"/>
  <c r="O48" i="30"/>
  <c r="N48" i="30"/>
  <c r="M48" i="30"/>
  <c r="L48" i="30"/>
  <c r="K48" i="30"/>
  <c r="J48" i="30"/>
  <c r="I48" i="30"/>
  <c r="H48" i="30"/>
  <c r="F48" i="30"/>
  <c r="O47" i="30"/>
  <c r="N47" i="30"/>
  <c r="M47" i="30"/>
  <c r="L47" i="30"/>
  <c r="K47" i="30"/>
  <c r="J47" i="30"/>
  <c r="I47" i="30"/>
  <c r="H47" i="30"/>
  <c r="F47" i="30"/>
  <c r="O46" i="30"/>
  <c r="N46" i="30"/>
  <c r="M46" i="30"/>
  <c r="L46" i="30"/>
  <c r="K46" i="30"/>
  <c r="J46" i="30"/>
  <c r="I46" i="30"/>
  <c r="H46" i="30"/>
  <c r="F46" i="30"/>
  <c r="O45" i="30"/>
  <c r="N45" i="30"/>
  <c r="M45" i="30"/>
  <c r="L45" i="30"/>
  <c r="K45" i="30"/>
  <c r="J45" i="30"/>
  <c r="I45" i="30"/>
  <c r="H45" i="30"/>
  <c r="F45" i="30"/>
  <c r="O44" i="30"/>
  <c r="N44" i="30"/>
  <c r="M44" i="30"/>
  <c r="L44" i="30"/>
  <c r="K44" i="30"/>
  <c r="J44" i="30"/>
  <c r="I44" i="30"/>
  <c r="H44" i="30"/>
  <c r="F44" i="30"/>
  <c r="O43" i="30"/>
  <c r="N43" i="30"/>
  <c r="M43" i="30"/>
  <c r="L43" i="30"/>
  <c r="K43" i="30"/>
  <c r="J43" i="30"/>
  <c r="I43" i="30"/>
  <c r="H43" i="30"/>
  <c r="F43" i="30"/>
  <c r="O42" i="30"/>
  <c r="N42" i="30"/>
  <c r="M42" i="30"/>
  <c r="L42" i="30"/>
  <c r="K42" i="30"/>
  <c r="J42" i="30"/>
  <c r="I42" i="30"/>
  <c r="H42" i="30"/>
  <c r="F42" i="30"/>
  <c r="O41" i="30"/>
  <c r="N41" i="30"/>
  <c r="M41" i="30"/>
  <c r="L41" i="30"/>
  <c r="K41" i="30"/>
  <c r="J41" i="30"/>
  <c r="I41" i="30"/>
  <c r="H41" i="30"/>
  <c r="F41" i="30"/>
  <c r="O40" i="30"/>
  <c r="N40" i="30"/>
  <c r="M40" i="30"/>
  <c r="L40" i="30"/>
  <c r="K40" i="30"/>
  <c r="J40" i="30"/>
  <c r="I40" i="30"/>
  <c r="H40" i="30"/>
  <c r="F40" i="30"/>
  <c r="O39" i="30"/>
  <c r="N39" i="30"/>
  <c r="M39" i="30"/>
  <c r="L39" i="30"/>
  <c r="K39" i="30"/>
  <c r="J39" i="30"/>
  <c r="I39" i="30"/>
  <c r="H39" i="30"/>
  <c r="F39" i="30"/>
  <c r="O38" i="30"/>
  <c r="N38" i="30"/>
  <c r="M38" i="30"/>
  <c r="L38" i="30"/>
  <c r="K38" i="30"/>
  <c r="J38" i="30"/>
  <c r="I38" i="30"/>
  <c r="H38" i="30"/>
  <c r="F38" i="30"/>
  <c r="O37" i="30"/>
  <c r="N37" i="30"/>
  <c r="M37" i="30"/>
  <c r="L37" i="30"/>
  <c r="K37" i="30"/>
  <c r="J37" i="30"/>
  <c r="I37" i="30"/>
  <c r="H37" i="30"/>
  <c r="F37" i="30"/>
  <c r="O36" i="30"/>
  <c r="N36" i="30"/>
  <c r="M36" i="30"/>
  <c r="L36" i="30"/>
  <c r="K36" i="30"/>
  <c r="J36" i="30"/>
  <c r="I36" i="30"/>
  <c r="H36" i="30"/>
  <c r="F36" i="30"/>
  <c r="O35" i="30"/>
  <c r="N35" i="30"/>
  <c r="M35" i="30"/>
  <c r="L35" i="30"/>
  <c r="K35" i="30"/>
  <c r="J35" i="30"/>
  <c r="I35" i="30"/>
  <c r="H35" i="30"/>
  <c r="F35" i="30"/>
  <c r="O34" i="30"/>
  <c r="N34" i="30"/>
  <c r="M34" i="30"/>
  <c r="L34" i="30"/>
  <c r="K34" i="30"/>
  <c r="J34" i="30"/>
  <c r="I34" i="30"/>
  <c r="H34" i="30"/>
  <c r="F34" i="30"/>
  <c r="O33" i="30"/>
  <c r="N33" i="30"/>
  <c r="M33" i="30"/>
  <c r="L33" i="30"/>
  <c r="K33" i="30"/>
  <c r="J33" i="30"/>
  <c r="I33" i="30"/>
  <c r="H33" i="30"/>
  <c r="F33" i="30"/>
  <c r="O32" i="30"/>
  <c r="N32" i="30"/>
  <c r="M32" i="30"/>
  <c r="L32" i="30"/>
  <c r="K32" i="30"/>
  <c r="J32" i="30"/>
  <c r="I32" i="30"/>
  <c r="H32" i="30"/>
  <c r="F32" i="30"/>
  <c r="O31" i="30"/>
  <c r="N31" i="30"/>
  <c r="M31" i="30"/>
  <c r="L31" i="30"/>
  <c r="K31" i="30"/>
  <c r="J31" i="30"/>
  <c r="I31" i="30"/>
  <c r="H31" i="30"/>
  <c r="F31" i="30"/>
  <c r="O30" i="30"/>
  <c r="N30" i="30"/>
  <c r="M30" i="30"/>
  <c r="L30" i="30"/>
  <c r="K30" i="30"/>
  <c r="J30" i="30"/>
  <c r="I30" i="30"/>
  <c r="H30" i="30"/>
  <c r="F30" i="30"/>
  <c r="O29" i="30"/>
  <c r="N29" i="30"/>
  <c r="M29" i="30"/>
  <c r="L29" i="30"/>
  <c r="K29" i="30"/>
  <c r="J29" i="30"/>
  <c r="I29" i="30"/>
  <c r="H29" i="30"/>
  <c r="F29" i="30"/>
  <c r="O28" i="30"/>
  <c r="N28" i="30"/>
  <c r="M28" i="30"/>
  <c r="L28" i="30"/>
  <c r="K28" i="30"/>
  <c r="J28" i="30"/>
  <c r="I28" i="30"/>
  <c r="H28" i="30"/>
  <c r="F28" i="30"/>
  <c r="O27" i="30"/>
  <c r="N27" i="30"/>
  <c r="M27" i="30"/>
  <c r="L27" i="30"/>
  <c r="K27" i="30"/>
  <c r="J27" i="30"/>
  <c r="I27" i="30"/>
  <c r="H27" i="30"/>
  <c r="F27" i="30"/>
  <c r="O26" i="30"/>
  <c r="N26" i="30"/>
  <c r="M26" i="30"/>
  <c r="L26" i="30"/>
  <c r="K26" i="30"/>
  <c r="J26" i="30"/>
  <c r="I26" i="30"/>
  <c r="H26" i="30"/>
  <c r="F26" i="30"/>
  <c r="O25" i="30"/>
  <c r="N25" i="30"/>
  <c r="M25" i="30"/>
  <c r="L25" i="30"/>
  <c r="K25" i="30"/>
  <c r="J25" i="30"/>
  <c r="I25" i="30"/>
  <c r="H25" i="30"/>
  <c r="F25" i="30"/>
  <c r="O24" i="30"/>
  <c r="N24" i="30"/>
  <c r="M24" i="30"/>
  <c r="L24" i="30"/>
  <c r="K24" i="30"/>
  <c r="J24" i="30"/>
  <c r="I24" i="30"/>
  <c r="H24" i="30"/>
  <c r="F24" i="30"/>
  <c r="O23" i="30"/>
  <c r="N23" i="30"/>
  <c r="M23" i="30"/>
  <c r="L23" i="30"/>
  <c r="K23" i="30"/>
  <c r="J23" i="30"/>
  <c r="I23" i="30"/>
  <c r="H23" i="30"/>
  <c r="F23" i="30"/>
  <c r="O22" i="30"/>
  <c r="N22" i="30"/>
  <c r="M22" i="30"/>
  <c r="L22" i="30"/>
  <c r="K22" i="30"/>
  <c r="J22" i="30"/>
  <c r="I22" i="30"/>
  <c r="H22" i="30"/>
  <c r="F22" i="30"/>
  <c r="O21" i="30"/>
  <c r="N21" i="30"/>
  <c r="M21" i="30"/>
  <c r="L21" i="30"/>
  <c r="K21" i="30"/>
  <c r="J21" i="30"/>
  <c r="I21" i="30"/>
  <c r="H21" i="30"/>
  <c r="F21" i="30"/>
  <c r="O20" i="30"/>
  <c r="N20" i="30"/>
  <c r="M20" i="30"/>
  <c r="L20" i="30"/>
  <c r="K20" i="30"/>
  <c r="J20" i="30"/>
  <c r="I20" i="30"/>
  <c r="H20" i="30"/>
  <c r="F20" i="30"/>
  <c r="O19" i="30"/>
  <c r="N19" i="30"/>
  <c r="M19" i="30"/>
  <c r="L19" i="30"/>
  <c r="K19" i="30"/>
  <c r="J19" i="30"/>
  <c r="I19" i="30"/>
  <c r="H19" i="30"/>
  <c r="F19" i="30"/>
  <c r="O18" i="30"/>
  <c r="N18" i="30"/>
  <c r="M18" i="30"/>
  <c r="L18" i="30"/>
  <c r="K18" i="30"/>
  <c r="J18" i="30"/>
  <c r="I18" i="30"/>
  <c r="H18" i="30"/>
  <c r="F18" i="30"/>
  <c r="O17" i="30"/>
  <c r="N17" i="30"/>
  <c r="M17" i="30"/>
  <c r="L17" i="30"/>
  <c r="K17" i="30"/>
  <c r="J17" i="30"/>
  <c r="I17" i="30"/>
  <c r="H17" i="30"/>
  <c r="F17" i="30"/>
  <c r="O16" i="30"/>
  <c r="N16" i="30"/>
  <c r="M16" i="30"/>
  <c r="L16" i="30"/>
  <c r="K16" i="30"/>
  <c r="J16" i="30"/>
  <c r="I16" i="30"/>
  <c r="H16" i="30"/>
  <c r="F16" i="30"/>
  <c r="O15" i="30"/>
  <c r="N15" i="30"/>
  <c r="M15" i="30"/>
  <c r="L15" i="30"/>
  <c r="K15" i="30"/>
  <c r="J15" i="30"/>
  <c r="I15" i="30"/>
  <c r="H15" i="30"/>
  <c r="F15" i="30"/>
  <c r="O14" i="30"/>
  <c r="N14" i="30"/>
  <c r="M14" i="30"/>
  <c r="L14" i="30"/>
  <c r="K14" i="30"/>
  <c r="J14" i="30"/>
  <c r="I14" i="30"/>
  <c r="H14" i="30"/>
  <c r="F14" i="30"/>
  <c r="O13" i="30"/>
  <c r="N13" i="30"/>
  <c r="M13" i="30"/>
  <c r="L13" i="30"/>
  <c r="K13" i="30"/>
  <c r="J13" i="30"/>
  <c r="I13" i="30"/>
  <c r="H13" i="30"/>
  <c r="F13" i="30"/>
  <c r="O12" i="30"/>
  <c r="N12" i="30"/>
  <c r="M12" i="30"/>
  <c r="L12" i="30"/>
  <c r="K12" i="30"/>
  <c r="J12" i="30"/>
  <c r="I12" i="30"/>
  <c r="H12" i="30"/>
  <c r="F12" i="30"/>
  <c r="O11" i="30"/>
  <c r="N11" i="30"/>
  <c r="M11" i="30"/>
  <c r="L11" i="30"/>
  <c r="K11" i="30"/>
  <c r="J11" i="30"/>
  <c r="I11" i="30"/>
  <c r="H11" i="30"/>
  <c r="F11" i="30"/>
  <c r="O10" i="30"/>
  <c r="N10" i="30"/>
  <c r="M10" i="30"/>
  <c r="L10" i="30"/>
  <c r="K10" i="30"/>
  <c r="J10" i="30"/>
  <c r="I10" i="30"/>
  <c r="H10" i="30"/>
  <c r="F10" i="30"/>
  <c r="O9" i="30"/>
  <c r="N9" i="30"/>
  <c r="M9" i="30"/>
  <c r="L9" i="30"/>
  <c r="K9" i="30"/>
  <c r="J9" i="30"/>
  <c r="I9" i="30"/>
  <c r="H9" i="30"/>
  <c r="F9" i="30"/>
  <c r="O8" i="30"/>
  <c r="N8" i="30"/>
  <c r="M8" i="30"/>
  <c r="L8" i="30"/>
  <c r="K8" i="30"/>
  <c r="J8" i="30"/>
  <c r="I8" i="30"/>
  <c r="H8" i="30"/>
  <c r="F8" i="30"/>
  <c r="O7" i="30"/>
  <c r="N7" i="30"/>
  <c r="M7" i="30"/>
  <c r="L7" i="30"/>
  <c r="K7" i="30"/>
  <c r="J7" i="30"/>
  <c r="I7" i="30"/>
  <c r="H7" i="30"/>
  <c r="F7" i="30"/>
  <c r="O6" i="30"/>
  <c r="N6" i="30"/>
  <c r="M6" i="30"/>
  <c r="L6" i="30"/>
  <c r="K6" i="30"/>
  <c r="J6" i="30"/>
  <c r="I6" i="30"/>
  <c r="H6" i="30"/>
  <c r="F6" i="30"/>
  <c r="O5" i="30"/>
  <c r="K5" i="30"/>
  <c r="M5" i="30" s="1"/>
  <c r="J5" i="30"/>
  <c r="H5" i="30"/>
  <c r="F5" i="30"/>
  <c r="O4" i="30"/>
  <c r="M4" i="30"/>
  <c r="K4" i="30"/>
  <c r="J4" i="30"/>
  <c r="I4" i="30"/>
  <c r="H4" i="30"/>
  <c r="F4" i="30"/>
  <c r="O3" i="30"/>
  <c r="K3" i="30"/>
  <c r="M3" i="30" s="1"/>
  <c r="J3" i="30"/>
  <c r="H3" i="30"/>
  <c r="F3" i="30"/>
  <c r="O2" i="30"/>
  <c r="M2" i="30"/>
  <c r="K2" i="30"/>
  <c r="J2" i="30"/>
  <c r="H2" i="30"/>
  <c r="F2" i="30"/>
  <c r="S150" i="22"/>
  <c r="R150" i="22"/>
  <c r="N150" i="22"/>
  <c r="M150" i="22"/>
  <c r="L150" i="22"/>
  <c r="K150" i="22"/>
  <c r="J150" i="22"/>
  <c r="I150" i="22"/>
  <c r="H150" i="22"/>
  <c r="G150" i="22"/>
  <c r="S149" i="22"/>
  <c r="R149" i="22"/>
  <c r="N149" i="22"/>
  <c r="M149" i="22"/>
  <c r="L149" i="22"/>
  <c r="K149" i="22"/>
  <c r="J149" i="22"/>
  <c r="I149" i="22"/>
  <c r="H149" i="22"/>
  <c r="G149" i="22"/>
  <c r="S148" i="22"/>
  <c r="R148" i="22"/>
  <c r="N148" i="22"/>
  <c r="M148" i="22"/>
  <c r="L148" i="22"/>
  <c r="K148" i="22"/>
  <c r="J148" i="22"/>
  <c r="I148" i="22"/>
  <c r="H148" i="22"/>
  <c r="G148" i="22"/>
  <c r="S147" i="22"/>
  <c r="R147" i="22"/>
  <c r="N147" i="22"/>
  <c r="M147" i="22"/>
  <c r="L147" i="22"/>
  <c r="K147" i="22"/>
  <c r="J147" i="22"/>
  <c r="I147" i="22"/>
  <c r="H147" i="22"/>
  <c r="G147" i="22"/>
  <c r="S146" i="22"/>
  <c r="R146" i="22"/>
  <c r="N146" i="22"/>
  <c r="M146" i="22"/>
  <c r="L146" i="22"/>
  <c r="K146" i="22"/>
  <c r="J146" i="22"/>
  <c r="I146" i="22"/>
  <c r="H146" i="22"/>
  <c r="G146" i="22"/>
  <c r="S145" i="22"/>
  <c r="R145" i="22"/>
  <c r="N145" i="22"/>
  <c r="M145" i="22"/>
  <c r="L145" i="22"/>
  <c r="K145" i="22"/>
  <c r="J145" i="22"/>
  <c r="I145" i="22"/>
  <c r="H145" i="22"/>
  <c r="G145" i="22"/>
  <c r="S144" i="22"/>
  <c r="R144" i="22"/>
  <c r="N144" i="22"/>
  <c r="M144" i="22"/>
  <c r="L144" i="22"/>
  <c r="K144" i="22"/>
  <c r="J144" i="22"/>
  <c r="I144" i="22"/>
  <c r="H144" i="22"/>
  <c r="G144" i="22"/>
  <c r="S143" i="22"/>
  <c r="R143" i="22"/>
  <c r="N143" i="22"/>
  <c r="M143" i="22"/>
  <c r="L143" i="22"/>
  <c r="K143" i="22"/>
  <c r="J143" i="22"/>
  <c r="I143" i="22"/>
  <c r="H143" i="22"/>
  <c r="P143" i="22" s="1"/>
  <c r="Q143" i="22" s="1"/>
  <c r="T143" i="22" s="1"/>
  <c r="G143" i="22"/>
  <c r="S142" i="22"/>
  <c r="R142" i="22"/>
  <c r="N142" i="22"/>
  <c r="M142" i="22"/>
  <c r="L142" i="22"/>
  <c r="K142" i="22"/>
  <c r="J142" i="22"/>
  <c r="I142" i="22"/>
  <c r="H142" i="22"/>
  <c r="G142" i="22"/>
  <c r="S141" i="22"/>
  <c r="R141" i="22"/>
  <c r="N141" i="22"/>
  <c r="M141" i="22"/>
  <c r="L141" i="22"/>
  <c r="K141" i="22"/>
  <c r="J141" i="22"/>
  <c r="I141" i="22"/>
  <c r="H141" i="22"/>
  <c r="G141" i="22"/>
  <c r="S140" i="22"/>
  <c r="R140" i="22"/>
  <c r="N140" i="22"/>
  <c r="M140" i="22"/>
  <c r="L140" i="22"/>
  <c r="K140" i="22"/>
  <c r="J140" i="22"/>
  <c r="I140" i="22"/>
  <c r="H140" i="22"/>
  <c r="G140" i="22"/>
  <c r="S139" i="22"/>
  <c r="R139" i="22"/>
  <c r="N139" i="22"/>
  <c r="M139" i="22"/>
  <c r="L139" i="22"/>
  <c r="K139" i="22"/>
  <c r="J139" i="22"/>
  <c r="I139" i="22"/>
  <c r="H139" i="22"/>
  <c r="G139" i="22"/>
  <c r="S138" i="22"/>
  <c r="R138" i="22"/>
  <c r="N138" i="22"/>
  <c r="M138" i="22"/>
  <c r="L138" i="22"/>
  <c r="K138" i="22"/>
  <c r="J138" i="22"/>
  <c r="I138" i="22"/>
  <c r="H138" i="22"/>
  <c r="G138" i="22"/>
  <c r="S137" i="22"/>
  <c r="R137" i="22"/>
  <c r="N137" i="22"/>
  <c r="M137" i="22"/>
  <c r="L137" i="22"/>
  <c r="K137" i="22"/>
  <c r="J137" i="22"/>
  <c r="I137" i="22"/>
  <c r="H137" i="22"/>
  <c r="G137" i="22"/>
  <c r="S136" i="22"/>
  <c r="R136" i="22"/>
  <c r="N136" i="22"/>
  <c r="M136" i="22"/>
  <c r="L136" i="22"/>
  <c r="K136" i="22"/>
  <c r="J136" i="22"/>
  <c r="I136" i="22"/>
  <c r="H136" i="22"/>
  <c r="G136" i="22"/>
  <c r="S135" i="22"/>
  <c r="R135" i="22"/>
  <c r="N135" i="22"/>
  <c r="M135" i="22"/>
  <c r="L135" i="22"/>
  <c r="K135" i="22"/>
  <c r="J135" i="22"/>
  <c r="I135" i="22"/>
  <c r="H135" i="22"/>
  <c r="G135" i="22"/>
  <c r="S134" i="22"/>
  <c r="R134" i="22"/>
  <c r="N134" i="22"/>
  <c r="M134" i="22"/>
  <c r="L134" i="22"/>
  <c r="K134" i="22"/>
  <c r="J134" i="22"/>
  <c r="I134" i="22"/>
  <c r="H134" i="22"/>
  <c r="G134" i="22"/>
  <c r="S133" i="22"/>
  <c r="R133" i="22"/>
  <c r="N133" i="22"/>
  <c r="M133" i="22"/>
  <c r="L133" i="22"/>
  <c r="K133" i="22"/>
  <c r="J133" i="22"/>
  <c r="I133" i="22"/>
  <c r="H133" i="22"/>
  <c r="G133" i="22"/>
  <c r="S132" i="22"/>
  <c r="R132" i="22"/>
  <c r="N132" i="22"/>
  <c r="M132" i="22"/>
  <c r="L132" i="22"/>
  <c r="K132" i="22"/>
  <c r="J132" i="22"/>
  <c r="I132" i="22"/>
  <c r="H132" i="22"/>
  <c r="G132" i="22"/>
  <c r="S131" i="22"/>
  <c r="R131" i="22"/>
  <c r="N131" i="22"/>
  <c r="M131" i="22"/>
  <c r="L131" i="22"/>
  <c r="K131" i="22"/>
  <c r="J131" i="22"/>
  <c r="I131" i="22"/>
  <c r="H131" i="22"/>
  <c r="G131" i="22"/>
  <c r="S130" i="22"/>
  <c r="R130" i="22"/>
  <c r="N130" i="22"/>
  <c r="M130" i="22"/>
  <c r="L130" i="22"/>
  <c r="K130" i="22"/>
  <c r="J130" i="22"/>
  <c r="I130" i="22"/>
  <c r="H130" i="22"/>
  <c r="G130" i="22"/>
  <c r="S129" i="22"/>
  <c r="R129" i="22"/>
  <c r="N129" i="22"/>
  <c r="M129" i="22"/>
  <c r="L129" i="22"/>
  <c r="K129" i="22"/>
  <c r="J129" i="22"/>
  <c r="I129" i="22"/>
  <c r="H129" i="22"/>
  <c r="G129" i="22"/>
  <c r="S128" i="22"/>
  <c r="R128" i="22"/>
  <c r="N128" i="22"/>
  <c r="M128" i="22"/>
  <c r="L128" i="22"/>
  <c r="K128" i="22"/>
  <c r="J128" i="22"/>
  <c r="I128" i="22"/>
  <c r="H128" i="22"/>
  <c r="G128" i="22"/>
  <c r="S127" i="22"/>
  <c r="R127" i="22"/>
  <c r="N127" i="22"/>
  <c r="M127" i="22"/>
  <c r="L127" i="22"/>
  <c r="K127" i="22"/>
  <c r="J127" i="22"/>
  <c r="I127" i="22"/>
  <c r="H127" i="22"/>
  <c r="G127" i="22"/>
  <c r="S126" i="22"/>
  <c r="R126" i="22"/>
  <c r="N126" i="22"/>
  <c r="M126" i="22"/>
  <c r="L126" i="22"/>
  <c r="K126" i="22"/>
  <c r="J126" i="22"/>
  <c r="I126" i="22"/>
  <c r="H126" i="22"/>
  <c r="G126" i="22"/>
  <c r="S125" i="22"/>
  <c r="R125" i="22"/>
  <c r="N125" i="22"/>
  <c r="M125" i="22"/>
  <c r="L125" i="22"/>
  <c r="K125" i="22"/>
  <c r="J125" i="22"/>
  <c r="I125" i="22"/>
  <c r="H125" i="22"/>
  <c r="G125" i="22"/>
  <c r="S124" i="22"/>
  <c r="R124" i="22"/>
  <c r="N124" i="22"/>
  <c r="M124" i="22"/>
  <c r="L124" i="22"/>
  <c r="K124" i="22"/>
  <c r="J124" i="22"/>
  <c r="I124" i="22"/>
  <c r="H124" i="22"/>
  <c r="G124" i="22"/>
  <c r="S123" i="22"/>
  <c r="R123" i="22"/>
  <c r="N123" i="22"/>
  <c r="M123" i="22"/>
  <c r="L123" i="22"/>
  <c r="K123" i="22"/>
  <c r="J123" i="22"/>
  <c r="I123" i="22"/>
  <c r="H123" i="22"/>
  <c r="G123" i="22"/>
  <c r="S122" i="22"/>
  <c r="R122" i="22"/>
  <c r="N122" i="22"/>
  <c r="M122" i="22"/>
  <c r="L122" i="22"/>
  <c r="K122" i="22"/>
  <c r="J122" i="22"/>
  <c r="I122" i="22"/>
  <c r="H122" i="22"/>
  <c r="G122" i="22"/>
  <c r="S121" i="22"/>
  <c r="R121" i="22"/>
  <c r="N121" i="22"/>
  <c r="M121" i="22"/>
  <c r="L121" i="22"/>
  <c r="K121" i="22"/>
  <c r="J121" i="22"/>
  <c r="I121" i="22"/>
  <c r="H121" i="22"/>
  <c r="G121" i="22"/>
  <c r="S120" i="22"/>
  <c r="R120" i="22"/>
  <c r="N120" i="22"/>
  <c r="M120" i="22"/>
  <c r="L120" i="22"/>
  <c r="K120" i="22"/>
  <c r="J120" i="22"/>
  <c r="I120" i="22"/>
  <c r="H120" i="22"/>
  <c r="G120" i="22"/>
  <c r="S119" i="22"/>
  <c r="R119" i="22"/>
  <c r="N119" i="22"/>
  <c r="M119" i="22"/>
  <c r="L119" i="22"/>
  <c r="K119" i="22"/>
  <c r="J119" i="22"/>
  <c r="I119" i="22"/>
  <c r="H119" i="22"/>
  <c r="G119" i="22"/>
  <c r="S118" i="22"/>
  <c r="R118" i="22"/>
  <c r="N118" i="22"/>
  <c r="M118" i="22"/>
  <c r="L118" i="22"/>
  <c r="K118" i="22"/>
  <c r="J118" i="22"/>
  <c r="I118" i="22"/>
  <c r="H118" i="22"/>
  <c r="G118" i="22"/>
  <c r="S117" i="22"/>
  <c r="R117" i="22"/>
  <c r="N117" i="22"/>
  <c r="M117" i="22"/>
  <c r="L117" i="22"/>
  <c r="K117" i="22"/>
  <c r="J117" i="22"/>
  <c r="I117" i="22"/>
  <c r="H117" i="22"/>
  <c r="G117" i="22"/>
  <c r="S116" i="22"/>
  <c r="R116" i="22"/>
  <c r="N116" i="22"/>
  <c r="M116" i="22"/>
  <c r="L116" i="22"/>
  <c r="K116" i="22"/>
  <c r="J116" i="22"/>
  <c r="I116" i="22"/>
  <c r="H116" i="22"/>
  <c r="G116" i="22"/>
  <c r="S115" i="22"/>
  <c r="R115" i="22"/>
  <c r="N115" i="22"/>
  <c r="M115" i="22"/>
  <c r="L115" i="22"/>
  <c r="K115" i="22"/>
  <c r="J115" i="22"/>
  <c r="I115" i="22"/>
  <c r="H115" i="22"/>
  <c r="G115" i="22"/>
  <c r="S114" i="22"/>
  <c r="R114" i="22"/>
  <c r="N114" i="22"/>
  <c r="M114" i="22"/>
  <c r="L114" i="22"/>
  <c r="K114" i="22"/>
  <c r="J114" i="22"/>
  <c r="I114" i="22"/>
  <c r="H114" i="22"/>
  <c r="G114" i="22"/>
  <c r="S113" i="22"/>
  <c r="R113" i="22"/>
  <c r="N113" i="22"/>
  <c r="M113" i="22"/>
  <c r="L113" i="22"/>
  <c r="K113" i="22"/>
  <c r="J113" i="22"/>
  <c r="I113" i="22"/>
  <c r="H113" i="22"/>
  <c r="G113" i="22"/>
  <c r="S112" i="22"/>
  <c r="R112" i="22"/>
  <c r="N112" i="22"/>
  <c r="M112" i="22"/>
  <c r="L112" i="22"/>
  <c r="K112" i="22"/>
  <c r="J112" i="22"/>
  <c r="I112" i="22"/>
  <c r="H112" i="22"/>
  <c r="G112" i="22"/>
  <c r="S111" i="22"/>
  <c r="R111" i="22"/>
  <c r="N111" i="22"/>
  <c r="M111" i="22"/>
  <c r="L111" i="22"/>
  <c r="K111" i="22"/>
  <c r="J111" i="22"/>
  <c r="I111" i="22"/>
  <c r="H111" i="22"/>
  <c r="G111" i="22"/>
  <c r="S110" i="22"/>
  <c r="R110" i="22"/>
  <c r="N110" i="22"/>
  <c r="M110" i="22"/>
  <c r="L110" i="22"/>
  <c r="K110" i="22"/>
  <c r="J110" i="22"/>
  <c r="I110" i="22"/>
  <c r="H110" i="22"/>
  <c r="G110" i="22"/>
  <c r="S109" i="22"/>
  <c r="R109" i="22"/>
  <c r="N109" i="22"/>
  <c r="M109" i="22"/>
  <c r="L109" i="22"/>
  <c r="K109" i="22"/>
  <c r="J109" i="22"/>
  <c r="I109" i="22"/>
  <c r="H109" i="22"/>
  <c r="G109" i="22"/>
  <c r="S108" i="22"/>
  <c r="R108" i="22"/>
  <c r="N108" i="22"/>
  <c r="M108" i="22"/>
  <c r="L108" i="22"/>
  <c r="K108" i="22"/>
  <c r="J108" i="22"/>
  <c r="I108" i="22"/>
  <c r="H108" i="22"/>
  <c r="G108" i="22"/>
  <c r="S107" i="22"/>
  <c r="R107" i="22"/>
  <c r="N107" i="22"/>
  <c r="M107" i="22"/>
  <c r="L107" i="22"/>
  <c r="K107" i="22"/>
  <c r="J107" i="22"/>
  <c r="I107" i="22"/>
  <c r="H107" i="22"/>
  <c r="G107" i="22"/>
  <c r="S106" i="22"/>
  <c r="R106" i="22"/>
  <c r="N106" i="22"/>
  <c r="M106" i="22"/>
  <c r="L106" i="22"/>
  <c r="K106" i="22"/>
  <c r="J106" i="22"/>
  <c r="I106" i="22"/>
  <c r="H106" i="22"/>
  <c r="G106" i="22"/>
  <c r="S105" i="22"/>
  <c r="R105" i="22"/>
  <c r="N105" i="22"/>
  <c r="M105" i="22"/>
  <c r="L105" i="22"/>
  <c r="K105" i="22"/>
  <c r="J105" i="22"/>
  <c r="I105" i="22"/>
  <c r="H105" i="22"/>
  <c r="G105" i="22"/>
  <c r="S104" i="22"/>
  <c r="R104" i="22"/>
  <c r="N104" i="22"/>
  <c r="M104" i="22"/>
  <c r="L104" i="22"/>
  <c r="K104" i="22"/>
  <c r="J104" i="22"/>
  <c r="I104" i="22"/>
  <c r="H104" i="22"/>
  <c r="G104" i="22"/>
  <c r="S103" i="22"/>
  <c r="R103" i="22"/>
  <c r="N103" i="22"/>
  <c r="M103" i="22"/>
  <c r="L103" i="22"/>
  <c r="K103" i="22"/>
  <c r="J103" i="22"/>
  <c r="I103" i="22"/>
  <c r="H103" i="22"/>
  <c r="G103" i="22"/>
  <c r="S102" i="22"/>
  <c r="R102" i="22"/>
  <c r="N102" i="22"/>
  <c r="M102" i="22"/>
  <c r="L102" i="22"/>
  <c r="K102" i="22"/>
  <c r="J102" i="22"/>
  <c r="I102" i="22"/>
  <c r="H102" i="22"/>
  <c r="G102" i="22"/>
  <c r="S101" i="22"/>
  <c r="R101" i="22"/>
  <c r="N101" i="22"/>
  <c r="M101" i="22"/>
  <c r="L101" i="22"/>
  <c r="K101" i="22"/>
  <c r="J101" i="22"/>
  <c r="I101" i="22"/>
  <c r="H101" i="22"/>
  <c r="G101" i="22"/>
  <c r="S100" i="22"/>
  <c r="R100" i="22"/>
  <c r="N100" i="22"/>
  <c r="M100" i="22"/>
  <c r="L100" i="22"/>
  <c r="K100" i="22"/>
  <c r="J100" i="22"/>
  <c r="I100" i="22"/>
  <c r="H100" i="22"/>
  <c r="G100" i="22"/>
  <c r="S99" i="22"/>
  <c r="R99" i="22"/>
  <c r="N99" i="22"/>
  <c r="M99" i="22"/>
  <c r="L99" i="22"/>
  <c r="K99" i="22"/>
  <c r="J99" i="22"/>
  <c r="I99" i="22"/>
  <c r="H99" i="22"/>
  <c r="G99" i="22"/>
  <c r="S98" i="22"/>
  <c r="R98" i="22"/>
  <c r="N98" i="22"/>
  <c r="M98" i="22"/>
  <c r="L98" i="22"/>
  <c r="K98" i="22"/>
  <c r="J98" i="22"/>
  <c r="I98" i="22"/>
  <c r="H98" i="22"/>
  <c r="G98" i="22"/>
  <c r="S97" i="22"/>
  <c r="R97" i="22"/>
  <c r="N97" i="22"/>
  <c r="M97" i="22"/>
  <c r="L97" i="22"/>
  <c r="K97" i="22"/>
  <c r="J97" i="22"/>
  <c r="I97" i="22"/>
  <c r="H97" i="22"/>
  <c r="G97" i="22"/>
  <c r="S96" i="22"/>
  <c r="R96" i="22"/>
  <c r="N96" i="22"/>
  <c r="M96" i="22"/>
  <c r="L96" i="22"/>
  <c r="K96" i="22"/>
  <c r="J96" i="22"/>
  <c r="I96" i="22"/>
  <c r="H96" i="22"/>
  <c r="G96" i="22"/>
  <c r="S95" i="22"/>
  <c r="R95" i="22"/>
  <c r="N95" i="22"/>
  <c r="M95" i="22"/>
  <c r="L95" i="22"/>
  <c r="K95" i="22"/>
  <c r="J95" i="22"/>
  <c r="I95" i="22"/>
  <c r="H95" i="22"/>
  <c r="G95" i="22"/>
  <c r="S94" i="22"/>
  <c r="R94" i="22"/>
  <c r="N94" i="22"/>
  <c r="M94" i="22"/>
  <c r="L94" i="22"/>
  <c r="K94" i="22"/>
  <c r="J94" i="22"/>
  <c r="I94" i="22"/>
  <c r="H94" i="22"/>
  <c r="G94" i="22"/>
  <c r="S93" i="22"/>
  <c r="R93" i="22"/>
  <c r="N93" i="22"/>
  <c r="M93" i="22"/>
  <c r="L93" i="22"/>
  <c r="K93" i="22"/>
  <c r="J93" i="22"/>
  <c r="I93" i="22"/>
  <c r="H93" i="22"/>
  <c r="G93" i="22"/>
  <c r="S92" i="22"/>
  <c r="R92" i="22"/>
  <c r="N92" i="22"/>
  <c r="M92" i="22"/>
  <c r="L92" i="22"/>
  <c r="K92" i="22"/>
  <c r="J92" i="22"/>
  <c r="I92" i="22"/>
  <c r="H92" i="22"/>
  <c r="G92" i="22"/>
  <c r="S91" i="22"/>
  <c r="R91" i="22"/>
  <c r="N91" i="22"/>
  <c r="M91" i="22"/>
  <c r="L91" i="22"/>
  <c r="K91" i="22"/>
  <c r="J91" i="22"/>
  <c r="I91" i="22"/>
  <c r="H91" i="22"/>
  <c r="G91" i="22"/>
  <c r="S90" i="22"/>
  <c r="R90" i="22"/>
  <c r="N90" i="22"/>
  <c r="M90" i="22"/>
  <c r="L90" i="22"/>
  <c r="K90" i="22"/>
  <c r="J90" i="22"/>
  <c r="I90" i="22"/>
  <c r="H90" i="22"/>
  <c r="G90" i="22"/>
  <c r="S89" i="22"/>
  <c r="R89" i="22"/>
  <c r="N89" i="22"/>
  <c r="M89" i="22"/>
  <c r="L89" i="22"/>
  <c r="K89" i="22"/>
  <c r="J89" i="22"/>
  <c r="I89" i="22"/>
  <c r="H89" i="22"/>
  <c r="G89" i="22"/>
  <c r="S88" i="22"/>
  <c r="R88" i="22"/>
  <c r="N88" i="22"/>
  <c r="M88" i="22"/>
  <c r="L88" i="22"/>
  <c r="K88" i="22"/>
  <c r="J88" i="22"/>
  <c r="I88" i="22"/>
  <c r="H88" i="22"/>
  <c r="G88" i="22"/>
  <c r="S87" i="22"/>
  <c r="R87" i="22"/>
  <c r="N87" i="22"/>
  <c r="M87" i="22"/>
  <c r="L87" i="22"/>
  <c r="K87" i="22"/>
  <c r="J87" i="22"/>
  <c r="I87" i="22"/>
  <c r="H87" i="22"/>
  <c r="G87" i="22"/>
  <c r="S86" i="22"/>
  <c r="R86" i="22"/>
  <c r="N86" i="22"/>
  <c r="M86" i="22"/>
  <c r="L86" i="22"/>
  <c r="K86" i="22"/>
  <c r="J86" i="22"/>
  <c r="I86" i="22"/>
  <c r="H86" i="22"/>
  <c r="G86" i="22"/>
  <c r="S85" i="22"/>
  <c r="R85" i="22"/>
  <c r="N85" i="22"/>
  <c r="M85" i="22"/>
  <c r="L85" i="22"/>
  <c r="K85" i="22"/>
  <c r="J85" i="22"/>
  <c r="I85" i="22"/>
  <c r="H85" i="22"/>
  <c r="G85" i="22"/>
  <c r="S84" i="22"/>
  <c r="R84" i="22"/>
  <c r="N84" i="22"/>
  <c r="M84" i="22"/>
  <c r="L84" i="22"/>
  <c r="K84" i="22"/>
  <c r="J84" i="22"/>
  <c r="I84" i="22"/>
  <c r="H84" i="22"/>
  <c r="G84" i="22"/>
  <c r="S83" i="22"/>
  <c r="R83" i="22"/>
  <c r="N83" i="22"/>
  <c r="M83" i="22"/>
  <c r="L83" i="22"/>
  <c r="K83" i="22"/>
  <c r="J83" i="22"/>
  <c r="I83" i="22"/>
  <c r="H83" i="22"/>
  <c r="G83" i="22"/>
  <c r="S82" i="22"/>
  <c r="R82" i="22"/>
  <c r="N82" i="22"/>
  <c r="M82" i="22"/>
  <c r="L82" i="22"/>
  <c r="K82" i="22"/>
  <c r="J82" i="22"/>
  <c r="I82" i="22"/>
  <c r="H82" i="22"/>
  <c r="G82" i="22"/>
  <c r="S81" i="22"/>
  <c r="R81" i="22"/>
  <c r="N81" i="22"/>
  <c r="M81" i="22"/>
  <c r="L81" i="22"/>
  <c r="K81" i="22"/>
  <c r="J81" i="22"/>
  <c r="I81" i="22"/>
  <c r="H81" i="22"/>
  <c r="G81" i="22"/>
  <c r="S80" i="22"/>
  <c r="R80" i="22"/>
  <c r="N80" i="22"/>
  <c r="M80" i="22"/>
  <c r="L80" i="22"/>
  <c r="K80" i="22"/>
  <c r="J80" i="22"/>
  <c r="I80" i="22"/>
  <c r="H80" i="22"/>
  <c r="G80" i="22"/>
  <c r="S79" i="22"/>
  <c r="R79" i="22"/>
  <c r="N79" i="22"/>
  <c r="M79" i="22"/>
  <c r="L79" i="22"/>
  <c r="K79" i="22"/>
  <c r="J79" i="22"/>
  <c r="I79" i="22"/>
  <c r="H79" i="22"/>
  <c r="G79" i="22"/>
  <c r="S78" i="22"/>
  <c r="R78" i="22"/>
  <c r="N78" i="22"/>
  <c r="M78" i="22"/>
  <c r="L78" i="22"/>
  <c r="K78" i="22"/>
  <c r="J78" i="22"/>
  <c r="I78" i="22"/>
  <c r="H78" i="22"/>
  <c r="G78" i="22"/>
  <c r="S77" i="22"/>
  <c r="R77" i="22"/>
  <c r="N77" i="22"/>
  <c r="M77" i="22"/>
  <c r="L77" i="22"/>
  <c r="K77" i="22"/>
  <c r="J77" i="22"/>
  <c r="I77" i="22"/>
  <c r="H77" i="22"/>
  <c r="G77" i="22"/>
  <c r="S76" i="22"/>
  <c r="R76" i="22"/>
  <c r="N76" i="22"/>
  <c r="M76" i="22"/>
  <c r="L76" i="22"/>
  <c r="K76" i="22"/>
  <c r="J76" i="22"/>
  <c r="I76" i="22"/>
  <c r="H76" i="22"/>
  <c r="G76" i="22"/>
  <c r="S75" i="22"/>
  <c r="R75" i="22"/>
  <c r="N75" i="22"/>
  <c r="M75" i="22"/>
  <c r="L75" i="22"/>
  <c r="K75" i="22"/>
  <c r="J75" i="22"/>
  <c r="I75" i="22"/>
  <c r="H75" i="22"/>
  <c r="G75" i="22"/>
  <c r="S74" i="22"/>
  <c r="R74" i="22"/>
  <c r="N74" i="22"/>
  <c r="M74" i="22"/>
  <c r="L74" i="22"/>
  <c r="K74" i="22"/>
  <c r="J74" i="22"/>
  <c r="I74" i="22"/>
  <c r="H74" i="22"/>
  <c r="G74" i="22"/>
  <c r="S73" i="22"/>
  <c r="R73" i="22"/>
  <c r="N73" i="22"/>
  <c r="M73" i="22"/>
  <c r="L73" i="22"/>
  <c r="K73" i="22"/>
  <c r="J73" i="22"/>
  <c r="I73" i="22"/>
  <c r="H73" i="22"/>
  <c r="G73" i="22"/>
  <c r="S72" i="22"/>
  <c r="R72" i="22"/>
  <c r="N72" i="22"/>
  <c r="M72" i="22"/>
  <c r="L72" i="22"/>
  <c r="K72" i="22"/>
  <c r="J72" i="22"/>
  <c r="I72" i="22"/>
  <c r="H72" i="22"/>
  <c r="G72" i="22"/>
  <c r="S71" i="22"/>
  <c r="R71" i="22"/>
  <c r="N71" i="22"/>
  <c r="M71" i="22"/>
  <c r="L71" i="22"/>
  <c r="K71" i="22"/>
  <c r="J71" i="22"/>
  <c r="I71" i="22"/>
  <c r="H71" i="22"/>
  <c r="G71" i="22"/>
  <c r="S70" i="22"/>
  <c r="R70" i="22"/>
  <c r="N70" i="22"/>
  <c r="M70" i="22"/>
  <c r="L70" i="22"/>
  <c r="K70" i="22"/>
  <c r="J70" i="22"/>
  <c r="I70" i="22"/>
  <c r="H70" i="22"/>
  <c r="G70" i="22"/>
  <c r="S69" i="22"/>
  <c r="R69" i="22"/>
  <c r="N69" i="22"/>
  <c r="M69" i="22"/>
  <c r="L69" i="22"/>
  <c r="K69" i="22"/>
  <c r="J69" i="22"/>
  <c r="I69" i="22"/>
  <c r="H69" i="22"/>
  <c r="G69" i="22"/>
  <c r="S68" i="22"/>
  <c r="R68" i="22"/>
  <c r="N68" i="22"/>
  <c r="M68" i="22"/>
  <c r="L68" i="22"/>
  <c r="K68" i="22"/>
  <c r="J68" i="22"/>
  <c r="I68" i="22"/>
  <c r="H68" i="22"/>
  <c r="G68" i="22"/>
  <c r="S67" i="22"/>
  <c r="R67" i="22"/>
  <c r="N67" i="22"/>
  <c r="M67" i="22"/>
  <c r="L67" i="22"/>
  <c r="K67" i="22"/>
  <c r="J67" i="22"/>
  <c r="I67" i="22"/>
  <c r="H67" i="22"/>
  <c r="G67" i="22"/>
  <c r="S66" i="22"/>
  <c r="R66" i="22"/>
  <c r="N66" i="22"/>
  <c r="M66" i="22"/>
  <c r="L66" i="22"/>
  <c r="K66" i="22"/>
  <c r="J66" i="22"/>
  <c r="I66" i="22"/>
  <c r="H66" i="22"/>
  <c r="G66" i="22"/>
  <c r="S65" i="22"/>
  <c r="R65" i="22"/>
  <c r="N65" i="22"/>
  <c r="M65" i="22"/>
  <c r="L65" i="22"/>
  <c r="K65" i="22"/>
  <c r="J65" i="22"/>
  <c r="I65" i="22"/>
  <c r="H65" i="22"/>
  <c r="G65" i="22"/>
  <c r="S64" i="22"/>
  <c r="R64" i="22"/>
  <c r="N64" i="22"/>
  <c r="M64" i="22"/>
  <c r="L64" i="22"/>
  <c r="K64" i="22"/>
  <c r="J64" i="22"/>
  <c r="I64" i="22"/>
  <c r="H64" i="22"/>
  <c r="G64" i="22"/>
  <c r="S63" i="22"/>
  <c r="R63" i="22"/>
  <c r="N63" i="22"/>
  <c r="M63" i="22"/>
  <c r="L63" i="22"/>
  <c r="K63" i="22"/>
  <c r="J63" i="22"/>
  <c r="I63" i="22"/>
  <c r="H63" i="22"/>
  <c r="G63" i="22"/>
  <c r="S62" i="22"/>
  <c r="R62" i="22"/>
  <c r="N62" i="22"/>
  <c r="M62" i="22"/>
  <c r="L62" i="22"/>
  <c r="K62" i="22"/>
  <c r="J62" i="22"/>
  <c r="I62" i="22"/>
  <c r="H62" i="22"/>
  <c r="G62" i="22"/>
  <c r="S61" i="22"/>
  <c r="R61" i="22"/>
  <c r="N61" i="22"/>
  <c r="M61" i="22"/>
  <c r="L61" i="22"/>
  <c r="K61" i="22"/>
  <c r="J61" i="22"/>
  <c r="I61" i="22"/>
  <c r="H61" i="22"/>
  <c r="G61" i="22"/>
  <c r="S60" i="22"/>
  <c r="R60" i="22"/>
  <c r="N60" i="22"/>
  <c r="M60" i="22"/>
  <c r="L60" i="22"/>
  <c r="K60" i="22"/>
  <c r="J60" i="22"/>
  <c r="I60" i="22"/>
  <c r="H60" i="22"/>
  <c r="G60" i="22"/>
  <c r="S59" i="22"/>
  <c r="R59" i="22"/>
  <c r="N59" i="22"/>
  <c r="M59" i="22"/>
  <c r="L59" i="22"/>
  <c r="K59" i="22"/>
  <c r="J59" i="22"/>
  <c r="I59" i="22"/>
  <c r="H59" i="22"/>
  <c r="G59" i="22"/>
  <c r="S58" i="22"/>
  <c r="R58" i="22"/>
  <c r="N58" i="22"/>
  <c r="M58" i="22"/>
  <c r="L58" i="22"/>
  <c r="K58" i="22"/>
  <c r="J58" i="22"/>
  <c r="I58" i="22"/>
  <c r="H58" i="22"/>
  <c r="G58" i="22"/>
  <c r="S57" i="22"/>
  <c r="R57" i="22"/>
  <c r="N57" i="22"/>
  <c r="M57" i="22"/>
  <c r="L57" i="22"/>
  <c r="K57" i="22"/>
  <c r="J57" i="22"/>
  <c r="I57" i="22"/>
  <c r="H57" i="22"/>
  <c r="G57" i="22"/>
  <c r="S56" i="22"/>
  <c r="R56" i="22"/>
  <c r="N56" i="22"/>
  <c r="M56" i="22"/>
  <c r="L56" i="22"/>
  <c r="K56" i="22"/>
  <c r="J56" i="22"/>
  <c r="I56" i="22"/>
  <c r="H56" i="22"/>
  <c r="G56" i="22"/>
  <c r="S55" i="22"/>
  <c r="R55" i="22"/>
  <c r="N55" i="22"/>
  <c r="M55" i="22"/>
  <c r="L55" i="22"/>
  <c r="K55" i="22"/>
  <c r="J55" i="22"/>
  <c r="I55" i="22"/>
  <c r="H55" i="22"/>
  <c r="G55" i="22"/>
  <c r="S54" i="22"/>
  <c r="R54" i="22"/>
  <c r="N54" i="22"/>
  <c r="M54" i="22"/>
  <c r="L54" i="22"/>
  <c r="K54" i="22"/>
  <c r="J54" i="22"/>
  <c r="I54" i="22"/>
  <c r="H54" i="22"/>
  <c r="G54" i="22"/>
  <c r="S53" i="22"/>
  <c r="R53" i="22"/>
  <c r="N53" i="22"/>
  <c r="M53" i="22"/>
  <c r="L53" i="22"/>
  <c r="K53" i="22"/>
  <c r="J53" i="22"/>
  <c r="I53" i="22"/>
  <c r="H53" i="22"/>
  <c r="G53" i="22"/>
  <c r="S52" i="22"/>
  <c r="R52" i="22"/>
  <c r="N52" i="22"/>
  <c r="M52" i="22"/>
  <c r="L52" i="22"/>
  <c r="K52" i="22"/>
  <c r="J52" i="22"/>
  <c r="I52" i="22"/>
  <c r="H52" i="22"/>
  <c r="G52" i="22"/>
  <c r="S51" i="22"/>
  <c r="R51" i="22"/>
  <c r="N51" i="22"/>
  <c r="M51" i="22"/>
  <c r="L51" i="22"/>
  <c r="K51" i="22"/>
  <c r="J51" i="22"/>
  <c r="I51" i="22"/>
  <c r="H51" i="22"/>
  <c r="G51" i="22"/>
  <c r="S50" i="22"/>
  <c r="R50" i="22"/>
  <c r="N50" i="22"/>
  <c r="M50" i="22"/>
  <c r="L50" i="22"/>
  <c r="K50" i="22"/>
  <c r="J50" i="22"/>
  <c r="I50" i="22"/>
  <c r="H50" i="22"/>
  <c r="G50" i="22"/>
  <c r="S49" i="22"/>
  <c r="R49" i="22"/>
  <c r="N49" i="22"/>
  <c r="M49" i="22"/>
  <c r="L49" i="22"/>
  <c r="K49" i="22"/>
  <c r="J49" i="22"/>
  <c r="I49" i="22"/>
  <c r="H49" i="22"/>
  <c r="G49" i="22"/>
  <c r="S48" i="22"/>
  <c r="R48" i="22"/>
  <c r="N48" i="22"/>
  <c r="M48" i="22"/>
  <c r="L48" i="22"/>
  <c r="K48" i="22"/>
  <c r="J48" i="22"/>
  <c r="I48" i="22"/>
  <c r="H48" i="22"/>
  <c r="P48" i="22" s="1"/>
  <c r="Q48" i="22" s="1"/>
  <c r="G48" i="22"/>
  <c r="S47" i="22"/>
  <c r="R47" i="22"/>
  <c r="N47" i="22"/>
  <c r="M47" i="22"/>
  <c r="L47" i="22"/>
  <c r="K47" i="22"/>
  <c r="J47" i="22"/>
  <c r="I47" i="22"/>
  <c r="H47" i="22"/>
  <c r="G47" i="22"/>
  <c r="S46" i="22"/>
  <c r="R46" i="22"/>
  <c r="N46" i="22"/>
  <c r="M46" i="22"/>
  <c r="L46" i="22"/>
  <c r="K46" i="22"/>
  <c r="J46" i="22"/>
  <c r="I46" i="22"/>
  <c r="H46" i="22"/>
  <c r="G46" i="22"/>
  <c r="S45" i="22"/>
  <c r="R45" i="22"/>
  <c r="N45" i="22"/>
  <c r="M45" i="22"/>
  <c r="L45" i="22"/>
  <c r="K45" i="22"/>
  <c r="J45" i="22"/>
  <c r="I45" i="22"/>
  <c r="H45" i="22"/>
  <c r="G45" i="22"/>
  <c r="S44" i="22"/>
  <c r="R44" i="22"/>
  <c r="N44" i="22"/>
  <c r="M44" i="22"/>
  <c r="L44" i="22"/>
  <c r="K44" i="22"/>
  <c r="J44" i="22"/>
  <c r="I44" i="22"/>
  <c r="H44" i="22"/>
  <c r="G44" i="22"/>
  <c r="S43" i="22"/>
  <c r="R43" i="22"/>
  <c r="N43" i="22"/>
  <c r="M43" i="22"/>
  <c r="L43" i="22"/>
  <c r="K43" i="22"/>
  <c r="J43" i="22"/>
  <c r="I43" i="22"/>
  <c r="H43" i="22"/>
  <c r="G43" i="22"/>
  <c r="S42" i="22"/>
  <c r="R42" i="22"/>
  <c r="N42" i="22"/>
  <c r="M42" i="22"/>
  <c r="L42" i="22"/>
  <c r="K42" i="22"/>
  <c r="J42" i="22"/>
  <c r="I42" i="22"/>
  <c r="H42" i="22"/>
  <c r="G42" i="22"/>
  <c r="S41" i="22"/>
  <c r="R41" i="22"/>
  <c r="N41" i="22"/>
  <c r="M41" i="22"/>
  <c r="L41" i="22"/>
  <c r="K41" i="22"/>
  <c r="J41" i="22"/>
  <c r="I41" i="22"/>
  <c r="H41" i="22"/>
  <c r="G41" i="22"/>
  <c r="S40" i="22"/>
  <c r="R40" i="22"/>
  <c r="N40" i="22"/>
  <c r="M40" i="22"/>
  <c r="L40" i="22"/>
  <c r="K40" i="22"/>
  <c r="J40" i="22"/>
  <c r="I40" i="22"/>
  <c r="H40" i="22"/>
  <c r="P40" i="22" s="1"/>
  <c r="Q40" i="22" s="1"/>
  <c r="G40" i="22"/>
  <c r="S39" i="22"/>
  <c r="R39" i="22"/>
  <c r="N39" i="22"/>
  <c r="M39" i="22"/>
  <c r="L39" i="22"/>
  <c r="K39" i="22"/>
  <c r="J39" i="22"/>
  <c r="I39" i="22"/>
  <c r="H39" i="22"/>
  <c r="G39" i="22"/>
  <c r="S38" i="22"/>
  <c r="R38" i="22"/>
  <c r="N38" i="22"/>
  <c r="M38" i="22"/>
  <c r="L38" i="22"/>
  <c r="K38" i="22"/>
  <c r="J38" i="22"/>
  <c r="I38" i="22"/>
  <c r="H38" i="22"/>
  <c r="G38" i="22"/>
  <c r="S37" i="22"/>
  <c r="R37" i="22"/>
  <c r="N37" i="22"/>
  <c r="M37" i="22"/>
  <c r="L37" i="22"/>
  <c r="K37" i="22"/>
  <c r="J37" i="22"/>
  <c r="I37" i="22"/>
  <c r="H37" i="22"/>
  <c r="G37" i="22"/>
  <c r="S36" i="22"/>
  <c r="R36" i="22"/>
  <c r="N36" i="22"/>
  <c r="M36" i="22"/>
  <c r="L36" i="22"/>
  <c r="K36" i="22"/>
  <c r="J36" i="22"/>
  <c r="I36" i="22"/>
  <c r="H36" i="22"/>
  <c r="G36" i="22"/>
  <c r="S35" i="22"/>
  <c r="R35" i="22"/>
  <c r="N35" i="22"/>
  <c r="M35" i="22"/>
  <c r="L35" i="22"/>
  <c r="K35" i="22"/>
  <c r="J35" i="22"/>
  <c r="I35" i="22"/>
  <c r="H35" i="22"/>
  <c r="G35" i="22"/>
  <c r="S34" i="22"/>
  <c r="R34" i="22"/>
  <c r="N34" i="22"/>
  <c r="M34" i="22"/>
  <c r="L34" i="22"/>
  <c r="K34" i="22"/>
  <c r="J34" i="22"/>
  <c r="I34" i="22"/>
  <c r="H34" i="22"/>
  <c r="G34" i="22"/>
  <c r="S33" i="22"/>
  <c r="R33" i="22"/>
  <c r="N33" i="22"/>
  <c r="M33" i="22"/>
  <c r="L33" i="22"/>
  <c r="K33" i="22"/>
  <c r="J33" i="22"/>
  <c r="I33" i="22"/>
  <c r="H33" i="22"/>
  <c r="G33" i="22"/>
  <c r="S32" i="22"/>
  <c r="R32" i="22"/>
  <c r="N32" i="22"/>
  <c r="M32" i="22"/>
  <c r="L32" i="22"/>
  <c r="K32" i="22"/>
  <c r="J32" i="22"/>
  <c r="I32" i="22"/>
  <c r="H32" i="22"/>
  <c r="G32" i="22"/>
  <c r="S31" i="22"/>
  <c r="R31" i="22"/>
  <c r="N31" i="22"/>
  <c r="M31" i="22"/>
  <c r="L31" i="22"/>
  <c r="K31" i="22"/>
  <c r="J31" i="22"/>
  <c r="I31" i="22"/>
  <c r="H31" i="22"/>
  <c r="G31" i="22"/>
  <c r="S30" i="22"/>
  <c r="R30" i="22"/>
  <c r="N30" i="22"/>
  <c r="M30" i="22"/>
  <c r="L30" i="22"/>
  <c r="K30" i="22"/>
  <c r="J30" i="22"/>
  <c r="I30" i="22"/>
  <c r="H30" i="22"/>
  <c r="G30" i="22"/>
  <c r="S29" i="22"/>
  <c r="R29" i="22"/>
  <c r="N29" i="22"/>
  <c r="M29" i="22"/>
  <c r="L29" i="22"/>
  <c r="K29" i="22"/>
  <c r="J29" i="22"/>
  <c r="I29" i="22"/>
  <c r="H29" i="22"/>
  <c r="G29" i="22"/>
  <c r="S28" i="22"/>
  <c r="R28" i="22"/>
  <c r="N28" i="22"/>
  <c r="M28" i="22"/>
  <c r="L28" i="22"/>
  <c r="K28" i="22"/>
  <c r="J28" i="22"/>
  <c r="I28" i="22"/>
  <c r="H28" i="22"/>
  <c r="G28" i="22"/>
  <c r="S27" i="22"/>
  <c r="R27" i="22"/>
  <c r="N27" i="22"/>
  <c r="M27" i="22"/>
  <c r="L27" i="22"/>
  <c r="K27" i="22"/>
  <c r="J27" i="22"/>
  <c r="I27" i="22"/>
  <c r="H27" i="22"/>
  <c r="G27" i="22"/>
  <c r="S26" i="22"/>
  <c r="R26" i="22"/>
  <c r="N26" i="22"/>
  <c r="M26" i="22"/>
  <c r="L26" i="22"/>
  <c r="K26" i="22"/>
  <c r="J26" i="22"/>
  <c r="I26" i="22"/>
  <c r="H26" i="22"/>
  <c r="G26" i="22"/>
  <c r="S25" i="22"/>
  <c r="R25" i="22"/>
  <c r="N25" i="22"/>
  <c r="M25" i="22"/>
  <c r="L25" i="22"/>
  <c r="K25" i="22"/>
  <c r="J25" i="22"/>
  <c r="I25" i="22"/>
  <c r="H25" i="22"/>
  <c r="G25" i="22"/>
  <c r="S24" i="22"/>
  <c r="R24" i="22"/>
  <c r="N24" i="22"/>
  <c r="M24" i="22"/>
  <c r="L24" i="22"/>
  <c r="K24" i="22"/>
  <c r="J24" i="22"/>
  <c r="I24" i="22"/>
  <c r="H24" i="22"/>
  <c r="G24" i="22"/>
  <c r="S23" i="22"/>
  <c r="R23" i="22"/>
  <c r="N23" i="22"/>
  <c r="M23" i="22"/>
  <c r="L23" i="22"/>
  <c r="K23" i="22"/>
  <c r="J23" i="22"/>
  <c r="I23" i="22"/>
  <c r="H23" i="22"/>
  <c r="G23" i="22"/>
  <c r="S22" i="22"/>
  <c r="R22" i="22"/>
  <c r="N22" i="22"/>
  <c r="M22" i="22"/>
  <c r="L22" i="22"/>
  <c r="K22" i="22"/>
  <c r="J22" i="22"/>
  <c r="I22" i="22"/>
  <c r="H22" i="22"/>
  <c r="G22" i="22"/>
  <c r="S21" i="22"/>
  <c r="R21" i="22"/>
  <c r="N21" i="22"/>
  <c r="M21" i="22"/>
  <c r="L21" i="22"/>
  <c r="K21" i="22"/>
  <c r="J21" i="22"/>
  <c r="I21" i="22"/>
  <c r="H21" i="22"/>
  <c r="G21" i="22"/>
  <c r="S20" i="22"/>
  <c r="R20" i="22"/>
  <c r="N20" i="22"/>
  <c r="M20" i="22"/>
  <c r="L20" i="22"/>
  <c r="K20" i="22"/>
  <c r="J20" i="22"/>
  <c r="I20" i="22"/>
  <c r="H20" i="22"/>
  <c r="G20" i="22"/>
  <c r="S19" i="22"/>
  <c r="R19" i="22"/>
  <c r="N19" i="22"/>
  <c r="M19" i="22"/>
  <c r="L19" i="22"/>
  <c r="K19" i="22"/>
  <c r="J19" i="22"/>
  <c r="I19" i="22"/>
  <c r="H19" i="22"/>
  <c r="G19" i="22"/>
  <c r="S18" i="22"/>
  <c r="R18" i="22"/>
  <c r="N18" i="22"/>
  <c r="M18" i="22"/>
  <c r="L18" i="22"/>
  <c r="K18" i="22"/>
  <c r="J18" i="22"/>
  <c r="I18" i="22"/>
  <c r="H18" i="22"/>
  <c r="G18" i="22"/>
  <c r="S17" i="22"/>
  <c r="R17" i="22"/>
  <c r="N17" i="22"/>
  <c r="M17" i="22"/>
  <c r="L17" i="22"/>
  <c r="K17" i="22"/>
  <c r="J17" i="22"/>
  <c r="I17" i="22"/>
  <c r="H17" i="22"/>
  <c r="G17" i="22"/>
  <c r="S16" i="22"/>
  <c r="R16" i="22"/>
  <c r="N16" i="22"/>
  <c r="M16" i="22"/>
  <c r="L16" i="22"/>
  <c r="K16" i="22"/>
  <c r="J16" i="22"/>
  <c r="I16" i="22"/>
  <c r="H16" i="22"/>
  <c r="G16" i="22"/>
  <c r="S15" i="22"/>
  <c r="R15" i="22"/>
  <c r="N15" i="22"/>
  <c r="M15" i="22"/>
  <c r="L15" i="22"/>
  <c r="K15" i="22"/>
  <c r="J15" i="22"/>
  <c r="I15" i="22"/>
  <c r="H15" i="22"/>
  <c r="G15" i="22"/>
  <c r="S14" i="22"/>
  <c r="R14" i="22"/>
  <c r="N14" i="22"/>
  <c r="M14" i="22"/>
  <c r="L14" i="22"/>
  <c r="K14" i="22"/>
  <c r="J14" i="22"/>
  <c r="I14" i="22"/>
  <c r="H14" i="22"/>
  <c r="G14" i="22"/>
  <c r="S13" i="22"/>
  <c r="R13" i="22"/>
  <c r="N13" i="22"/>
  <c r="M13" i="22"/>
  <c r="L13" i="22"/>
  <c r="K13" i="22"/>
  <c r="J13" i="22"/>
  <c r="I13" i="22"/>
  <c r="H13" i="22"/>
  <c r="G13" i="22"/>
  <c r="S12" i="22"/>
  <c r="R12" i="22"/>
  <c r="N12" i="22"/>
  <c r="M12" i="22"/>
  <c r="L12" i="22"/>
  <c r="K12" i="22"/>
  <c r="J12" i="22"/>
  <c r="I12" i="22"/>
  <c r="H12" i="22"/>
  <c r="G12" i="22"/>
  <c r="S11" i="22"/>
  <c r="R11" i="22"/>
  <c r="N11" i="22"/>
  <c r="M11" i="22"/>
  <c r="L11" i="22"/>
  <c r="K11" i="22"/>
  <c r="J11" i="22"/>
  <c r="I11" i="22"/>
  <c r="H11" i="22"/>
  <c r="G11" i="22"/>
  <c r="S10" i="22"/>
  <c r="R10" i="22"/>
  <c r="N10" i="22"/>
  <c r="M10" i="22"/>
  <c r="L10" i="22"/>
  <c r="K10" i="22"/>
  <c r="J10" i="22"/>
  <c r="I10" i="22"/>
  <c r="H10" i="22"/>
  <c r="G10" i="22"/>
  <c r="S9" i="22"/>
  <c r="R9" i="22"/>
  <c r="N9" i="22"/>
  <c r="M9" i="22"/>
  <c r="L9" i="22"/>
  <c r="K9" i="22"/>
  <c r="J9" i="22"/>
  <c r="I9" i="22"/>
  <c r="H9" i="22"/>
  <c r="G9" i="22"/>
  <c r="S8" i="22"/>
  <c r="R8" i="22"/>
  <c r="N8" i="22"/>
  <c r="M8" i="22"/>
  <c r="L8" i="22"/>
  <c r="K8" i="22"/>
  <c r="J8" i="22"/>
  <c r="I8" i="22"/>
  <c r="H8" i="22"/>
  <c r="G8" i="22"/>
  <c r="S7" i="22"/>
  <c r="R7" i="22"/>
  <c r="N7" i="22"/>
  <c r="M7" i="22"/>
  <c r="L7" i="22"/>
  <c r="K7" i="22"/>
  <c r="J7" i="22"/>
  <c r="I7" i="22"/>
  <c r="H7" i="22"/>
  <c r="G7" i="22"/>
  <c r="S6" i="22"/>
  <c r="R6" i="22"/>
  <c r="N6" i="22"/>
  <c r="M6" i="22"/>
  <c r="L6" i="22"/>
  <c r="K6" i="22"/>
  <c r="J6" i="22"/>
  <c r="I6" i="22"/>
  <c r="H6" i="22"/>
  <c r="G6" i="22"/>
  <c r="S5" i="22"/>
  <c r="R5" i="22"/>
  <c r="M5" i="22"/>
  <c r="L5" i="22"/>
  <c r="K5" i="22"/>
  <c r="J5" i="22"/>
  <c r="I5" i="22"/>
  <c r="H5" i="22"/>
  <c r="G5" i="22"/>
  <c r="S4" i="22"/>
  <c r="R4" i="22"/>
  <c r="M4" i="22"/>
  <c r="L4" i="22"/>
  <c r="K4" i="22"/>
  <c r="J4" i="22"/>
  <c r="I4" i="22"/>
  <c r="H4" i="22"/>
  <c r="G4" i="22"/>
  <c r="S3" i="22"/>
  <c r="R3" i="22"/>
  <c r="M3" i="22"/>
  <c r="L3" i="22"/>
  <c r="K3" i="22"/>
  <c r="J3" i="22"/>
  <c r="I3" i="22"/>
  <c r="H3" i="22"/>
  <c r="G3" i="22"/>
  <c r="S2" i="22"/>
  <c r="R2" i="22"/>
  <c r="M2" i="22"/>
  <c r="L2" i="22"/>
  <c r="K2" i="22"/>
  <c r="J2" i="22"/>
  <c r="I2" i="22"/>
  <c r="H2" i="22"/>
  <c r="G2" i="22"/>
  <c r="J150" i="21"/>
  <c r="J149" i="21"/>
  <c r="J148" i="21"/>
  <c r="J147" i="21"/>
  <c r="J146" i="21"/>
  <c r="J145" i="21"/>
  <c r="J144" i="21"/>
  <c r="J143" i="21"/>
  <c r="J142" i="21"/>
  <c r="J141" i="21"/>
  <c r="J140" i="21"/>
  <c r="J139" i="21"/>
  <c r="J138" i="21"/>
  <c r="J137" i="21"/>
  <c r="J136" i="21"/>
  <c r="J135" i="21"/>
  <c r="J134" i="21"/>
  <c r="J133" i="21"/>
  <c r="J132" i="21"/>
  <c r="J131" i="21"/>
  <c r="J130" i="21"/>
  <c r="J129" i="21"/>
  <c r="J128" i="21"/>
  <c r="J127" i="21"/>
  <c r="J126" i="21"/>
  <c r="J125" i="21"/>
  <c r="J124" i="21"/>
  <c r="J123" i="21"/>
  <c r="J122" i="21"/>
  <c r="J121" i="21"/>
  <c r="J120" i="21"/>
  <c r="J119" i="21"/>
  <c r="J118" i="21"/>
  <c r="J117" i="21"/>
  <c r="J116" i="21"/>
  <c r="J115" i="21"/>
  <c r="J114" i="21"/>
  <c r="J113" i="21"/>
  <c r="J112" i="21"/>
  <c r="J111" i="21"/>
  <c r="J110" i="21"/>
  <c r="J109" i="21"/>
  <c r="J108" i="21"/>
  <c r="J107" i="21"/>
  <c r="J106" i="21"/>
  <c r="J105" i="2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J79" i="21"/>
  <c r="J78" i="21"/>
  <c r="J77" i="21"/>
  <c r="J76" i="21"/>
  <c r="J75" i="21"/>
  <c r="J74" i="21"/>
  <c r="J73" i="21"/>
  <c r="J72" i="21"/>
  <c r="J71" i="21"/>
  <c r="J70" i="21"/>
  <c r="J69" i="21"/>
  <c r="J68" i="21"/>
  <c r="J67" i="21"/>
  <c r="J66" i="21"/>
  <c r="J65" i="21"/>
  <c r="J64" i="21"/>
  <c r="J63" i="21"/>
  <c r="J62" i="21"/>
  <c r="J61" i="21"/>
  <c r="J60" i="21"/>
  <c r="J59" i="21"/>
  <c r="J58" i="21"/>
  <c r="J57" i="21"/>
  <c r="J56" i="21"/>
  <c r="J55" i="21"/>
  <c r="J54" i="21"/>
  <c r="J53" i="21"/>
  <c r="J52" i="21"/>
  <c r="J51" i="21"/>
  <c r="J50" i="21"/>
  <c r="J49" i="21"/>
  <c r="J48" i="21"/>
  <c r="J47" i="21"/>
  <c r="J46" i="21"/>
  <c r="J45" i="21"/>
  <c r="J44" i="21"/>
  <c r="J43" i="21"/>
  <c r="J42" i="21"/>
  <c r="J41" i="21"/>
  <c r="J40" i="21"/>
  <c r="J39" i="21"/>
  <c r="J38" i="21"/>
  <c r="J37" i="21"/>
  <c r="J36" i="21"/>
  <c r="J35" i="21"/>
  <c r="J34" i="21"/>
  <c r="J33" i="21"/>
  <c r="J32" i="21"/>
  <c r="J31" i="21"/>
  <c r="J30" i="21"/>
  <c r="J29" i="21"/>
  <c r="J28" i="21"/>
  <c r="J27" i="21"/>
  <c r="J26" i="21"/>
  <c r="J25" i="21"/>
  <c r="J24" i="21"/>
  <c r="J23" i="21"/>
  <c r="J22" i="21"/>
  <c r="J21" i="21"/>
  <c r="J20" i="21"/>
  <c r="J19" i="21"/>
  <c r="J18" i="21"/>
  <c r="J17" i="21"/>
  <c r="J16" i="21"/>
  <c r="J15" i="21"/>
  <c r="J14" i="21"/>
  <c r="J13" i="21"/>
  <c r="J12" i="21"/>
  <c r="J11" i="21"/>
  <c r="J10" i="21"/>
  <c r="J9" i="21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AN1000" i="12"/>
  <c r="AL1000" i="12"/>
  <c r="AJ1000" i="12"/>
  <c r="AH1000" i="12"/>
  <c r="AE1000" i="12"/>
  <c r="AD1000" i="12"/>
  <c r="AC1000" i="12"/>
  <c r="AB1000" i="12"/>
  <c r="AA1000" i="12"/>
  <c r="Z1000" i="12"/>
  <c r="Y1000" i="12"/>
  <c r="AN999" i="12"/>
  <c r="AL999" i="12"/>
  <c r="AJ999" i="12"/>
  <c r="AH999" i="12"/>
  <c r="AE999" i="12"/>
  <c r="AD999" i="12"/>
  <c r="AC999" i="12"/>
  <c r="AB999" i="12"/>
  <c r="AA999" i="12"/>
  <c r="Z999" i="12"/>
  <c r="Y999" i="12"/>
  <c r="AN998" i="12"/>
  <c r="AL998" i="12"/>
  <c r="AJ998" i="12"/>
  <c r="AH998" i="12"/>
  <c r="AE998" i="12"/>
  <c r="AD998" i="12"/>
  <c r="AC998" i="12"/>
  <c r="AB998" i="12"/>
  <c r="AA998" i="12"/>
  <c r="Z998" i="12"/>
  <c r="Y998" i="12"/>
  <c r="AN997" i="12"/>
  <c r="AL997" i="12"/>
  <c r="AJ997" i="12"/>
  <c r="AH997" i="12"/>
  <c r="AE997" i="12"/>
  <c r="AD997" i="12"/>
  <c r="AC997" i="12"/>
  <c r="AB997" i="12"/>
  <c r="AA997" i="12"/>
  <c r="Z997" i="12"/>
  <c r="Y997" i="12"/>
  <c r="AN996" i="12"/>
  <c r="AL996" i="12"/>
  <c r="AJ996" i="12"/>
  <c r="AH996" i="12"/>
  <c r="AE996" i="12"/>
  <c r="AD996" i="12"/>
  <c r="AC996" i="12"/>
  <c r="AB996" i="12"/>
  <c r="AA996" i="12"/>
  <c r="Z996" i="12"/>
  <c r="Y996" i="12"/>
  <c r="AN995" i="12"/>
  <c r="AL995" i="12"/>
  <c r="AJ995" i="12"/>
  <c r="AH995" i="12"/>
  <c r="AE995" i="12"/>
  <c r="AD995" i="12"/>
  <c r="AC995" i="12"/>
  <c r="AB995" i="12"/>
  <c r="AA995" i="12"/>
  <c r="Z995" i="12"/>
  <c r="Y995" i="12"/>
  <c r="AN994" i="12"/>
  <c r="AL994" i="12"/>
  <c r="AJ994" i="12"/>
  <c r="AH994" i="12"/>
  <c r="AE994" i="12"/>
  <c r="AD994" i="12"/>
  <c r="AC994" i="12"/>
  <c r="AB994" i="12"/>
  <c r="AA994" i="12"/>
  <c r="Z994" i="12"/>
  <c r="Y994" i="12"/>
  <c r="AN993" i="12"/>
  <c r="AL993" i="12"/>
  <c r="AJ993" i="12"/>
  <c r="AH993" i="12"/>
  <c r="AE993" i="12"/>
  <c r="AD993" i="12"/>
  <c r="AC993" i="12"/>
  <c r="AB993" i="12"/>
  <c r="AA993" i="12"/>
  <c r="Z993" i="12"/>
  <c r="Y993" i="12"/>
  <c r="AN992" i="12"/>
  <c r="AL992" i="12"/>
  <c r="AJ992" i="12"/>
  <c r="AH992" i="12"/>
  <c r="AE992" i="12"/>
  <c r="AD992" i="12"/>
  <c r="AC992" i="12"/>
  <c r="AB992" i="12"/>
  <c r="AA992" i="12"/>
  <c r="Z992" i="12"/>
  <c r="Y992" i="12"/>
  <c r="AN991" i="12"/>
  <c r="AL991" i="12"/>
  <c r="AJ991" i="12"/>
  <c r="AH991" i="12"/>
  <c r="AE991" i="12"/>
  <c r="AD991" i="12"/>
  <c r="AC991" i="12"/>
  <c r="AB991" i="12"/>
  <c r="AA991" i="12"/>
  <c r="Z991" i="12"/>
  <c r="Y991" i="12"/>
  <c r="AN990" i="12"/>
  <c r="AL990" i="12"/>
  <c r="AJ990" i="12"/>
  <c r="AH990" i="12"/>
  <c r="AE990" i="12"/>
  <c r="AD990" i="12"/>
  <c r="AC990" i="12"/>
  <c r="AB990" i="12"/>
  <c r="AA990" i="12"/>
  <c r="Z990" i="12"/>
  <c r="Y990" i="12"/>
  <c r="AN989" i="12"/>
  <c r="AL989" i="12"/>
  <c r="AJ989" i="12"/>
  <c r="AH989" i="12"/>
  <c r="AE989" i="12"/>
  <c r="AD989" i="12"/>
  <c r="AC989" i="12"/>
  <c r="AB989" i="12"/>
  <c r="AA989" i="12"/>
  <c r="Z989" i="12"/>
  <c r="Y989" i="12"/>
  <c r="AN988" i="12"/>
  <c r="AL988" i="12"/>
  <c r="AJ988" i="12"/>
  <c r="AH988" i="12"/>
  <c r="AE988" i="12"/>
  <c r="AD988" i="12"/>
  <c r="AC988" i="12"/>
  <c r="AB988" i="12"/>
  <c r="AA988" i="12"/>
  <c r="Z988" i="12"/>
  <c r="Y988" i="12"/>
  <c r="AN987" i="12"/>
  <c r="AL987" i="12"/>
  <c r="AJ987" i="12"/>
  <c r="AH987" i="12"/>
  <c r="AE987" i="12"/>
  <c r="AD987" i="12"/>
  <c r="AC987" i="12"/>
  <c r="AB987" i="12"/>
  <c r="AA987" i="12"/>
  <c r="Z987" i="12"/>
  <c r="Y987" i="12"/>
  <c r="AN986" i="12"/>
  <c r="AL986" i="12"/>
  <c r="AJ986" i="12"/>
  <c r="AH986" i="12"/>
  <c r="AE986" i="12"/>
  <c r="AD986" i="12"/>
  <c r="AC986" i="12"/>
  <c r="AB986" i="12"/>
  <c r="AA986" i="12"/>
  <c r="Z986" i="12"/>
  <c r="Y986" i="12"/>
  <c r="AN985" i="12"/>
  <c r="AL985" i="12"/>
  <c r="AJ985" i="12"/>
  <c r="AH985" i="12"/>
  <c r="AE985" i="12"/>
  <c r="AD985" i="12"/>
  <c r="AC985" i="12"/>
  <c r="AB985" i="12"/>
  <c r="AA985" i="12"/>
  <c r="Z985" i="12"/>
  <c r="Y985" i="12"/>
  <c r="AN984" i="12"/>
  <c r="AL984" i="12"/>
  <c r="AJ984" i="12"/>
  <c r="AH984" i="12"/>
  <c r="AE984" i="12"/>
  <c r="AD984" i="12"/>
  <c r="AC984" i="12"/>
  <c r="AB984" i="12"/>
  <c r="AA984" i="12"/>
  <c r="Z984" i="12"/>
  <c r="Y984" i="12"/>
  <c r="AN983" i="12"/>
  <c r="AL983" i="12"/>
  <c r="AJ983" i="12"/>
  <c r="AH983" i="12"/>
  <c r="AE983" i="12"/>
  <c r="AD983" i="12"/>
  <c r="AC983" i="12"/>
  <c r="AB983" i="12"/>
  <c r="AA983" i="12"/>
  <c r="Z983" i="12"/>
  <c r="Y983" i="12"/>
  <c r="AN982" i="12"/>
  <c r="AL982" i="12"/>
  <c r="AJ982" i="12"/>
  <c r="AH982" i="12"/>
  <c r="AE982" i="12"/>
  <c r="AD982" i="12"/>
  <c r="AC982" i="12"/>
  <c r="AB982" i="12"/>
  <c r="AA982" i="12"/>
  <c r="Z982" i="12"/>
  <c r="Y982" i="12"/>
  <c r="AN981" i="12"/>
  <c r="AL981" i="12"/>
  <c r="AJ981" i="12"/>
  <c r="AH981" i="12"/>
  <c r="AE981" i="12"/>
  <c r="AD981" i="12"/>
  <c r="AC981" i="12"/>
  <c r="AB981" i="12"/>
  <c r="AA981" i="12"/>
  <c r="Z981" i="12"/>
  <c r="Y981" i="12"/>
  <c r="AN980" i="12"/>
  <c r="AL980" i="12"/>
  <c r="AJ980" i="12"/>
  <c r="AH980" i="12"/>
  <c r="AE980" i="12"/>
  <c r="AD980" i="12"/>
  <c r="AC980" i="12"/>
  <c r="AB980" i="12"/>
  <c r="AA980" i="12"/>
  <c r="Z980" i="12"/>
  <c r="Y980" i="12"/>
  <c r="AN979" i="12"/>
  <c r="AL979" i="12"/>
  <c r="AJ979" i="12"/>
  <c r="AH979" i="12"/>
  <c r="AE979" i="12"/>
  <c r="AD979" i="12"/>
  <c r="AC979" i="12"/>
  <c r="AB979" i="12"/>
  <c r="AA979" i="12"/>
  <c r="Z979" i="12"/>
  <c r="Y979" i="12"/>
  <c r="AN978" i="12"/>
  <c r="AL978" i="12"/>
  <c r="AJ978" i="12"/>
  <c r="AH978" i="12"/>
  <c r="AE978" i="12"/>
  <c r="AD978" i="12"/>
  <c r="AC978" i="12"/>
  <c r="AB978" i="12"/>
  <c r="AA978" i="12"/>
  <c r="Z978" i="12"/>
  <c r="Y978" i="12"/>
  <c r="AN977" i="12"/>
  <c r="AL977" i="12"/>
  <c r="AJ977" i="12"/>
  <c r="AH977" i="12"/>
  <c r="AE977" i="12"/>
  <c r="AD977" i="12"/>
  <c r="AC977" i="12"/>
  <c r="AB977" i="12"/>
  <c r="AA977" i="12"/>
  <c r="Z977" i="12"/>
  <c r="Y977" i="12"/>
  <c r="AN976" i="12"/>
  <c r="AL976" i="12"/>
  <c r="AJ976" i="12"/>
  <c r="AH976" i="12"/>
  <c r="AE976" i="12"/>
  <c r="AD976" i="12"/>
  <c r="AC976" i="12"/>
  <c r="AB976" i="12"/>
  <c r="AA976" i="12"/>
  <c r="Z976" i="12"/>
  <c r="Y976" i="12"/>
  <c r="AN975" i="12"/>
  <c r="AL975" i="12"/>
  <c r="AJ975" i="12"/>
  <c r="AH975" i="12"/>
  <c r="AE975" i="12"/>
  <c r="AD975" i="12"/>
  <c r="AC975" i="12"/>
  <c r="AB975" i="12"/>
  <c r="AA975" i="12"/>
  <c r="Z975" i="12"/>
  <c r="Y975" i="12"/>
  <c r="AN974" i="12"/>
  <c r="AL974" i="12"/>
  <c r="AJ974" i="12"/>
  <c r="AH974" i="12"/>
  <c r="AE974" i="12"/>
  <c r="AD974" i="12"/>
  <c r="AC974" i="12"/>
  <c r="AB974" i="12"/>
  <c r="AA974" i="12"/>
  <c r="Z974" i="12"/>
  <c r="Y974" i="12"/>
  <c r="AN973" i="12"/>
  <c r="AL973" i="12"/>
  <c r="AJ973" i="12"/>
  <c r="AH973" i="12"/>
  <c r="AE973" i="12"/>
  <c r="AD973" i="12"/>
  <c r="AC973" i="12"/>
  <c r="AB973" i="12"/>
  <c r="AA973" i="12"/>
  <c r="Z973" i="12"/>
  <c r="Y973" i="12"/>
  <c r="AN972" i="12"/>
  <c r="AL972" i="12"/>
  <c r="AJ972" i="12"/>
  <c r="AH972" i="12"/>
  <c r="AE972" i="12"/>
  <c r="AD972" i="12"/>
  <c r="AC972" i="12"/>
  <c r="AB972" i="12"/>
  <c r="AA972" i="12"/>
  <c r="Z972" i="12"/>
  <c r="Y972" i="12"/>
  <c r="AN971" i="12"/>
  <c r="AL971" i="12"/>
  <c r="AJ971" i="12"/>
  <c r="AH971" i="12"/>
  <c r="AE971" i="12"/>
  <c r="AD971" i="12"/>
  <c r="AC971" i="12"/>
  <c r="AB971" i="12"/>
  <c r="AA971" i="12"/>
  <c r="Z971" i="12"/>
  <c r="Y971" i="12"/>
  <c r="AN970" i="12"/>
  <c r="AL970" i="12"/>
  <c r="AJ970" i="12"/>
  <c r="AH970" i="12"/>
  <c r="AE970" i="12"/>
  <c r="AD970" i="12"/>
  <c r="AC970" i="12"/>
  <c r="AB970" i="12"/>
  <c r="AA970" i="12"/>
  <c r="Z970" i="12"/>
  <c r="Y970" i="12"/>
  <c r="AN969" i="12"/>
  <c r="AL969" i="12"/>
  <c r="AJ969" i="12"/>
  <c r="AH969" i="12"/>
  <c r="AE969" i="12"/>
  <c r="AD969" i="12"/>
  <c r="AC969" i="12"/>
  <c r="AB969" i="12"/>
  <c r="AA969" i="12"/>
  <c r="Z969" i="12"/>
  <c r="Y969" i="12"/>
  <c r="AN968" i="12"/>
  <c r="AL968" i="12"/>
  <c r="AJ968" i="12"/>
  <c r="AH968" i="12"/>
  <c r="AE968" i="12"/>
  <c r="AD968" i="12"/>
  <c r="AC968" i="12"/>
  <c r="AB968" i="12"/>
  <c r="AA968" i="12"/>
  <c r="Z968" i="12"/>
  <c r="Y968" i="12"/>
  <c r="AN967" i="12"/>
  <c r="AL967" i="12"/>
  <c r="AJ967" i="12"/>
  <c r="AH967" i="12"/>
  <c r="AE967" i="12"/>
  <c r="AD967" i="12"/>
  <c r="AC967" i="12"/>
  <c r="AB967" i="12"/>
  <c r="AA967" i="12"/>
  <c r="Z967" i="12"/>
  <c r="Y967" i="12"/>
  <c r="AN966" i="12"/>
  <c r="AL966" i="12"/>
  <c r="AJ966" i="12"/>
  <c r="AH966" i="12"/>
  <c r="AE966" i="12"/>
  <c r="AD966" i="12"/>
  <c r="AC966" i="12"/>
  <c r="AB966" i="12"/>
  <c r="AA966" i="12"/>
  <c r="Z966" i="12"/>
  <c r="Y966" i="12"/>
  <c r="AN965" i="12"/>
  <c r="AL965" i="12"/>
  <c r="AJ965" i="12"/>
  <c r="AH965" i="12"/>
  <c r="AE965" i="12"/>
  <c r="AD965" i="12"/>
  <c r="AC965" i="12"/>
  <c r="AB965" i="12"/>
  <c r="AA965" i="12"/>
  <c r="Z965" i="12"/>
  <c r="Y965" i="12"/>
  <c r="AN964" i="12"/>
  <c r="AL964" i="12"/>
  <c r="AJ964" i="12"/>
  <c r="AH964" i="12"/>
  <c r="AE964" i="12"/>
  <c r="AD964" i="12"/>
  <c r="AC964" i="12"/>
  <c r="AB964" i="12"/>
  <c r="AA964" i="12"/>
  <c r="Z964" i="12"/>
  <c r="Y964" i="12"/>
  <c r="AN963" i="12"/>
  <c r="AL963" i="12"/>
  <c r="AJ963" i="12"/>
  <c r="AH963" i="12"/>
  <c r="AE963" i="12"/>
  <c r="AD963" i="12"/>
  <c r="AC963" i="12"/>
  <c r="AB963" i="12"/>
  <c r="AA963" i="12"/>
  <c r="Z963" i="12"/>
  <c r="Y963" i="12"/>
  <c r="AN962" i="12"/>
  <c r="AL962" i="12"/>
  <c r="AJ962" i="12"/>
  <c r="AH962" i="12"/>
  <c r="AE962" i="12"/>
  <c r="AD962" i="12"/>
  <c r="AC962" i="12"/>
  <c r="AB962" i="12"/>
  <c r="AA962" i="12"/>
  <c r="Z962" i="12"/>
  <c r="Y962" i="12"/>
  <c r="AN961" i="12"/>
  <c r="AL961" i="12"/>
  <c r="AJ961" i="12"/>
  <c r="AH961" i="12"/>
  <c r="AE961" i="12"/>
  <c r="AD961" i="12"/>
  <c r="AC961" i="12"/>
  <c r="AB961" i="12"/>
  <c r="AA961" i="12"/>
  <c r="Z961" i="12"/>
  <c r="Y961" i="12"/>
  <c r="AN960" i="12"/>
  <c r="AL960" i="12"/>
  <c r="AJ960" i="12"/>
  <c r="AH960" i="12"/>
  <c r="AE960" i="12"/>
  <c r="AD960" i="12"/>
  <c r="AC960" i="12"/>
  <c r="AB960" i="12"/>
  <c r="AA960" i="12"/>
  <c r="Z960" i="12"/>
  <c r="Y960" i="12"/>
  <c r="AN959" i="12"/>
  <c r="AL959" i="12"/>
  <c r="AJ959" i="12"/>
  <c r="AH959" i="12"/>
  <c r="AE959" i="12"/>
  <c r="AD959" i="12"/>
  <c r="AC959" i="12"/>
  <c r="AB959" i="12"/>
  <c r="AA959" i="12"/>
  <c r="Z959" i="12"/>
  <c r="Y959" i="12"/>
  <c r="AN958" i="12"/>
  <c r="AL958" i="12"/>
  <c r="AJ958" i="12"/>
  <c r="AH958" i="12"/>
  <c r="AE958" i="12"/>
  <c r="AD958" i="12"/>
  <c r="AC958" i="12"/>
  <c r="AB958" i="12"/>
  <c r="AA958" i="12"/>
  <c r="Z958" i="12"/>
  <c r="Y958" i="12"/>
  <c r="AN957" i="12"/>
  <c r="AL957" i="12"/>
  <c r="AJ957" i="12"/>
  <c r="AH957" i="12"/>
  <c r="AE957" i="12"/>
  <c r="AD957" i="12"/>
  <c r="AC957" i="12"/>
  <c r="AB957" i="12"/>
  <c r="AA957" i="12"/>
  <c r="Z957" i="12"/>
  <c r="Y957" i="12"/>
  <c r="AN956" i="12"/>
  <c r="AL956" i="12"/>
  <c r="AJ956" i="12"/>
  <c r="AH956" i="12"/>
  <c r="AE956" i="12"/>
  <c r="AD956" i="12"/>
  <c r="AC956" i="12"/>
  <c r="AB956" i="12"/>
  <c r="AA956" i="12"/>
  <c r="Z956" i="12"/>
  <c r="Y956" i="12"/>
  <c r="AN955" i="12"/>
  <c r="AL955" i="12"/>
  <c r="AJ955" i="12"/>
  <c r="AH955" i="12"/>
  <c r="AE955" i="12"/>
  <c r="AD955" i="12"/>
  <c r="AC955" i="12"/>
  <c r="AB955" i="12"/>
  <c r="AA955" i="12"/>
  <c r="Z955" i="12"/>
  <c r="Y955" i="12"/>
  <c r="AN954" i="12"/>
  <c r="AL954" i="12"/>
  <c r="AJ954" i="12"/>
  <c r="AH954" i="12"/>
  <c r="AE954" i="12"/>
  <c r="AD954" i="12"/>
  <c r="AC954" i="12"/>
  <c r="AB954" i="12"/>
  <c r="AA954" i="12"/>
  <c r="Z954" i="12"/>
  <c r="Y954" i="12"/>
  <c r="AN953" i="12"/>
  <c r="AL953" i="12"/>
  <c r="AJ953" i="12"/>
  <c r="AH953" i="12"/>
  <c r="AE953" i="12"/>
  <c r="AD953" i="12"/>
  <c r="AC953" i="12"/>
  <c r="AB953" i="12"/>
  <c r="AA953" i="12"/>
  <c r="Z953" i="12"/>
  <c r="Y953" i="12"/>
  <c r="AN952" i="12"/>
  <c r="AL952" i="12"/>
  <c r="AJ952" i="12"/>
  <c r="AH952" i="12"/>
  <c r="AE952" i="12"/>
  <c r="AD952" i="12"/>
  <c r="AC952" i="12"/>
  <c r="AB952" i="12"/>
  <c r="AA952" i="12"/>
  <c r="Z952" i="12"/>
  <c r="Y952" i="12"/>
  <c r="AN951" i="12"/>
  <c r="AL951" i="12"/>
  <c r="AJ951" i="12"/>
  <c r="AH951" i="12"/>
  <c r="AE951" i="12"/>
  <c r="AD951" i="12"/>
  <c r="AC951" i="12"/>
  <c r="AB951" i="12"/>
  <c r="AA951" i="12"/>
  <c r="Z951" i="12"/>
  <c r="Y951" i="12"/>
  <c r="AN950" i="12"/>
  <c r="AL950" i="12"/>
  <c r="AJ950" i="12"/>
  <c r="AH950" i="12"/>
  <c r="AE950" i="12"/>
  <c r="AD950" i="12"/>
  <c r="AC950" i="12"/>
  <c r="AB950" i="12"/>
  <c r="AA950" i="12"/>
  <c r="Z950" i="12"/>
  <c r="Y950" i="12"/>
  <c r="AN949" i="12"/>
  <c r="AL949" i="12"/>
  <c r="AJ949" i="12"/>
  <c r="AH949" i="12"/>
  <c r="AE949" i="12"/>
  <c r="AD949" i="12"/>
  <c r="AC949" i="12"/>
  <c r="AB949" i="12"/>
  <c r="AA949" i="12"/>
  <c r="Z949" i="12"/>
  <c r="Y949" i="12"/>
  <c r="AN948" i="12"/>
  <c r="AL948" i="12"/>
  <c r="AJ948" i="12"/>
  <c r="AH948" i="12"/>
  <c r="AE948" i="12"/>
  <c r="AD948" i="12"/>
  <c r="AC948" i="12"/>
  <c r="AB948" i="12"/>
  <c r="AA948" i="12"/>
  <c r="Z948" i="12"/>
  <c r="Y948" i="12"/>
  <c r="AN947" i="12"/>
  <c r="AL947" i="12"/>
  <c r="AJ947" i="12"/>
  <c r="AH947" i="12"/>
  <c r="AE947" i="12"/>
  <c r="AD947" i="12"/>
  <c r="AC947" i="12"/>
  <c r="AB947" i="12"/>
  <c r="AA947" i="12"/>
  <c r="Z947" i="12"/>
  <c r="Y947" i="12"/>
  <c r="AN946" i="12"/>
  <c r="AL946" i="12"/>
  <c r="AJ946" i="12"/>
  <c r="AH946" i="12"/>
  <c r="AE946" i="12"/>
  <c r="AD946" i="12"/>
  <c r="AC946" i="12"/>
  <c r="AB946" i="12"/>
  <c r="AA946" i="12"/>
  <c r="Z946" i="12"/>
  <c r="Y946" i="12"/>
  <c r="AN945" i="12"/>
  <c r="AL945" i="12"/>
  <c r="AJ945" i="12"/>
  <c r="AH945" i="12"/>
  <c r="AE945" i="12"/>
  <c r="AD945" i="12"/>
  <c r="AC945" i="12"/>
  <c r="AB945" i="12"/>
  <c r="AA945" i="12"/>
  <c r="Z945" i="12"/>
  <c r="Y945" i="12"/>
  <c r="AN944" i="12"/>
  <c r="AL944" i="12"/>
  <c r="AJ944" i="12"/>
  <c r="AH944" i="12"/>
  <c r="AE944" i="12"/>
  <c r="AD944" i="12"/>
  <c r="AC944" i="12"/>
  <c r="AB944" i="12"/>
  <c r="AA944" i="12"/>
  <c r="Z944" i="12"/>
  <c r="Y944" i="12"/>
  <c r="AN943" i="12"/>
  <c r="AL943" i="12"/>
  <c r="AJ943" i="12"/>
  <c r="AH943" i="12"/>
  <c r="AE943" i="12"/>
  <c r="AD943" i="12"/>
  <c r="AC943" i="12"/>
  <c r="AB943" i="12"/>
  <c r="AA943" i="12"/>
  <c r="Z943" i="12"/>
  <c r="Y943" i="12"/>
  <c r="AN942" i="12"/>
  <c r="AL942" i="12"/>
  <c r="AJ942" i="12"/>
  <c r="AH942" i="12"/>
  <c r="AE942" i="12"/>
  <c r="AD942" i="12"/>
  <c r="AC942" i="12"/>
  <c r="AB942" i="12"/>
  <c r="AA942" i="12"/>
  <c r="Z942" i="12"/>
  <c r="Y942" i="12"/>
  <c r="AN941" i="12"/>
  <c r="AL941" i="12"/>
  <c r="AJ941" i="12"/>
  <c r="AH941" i="12"/>
  <c r="AE941" i="12"/>
  <c r="AD941" i="12"/>
  <c r="AC941" i="12"/>
  <c r="AB941" i="12"/>
  <c r="AA941" i="12"/>
  <c r="Z941" i="12"/>
  <c r="Y941" i="12"/>
  <c r="AN940" i="12"/>
  <c r="AL940" i="12"/>
  <c r="AJ940" i="12"/>
  <c r="AH940" i="12"/>
  <c r="AE940" i="12"/>
  <c r="AD940" i="12"/>
  <c r="AC940" i="12"/>
  <c r="AB940" i="12"/>
  <c r="AA940" i="12"/>
  <c r="Z940" i="12"/>
  <c r="Y940" i="12"/>
  <c r="AN939" i="12"/>
  <c r="AL939" i="12"/>
  <c r="AJ939" i="12"/>
  <c r="AH939" i="12"/>
  <c r="AE939" i="12"/>
  <c r="AD939" i="12"/>
  <c r="AC939" i="12"/>
  <c r="AB939" i="12"/>
  <c r="AA939" i="12"/>
  <c r="Z939" i="12"/>
  <c r="Y939" i="12"/>
  <c r="AN938" i="12"/>
  <c r="AL938" i="12"/>
  <c r="AJ938" i="12"/>
  <c r="AH938" i="12"/>
  <c r="AE938" i="12"/>
  <c r="AD938" i="12"/>
  <c r="AC938" i="12"/>
  <c r="AB938" i="12"/>
  <c r="AA938" i="12"/>
  <c r="Z938" i="12"/>
  <c r="Y938" i="12"/>
  <c r="AN937" i="12"/>
  <c r="AL937" i="12"/>
  <c r="AJ937" i="12"/>
  <c r="AH937" i="12"/>
  <c r="AE937" i="12"/>
  <c r="AD937" i="12"/>
  <c r="AC937" i="12"/>
  <c r="AB937" i="12"/>
  <c r="AA937" i="12"/>
  <c r="Z937" i="12"/>
  <c r="Y937" i="12"/>
  <c r="AN936" i="12"/>
  <c r="AL936" i="12"/>
  <c r="AJ936" i="12"/>
  <c r="AH936" i="12"/>
  <c r="AE936" i="12"/>
  <c r="AD936" i="12"/>
  <c r="AC936" i="12"/>
  <c r="AB936" i="12"/>
  <c r="AA936" i="12"/>
  <c r="Z936" i="12"/>
  <c r="Y936" i="12"/>
  <c r="AN935" i="12"/>
  <c r="AL935" i="12"/>
  <c r="AJ935" i="12"/>
  <c r="AH935" i="12"/>
  <c r="AE935" i="12"/>
  <c r="AD935" i="12"/>
  <c r="AC935" i="12"/>
  <c r="AB935" i="12"/>
  <c r="AA935" i="12"/>
  <c r="Z935" i="12"/>
  <c r="Y935" i="12"/>
  <c r="AN934" i="12"/>
  <c r="AL934" i="12"/>
  <c r="AJ934" i="12"/>
  <c r="AH934" i="12"/>
  <c r="AE934" i="12"/>
  <c r="AD934" i="12"/>
  <c r="AC934" i="12"/>
  <c r="AB934" i="12"/>
  <c r="AA934" i="12"/>
  <c r="Z934" i="12"/>
  <c r="Y934" i="12"/>
  <c r="AN933" i="12"/>
  <c r="AL933" i="12"/>
  <c r="AJ933" i="12"/>
  <c r="AH933" i="12"/>
  <c r="AE933" i="12"/>
  <c r="AD933" i="12"/>
  <c r="AC933" i="12"/>
  <c r="AB933" i="12"/>
  <c r="AA933" i="12"/>
  <c r="Z933" i="12"/>
  <c r="Y933" i="12"/>
  <c r="AN932" i="12"/>
  <c r="AL932" i="12"/>
  <c r="AJ932" i="12"/>
  <c r="AH932" i="12"/>
  <c r="AE932" i="12"/>
  <c r="AD932" i="12"/>
  <c r="AC932" i="12"/>
  <c r="AB932" i="12"/>
  <c r="AA932" i="12"/>
  <c r="Z932" i="12"/>
  <c r="Y932" i="12"/>
  <c r="AN931" i="12"/>
  <c r="AL931" i="12"/>
  <c r="AJ931" i="12"/>
  <c r="AH931" i="12"/>
  <c r="AE931" i="12"/>
  <c r="AD931" i="12"/>
  <c r="AC931" i="12"/>
  <c r="AB931" i="12"/>
  <c r="AA931" i="12"/>
  <c r="Z931" i="12"/>
  <c r="Y931" i="12"/>
  <c r="AN930" i="12"/>
  <c r="AL930" i="12"/>
  <c r="AJ930" i="12"/>
  <c r="AH930" i="12"/>
  <c r="AE930" i="12"/>
  <c r="AD930" i="12"/>
  <c r="AC930" i="12"/>
  <c r="AB930" i="12"/>
  <c r="AA930" i="12"/>
  <c r="Z930" i="12"/>
  <c r="Y930" i="12"/>
  <c r="AN929" i="12"/>
  <c r="AL929" i="12"/>
  <c r="AJ929" i="12"/>
  <c r="AH929" i="12"/>
  <c r="AE929" i="12"/>
  <c r="AD929" i="12"/>
  <c r="AC929" i="12"/>
  <c r="AB929" i="12"/>
  <c r="AA929" i="12"/>
  <c r="Z929" i="12"/>
  <c r="Y929" i="12"/>
  <c r="AN928" i="12"/>
  <c r="AL928" i="12"/>
  <c r="AJ928" i="12"/>
  <c r="AH928" i="12"/>
  <c r="AE928" i="12"/>
  <c r="AD928" i="12"/>
  <c r="AC928" i="12"/>
  <c r="AB928" i="12"/>
  <c r="AA928" i="12"/>
  <c r="Z928" i="12"/>
  <c r="Y928" i="12"/>
  <c r="AN927" i="12"/>
  <c r="AL927" i="12"/>
  <c r="AJ927" i="12"/>
  <c r="AH927" i="12"/>
  <c r="AE927" i="12"/>
  <c r="AD927" i="12"/>
  <c r="AC927" i="12"/>
  <c r="AB927" i="12"/>
  <c r="AA927" i="12"/>
  <c r="Z927" i="12"/>
  <c r="Y927" i="12"/>
  <c r="AN926" i="12"/>
  <c r="AL926" i="12"/>
  <c r="AJ926" i="12"/>
  <c r="AH926" i="12"/>
  <c r="AE926" i="12"/>
  <c r="AD926" i="12"/>
  <c r="AC926" i="12"/>
  <c r="AB926" i="12"/>
  <c r="AA926" i="12"/>
  <c r="Z926" i="12"/>
  <c r="Y926" i="12"/>
  <c r="AN925" i="12"/>
  <c r="AL925" i="12"/>
  <c r="AJ925" i="12"/>
  <c r="AH925" i="12"/>
  <c r="AE925" i="12"/>
  <c r="AD925" i="12"/>
  <c r="AC925" i="12"/>
  <c r="AB925" i="12"/>
  <c r="AA925" i="12"/>
  <c r="Z925" i="12"/>
  <c r="Y925" i="12"/>
  <c r="AN924" i="12"/>
  <c r="AL924" i="12"/>
  <c r="AJ924" i="12"/>
  <c r="AH924" i="12"/>
  <c r="AE924" i="12"/>
  <c r="AD924" i="12"/>
  <c r="AC924" i="12"/>
  <c r="AB924" i="12"/>
  <c r="AA924" i="12"/>
  <c r="Z924" i="12"/>
  <c r="Y924" i="12"/>
  <c r="AN923" i="12"/>
  <c r="AL923" i="12"/>
  <c r="AJ923" i="12"/>
  <c r="AH923" i="12"/>
  <c r="AE923" i="12"/>
  <c r="AD923" i="12"/>
  <c r="AC923" i="12"/>
  <c r="AB923" i="12"/>
  <c r="AA923" i="12"/>
  <c r="Z923" i="12"/>
  <c r="Y923" i="12"/>
  <c r="AN922" i="12"/>
  <c r="AL922" i="12"/>
  <c r="AJ922" i="12"/>
  <c r="AH922" i="12"/>
  <c r="AE922" i="12"/>
  <c r="AD922" i="12"/>
  <c r="AC922" i="12"/>
  <c r="AB922" i="12"/>
  <c r="AA922" i="12"/>
  <c r="Z922" i="12"/>
  <c r="Y922" i="12"/>
  <c r="AN921" i="12"/>
  <c r="AL921" i="12"/>
  <c r="AJ921" i="12"/>
  <c r="AH921" i="12"/>
  <c r="AE921" i="12"/>
  <c r="AD921" i="12"/>
  <c r="AC921" i="12"/>
  <c r="AB921" i="12"/>
  <c r="AA921" i="12"/>
  <c r="Z921" i="12"/>
  <c r="Y921" i="12"/>
  <c r="AN920" i="12"/>
  <c r="AL920" i="12"/>
  <c r="AJ920" i="12"/>
  <c r="AH920" i="12"/>
  <c r="AE920" i="12"/>
  <c r="AD920" i="12"/>
  <c r="AC920" i="12"/>
  <c r="AB920" i="12"/>
  <c r="AA920" i="12"/>
  <c r="Z920" i="12"/>
  <c r="Y920" i="12"/>
  <c r="AN919" i="12"/>
  <c r="AL919" i="12"/>
  <c r="AJ919" i="12"/>
  <c r="AH919" i="12"/>
  <c r="AE919" i="12"/>
  <c r="AD919" i="12"/>
  <c r="AC919" i="12"/>
  <c r="AB919" i="12"/>
  <c r="AA919" i="12"/>
  <c r="Z919" i="12"/>
  <c r="Y919" i="12"/>
  <c r="AN918" i="12"/>
  <c r="AL918" i="12"/>
  <c r="AJ918" i="12"/>
  <c r="AH918" i="12"/>
  <c r="AE918" i="12"/>
  <c r="AD918" i="12"/>
  <c r="AC918" i="12"/>
  <c r="AB918" i="12"/>
  <c r="AA918" i="12"/>
  <c r="Z918" i="12"/>
  <c r="Y918" i="12"/>
  <c r="AN917" i="12"/>
  <c r="AL917" i="12"/>
  <c r="AJ917" i="12"/>
  <c r="AH917" i="12"/>
  <c r="AE917" i="12"/>
  <c r="AD917" i="12"/>
  <c r="AC917" i="12"/>
  <c r="AB917" i="12"/>
  <c r="AA917" i="12"/>
  <c r="Z917" i="12"/>
  <c r="Y917" i="12"/>
  <c r="AN916" i="12"/>
  <c r="AL916" i="12"/>
  <c r="AJ916" i="12"/>
  <c r="AH916" i="12"/>
  <c r="AE916" i="12"/>
  <c r="AD916" i="12"/>
  <c r="AC916" i="12"/>
  <c r="AB916" i="12"/>
  <c r="AA916" i="12"/>
  <c r="Z916" i="12"/>
  <c r="Y916" i="12"/>
  <c r="AN915" i="12"/>
  <c r="AL915" i="12"/>
  <c r="AJ915" i="12"/>
  <c r="AH915" i="12"/>
  <c r="AE915" i="12"/>
  <c r="AD915" i="12"/>
  <c r="AC915" i="12"/>
  <c r="AB915" i="12"/>
  <c r="AA915" i="12"/>
  <c r="Z915" i="12"/>
  <c r="Y915" i="12"/>
  <c r="AN914" i="12"/>
  <c r="AL914" i="12"/>
  <c r="AJ914" i="12"/>
  <c r="AH914" i="12"/>
  <c r="AE914" i="12"/>
  <c r="AD914" i="12"/>
  <c r="AC914" i="12"/>
  <c r="AB914" i="12"/>
  <c r="AA914" i="12"/>
  <c r="Z914" i="12"/>
  <c r="Y914" i="12"/>
  <c r="AN913" i="12"/>
  <c r="AL913" i="12"/>
  <c r="AJ913" i="12"/>
  <c r="AH913" i="12"/>
  <c r="AE913" i="12"/>
  <c r="AD913" i="12"/>
  <c r="AC913" i="12"/>
  <c r="AB913" i="12"/>
  <c r="AA913" i="12"/>
  <c r="Z913" i="12"/>
  <c r="Y913" i="12"/>
  <c r="AN912" i="12"/>
  <c r="AL912" i="12"/>
  <c r="AJ912" i="12"/>
  <c r="AH912" i="12"/>
  <c r="AE912" i="12"/>
  <c r="AD912" i="12"/>
  <c r="AC912" i="12"/>
  <c r="AB912" i="12"/>
  <c r="AA912" i="12"/>
  <c r="Z912" i="12"/>
  <c r="Y912" i="12"/>
  <c r="AN911" i="12"/>
  <c r="AL911" i="12"/>
  <c r="AJ911" i="12"/>
  <c r="AH911" i="12"/>
  <c r="AE911" i="12"/>
  <c r="AD911" i="12"/>
  <c r="AC911" i="12"/>
  <c r="AB911" i="12"/>
  <c r="AA911" i="12"/>
  <c r="Z911" i="12"/>
  <c r="Y911" i="12"/>
  <c r="AN910" i="12"/>
  <c r="AL910" i="12"/>
  <c r="AJ910" i="12"/>
  <c r="AH910" i="12"/>
  <c r="AE910" i="12"/>
  <c r="AD910" i="12"/>
  <c r="AC910" i="12"/>
  <c r="AB910" i="12"/>
  <c r="AA910" i="12"/>
  <c r="Z910" i="12"/>
  <c r="Y910" i="12"/>
  <c r="AN909" i="12"/>
  <c r="AL909" i="12"/>
  <c r="AJ909" i="12"/>
  <c r="AH909" i="12"/>
  <c r="AE909" i="12"/>
  <c r="AD909" i="12"/>
  <c r="AC909" i="12"/>
  <c r="AB909" i="12"/>
  <c r="AA909" i="12"/>
  <c r="Z909" i="12"/>
  <c r="Y909" i="12"/>
  <c r="AN908" i="12"/>
  <c r="AL908" i="12"/>
  <c r="AJ908" i="12"/>
  <c r="AH908" i="12"/>
  <c r="AE908" i="12"/>
  <c r="AD908" i="12"/>
  <c r="AC908" i="12"/>
  <c r="AB908" i="12"/>
  <c r="AA908" i="12"/>
  <c r="Z908" i="12"/>
  <c r="Y908" i="12"/>
  <c r="AN907" i="12"/>
  <c r="AL907" i="12"/>
  <c r="AJ907" i="12"/>
  <c r="AH907" i="12"/>
  <c r="AE907" i="12"/>
  <c r="AD907" i="12"/>
  <c r="AC907" i="12"/>
  <c r="AB907" i="12"/>
  <c r="AA907" i="12"/>
  <c r="Z907" i="12"/>
  <c r="Y907" i="12"/>
  <c r="AN906" i="12"/>
  <c r="AL906" i="12"/>
  <c r="AJ906" i="12"/>
  <c r="AH906" i="12"/>
  <c r="AE906" i="12"/>
  <c r="AD906" i="12"/>
  <c r="AC906" i="12"/>
  <c r="AB906" i="12"/>
  <c r="AA906" i="12"/>
  <c r="Z906" i="12"/>
  <c r="Y906" i="12"/>
  <c r="AN905" i="12"/>
  <c r="AL905" i="12"/>
  <c r="AJ905" i="12"/>
  <c r="AH905" i="12"/>
  <c r="AE905" i="12"/>
  <c r="AD905" i="12"/>
  <c r="AC905" i="12"/>
  <c r="AB905" i="12"/>
  <c r="AA905" i="12"/>
  <c r="Z905" i="12"/>
  <c r="Y905" i="12"/>
  <c r="AN904" i="12"/>
  <c r="AL904" i="12"/>
  <c r="AJ904" i="12"/>
  <c r="AH904" i="12"/>
  <c r="AE904" i="12"/>
  <c r="AD904" i="12"/>
  <c r="AC904" i="12"/>
  <c r="AB904" i="12"/>
  <c r="AA904" i="12"/>
  <c r="Z904" i="12"/>
  <c r="Y904" i="12"/>
  <c r="AN903" i="12"/>
  <c r="AL903" i="12"/>
  <c r="AJ903" i="12"/>
  <c r="AH903" i="12"/>
  <c r="AE903" i="12"/>
  <c r="AD903" i="12"/>
  <c r="AC903" i="12"/>
  <c r="AB903" i="12"/>
  <c r="AA903" i="12"/>
  <c r="Z903" i="12"/>
  <c r="Y903" i="12"/>
  <c r="AN902" i="12"/>
  <c r="AL902" i="12"/>
  <c r="AJ902" i="12"/>
  <c r="AH902" i="12"/>
  <c r="AE902" i="12"/>
  <c r="AD902" i="12"/>
  <c r="AC902" i="12"/>
  <c r="AB902" i="12"/>
  <c r="AA902" i="12"/>
  <c r="Z902" i="12"/>
  <c r="Y902" i="12"/>
  <c r="AN901" i="12"/>
  <c r="AL901" i="12"/>
  <c r="AJ901" i="12"/>
  <c r="AH901" i="12"/>
  <c r="AE901" i="12"/>
  <c r="AD901" i="12"/>
  <c r="AC901" i="12"/>
  <c r="AB901" i="12"/>
  <c r="AA901" i="12"/>
  <c r="Z901" i="12"/>
  <c r="Y901" i="12"/>
  <c r="AN900" i="12"/>
  <c r="AL900" i="12"/>
  <c r="AJ900" i="12"/>
  <c r="AH900" i="12"/>
  <c r="AE900" i="12"/>
  <c r="AD900" i="12"/>
  <c r="AC900" i="12"/>
  <c r="AB900" i="12"/>
  <c r="AA900" i="12"/>
  <c r="Z900" i="12"/>
  <c r="Y900" i="12"/>
  <c r="AN899" i="12"/>
  <c r="AL899" i="12"/>
  <c r="AJ899" i="12"/>
  <c r="AH899" i="12"/>
  <c r="AE899" i="12"/>
  <c r="AD899" i="12"/>
  <c r="AC899" i="12"/>
  <c r="AB899" i="12"/>
  <c r="AA899" i="12"/>
  <c r="Z899" i="12"/>
  <c r="Y899" i="12"/>
  <c r="AN898" i="12"/>
  <c r="AL898" i="12"/>
  <c r="AJ898" i="12"/>
  <c r="AH898" i="12"/>
  <c r="AE898" i="12"/>
  <c r="AD898" i="12"/>
  <c r="AC898" i="12"/>
  <c r="AB898" i="12"/>
  <c r="AA898" i="12"/>
  <c r="Z898" i="12"/>
  <c r="Y898" i="12"/>
  <c r="AN897" i="12"/>
  <c r="AL897" i="12"/>
  <c r="AJ897" i="12"/>
  <c r="AH897" i="12"/>
  <c r="AE897" i="12"/>
  <c r="AD897" i="12"/>
  <c r="AC897" i="12"/>
  <c r="AB897" i="12"/>
  <c r="AA897" i="12"/>
  <c r="Z897" i="12"/>
  <c r="Y897" i="12"/>
  <c r="AN896" i="12"/>
  <c r="AL896" i="12"/>
  <c r="AJ896" i="12"/>
  <c r="AH896" i="12"/>
  <c r="AE896" i="12"/>
  <c r="AD896" i="12"/>
  <c r="AC896" i="12"/>
  <c r="AB896" i="12"/>
  <c r="AA896" i="12"/>
  <c r="Z896" i="12"/>
  <c r="Y896" i="12"/>
  <c r="AN895" i="12"/>
  <c r="AL895" i="12"/>
  <c r="AJ895" i="12"/>
  <c r="AH895" i="12"/>
  <c r="AE895" i="12"/>
  <c r="AD895" i="12"/>
  <c r="AC895" i="12"/>
  <c r="AB895" i="12"/>
  <c r="AA895" i="12"/>
  <c r="Z895" i="12"/>
  <c r="Y895" i="12"/>
  <c r="AN894" i="12"/>
  <c r="AL894" i="12"/>
  <c r="AJ894" i="12"/>
  <c r="AH894" i="12"/>
  <c r="AE894" i="12"/>
  <c r="AD894" i="12"/>
  <c r="AC894" i="12"/>
  <c r="AB894" i="12"/>
  <c r="AA894" i="12"/>
  <c r="Z894" i="12"/>
  <c r="Y894" i="12"/>
  <c r="AN893" i="12"/>
  <c r="AL893" i="12"/>
  <c r="AJ893" i="12"/>
  <c r="AH893" i="12"/>
  <c r="AE893" i="12"/>
  <c r="AD893" i="12"/>
  <c r="AC893" i="12"/>
  <c r="AB893" i="12"/>
  <c r="AA893" i="12"/>
  <c r="Z893" i="12"/>
  <c r="Y893" i="12"/>
  <c r="AN892" i="12"/>
  <c r="AL892" i="12"/>
  <c r="AJ892" i="12"/>
  <c r="AH892" i="12"/>
  <c r="AE892" i="12"/>
  <c r="AD892" i="12"/>
  <c r="AC892" i="12"/>
  <c r="AB892" i="12"/>
  <c r="AA892" i="12"/>
  <c r="Z892" i="12"/>
  <c r="Y892" i="12"/>
  <c r="AN891" i="12"/>
  <c r="AL891" i="12"/>
  <c r="AJ891" i="12"/>
  <c r="AH891" i="12"/>
  <c r="AE891" i="12"/>
  <c r="AD891" i="12"/>
  <c r="AC891" i="12"/>
  <c r="AB891" i="12"/>
  <c r="AA891" i="12"/>
  <c r="Z891" i="12"/>
  <c r="Y891" i="12"/>
  <c r="AN890" i="12"/>
  <c r="AL890" i="12"/>
  <c r="AJ890" i="12"/>
  <c r="AH890" i="12"/>
  <c r="AE890" i="12"/>
  <c r="AD890" i="12"/>
  <c r="AC890" i="12"/>
  <c r="AB890" i="12"/>
  <c r="AA890" i="12"/>
  <c r="Z890" i="12"/>
  <c r="Y890" i="12"/>
  <c r="AN889" i="12"/>
  <c r="AL889" i="12"/>
  <c r="AJ889" i="12"/>
  <c r="AH889" i="12"/>
  <c r="AE889" i="12"/>
  <c r="AD889" i="12"/>
  <c r="AC889" i="12"/>
  <c r="AB889" i="12"/>
  <c r="AA889" i="12"/>
  <c r="Z889" i="12"/>
  <c r="Y889" i="12"/>
  <c r="AN888" i="12"/>
  <c r="AL888" i="12"/>
  <c r="AJ888" i="12"/>
  <c r="AH888" i="12"/>
  <c r="AE888" i="12"/>
  <c r="AD888" i="12"/>
  <c r="AC888" i="12"/>
  <c r="AB888" i="12"/>
  <c r="AA888" i="12"/>
  <c r="Z888" i="12"/>
  <c r="Y888" i="12"/>
  <c r="AN887" i="12"/>
  <c r="AL887" i="12"/>
  <c r="AJ887" i="12"/>
  <c r="AH887" i="12"/>
  <c r="AE887" i="12"/>
  <c r="AD887" i="12"/>
  <c r="AC887" i="12"/>
  <c r="AB887" i="12"/>
  <c r="AA887" i="12"/>
  <c r="Z887" i="12"/>
  <c r="Y887" i="12"/>
  <c r="AN886" i="12"/>
  <c r="AL886" i="12"/>
  <c r="AJ886" i="12"/>
  <c r="AH886" i="12"/>
  <c r="AE886" i="12"/>
  <c r="AD886" i="12"/>
  <c r="AC886" i="12"/>
  <c r="AB886" i="12"/>
  <c r="AA886" i="12"/>
  <c r="Z886" i="12"/>
  <c r="Y886" i="12"/>
  <c r="AN885" i="12"/>
  <c r="AL885" i="12"/>
  <c r="AJ885" i="12"/>
  <c r="AH885" i="12"/>
  <c r="AE885" i="12"/>
  <c r="AD885" i="12"/>
  <c r="AC885" i="12"/>
  <c r="AB885" i="12"/>
  <c r="AA885" i="12"/>
  <c r="Z885" i="12"/>
  <c r="Y885" i="12"/>
  <c r="AN884" i="12"/>
  <c r="AL884" i="12"/>
  <c r="AJ884" i="12"/>
  <c r="AH884" i="12"/>
  <c r="AE884" i="12"/>
  <c r="AD884" i="12"/>
  <c r="AC884" i="12"/>
  <c r="AB884" i="12"/>
  <c r="AA884" i="12"/>
  <c r="Z884" i="12"/>
  <c r="Y884" i="12"/>
  <c r="AN883" i="12"/>
  <c r="AL883" i="12"/>
  <c r="AJ883" i="12"/>
  <c r="AH883" i="12"/>
  <c r="AE883" i="12"/>
  <c r="AD883" i="12"/>
  <c r="AC883" i="12"/>
  <c r="AB883" i="12"/>
  <c r="AA883" i="12"/>
  <c r="Z883" i="12"/>
  <c r="Y883" i="12"/>
  <c r="AN882" i="12"/>
  <c r="AL882" i="12"/>
  <c r="AJ882" i="12"/>
  <c r="AH882" i="12"/>
  <c r="AE882" i="12"/>
  <c r="AD882" i="12"/>
  <c r="AC882" i="12"/>
  <c r="AB882" i="12"/>
  <c r="AA882" i="12"/>
  <c r="Z882" i="12"/>
  <c r="Y882" i="12"/>
  <c r="AN881" i="12"/>
  <c r="AL881" i="12"/>
  <c r="AJ881" i="12"/>
  <c r="AH881" i="12"/>
  <c r="AE881" i="12"/>
  <c r="AD881" i="12"/>
  <c r="AC881" i="12"/>
  <c r="AB881" i="12"/>
  <c r="AA881" i="12"/>
  <c r="Z881" i="12"/>
  <c r="Y881" i="12"/>
  <c r="AN880" i="12"/>
  <c r="AL880" i="12"/>
  <c r="AJ880" i="12"/>
  <c r="AH880" i="12"/>
  <c r="AE880" i="12"/>
  <c r="AD880" i="12"/>
  <c r="AC880" i="12"/>
  <c r="AB880" i="12"/>
  <c r="AA880" i="12"/>
  <c r="Z880" i="12"/>
  <c r="Y880" i="12"/>
  <c r="AN879" i="12"/>
  <c r="AL879" i="12"/>
  <c r="AJ879" i="12"/>
  <c r="AH879" i="12"/>
  <c r="AE879" i="12"/>
  <c r="AD879" i="12"/>
  <c r="AC879" i="12"/>
  <c r="AB879" i="12"/>
  <c r="AA879" i="12"/>
  <c r="Z879" i="12"/>
  <c r="Y879" i="12"/>
  <c r="AN878" i="12"/>
  <c r="AL878" i="12"/>
  <c r="AJ878" i="12"/>
  <c r="AH878" i="12"/>
  <c r="AE878" i="12"/>
  <c r="AD878" i="12"/>
  <c r="AC878" i="12"/>
  <c r="AB878" i="12"/>
  <c r="AA878" i="12"/>
  <c r="Z878" i="12"/>
  <c r="Y878" i="12"/>
  <c r="AN877" i="12"/>
  <c r="AL877" i="12"/>
  <c r="AJ877" i="12"/>
  <c r="AH877" i="12"/>
  <c r="AE877" i="12"/>
  <c r="AD877" i="12"/>
  <c r="AC877" i="12"/>
  <c r="AB877" i="12"/>
  <c r="AA877" i="12"/>
  <c r="Z877" i="12"/>
  <c r="Y877" i="12"/>
  <c r="AN876" i="12"/>
  <c r="AL876" i="12"/>
  <c r="AJ876" i="12"/>
  <c r="AH876" i="12"/>
  <c r="AE876" i="12"/>
  <c r="AD876" i="12"/>
  <c r="AC876" i="12"/>
  <c r="AB876" i="12"/>
  <c r="AA876" i="12"/>
  <c r="Z876" i="12"/>
  <c r="Y876" i="12"/>
  <c r="AN875" i="12"/>
  <c r="AL875" i="12"/>
  <c r="AJ875" i="12"/>
  <c r="AH875" i="12"/>
  <c r="AE875" i="12"/>
  <c r="AD875" i="12"/>
  <c r="AC875" i="12"/>
  <c r="AB875" i="12"/>
  <c r="AA875" i="12"/>
  <c r="Z875" i="12"/>
  <c r="Y875" i="12"/>
  <c r="AN874" i="12"/>
  <c r="AL874" i="12"/>
  <c r="AJ874" i="12"/>
  <c r="AH874" i="12"/>
  <c r="AE874" i="12"/>
  <c r="AD874" i="12"/>
  <c r="AC874" i="12"/>
  <c r="AB874" i="12"/>
  <c r="AA874" i="12"/>
  <c r="Z874" i="12"/>
  <c r="Y874" i="12"/>
  <c r="AN873" i="12"/>
  <c r="AL873" i="12"/>
  <c r="AJ873" i="12"/>
  <c r="AH873" i="12"/>
  <c r="AE873" i="12"/>
  <c r="AD873" i="12"/>
  <c r="AC873" i="12"/>
  <c r="AB873" i="12"/>
  <c r="AA873" i="12"/>
  <c r="Z873" i="12"/>
  <c r="Y873" i="12"/>
  <c r="AN872" i="12"/>
  <c r="AL872" i="12"/>
  <c r="AJ872" i="12"/>
  <c r="AH872" i="12"/>
  <c r="AE872" i="12"/>
  <c r="AD872" i="12"/>
  <c r="AC872" i="12"/>
  <c r="AB872" i="12"/>
  <c r="AA872" i="12"/>
  <c r="Z872" i="12"/>
  <c r="Y872" i="12"/>
  <c r="AN871" i="12"/>
  <c r="AL871" i="12"/>
  <c r="AJ871" i="12"/>
  <c r="AH871" i="12"/>
  <c r="AE871" i="12"/>
  <c r="AD871" i="12"/>
  <c r="AC871" i="12"/>
  <c r="AB871" i="12"/>
  <c r="AA871" i="12"/>
  <c r="Z871" i="12"/>
  <c r="Y871" i="12"/>
  <c r="AN870" i="12"/>
  <c r="AL870" i="12"/>
  <c r="AJ870" i="12"/>
  <c r="AH870" i="12"/>
  <c r="AE870" i="12"/>
  <c r="AD870" i="12"/>
  <c r="AC870" i="12"/>
  <c r="AB870" i="12"/>
  <c r="AA870" i="12"/>
  <c r="Z870" i="12"/>
  <c r="Y870" i="12"/>
  <c r="AN869" i="12"/>
  <c r="AL869" i="12"/>
  <c r="AJ869" i="12"/>
  <c r="AH869" i="12"/>
  <c r="AE869" i="12"/>
  <c r="AD869" i="12"/>
  <c r="AC869" i="12"/>
  <c r="AB869" i="12"/>
  <c r="AA869" i="12"/>
  <c r="Z869" i="12"/>
  <c r="Y869" i="12"/>
  <c r="AN868" i="12"/>
  <c r="AL868" i="12"/>
  <c r="AJ868" i="12"/>
  <c r="AH868" i="12"/>
  <c r="AE868" i="12"/>
  <c r="AD868" i="12"/>
  <c r="AC868" i="12"/>
  <c r="AB868" i="12"/>
  <c r="AA868" i="12"/>
  <c r="Z868" i="12"/>
  <c r="Y868" i="12"/>
  <c r="AN867" i="12"/>
  <c r="AL867" i="12"/>
  <c r="AJ867" i="12"/>
  <c r="AH867" i="12"/>
  <c r="AE867" i="12"/>
  <c r="AD867" i="12"/>
  <c r="AC867" i="12"/>
  <c r="AB867" i="12"/>
  <c r="AA867" i="12"/>
  <c r="Z867" i="12"/>
  <c r="Y867" i="12"/>
  <c r="AN866" i="12"/>
  <c r="AL866" i="12"/>
  <c r="AJ866" i="12"/>
  <c r="AH866" i="12"/>
  <c r="AE866" i="12"/>
  <c r="AD866" i="12"/>
  <c r="AC866" i="12"/>
  <c r="AB866" i="12"/>
  <c r="AA866" i="12"/>
  <c r="Z866" i="12"/>
  <c r="Y866" i="12"/>
  <c r="AN865" i="12"/>
  <c r="AL865" i="12"/>
  <c r="AJ865" i="12"/>
  <c r="AH865" i="12"/>
  <c r="AE865" i="12"/>
  <c r="AD865" i="12"/>
  <c r="AC865" i="12"/>
  <c r="AB865" i="12"/>
  <c r="AA865" i="12"/>
  <c r="Z865" i="12"/>
  <c r="Y865" i="12"/>
  <c r="AN864" i="12"/>
  <c r="AL864" i="12"/>
  <c r="AJ864" i="12"/>
  <c r="AH864" i="12"/>
  <c r="AE864" i="12"/>
  <c r="AD864" i="12"/>
  <c r="AC864" i="12"/>
  <c r="AB864" i="12"/>
  <c r="AA864" i="12"/>
  <c r="Z864" i="12"/>
  <c r="Y864" i="12"/>
  <c r="AN863" i="12"/>
  <c r="AL863" i="12"/>
  <c r="AJ863" i="12"/>
  <c r="AH863" i="12"/>
  <c r="AE863" i="12"/>
  <c r="AD863" i="12"/>
  <c r="AC863" i="12"/>
  <c r="AB863" i="12"/>
  <c r="AA863" i="12"/>
  <c r="Z863" i="12"/>
  <c r="Y863" i="12"/>
  <c r="AN862" i="12"/>
  <c r="AL862" i="12"/>
  <c r="AJ862" i="12"/>
  <c r="AH862" i="12"/>
  <c r="AE862" i="12"/>
  <c r="AD862" i="12"/>
  <c r="AC862" i="12"/>
  <c r="AB862" i="12"/>
  <c r="AA862" i="12"/>
  <c r="Z862" i="12"/>
  <c r="Y862" i="12"/>
  <c r="AN861" i="12"/>
  <c r="AL861" i="12"/>
  <c r="AJ861" i="12"/>
  <c r="AH861" i="12"/>
  <c r="AE861" i="12"/>
  <c r="AD861" i="12"/>
  <c r="AC861" i="12"/>
  <c r="AB861" i="12"/>
  <c r="AA861" i="12"/>
  <c r="Z861" i="12"/>
  <c r="Y861" i="12"/>
  <c r="AN860" i="12"/>
  <c r="AL860" i="12"/>
  <c r="AJ860" i="12"/>
  <c r="AH860" i="12"/>
  <c r="AE860" i="12"/>
  <c r="AD860" i="12"/>
  <c r="AC860" i="12"/>
  <c r="AB860" i="12"/>
  <c r="AA860" i="12"/>
  <c r="Z860" i="12"/>
  <c r="Y860" i="12"/>
  <c r="AN859" i="12"/>
  <c r="AL859" i="12"/>
  <c r="AJ859" i="12"/>
  <c r="AH859" i="12"/>
  <c r="AE859" i="12"/>
  <c r="AD859" i="12"/>
  <c r="AC859" i="12"/>
  <c r="AB859" i="12"/>
  <c r="AA859" i="12"/>
  <c r="Z859" i="12"/>
  <c r="Y859" i="12"/>
  <c r="AN858" i="12"/>
  <c r="AL858" i="12"/>
  <c r="AJ858" i="12"/>
  <c r="AH858" i="12"/>
  <c r="AE858" i="12"/>
  <c r="AD858" i="12"/>
  <c r="AC858" i="12"/>
  <c r="AB858" i="12"/>
  <c r="AA858" i="12"/>
  <c r="Z858" i="12"/>
  <c r="Y858" i="12"/>
  <c r="AN857" i="12"/>
  <c r="AL857" i="12"/>
  <c r="AJ857" i="12"/>
  <c r="AH857" i="12"/>
  <c r="AE857" i="12"/>
  <c r="AD857" i="12"/>
  <c r="AC857" i="12"/>
  <c r="AB857" i="12"/>
  <c r="AA857" i="12"/>
  <c r="Z857" i="12"/>
  <c r="Y857" i="12"/>
  <c r="AN856" i="12"/>
  <c r="AL856" i="12"/>
  <c r="AJ856" i="12"/>
  <c r="AH856" i="12"/>
  <c r="AE856" i="12"/>
  <c r="AD856" i="12"/>
  <c r="AC856" i="12"/>
  <c r="AB856" i="12"/>
  <c r="AA856" i="12"/>
  <c r="Z856" i="12"/>
  <c r="Y856" i="12"/>
  <c r="AN855" i="12"/>
  <c r="AL855" i="12"/>
  <c r="AJ855" i="12"/>
  <c r="AH855" i="12"/>
  <c r="AE855" i="12"/>
  <c r="AD855" i="12"/>
  <c r="AC855" i="12"/>
  <c r="AB855" i="12"/>
  <c r="AA855" i="12"/>
  <c r="Z855" i="12"/>
  <c r="Y855" i="12"/>
  <c r="AN854" i="12"/>
  <c r="AL854" i="12"/>
  <c r="AJ854" i="12"/>
  <c r="AH854" i="12"/>
  <c r="AE854" i="12"/>
  <c r="AD854" i="12"/>
  <c r="AC854" i="12"/>
  <c r="AB854" i="12"/>
  <c r="AA854" i="12"/>
  <c r="Z854" i="12"/>
  <c r="Y854" i="12"/>
  <c r="AN853" i="12"/>
  <c r="AL853" i="12"/>
  <c r="AJ853" i="12"/>
  <c r="AH853" i="12"/>
  <c r="AE853" i="12"/>
  <c r="AD853" i="12"/>
  <c r="AC853" i="12"/>
  <c r="AB853" i="12"/>
  <c r="AA853" i="12"/>
  <c r="Z853" i="12"/>
  <c r="Y853" i="12"/>
  <c r="AN852" i="12"/>
  <c r="AL852" i="12"/>
  <c r="AJ852" i="12"/>
  <c r="AH852" i="12"/>
  <c r="AE852" i="12"/>
  <c r="AD852" i="12"/>
  <c r="AC852" i="12"/>
  <c r="AB852" i="12"/>
  <c r="AA852" i="12"/>
  <c r="Z852" i="12"/>
  <c r="Y852" i="12"/>
  <c r="AN851" i="12"/>
  <c r="AL851" i="12"/>
  <c r="AJ851" i="12"/>
  <c r="AH851" i="12"/>
  <c r="AE851" i="12"/>
  <c r="AD851" i="12"/>
  <c r="AC851" i="12"/>
  <c r="AB851" i="12"/>
  <c r="AA851" i="12"/>
  <c r="Z851" i="12"/>
  <c r="Y851" i="12"/>
  <c r="AN850" i="12"/>
  <c r="AL850" i="12"/>
  <c r="AJ850" i="12"/>
  <c r="AH850" i="12"/>
  <c r="AE850" i="12"/>
  <c r="AD850" i="12"/>
  <c r="AC850" i="12"/>
  <c r="AB850" i="12"/>
  <c r="AA850" i="12"/>
  <c r="Z850" i="12"/>
  <c r="Y850" i="12"/>
  <c r="AN849" i="12"/>
  <c r="AL849" i="12"/>
  <c r="AJ849" i="12"/>
  <c r="AH849" i="12"/>
  <c r="AE849" i="12"/>
  <c r="AD849" i="12"/>
  <c r="AC849" i="12"/>
  <c r="AB849" i="12"/>
  <c r="AA849" i="12"/>
  <c r="Z849" i="12"/>
  <c r="Y849" i="12"/>
  <c r="AN848" i="12"/>
  <c r="AL848" i="12"/>
  <c r="AJ848" i="12"/>
  <c r="AH848" i="12"/>
  <c r="AE848" i="12"/>
  <c r="AD848" i="12"/>
  <c r="AC848" i="12"/>
  <c r="AB848" i="12"/>
  <c r="AA848" i="12"/>
  <c r="Z848" i="12"/>
  <c r="Y848" i="12"/>
  <c r="AN847" i="12"/>
  <c r="AL847" i="12"/>
  <c r="AJ847" i="12"/>
  <c r="AH847" i="12"/>
  <c r="AE847" i="12"/>
  <c r="AD847" i="12"/>
  <c r="AC847" i="12"/>
  <c r="AB847" i="12"/>
  <c r="AA847" i="12"/>
  <c r="Z847" i="12"/>
  <c r="Y847" i="12"/>
  <c r="AN846" i="12"/>
  <c r="AL846" i="12"/>
  <c r="AJ846" i="12"/>
  <c r="AH846" i="12"/>
  <c r="AE846" i="12"/>
  <c r="AD846" i="12"/>
  <c r="AC846" i="12"/>
  <c r="AB846" i="12"/>
  <c r="AA846" i="12"/>
  <c r="Z846" i="12"/>
  <c r="Y846" i="12"/>
  <c r="AN845" i="12"/>
  <c r="AL845" i="12"/>
  <c r="AJ845" i="12"/>
  <c r="AH845" i="12"/>
  <c r="AE845" i="12"/>
  <c r="AD845" i="12"/>
  <c r="AC845" i="12"/>
  <c r="AB845" i="12"/>
  <c r="AA845" i="12"/>
  <c r="Z845" i="12"/>
  <c r="Y845" i="12"/>
  <c r="AN844" i="12"/>
  <c r="AL844" i="12"/>
  <c r="AJ844" i="12"/>
  <c r="AH844" i="12"/>
  <c r="AE844" i="12"/>
  <c r="AD844" i="12"/>
  <c r="AC844" i="12"/>
  <c r="AB844" i="12"/>
  <c r="AA844" i="12"/>
  <c r="Z844" i="12"/>
  <c r="Y844" i="12"/>
  <c r="AN843" i="12"/>
  <c r="AL843" i="12"/>
  <c r="AJ843" i="12"/>
  <c r="AH843" i="12"/>
  <c r="AE843" i="12"/>
  <c r="AD843" i="12"/>
  <c r="AC843" i="12"/>
  <c r="AB843" i="12"/>
  <c r="AA843" i="12"/>
  <c r="Z843" i="12"/>
  <c r="Y843" i="12"/>
  <c r="AN842" i="12"/>
  <c r="AL842" i="12"/>
  <c r="AJ842" i="12"/>
  <c r="AH842" i="12"/>
  <c r="AE842" i="12"/>
  <c r="AD842" i="12"/>
  <c r="AC842" i="12"/>
  <c r="AB842" i="12"/>
  <c r="AA842" i="12"/>
  <c r="Z842" i="12"/>
  <c r="Y842" i="12"/>
  <c r="AN841" i="12"/>
  <c r="AL841" i="12"/>
  <c r="AJ841" i="12"/>
  <c r="AH841" i="12"/>
  <c r="AE841" i="12"/>
  <c r="AD841" i="12"/>
  <c r="AC841" i="12"/>
  <c r="AB841" i="12"/>
  <c r="AA841" i="12"/>
  <c r="Z841" i="12"/>
  <c r="Y841" i="12"/>
  <c r="AN840" i="12"/>
  <c r="AL840" i="12"/>
  <c r="AJ840" i="12"/>
  <c r="AH840" i="12"/>
  <c r="AE840" i="12"/>
  <c r="AD840" i="12"/>
  <c r="AC840" i="12"/>
  <c r="AB840" i="12"/>
  <c r="AA840" i="12"/>
  <c r="Z840" i="12"/>
  <c r="Y840" i="12"/>
  <c r="AN839" i="12"/>
  <c r="AL839" i="12"/>
  <c r="AJ839" i="12"/>
  <c r="AH839" i="12"/>
  <c r="AE839" i="12"/>
  <c r="AD839" i="12"/>
  <c r="AC839" i="12"/>
  <c r="AB839" i="12"/>
  <c r="AA839" i="12"/>
  <c r="Z839" i="12"/>
  <c r="Y839" i="12"/>
  <c r="AN838" i="12"/>
  <c r="AL838" i="12"/>
  <c r="AJ838" i="12"/>
  <c r="AH838" i="12"/>
  <c r="AE838" i="12"/>
  <c r="AD838" i="12"/>
  <c r="AC838" i="12"/>
  <c r="AB838" i="12"/>
  <c r="AA838" i="12"/>
  <c r="Z838" i="12"/>
  <c r="Y838" i="12"/>
  <c r="AN837" i="12"/>
  <c r="AL837" i="12"/>
  <c r="AJ837" i="12"/>
  <c r="AH837" i="12"/>
  <c r="AE837" i="12"/>
  <c r="AD837" i="12"/>
  <c r="AC837" i="12"/>
  <c r="AB837" i="12"/>
  <c r="AA837" i="12"/>
  <c r="Z837" i="12"/>
  <c r="Y837" i="12"/>
  <c r="AN836" i="12"/>
  <c r="AL836" i="12"/>
  <c r="AJ836" i="12"/>
  <c r="AH836" i="12"/>
  <c r="AE836" i="12"/>
  <c r="AD836" i="12"/>
  <c r="AC836" i="12"/>
  <c r="AB836" i="12"/>
  <c r="AA836" i="12"/>
  <c r="Z836" i="12"/>
  <c r="Y836" i="12"/>
  <c r="AN835" i="12"/>
  <c r="AL835" i="12"/>
  <c r="AJ835" i="12"/>
  <c r="AH835" i="12"/>
  <c r="AE835" i="12"/>
  <c r="AD835" i="12"/>
  <c r="AC835" i="12"/>
  <c r="AB835" i="12"/>
  <c r="AA835" i="12"/>
  <c r="Z835" i="12"/>
  <c r="Y835" i="12"/>
  <c r="AN834" i="12"/>
  <c r="AL834" i="12"/>
  <c r="AJ834" i="12"/>
  <c r="AH834" i="12"/>
  <c r="AE834" i="12"/>
  <c r="AD834" i="12"/>
  <c r="AC834" i="12"/>
  <c r="AB834" i="12"/>
  <c r="AA834" i="12"/>
  <c r="Z834" i="12"/>
  <c r="Y834" i="12"/>
  <c r="AN833" i="12"/>
  <c r="AL833" i="12"/>
  <c r="AJ833" i="12"/>
  <c r="AH833" i="12"/>
  <c r="AE833" i="12"/>
  <c r="AD833" i="12"/>
  <c r="AC833" i="12"/>
  <c r="AB833" i="12"/>
  <c r="AA833" i="12"/>
  <c r="Z833" i="12"/>
  <c r="Y833" i="12"/>
  <c r="AN832" i="12"/>
  <c r="AL832" i="12"/>
  <c r="AJ832" i="12"/>
  <c r="AH832" i="12"/>
  <c r="AE832" i="12"/>
  <c r="AD832" i="12"/>
  <c r="AC832" i="12"/>
  <c r="AB832" i="12"/>
  <c r="AA832" i="12"/>
  <c r="Z832" i="12"/>
  <c r="Y832" i="12"/>
  <c r="AN831" i="12"/>
  <c r="AL831" i="12"/>
  <c r="AJ831" i="12"/>
  <c r="AH831" i="12"/>
  <c r="AE831" i="12"/>
  <c r="AD831" i="12"/>
  <c r="AC831" i="12"/>
  <c r="AB831" i="12"/>
  <c r="AA831" i="12"/>
  <c r="Z831" i="12"/>
  <c r="Y831" i="12"/>
  <c r="AN830" i="12"/>
  <c r="AL830" i="12"/>
  <c r="AJ830" i="12"/>
  <c r="AH830" i="12"/>
  <c r="AE830" i="12"/>
  <c r="AD830" i="12"/>
  <c r="AC830" i="12"/>
  <c r="AB830" i="12"/>
  <c r="AA830" i="12"/>
  <c r="Z830" i="12"/>
  <c r="Y830" i="12"/>
  <c r="AN829" i="12"/>
  <c r="AL829" i="12"/>
  <c r="AJ829" i="12"/>
  <c r="AH829" i="12"/>
  <c r="AE829" i="12"/>
  <c r="AD829" i="12"/>
  <c r="AC829" i="12"/>
  <c r="AB829" i="12"/>
  <c r="AA829" i="12"/>
  <c r="Z829" i="12"/>
  <c r="Y829" i="12"/>
  <c r="AN828" i="12"/>
  <c r="AL828" i="12"/>
  <c r="AJ828" i="12"/>
  <c r="AH828" i="12"/>
  <c r="AE828" i="12"/>
  <c r="AD828" i="12"/>
  <c r="AC828" i="12"/>
  <c r="AB828" i="12"/>
  <c r="AA828" i="12"/>
  <c r="Z828" i="12"/>
  <c r="Y828" i="12"/>
  <c r="AN827" i="12"/>
  <c r="AL827" i="12"/>
  <c r="AJ827" i="12"/>
  <c r="AH827" i="12"/>
  <c r="AE827" i="12"/>
  <c r="AD827" i="12"/>
  <c r="AC827" i="12"/>
  <c r="AB827" i="12"/>
  <c r="AA827" i="12"/>
  <c r="Z827" i="12"/>
  <c r="Y827" i="12"/>
  <c r="AN826" i="12"/>
  <c r="AL826" i="12"/>
  <c r="AJ826" i="12"/>
  <c r="AH826" i="12"/>
  <c r="AE826" i="12"/>
  <c r="AD826" i="12"/>
  <c r="AC826" i="12"/>
  <c r="AB826" i="12"/>
  <c r="AA826" i="12"/>
  <c r="Z826" i="12"/>
  <c r="Y826" i="12"/>
  <c r="AN825" i="12"/>
  <c r="AL825" i="12"/>
  <c r="AJ825" i="12"/>
  <c r="AH825" i="12"/>
  <c r="AE825" i="12"/>
  <c r="AD825" i="12"/>
  <c r="AC825" i="12"/>
  <c r="AB825" i="12"/>
  <c r="AA825" i="12"/>
  <c r="Z825" i="12"/>
  <c r="Y825" i="12"/>
  <c r="AN824" i="12"/>
  <c r="AL824" i="12"/>
  <c r="AJ824" i="12"/>
  <c r="AH824" i="12"/>
  <c r="AE824" i="12"/>
  <c r="AD824" i="12"/>
  <c r="AC824" i="12"/>
  <c r="AB824" i="12"/>
  <c r="AA824" i="12"/>
  <c r="Z824" i="12"/>
  <c r="Y824" i="12"/>
  <c r="AN823" i="12"/>
  <c r="AL823" i="12"/>
  <c r="AJ823" i="12"/>
  <c r="AH823" i="12"/>
  <c r="AE823" i="12"/>
  <c r="AD823" i="12"/>
  <c r="AC823" i="12"/>
  <c r="AB823" i="12"/>
  <c r="AA823" i="12"/>
  <c r="Z823" i="12"/>
  <c r="Y823" i="12"/>
  <c r="AN822" i="12"/>
  <c r="AL822" i="12"/>
  <c r="AJ822" i="12"/>
  <c r="AH822" i="12"/>
  <c r="AE822" i="12"/>
  <c r="AD822" i="12"/>
  <c r="AC822" i="12"/>
  <c r="AB822" i="12"/>
  <c r="AA822" i="12"/>
  <c r="Z822" i="12"/>
  <c r="Y822" i="12"/>
  <c r="AN821" i="12"/>
  <c r="AL821" i="12"/>
  <c r="AJ821" i="12"/>
  <c r="AH821" i="12"/>
  <c r="AE821" i="12"/>
  <c r="AD821" i="12"/>
  <c r="AC821" i="12"/>
  <c r="AB821" i="12"/>
  <c r="AA821" i="12"/>
  <c r="Z821" i="12"/>
  <c r="Y821" i="12"/>
  <c r="AN820" i="12"/>
  <c r="AL820" i="12"/>
  <c r="AJ820" i="12"/>
  <c r="AH820" i="12"/>
  <c r="AE820" i="12"/>
  <c r="AD820" i="12"/>
  <c r="AC820" i="12"/>
  <c r="AB820" i="12"/>
  <c r="AA820" i="12"/>
  <c r="Z820" i="12"/>
  <c r="Y820" i="12"/>
  <c r="AN819" i="12"/>
  <c r="AL819" i="12"/>
  <c r="AJ819" i="12"/>
  <c r="AH819" i="12"/>
  <c r="AE819" i="12"/>
  <c r="AD819" i="12"/>
  <c r="AC819" i="12"/>
  <c r="AB819" i="12"/>
  <c r="AA819" i="12"/>
  <c r="Z819" i="12"/>
  <c r="Y819" i="12"/>
  <c r="AN818" i="12"/>
  <c r="AL818" i="12"/>
  <c r="AJ818" i="12"/>
  <c r="AH818" i="12"/>
  <c r="AE818" i="12"/>
  <c r="AD818" i="12"/>
  <c r="AC818" i="12"/>
  <c r="AB818" i="12"/>
  <c r="AA818" i="12"/>
  <c r="Z818" i="12"/>
  <c r="Y818" i="12"/>
  <c r="AN817" i="12"/>
  <c r="AL817" i="12"/>
  <c r="AJ817" i="12"/>
  <c r="AH817" i="12"/>
  <c r="AE817" i="12"/>
  <c r="AD817" i="12"/>
  <c r="AC817" i="12"/>
  <c r="AB817" i="12"/>
  <c r="AA817" i="12"/>
  <c r="Z817" i="12"/>
  <c r="Y817" i="12"/>
  <c r="AN816" i="12"/>
  <c r="AL816" i="12"/>
  <c r="AJ816" i="12"/>
  <c r="AH816" i="12"/>
  <c r="AE816" i="12"/>
  <c r="AD816" i="12"/>
  <c r="AC816" i="12"/>
  <c r="AB816" i="12"/>
  <c r="AA816" i="12"/>
  <c r="Z816" i="12"/>
  <c r="Y816" i="12"/>
  <c r="AN815" i="12"/>
  <c r="AL815" i="12"/>
  <c r="AJ815" i="12"/>
  <c r="AH815" i="12"/>
  <c r="AE815" i="12"/>
  <c r="AD815" i="12"/>
  <c r="AC815" i="12"/>
  <c r="AB815" i="12"/>
  <c r="AA815" i="12"/>
  <c r="Z815" i="12"/>
  <c r="Y815" i="12"/>
  <c r="AN814" i="12"/>
  <c r="AL814" i="12"/>
  <c r="AJ814" i="12"/>
  <c r="AH814" i="12"/>
  <c r="AE814" i="12"/>
  <c r="AD814" i="12"/>
  <c r="AC814" i="12"/>
  <c r="AB814" i="12"/>
  <c r="AA814" i="12"/>
  <c r="Z814" i="12"/>
  <c r="Y814" i="12"/>
  <c r="AN813" i="12"/>
  <c r="AL813" i="12"/>
  <c r="AJ813" i="12"/>
  <c r="AH813" i="12"/>
  <c r="AE813" i="12"/>
  <c r="AD813" i="12"/>
  <c r="AC813" i="12"/>
  <c r="AB813" i="12"/>
  <c r="AA813" i="12"/>
  <c r="Z813" i="12"/>
  <c r="Y813" i="12"/>
  <c r="AN812" i="12"/>
  <c r="AL812" i="12"/>
  <c r="AJ812" i="12"/>
  <c r="AH812" i="12"/>
  <c r="AE812" i="12"/>
  <c r="AD812" i="12"/>
  <c r="AC812" i="12"/>
  <c r="AB812" i="12"/>
  <c r="AA812" i="12"/>
  <c r="Z812" i="12"/>
  <c r="Y812" i="12"/>
  <c r="AN811" i="12"/>
  <c r="AL811" i="12"/>
  <c r="AJ811" i="12"/>
  <c r="AH811" i="12"/>
  <c r="AE811" i="12"/>
  <c r="AD811" i="12"/>
  <c r="AC811" i="12"/>
  <c r="AB811" i="12"/>
  <c r="AA811" i="12"/>
  <c r="Z811" i="12"/>
  <c r="Y811" i="12"/>
  <c r="AN810" i="12"/>
  <c r="AL810" i="12"/>
  <c r="AJ810" i="12"/>
  <c r="AH810" i="12"/>
  <c r="AE810" i="12"/>
  <c r="AD810" i="12"/>
  <c r="AC810" i="12"/>
  <c r="AB810" i="12"/>
  <c r="AA810" i="12"/>
  <c r="Z810" i="12"/>
  <c r="Y810" i="12"/>
  <c r="AN809" i="12"/>
  <c r="AL809" i="12"/>
  <c r="AJ809" i="12"/>
  <c r="AH809" i="12"/>
  <c r="AE809" i="12"/>
  <c r="AD809" i="12"/>
  <c r="AC809" i="12"/>
  <c r="AB809" i="12"/>
  <c r="AA809" i="12"/>
  <c r="Z809" i="12"/>
  <c r="Y809" i="12"/>
  <c r="AN808" i="12"/>
  <c r="AL808" i="12"/>
  <c r="AJ808" i="12"/>
  <c r="AH808" i="12"/>
  <c r="AE808" i="12"/>
  <c r="AD808" i="12"/>
  <c r="AC808" i="12"/>
  <c r="AB808" i="12"/>
  <c r="AA808" i="12"/>
  <c r="Z808" i="12"/>
  <c r="Y808" i="12"/>
  <c r="AN807" i="12"/>
  <c r="AL807" i="12"/>
  <c r="AJ807" i="12"/>
  <c r="AH807" i="12"/>
  <c r="AE807" i="12"/>
  <c r="AD807" i="12"/>
  <c r="AC807" i="12"/>
  <c r="AB807" i="12"/>
  <c r="AA807" i="12"/>
  <c r="Z807" i="12"/>
  <c r="Y807" i="12"/>
  <c r="AN806" i="12"/>
  <c r="AL806" i="12"/>
  <c r="AJ806" i="12"/>
  <c r="AH806" i="12"/>
  <c r="AE806" i="12"/>
  <c r="AD806" i="12"/>
  <c r="AC806" i="12"/>
  <c r="AB806" i="12"/>
  <c r="AA806" i="12"/>
  <c r="Z806" i="12"/>
  <c r="Y806" i="12"/>
  <c r="AN805" i="12"/>
  <c r="AL805" i="12"/>
  <c r="AJ805" i="12"/>
  <c r="AH805" i="12"/>
  <c r="AE805" i="12"/>
  <c r="AD805" i="12"/>
  <c r="AC805" i="12"/>
  <c r="AB805" i="12"/>
  <c r="AA805" i="12"/>
  <c r="Z805" i="12"/>
  <c r="Y805" i="12"/>
  <c r="AN804" i="12"/>
  <c r="AL804" i="12"/>
  <c r="AJ804" i="12"/>
  <c r="AH804" i="12"/>
  <c r="AE804" i="12"/>
  <c r="AD804" i="12"/>
  <c r="AC804" i="12"/>
  <c r="AB804" i="12"/>
  <c r="AA804" i="12"/>
  <c r="Z804" i="12"/>
  <c r="Y804" i="12"/>
  <c r="AN803" i="12"/>
  <c r="AL803" i="12"/>
  <c r="AJ803" i="12"/>
  <c r="AH803" i="12"/>
  <c r="AE803" i="12"/>
  <c r="AD803" i="12"/>
  <c r="AC803" i="12"/>
  <c r="AB803" i="12"/>
  <c r="AA803" i="12"/>
  <c r="Z803" i="12"/>
  <c r="Y803" i="12"/>
  <c r="AN802" i="12"/>
  <c r="AL802" i="12"/>
  <c r="AJ802" i="12"/>
  <c r="AH802" i="12"/>
  <c r="AE802" i="12"/>
  <c r="AD802" i="12"/>
  <c r="AC802" i="12"/>
  <c r="AB802" i="12"/>
  <c r="AA802" i="12"/>
  <c r="Z802" i="12"/>
  <c r="Y802" i="12"/>
  <c r="AN801" i="12"/>
  <c r="AL801" i="12"/>
  <c r="AJ801" i="12"/>
  <c r="AH801" i="12"/>
  <c r="AE801" i="12"/>
  <c r="AD801" i="12"/>
  <c r="AC801" i="12"/>
  <c r="AB801" i="12"/>
  <c r="AA801" i="12"/>
  <c r="Z801" i="12"/>
  <c r="Y801" i="12"/>
  <c r="AN800" i="12"/>
  <c r="AL800" i="12"/>
  <c r="AJ800" i="12"/>
  <c r="AH800" i="12"/>
  <c r="AE800" i="12"/>
  <c r="AD800" i="12"/>
  <c r="AC800" i="12"/>
  <c r="AB800" i="12"/>
  <c r="AA800" i="12"/>
  <c r="Z800" i="12"/>
  <c r="Y800" i="12"/>
  <c r="AN799" i="12"/>
  <c r="AL799" i="12"/>
  <c r="AJ799" i="12"/>
  <c r="AH799" i="12"/>
  <c r="AE799" i="12"/>
  <c r="AD799" i="12"/>
  <c r="AC799" i="12"/>
  <c r="AB799" i="12"/>
  <c r="AA799" i="12"/>
  <c r="Z799" i="12"/>
  <c r="Y799" i="12"/>
  <c r="AN798" i="12"/>
  <c r="AL798" i="12"/>
  <c r="AJ798" i="12"/>
  <c r="AH798" i="12"/>
  <c r="AE798" i="12"/>
  <c r="AD798" i="12"/>
  <c r="AC798" i="12"/>
  <c r="AB798" i="12"/>
  <c r="AA798" i="12"/>
  <c r="Z798" i="12"/>
  <c r="Y798" i="12"/>
  <c r="AN797" i="12"/>
  <c r="AL797" i="12"/>
  <c r="AJ797" i="12"/>
  <c r="AH797" i="12"/>
  <c r="AE797" i="12"/>
  <c r="AD797" i="12"/>
  <c r="AC797" i="12"/>
  <c r="AB797" i="12"/>
  <c r="AA797" i="12"/>
  <c r="Z797" i="12"/>
  <c r="Y797" i="12"/>
  <c r="AN796" i="12"/>
  <c r="AL796" i="12"/>
  <c r="AJ796" i="12"/>
  <c r="AH796" i="12"/>
  <c r="AE796" i="12"/>
  <c r="AD796" i="12"/>
  <c r="AC796" i="12"/>
  <c r="AB796" i="12"/>
  <c r="AA796" i="12"/>
  <c r="Z796" i="12"/>
  <c r="Y796" i="12"/>
  <c r="AN795" i="12"/>
  <c r="AL795" i="12"/>
  <c r="AJ795" i="12"/>
  <c r="AH795" i="12"/>
  <c r="AE795" i="12"/>
  <c r="AD795" i="12"/>
  <c r="AC795" i="12"/>
  <c r="AB795" i="12"/>
  <c r="AA795" i="12"/>
  <c r="Z795" i="12"/>
  <c r="Y795" i="12"/>
  <c r="AN794" i="12"/>
  <c r="AL794" i="12"/>
  <c r="AJ794" i="12"/>
  <c r="AH794" i="12"/>
  <c r="AE794" i="12"/>
  <c r="AD794" i="12"/>
  <c r="AC794" i="12"/>
  <c r="AB794" i="12"/>
  <c r="AA794" i="12"/>
  <c r="Z794" i="12"/>
  <c r="Y794" i="12"/>
  <c r="AN793" i="12"/>
  <c r="AL793" i="12"/>
  <c r="AJ793" i="12"/>
  <c r="AH793" i="12"/>
  <c r="AE793" i="12"/>
  <c r="AD793" i="12"/>
  <c r="AC793" i="12"/>
  <c r="AB793" i="12"/>
  <c r="AA793" i="12"/>
  <c r="Z793" i="12"/>
  <c r="Y793" i="12"/>
  <c r="AN792" i="12"/>
  <c r="AL792" i="12"/>
  <c r="AJ792" i="12"/>
  <c r="AH792" i="12"/>
  <c r="AE792" i="12"/>
  <c r="AD792" i="12"/>
  <c r="AC792" i="12"/>
  <c r="AB792" i="12"/>
  <c r="AA792" i="12"/>
  <c r="Z792" i="12"/>
  <c r="Y792" i="12"/>
  <c r="AN791" i="12"/>
  <c r="AL791" i="12"/>
  <c r="AJ791" i="12"/>
  <c r="AH791" i="12"/>
  <c r="AE791" i="12"/>
  <c r="AD791" i="12"/>
  <c r="AC791" i="12"/>
  <c r="AB791" i="12"/>
  <c r="AA791" i="12"/>
  <c r="Z791" i="12"/>
  <c r="Y791" i="12"/>
  <c r="AN790" i="12"/>
  <c r="AL790" i="12"/>
  <c r="AJ790" i="12"/>
  <c r="AH790" i="12"/>
  <c r="AE790" i="12"/>
  <c r="AD790" i="12"/>
  <c r="AC790" i="12"/>
  <c r="AB790" i="12"/>
  <c r="AA790" i="12"/>
  <c r="Z790" i="12"/>
  <c r="Y790" i="12"/>
  <c r="AN789" i="12"/>
  <c r="AL789" i="12"/>
  <c r="AJ789" i="12"/>
  <c r="AH789" i="12"/>
  <c r="AE789" i="12"/>
  <c r="AD789" i="12"/>
  <c r="AC789" i="12"/>
  <c r="AB789" i="12"/>
  <c r="AA789" i="12"/>
  <c r="Z789" i="12"/>
  <c r="Y789" i="12"/>
  <c r="AN788" i="12"/>
  <c r="AL788" i="12"/>
  <c r="AJ788" i="12"/>
  <c r="AH788" i="12"/>
  <c r="AE788" i="12"/>
  <c r="AD788" i="12"/>
  <c r="AC788" i="12"/>
  <c r="AB788" i="12"/>
  <c r="AA788" i="12"/>
  <c r="Z788" i="12"/>
  <c r="Y788" i="12"/>
  <c r="AN787" i="12"/>
  <c r="AL787" i="12"/>
  <c r="AJ787" i="12"/>
  <c r="AH787" i="12"/>
  <c r="AE787" i="12"/>
  <c r="AD787" i="12"/>
  <c r="AC787" i="12"/>
  <c r="AB787" i="12"/>
  <c r="AA787" i="12"/>
  <c r="Z787" i="12"/>
  <c r="Y787" i="12"/>
  <c r="AN786" i="12"/>
  <c r="AL786" i="12"/>
  <c r="AJ786" i="12"/>
  <c r="AH786" i="12"/>
  <c r="AE786" i="12"/>
  <c r="AD786" i="12"/>
  <c r="AC786" i="12"/>
  <c r="AB786" i="12"/>
  <c r="AA786" i="12"/>
  <c r="Z786" i="12"/>
  <c r="Y786" i="12"/>
  <c r="AN785" i="12"/>
  <c r="AL785" i="12"/>
  <c r="AJ785" i="12"/>
  <c r="AH785" i="12"/>
  <c r="AE785" i="12"/>
  <c r="AD785" i="12"/>
  <c r="AC785" i="12"/>
  <c r="AB785" i="12"/>
  <c r="AA785" i="12"/>
  <c r="Z785" i="12"/>
  <c r="Y785" i="12"/>
  <c r="AN784" i="12"/>
  <c r="AL784" i="12"/>
  <c r="AJ784" i="12"/>
  <c r="AH784" i="12"/>
  <c r="AE784" i="12"/>
  <c r="AD784" i="12"/>
  <c r="AC784" i="12"/>
  <c r="AB784" i="12"/>
  <c r="AA784" i="12"/>
  <c r="Z784" i="12"/>
  <c r="Y784" i="12"/>
  <c r="AN783" i="12"/>
  <c r="AL783" i="12"/>
  <c r="AJ783" i="12"/>
  <c r="AH783" i="12"/>
  <c r="AE783" i="12"/>
  <c r="AD783" i="12"/>
  <c r="AC783" i="12"/>
  <c r="AB783" i="12"/>
  <c r="AA783" i="12"/>
  <c r="Z783" i="12"/>
  <c r="Y783" i="12"/>
  <c r="AN782" i="12"/>
  <c r="AL782" i="12"/>
  <c r="AJ782" i="12"/>
  <c r="AH782" i="12"/>
  <c r="AE782" i="12"/>
  <c r="AD782" i="12"/>
  <c r="AC782" i="12"/>
  <c r="AB782" i="12"/>
  <c r="AA782" i="12"/>
  <c r="Z782" i="12"/>
  <c r="Y782" i="12"/>
  <c r="AN781" i="12"/>
  <c r="AL781" i="12"/>
  <c r="AJ781" i="12"/>
  <c r="AH781" i="12"/>
  <c r="AE781" i="12"/>
  <c r="AD781" i="12"/>
  <c r="AC781" i="12"/>
  <c r="AB781" i="12"/>
  <c r="AA781" i="12"/>
  <c r="Z781" i="12"/>
  <c r="Y781" i="12"/>
  <c r="AN780" i="12"/>
  <c r="AL780" i="12"/>
  <c r="AJ780" i="12"/>
  <c r="AH780" i="12"/>
  <c r="AE780" i="12"/>
  <c r="AD780" i="12"/>
  <c r="AC780" i="12"/>
  <c r="AB780" i="12"/>
  <c r="AA780" i="12"/>
  <c r="Z780" i="12"/>
  <c r="Y780" i="12"/>
  <c r="AN779" i="12"/>
  <c r="AL779" i="12"/>
  <c r="AJ779" i="12"/>
  <c r="AH779" i="12"/>
  <c r="AE779" i="12"/>
  <c r="AD779" i="12"/>
  <c r="AC779" i="12"/>
  <c r="AB779" i="12"/>
  <c r="AA779" i="12"/>
  <c r="Z779" i="12"/>
  <c r="Y779" i="12"/>
  <c r="AN778" i="12"/>
  <c r="AL778" i="12"/>
  <c r="AJ778" i="12"/>
  <c r="AH778" i="12"/>
  <c r="AE778" i="12"/>
  <c r="AD778" i="12"/>
  <c r="AC778" i="12"/>
  <c r="AB778" i="12"/>
  <c r="AA778" i="12"/>
  <c r="Z778" i="12"/>
  <c r="Y778" i="12"/>
  <c r="AN777" i="12"/>
  <c r="AL777" i="12"/>
  <c r="AJ777" i="12"/>
  <c r="AH777" i="12"/>
  <c r="AE777" i="12"/>
  <c r="AD777" i="12"/>
  <c r="AC777" i="12"/>
  <c r="AB777" i="12"/>
  <c r="AA777" i="12"/>
  <c r="Z777" i="12"/>
  <c r="Y777" i="12"/>
  <c r="AN776" i="12"/>
  <c r="AL776" i="12"/>
  <c r="AJ776" i="12"/>
  <c r="AH776" i="12"/>
  <c r="AE776" i="12"/>
  <c r="AD776" i="12"/>
  <c r="AC776" i="12"/>
  <c r="AB776" i="12"/>
  <c r="AA776" i="12"/>
  <c r="Z776" i="12"/>
  <c r="Y776" i="12"/>
  <c r="AN775" i="12"/>
  <c r="AL775" i="12"/>
  <c r="AJ775" i="12"/>
  <c r="AH775" i="12"/>
  <c r="AE775" i="12"/>
  <c r="AD775" i="12"/>
  <c r="AC775" i="12"/>
  <c r="AB775" i="12"/>
  <c r="AA775" i="12"/>
  <c r="Z775" i="12"/>
  <c r="Y775" i="12"/>
  <c r="AN774" i="12"/>
  <c r="AL774" i="12"/>
  <c r="AJ774" i="12"/>
  <c r="AH774" i="12"/>
  <c r="AE774" i="12"/>
  <c r="AD774" i="12"/>
  <c r="AC774" i="12"/>
  <c r="AB774" i="12"/>
  <c r="AA774" i="12"/>
  <c r="Z774" i="12"/>
  <c r="Y774" i="12"/>
  <c r="AN773" i="12"/>
  <c r="AL773" i="12"/>
  <c r="AJ773" i="12"/>
  <c r="AH773" i="12"/>
  <c r="AE773" i="12"/>
  <c r="AD773" i="12"/>
  <c r="AC773" i="12"/>
  <c r="AB773" i="12"/>
  <c r="AA773" i="12"/>
  <c r="Z773" i="12"/>
  <c r="Y773" i="12"/>
  <c r="AN772" i="12"/>
  <c r="AL772" i="12"/>
  <c r="AJ772" i="12"/>
  <c r="AH772" i="12"/>
  <c r="AE772" i="12"/>
  <c r="AD772" i="12"/>
  <c r="AC772" i="12"/>
  <c r="AB772" i="12"/>
  <c r="AA772" i="12"/>
  <c r="Z772" i="12"/>
  <c r="Y772" i="12"/>
  <c r="AN771" i="12"/>
  <c r="AL771" i="12"/>
  <c r="AJ771" i="12"/>
  <c r="AH771" i="12"/>
  <c r="AE771" i="12"/>
  <c r="AD771" i="12"/>
  <c r="AC771" i="12"/>
  <c r="AB771" i="12"/>
  <c r="AA771" i="12"/>
  <c r="Z771" i="12"/>
  <c r="Y771" i="12"/>
  <c r="AN770" i="12"/>
  <c r="AL770" i="12"/>
  <c r="AJ770" i="12"/>
  <c r="AH770" i="12"/>
  <c r="AE770" i="12"/>
  <c r="AD770" i="12"/>
  <c r="AC770" i="12"/>
  <c r="AB770" i="12"/>
  <c r="AA770" i="12"/>
  <c r="Z770" i="12"/>
  <c r="Y770" i="12"/>
  <c r="AN769" i="12"/>
  <c r="AL769" i="12"/>
  <c r="AJ769" i="12"/>
  <c r="AH769" i="12"/>
  <c r="AE769" i="12"/>
  <c r="AD769" i="12"/>
  <c r="AC769" i="12"/>
  <c r="AB769" i="12"/>
  <c r="AA769" i="12"/>
  <c r="Z769" i="12"/>
  <c r="Y769" i="12"/>
  <c r="AN768" i="12"/>
  <c r="AL768" i="12"/>
  <c r="AJ768" i="12"/>
  <c r="AH768" i="12"/>
  <c r="AE768" i="12"/>
  <c r="AD768" i="12"/>
  <c r="AC768" i="12"/>
  <c r="AB768" i="12"/>
  <c r="AA768" i="12"/>
  <c r="Z768" i="12"/>
  <c r="Y768" i="12"/>
  <c r="AN767" i="12"/>
  <c r="AL767" i="12"/>
  <c r="AJ767" i="12"/>
  <c r="AH767" i="12"/>
  <c r="AE767" i="12"/>
  <c r="AD767" i="12"/>
  <c r="AC767" i="12"/>
  <c r="AB767" i="12"/>
  <c r="AA767" i="12"/>
  <c r="Z767" i="12"/>
  <c r="Y767" i="12"/>
  <c r="AN766" i="12"/>
  <c r="AL766" i="12"/>
  <c r="AJ766" i="12"/>
  <c r="AH766" i="12"/>
  <c r="AE766" i="12"/>
  <c r="AD766" i="12"/>
  <c r="AC766" i="12"/>
  <c r="AB766" i="12"/>
  <c r="AA766" i="12"/>
  <c r="Z766" i="12"/>
  <c r="Y766" i="12"/>
  <c r="AN765" i="12"/>
  <c r="AL765" i="12"/>
  <c r="AJ765" i="12"/>
  <c r="AH765" i="12"/>
  <c r="AE765" i="12"/>
  <c r="AD765" i="12"/>
  <c r="AC765" i="12"/>
  <c r="AB765" i="12"/>
  <c r="AA765" i="12"/>
  <c r="Z765" i="12"/>
  <c r="Y765" i="12"/>
  <c r="AN764" i="12"/>
  <c r="AL764" i="12"/>
  <c r="AJ764" i="12"/>
  <c r="AH764" i="12"/>
  <c r="AE764" i="12"/>
  <c r="AD764" i="12"/>
  <c r="AC764" i="12"/>
  <c r="AB764" i="12"/>
  <c r="AA764" i="12"/>
  <c r="Z764" i="12"/>
  <c r="Y764" i="12"/>
  <c r="AN763" i="12"/>
  <c r="AL763" i="12"/>
  <c r="AJ763" i="12"/>
  <c r="AH763" i="12"/>
  <c r="AE763" i="12"/>
  <c r="AD763" i="12"/>
  <c r="AC763" i="12"/>
  <c r="AB763" i="12"/>
  <c r="AA763" i="12"/>
  <c r="Z763" i="12"/>
  <c r="Y763" i="12"/>
  <c r="AN762" i="12"/>
  <c r="AL762" i="12"/>
  <c r="AJ762" i="12"/>
  <c r="AH762" i="12"/>
  <c r="AE762" i="12"/>
  <c r="AD762" i="12"/>
  <c r="AC762" i="12"/>
  <c r="AB762" i="12"/>
  <c r="AA762" i="12"/>
  <c r="Z762" i="12"/>
  <c r="Y762" i="12"/>
  <c r="AN761" i="12"/>
  <c r="AL761" i="12"/>
  <c r="AJ761" i="12"/>
  <c r="AH761" i="12"/>
  <c r="AE761" i="12"/>
  <c r="AD761" i="12"/>
  <c r="AC761" i="12"/>
  <c r="AB761" i="12"/>
  <c r="AA761" i="12"/>
  <c r="Z761" i="12"/>
  <c r="Y761" i="12"/>
  <c r="AN760" i="12"/>
  <c r="AL760" i="12"/>
  <c r="AJ760" i="12"/>
  <c r="AH760" i="12"/>
  <c r="AE760" i="12"/>
  <c r="AD760" i="12"/>
  <c r="AC760" i="12"/>
  <c r="AB760" i="12"/>
  <c r="AA760" i="12"/>
  <c r="Z760" i="12"/>
  <c r="Y760" i="12"/>
  <c r="AN759" i="12"/>
  <c r="AL759" i="12"/>
  <c r="AJ759" i="12"/>
  <c r="AH759" i="12"/>
  <c r="AE759" i="12"/>
  <c r="AD759" i="12"/>
  <c r="AC759" i="12"/>
  <c r="AB759" i="12"/>
  <c r="AA759" i="12"/>
  <c r="Z759" i="12"/>
  <c r="Y759" i="12"/>
  <c r="AN758" i="12"/>
  <c r="AL758" i="12"/>
  <c r="AJ758" i="12"/>
  <c r="AH758" i="12"/>
  <c r="AE758" i="12"/>
  <c r="AD758" i="12"/>
  <c r="AC758" i="12"/>
  <c r="AB758" i="12"/>
  <c r="AA758" i="12"/>
  <c r="Z758" i="12"/>
  <c r="Y758" i="12"/>
  <c r="AN757" i="12"/>
  <c r="AL757" i="12"/>
  <c r="AJ757" i="12"/>
  <c r="AH757" i="12"/>
  <c r="AE757" i="12"/>
  <c r="AD757" i="12"/>
  <c r="AC757" i="12"/>
  <c r="AB757" i="12"/>
  <c r="AA757" i="12"/>
  <c r="Z757" i="12"/>
  <c r="Y757" i="12"/>
  <c r="AN756" i="12"/>
  <c r="AL756" i="12"/>
  <c r="AJ756" i="12"/>
  <c r="AH756" i="12"/>
  <c r="AE756" i="12"/>
  <c r="AD756" i="12"/>
  <c r="AC756" i="12"/>
  <c r="AB756" i="12"/>
  <c r="AA756" i="12"/>
  <c r="Z756" i="12"/>
  <c r="Y756" i="12"/>
  <c r="AN755" i="12"/>
  <c r="AL755" i="12"/>
  <c r="AJ755" i="12"/>
  <c r="AH755" i="12"/>
  <c r="AE755" i="12"/>
  <c r="AD755" i="12"/>
  <c r="AC755" i="12"/>
  <c r="AB755" i="12"/>
  <c r="AA755" i="12"/>
  <c r="Z755" i="12"/>
  <c r="Y755" i="12"/>
  <c r="AN754" i="12"/>
  <c r="AL754" i="12"/>
  <c r="AJ754" i="12"/>
  <c r="AH754" i="12"/>
  <c r="AE754" i="12"/>
  <c r="AD754" i="12"/>
  <c r="AC754" i="12"/>
  <c r="AB754" i="12"/>
  <c r="AA754" i="12"/>
  <c r="Z754" i="12"/>
  <c r="Y754" i="12"/>
  <c r="AN753" i="12"/>
  <c r="AL753" i="12"/>
  <c r="AJ753" i="12"/>
  <c r="AH753" i="12"/>
  <c r="AE753" i="12"/>
  <c r="AD753" i="12"/>
  <c r="AC753" i="12"/>
  <c r="AB753" i="12"/>
  <c r="AA753" i="12"/>
  <c r="Z753" i="12"/>
  <c r="Y753" i="12"/>
  <c r="AN752" i="12"/>
  <c r="AL752" i="12"/>
  <c r="AJ752" i="12"/>
  <c r="AH752" i="12"/>
  <c r="AE752" i="12"/>
  <c r="AD752" i="12"/>
  <c r="AC752" i="12"/>
  <c r="AB752" i="12"/>
  <c r="AA752" i="12"/>
  <c r="Z752" i="12"/>
  <c r="Y752" i="12"/>
  <c r="AN751" i="12"/>
  <c r="AL751" i="12"/>
  <c r="AJ751" i="12"/>
  <c r="AH751" i="12"/>
  <c r="AE751" i="12"/>
  <c r="AD751" i="12"/>
  <c r="AC751" i="12"/>
  <c r="AB751" i="12"/>
  <c r="AA751" i="12"/>
  <c r="Z751" i="12"/>
  <c r="Y751" i="12"/>
  <c r="AN750" i="12"/>
  <c r="AL750" i="12"/>
  <c r="AJ750" i="12"/>
  <c r="AH750" i="12"/>
  <c r="AE750" i="12"/>
  <c r="AD750" i="12"/>
  <c r="AC750" i="12"/>
  <c r="AB750" i="12"/>
  <c r="AA750" i="12"/>
  <c r="Z750" i="12"/>
  <c r="Y750" i="12"/>
  <c r="AN749" i="12"/>
  <c r="AL749" i="12"/>
  <c r="AJ749" i="12"/>
  <c r="AH749" i="12"/>
  <c r="AE749" i="12"/>
  <c r="AD749" i="12"/>
  <c r="AC749" i="12"/>
  <c r="AB749" i="12"/>
  <c r="AA749" i="12"/>
  <c r="Z749" i="12"/>
  <c r="Y749" i="12"/>
  <c r="AN748" i="12"/>
  <c r="AL748" i="12"/>
  <c r="AJ748" i="12"/>
  <c r="AH748" i="12"/>
  <c r="AE748" i="12"/>
  <c r="AD748" i="12"/>
  <c r="AC748" i="12"/>
  <c r="AB748" i="12"/>
  <c r="AA748" i="12"/>
  <c r="Z748" i="12"/>
  <c r="Y748" i="12"/>
  <c r="AN747" i="12"/>
  <c r="AL747" i="12"/>
  <c r="AJ747" i="12"/>
  <c r="AH747" i="12"/>
  <c r="AE747" i="12"/>
  <c r="AD747" i="12"/>
  <c r="AC747" i="12"/>
  <c r="AB747" i="12"/>
  <c r="AA747" i="12"/>
  <c r="Z747" i="12"/>
  <c r="Y747" i="12"/>
  <c r="AN746" i="12"/>
  <c r="AL746" i="12"/>
  <c r="AJ746" i="12"/>
  <c r="AH746" i="12"/>
  <c r="AE746" i="12"/>
  <c r="AD746" i="12"/>
  <c r="AC746" i="12"/>
  <c r="AB746" i="12"/>
  <c r="AA746" i="12"/>
  <c r="Z746" i="12"/>
  <c r="Y746" i="12"/>
  <c r="AN745" i="12"/>
  <c r="AL745" i="12"/>
  <c r="AJ745" i="12"/>
  <c r="AH745" i="12"/>
  <c r="AE745" i="12"/>
  <c r="AD745" i="12"/>
  <c r="AC745" i="12"/>
  <c r="AB745" i="12"/>
  <c r="AA745" i="12"/>
  <c r="Z745" i="12"/>
  <c r="Y745" i="12"/>
  <c r="AN744" i="12"/>
  <c r="AL744" i="12"/>
  <c r="AJ744" i="12"/>
  <c r="AH744" i="12"/>
  <c r="AE744" i="12"/>
  <c r="AD744" i="12"/>
  <c r="AC744" i="12"/>
  <c r="AB744" i="12"/>
  <c r="AA744" i="12"/>
  <c r="Z744" i="12"/>
  <c r="Y744" i="12"/>
  <c r="AN743" i="12"/>
  <c r="AL743" i="12"/>
  <c r="AJ743" i="12"/>
  <c r="AH743" i="12"/>
  <c r="AE743" i="12"/>
  <c r="AD743" i="12"/>
  <c r="AC743" i="12"/>
  <c r="AB743" i="12"/>
  <c r="AA743" i="12"/>
  <c r="Z743" i="12"/>
  <c r="Y743" i="12"/>
  <c r="AN742" i="12"/>
  <c r="AL742" i="12"/>
  <c r="AJ742" i="12"/>
  <c r="AH742" i="12"/>
  <c r="AE742" i="12"/>
  <c r="AD742" i="12"/>
  <c r="AC742" i="12"/>
  <c r="AB742" i="12"/>
  <c r="AA742" i="12"/>
  <c r="Z742" i="12"/>
  <c r="Y742" i="12"/>
  <c r="AN741" i="12"/>
  <c r="AL741" i="12"/>
  <c r="AJ741" i="12"/>
  <c r="AH741" i="12"/>
  <c r="AE741" i="12"/>
  <c r="AD741" i="12"/>
  <c r="AC741" i="12"/>
  <c r="AB741" i="12"/>
  <c r="AA741" i="12"/>
  <c r="Z741" i="12"/>
  <c r="Y741" i="12"/>
  <c r="AN740" i="12"/>
  <c r="AL740" i="12"/>
  <c r="AJ740" i="12"/>
  <c r="AH740" i="12"/>
  <c r="AE740" i="12"/>
  <c r="AD740" i="12"/>
  <c r="AC740" i="12"/>
  <c r="AB740" i="12"/>
  <c r="AA740" i="12"/>
  <c r="Z740" i="12"/>
  <c r="Y740" i="12"/>
  <c r="AN739" i="12"/>
  <c r="AL739" i="12"/>
  <c r="AJ739" i="12"/>
  <c r="AH739" i="12"/>
  <c r="AE739" i="12"/>
  <c r="AD739" i="12"/>
  <c r="AC739" i="12"/>
  <c r="AB739" i="12"/>
  <c r="AA739" i="12"/>
  <c r="Z739" i="12"/>
  <c r="Y739" i="12"/>
  <c r="AN738" i="12"/>
  <c r="AL738" i="12"/>
  <c r="AJ738" i="12"/>
  <c r="AH738" i="12"/>
  <c r="AE738" i="12"/>
  <c r="AD738" i="12"/>
  <c r="AC738" i="12"/>
  <c r="AB738" i="12"/>
  <c r="AA738" i="12"/>
  <c r="Z738" i="12"/>
  <c r="Y738" i="12"/>
  <c r="AN737" i="12"/>
  <c r="AL737" i="12"/>
  <c r="AJ737" i="12"/>
  <c r="AH737" i="12"/>
  <c r="AE737" i="12"/>
  <c r="AD737" i="12"/>
  <c r="AC737" i="12"/>
  <c r="AB737" i="12"/>
  <c r="AA737" i="12"/>
  <c r="Z737" i="12"/>
  <c r="Y737" i="12"/>
  <c r="AN736" i="12"/>
  <c r="AL736" i="12"/>
  <c r="AJ736" i="12"/>
  <c r="AH736" i="12"/>
  <c r="AE736" i="12"/>
  <c r="AD736" i="12"/>
  <c r="AC736" i="12"/>
  <c r="AB736" i="12"/>
  <c r="AA736" i="12"/>
  <c r="Z736" i="12"/>
  <c r="Y736" i="12"/>
  <c r="AN735" i="12"/>
  <c r="AL735" i="12"/>
  <c r="AJ735" i="12"/>
  <c r="AH735" i="12"/>
  <c r="AE735" i="12"/>
  <c r="AD735" i="12"/>
  <c r="AC735" i="12"/>
  <c r="AB735" i="12"/>
  <c r="AA735" i="12"/>
  <c r="Z735" i="12"/>
  <c r="Y735" i="12"/>
  <c r="AN734" i="12"/>
  <c r="AL734" i="12"/>
  <c r="AJ734" i="12"/>
  <c r="AH734" i="12"/>
  <c r="AE734" i="12"/>
  <c r="AD734" i="12"/>
  <c r="AC734" i="12"/>
  <c r="AB734" i="12"/>
  <c r="AA734" i="12"/>
  <c r="Z734" i="12"/>
  <c r="Y734" i="12"/>
  <c r="AN733" i="12"/>
  <c r="AL733" i="12"/>
  <c r="AJ733" i="12"/>
  <c r="AH733" i="12"/>
  <c r="AE733" i="12"/>
  <c r="AD733" i="12"/>
  <c r="AC733" i="12"/>
  <c r="AB733" i="12"/>
  <c r="AA733" i="12"/>
  <c r="Z733" i="12"/>
  <c r="Y733" i="12"/>
  <c r="AN732" i="12"/>
  <c r="AL732" i="12"/>
  <c r="AJ732" i="12"/>
  <c r="AH732" i="12"/>
  <c r="AE732" i="12"/>
  <c r="AD732" i="12"/>
  <c r="AC732" i="12"/>
  <c r="AB732" i="12"/>
  <c r="AA732" i="12"/>
  <c r="Z732" i="12"/>
  <c r="Y732" i="12"/>
  <c r="AN731" i="12"/>
  <c r="AL731" i="12"/>
  <c r="AJ731" i="12"/>
  <c r="AH731" i="12"/>
  <c r="AE731" i="12"/>
  <c r="AD731" i="12"/>
  <c r="AC731" i="12"/>
  <c r="AB731" i="12"/>
  <c r="AA731" i="12"/>
  <c r="Z731" i="12"/>
  <c r="Y731" i="12"/>
  <c r="AN730" i="12"/>
  <c r="AL730" i="12"/>
  <c r="AJ730" i="12"/>
  <c r="AH730" i="12"/>
  <c r="AE730" i="12"/>
  <c r="AD730" i="12"/>
  <c r="AC730" i="12"/>
  <c r="AB730" i="12"/>
  <c r="AA730" i="12"/>
  <c r="Z730" i="12"/>
  <c r="Y730" i="12"/>
  <c r="AN729" i="12"/>
  <c r="AL729" i="12"/>
  <c r="AJ729" i="12"/>
  <c r="AH729" i="12"/>
  <c r="AE729" i="12"/>
  <c r="AD729" i="12"/>
  <c r="AC729" i="12"/>
  <c r="AB729" i="12"/>
  <c r="AA729" i="12"/>
  <c r="Z729" i="12"/>
  <c r="Y729" i="12"/>
  <c r="AN728" i="12"/>
  <c r="AL728" i="12"/>
  <c r="AJ728" i="12"/>
  <c r="AH728" i="12"/>
  <c r="AE728" i="12"/>
  <c r="AD728" i="12"/>
  <c r="AC728" i="12"/>
  <c r="AB728" i="12"/>
  <c r="AA728" i="12"/>
  <c r="Z728" i="12"/>
  <c r="Y728" i="12"/>
  <c r="AN727" i="12"/>
  <c r="AL727" i="12"/>
  <c r="AJ727" i="12"/>
  <c r="AH727" i="12"/>
  <c r="AE727" i="12"/>
  <c r="AD727" i="12"/>
  <c r="AC727" i="12"/>
  <c r="AB727" i="12"/>
  <c r="AA727" i="12"/>
  <c r="Z727" i="12"/>
  <c r="Y727" i="12"/>
  <c r="AN726" i="12"/>
  <c r="AL726" i="12"/>
  <c r="AJ726" i="12"/>
  <c r="AH726" i="12"/>
  <c r="AE726" i="12"/>
  <c r="AD726" i="12"/>
  <c r="AC726" i="12"/>
  <c r="AB726" i="12"/>
  <c r="AA726" i="12"/>
  <c r="Z726" i="12"/>
  <c r="Y726" i="12"/>
  <c r="AN725" i="12"/>
  <c r="AL725" i="12"/>
  <c r="AJ725" i="12"/>
  <c r="AH725" i="12"/>
  <c r="AE725" i="12"/>
  <c r="AD725" i="12"/>
  <c r="AC725" i="12"/>
  <c r="AB725" i="12"/>
  <c r="AA725" i="12"/>
  <c r="Z725" i="12"/>
  <c r="Y725" i="12"/>
  <c r="AN724" i="12"/>
  <c r="AL724" i="12"/>
  <c r="AJ724" i="12"/>
  <c r="AH724" i="12"/>
  <c r="AE724" i="12"/>
  <c r="AD724" i="12"/>
  <c r="AC724" i="12"/>
  <c r="AB724" i="12"/>
  <c r="AA724" i="12"/>
  <c r="Z724" i="12"/>
  <c r="Y724" i="12"/>
  <c r="AN723" i="12"/>
  <c r="AL723" i="12"/>
  <c r="AJ723" i="12"/>
  <c r="AH723" i="12"/>
  <c r="AE723" i="12"/>
  <c r="AD723" i="12"/>
  <c r="AC723" i="12"/>
  <c r="AB723" i="12"/>
  <c r="AA723" i="12"/>
  <c r="Z723" i="12"/>
  <c r="Y723" i="12"/>
  <c r="AN722" i="12"/>
  <c r="AL722" i="12"/>
  <c r="AJ722" i="12"/>
  <c r="AH722" i="12"/>
  <c r="AE722" i="12"/>
  <c r="AD722" i="12"/>
  <c r="AC722" i="12"/>
  <c r="AB722" i="12"/>
  <c r="AA722" i="12"/>
  <c r="Z722" i="12"/>
  <c r="Y722" i="12"/>
  <c r="AN721" i="12"/>
  <c r="AL721" i="12"/>
  <c r="AJ721" i="12"/>
  <c r="AH721" i="12"/>
  <c r="AE721" i="12"/>
  <c r="AD721" i="12"/>
  <c r="AC721" i="12"/>
  <c r="AB721" i="12"/>
  <c r="AA721" i="12"/>
  <c r="Z721" i="12"/>
  <c r="Y721" i="12"/>
  <c r="AN720" i="12"/>
  <c r="AL720" i="12"/>
  <c r="AJ720" i="12"/>
  <c r="AH720" i="12"/>
  <c r="AE720" i="12"/>
  <c r="AD720" i="12"/>
  <c r="AC720" i="12"/>
  <c r="AB720" i="12"/>
  <c r="AA720" i="12"/>
  <c r="Z720" i="12"/>
  <c r="Y720" i="12"/>
  <c r="AN719" i="12"/>
  <c r="AL719" i="12"/>
  <c r="AJ719" i="12"/>
  <c r="AH719" i="12"/>
  <c r="AE719" i="12"/>
  <c r="AD719" i="12"/>
  <c r="AC719" i="12"/>
  <c r="AB719" i="12"/>
  <c r="AA719" i="12"/>
  <c r="Z719" i="12"/>
  <c r="Y719" i="12"/>
  <c r="AN718" i="12"/>
  <c r="AL718" i="12"/>
  <c r="AJ718" i="12"/>
  <c r="AH718" i="12"/>
  <c r="AE718" i="12"/>
  <c r="AD718" i="12"/>
  <c r="AC718" i="12"/>
  <c r="AB718" i="12"/>
  <c r="AA718" i="12"/>
  <c r="Z718" i="12"/>
  <c r="Y718" i="12"/>
  <c r="AN717" i="12"/>
  <c r="AL717" i="12"/>
  <c r="AJ717" i="12"/>
  <c r="AH717" i="12"/>
  <c r="AE717" i="12"/>
  <c r="AD717" i="12"/>
  <c r="AC717" i="12"/>
  <c r="AB717" i="12"/>
  <c r="AA717" i="12"/>
  <c r="Z717" i="12"/>
  <c r="Y717" i="12"/>
  <c r="AN716" i="12"/>
  <c r="AL716" i="12"/>
  <c r="AJ716" i="12"/>
  <c r="AH716" i="12"/>
  <c r="AE716" i="12"/>
  <c r="AD716" i="12"/>
  <c r="AC716" i="12"/>
  <c r="AB716" i="12"/>
  <c r="AA716" i="12"/>
  <c r="Z716" i="12"/>
  <c r="Y716" i="12"/>
  <c r="AN715" i="12"/>
  <c r="AL715" i="12"/>
  <c r="AJ715" i="12"/>
  <c r="AH715" i="12"/>
  <c r="AE715" i="12"/>
  <c r="AD715" i="12"/>
  <c r="AC715" i="12"/>
  <c r="AB715" i="12"/>
  <c r="AA715" i="12"/>
  <c r="Z715" i="12"/>
  <c r="Y715" i="12"/>
  <c r="AN714" i="12"/>
  <c r="AL714" i="12"/>
  <c r="AJ714" i="12"/>
  <c r="AH714" i="12"/>
  <c r="AE714" i="12"/>
  <c r="AD714" i="12"/>
  <c r="AC714" i="12"/>
  <c r="AB714" i="12"/>
  <c r="AA714" i="12"/>
  <c r="Z714" i="12"/>
  <c r="Y714" i="12"/>
  <c r="AN713" i="12"/>
  <c r="AL713" i="12"/>
  <c r="AJ713" i="12"/>
  <c r="AH713" i="12"/>
  <c r="AE713" i="12"/>
  <c r="AD713" i="12"/>
  <c r="AC713" i="12"/>
  <c r="AB713" i="12"/>
  <c r="AA713" i="12"/>
  <c r="Z713" i="12"/>
  <c r="Y713" i="12"/>
  <c r="AN712" i="12"/>
  <c r="AL712" i="12"/>
  <c r="AJ712" i="12"/>
  <c r="AH712" i="12"/>
  <c r="AE712" i="12"/>
  <c r="AD712" i="12"/>
  <c r="AC712" i="12"/>
  <c r="AB712" i="12"/>
  <c r="AA712" i="12"/>
  <c r="Z712" i="12"/>
  <c r="Y712" i="12"/>
  <c r="AN711" i="12"/>
  <c r="AL711" i="12"/>
  <c r="AJ711" i="12"/>
  <c r="AH711" i="12"/>
  <c r="AE711" i="12"/>
  <c r="AD711" i="12"/>
  <c r="AC711" i="12"/>
  <c r="AB711" i="12"/>
  <c r="AA711" i="12"/>
  <c r="Z711" i="12"/>
  <c r="Y711" i="12"/>
  <c r="AN710" i="12"/>
  <c r="AL710" i="12"/>
  <c r="AJ710" i="12"/>
  <c r="AH710" i="12"/>
  <c r="AE710" i="12"/>
  <c r="AD710" i="12"/>
  <c r="AC710" i="12"/>
  <c r="AB710" i="12"/>
  <c r="AA710" i="12"/>
  <c r="Z710" i="12"/>
  <c r="Y710" i="12"/>
  <c r="AN709" i="12"/>
  <c r="AL709" i="12"/>
  <c r="AJ709" i="12"/>
  <c r="AH709" i="12"/>
  <c r="AE709" i="12"/>
  <c r="AD709" i="12"/>
  <c r="AC709" i="12"/>
  <c r="AB709" i="12"/>
  <c r="AA709" i="12"/>
  <c r="Z709" i="12"/>
  <c r="Y709" i="12"/>
  <c r="AN708" i="12"/>
  <c r="AL708" i="12"/>
  <c r="AJ708" i="12"/>
  <c r="AH708" i="12"/>
  <c r="AE708" i="12"/>
  <c r="AD708" i="12"/>
  <c r="AC708" i="12"/>
  <c r="AB708" i="12"/>
  <c r="AA708" i="12"/>
  <c r="Z708" i="12"/>
  <c r="Y708" i="12"/>
  <c r="AN707" i="12"/>
  <c r="AL707" i="12"/>
  <c r="AJ707" i="12"/>
  <c r="AH707" i="12"/>
  <c r="AE707" i="12"/>
  <c r="AD707" i="12"/>
  <c r="AC707" i="12"/>
  <c r="AB707" i="12"/>
  <c r="AA707" i="12"/>
  <c r="Z707" i="12"/>
  <c r="Y707" i="12"/>
  <c r="AN706" i="12"/>
  <c r="AL706" i="12"/>
  <c r="AJ706" i="12"/>
  <c r="AH706" i="12"/>
  <c r="AE706" i="12"/>
  <c r="AD706" i="12"/>
  <c r="AC706" i="12"/>
  <c r="AB706" i="12"/>
  <c r="AA706" i="12"/>
  <c r="Z706" i="12"/>
  <c r="Y706" i="12"/>
  <c r="AN705" i="12"/>
  <c r="AL705" i="12"/>
  <c r="AJ705" i="12"/>
  <c r="AH705" i="12"/>
  <c r="AE705" i="12"/>
  <c r="AD705" i="12"/>
  <c r="AC705" i="12"/>
  <c r="AB705" i="12"/>
  <c r="AA705" i="12"/>
  <c r="Z705" i="12"/>
  <c r="Y705" i="12"/>
  <c r="AN704" i="12"/>
  <c r="AL704" i="12"/>
  <c r="AJ704" i="12"/>
  <c r="AH704" i="12"/>
  <c r="AE704" i="12"/>
  <c r="AD704" i="12"/>
  <c r="AC704" i="12"/>
  <c r="AB704" i="12"/>
  <c r="AA704" i="12"/>
  <c r="Z704" i="12"/>
  <c r="Y704" i="12"/>
  <c r="AN703" i="12"/>
  <c r="AL703" i="12"/>
  <c r="AJ703" i="12"/>
  <c r="AH703" i="12"/>
  <c r="AE703" i="12"/>
  <c r="AD703" i="12"/>
  <c r="AC703" i="12"/>
  <c r="AB703" i="12"/>
  <c r="AA703" i="12"/>
  <c r="Z703" i="12"/>
  <c r="Y703" i="12"/>
  <c r="AN702" i="12"/>
  <c r="AL702" i="12"/>
  <c r="AJ702" i="12"/>
  <c r="AH702" i="12"/>
  <c r="AE702" i="12"/>
  <c r="AD702" i="12"/>
  <c r="AC702" i="12"/>
  <c r="AB702" i="12"/>
  <c r="AA702" i="12"/>
  <c r="Z702" i="12"/>
  <c r="Y702" i="12"/>
  <c r="AN701" i="12"/>
  <c r="AL701" i="12"/>
  <c r="AJ701" i="12"/>
  <c r="AH701" i="12"/>
  <c r="AE701" i="12"/>
  <c r="AD701" i="12"/>
  <c r="AC701" i="12"/>
  <c r="AB701" i="12"/>
  <c r="AA701" i="12"/>
  <c r="Z701" i="12"/>
  <c r="Y701" i="12"/>
  <c r="AN700" i="12"/>
  <c r="AL700" i="12"/>
  <c r="AJ700" i="12"/>
  <c r="AH700" i="12"/>
  <c r="AE700" i="12"/>
  <c r="AD700" i="12"/>
  <c r="AC700" i="12"/>
  <c r="AB700" i="12"/>
  <c r="AA700" i="12"/>
  <c r="Z700" i="12"/>
  <c r="Y700" i="12"/>
  <c r="AN699" i="12"/>
  <c r="AL699" i="12"/>
  <c r="AJ699" i="12"/>
  <c r="AH699" i="12"/>
  <c r="AE699" i="12"/>
  <c r="AD699" i="12"/>
  <c r="AC699" i="12"/>
  <c r="AB699" i="12"/>
  <c r="AA699" i="12"/>
  <c r="Z699" i="12"/>
  <c r="Y699" i="12"/>
  <c r="AN698" i="12"/>
  <c r="AL698" i="12"/>
  <c r="AJ698" i="12"/>
  <c r="AH698" i="12"/>
  <c r="AE698" i="12"/>
  <c r="AD698" i="12"/>
  <c r="AC698" i="12"/>
  <c r="AB698" i="12"/>
  <c r="AA698" i="12"/>
  <c r="Z698" i="12"/>
  <c r="Y698" i="12"/>
  <c r="AN697" i="12"/>
  <c r="AL697" i="12"/>
  <c r="AJ697" i="12"/>
  <c r="AH697" i="12"/>
  <c r="AE697" i="12"/>
  <c r="AD697" i="12"/>
  <c r="AC697" i="12"/>
  <c r="AB697" i="12"/>
  <c r="AA697" i="12"/>
  <c r="Z697" i="12"/>
  <c r="Y697" i="12"/>
  <c r="AN696" i="12"/>
  <c r="AL696" i="12"/>
  <c r="AJ696" i="12"/>
  <c r="AH696" i="12"/>
  <c r="AE696" i="12"/>
  <c r="AD696" i="12"/>
  <c r="AC696" i="12"/>
  <c r="AB696" i="12"/>
  <c r="AA696" i="12"/>
  <c r="Z696" i="12"/>
  <c r="Y696" i="12"/>
  <c r="AN695" i="12"/>
  <c r="AL695" i="12"/>
  <c r="AJ695" i="12"/>
  <c r="AH695" i="12"/>
  <c r="AE695" i="12"/>
  <c r="AD695" i="12"/>
  <c r="AC695" i="12"/>
  <c r="AB695" i="12"/>
  <c r="AA695" i="12"/>
  <c r="Z695" i="12"/>
  <c r="Y695" i="12"/>
  <c r="AN694" i="12"/>
  <c r="AL694" i="12"/>
  <c r="AJ694" i="12"/>
  <c r="AH694" i="12"/>
  <c r="AE694" i="12"/>
  <c r="AD694" i="12"/>
  <c r="AC694" i="12"/>
  <c r="AB694" i="12"/>
  <c r="AA694" i="12"/>
  <c r="Z694" i="12"/>
  <c r="Y694" i="12"/>
  <c r="AN693" i="12"/>
  <c r="AL693" i="12"/>
  <c r="AJ693" i="12"/>
  <c r="AH693" i="12"/>
  <c r="AE693" i="12"/>
  <c r="AD693" i="12"/>
  <c r="AC693" i="12"/>
  <c r="AB693" i="12"/>
  <c r="AA693" i="12"/>
  <c r="Z693" i="12"/>
  <c r="Y693" i="12"/>
  <c r="AN692" i="12"/>
  <c r="AL692" i="12"/>
  <c r="AJ692" i="12"/>
  <c r="AH692" i="12"/>
  <c r="AE692" i="12"/>
  <c r="AD692" i="12"/>
  <c r="AC692" i="12"/>
  <c r="AB692" i="12"/>
  <c r="AA692" i="12"/>
  <c r="Z692" i="12"/>
  <c r="Y692" i="12"/>
  <c r="AN691" i="12"/>
  <c r="AL691" i="12"/>
  <c r="AJ691" i="12"/>
  <c r="AH691" i="12"/>
  <c r="AE691" i="12"/>
  <c r="AD691" i="12"/>
  <c r="AC691" i="12"/>
  <c r="AB691" i="12"/>
  <c r="AA691" i="12"/>
  <c r="Z691" i="12"/>
  <c r="Y691" i="12"/>
  <c r="AN690" i="12"/>
  <c r="AL690" i="12"/>
  <c r="AJ690" i="12"/>
  <c r="AH690" i="12"/>
  <c r="AE690" i="12"/>
  <c r="AD690" i="12"/>
  <c r="AC690" i="12"/>
  <c r="AB690" i="12"/>
  <c r="AA690" i="12"/>
  <c r="Z690" i="12"/>
  <c r="Y690" i="12"/>
  <c r="AN689" i="12"/>
  <c r="AL689" i="12"/>
  <c r="AJ689" i="12"/>
  <c r="AH689" i="12"/>
  <c r="AE689" i="12"/>
  <c r="AD689" i="12"/>
  <c r="AC689" i="12"/>
  <c r="AB689" i="12"/>
  <c r="AA689" i="12"/>
  <c r="Z689" i="12"/>
  <c r="Y689" i="12"/>
  <c r="AN688" i="12"/>
  <c r="AL688" i="12"/>
  <c r="AJ688" i="12"/>
  <c r="AH688" i="12"/>
  <c r="AE688" i="12"/>
  <c r="AD688" i="12"/>
  <c r="AC688" i="12"/>
  <c r="AB688" i="12"/>
  <c r="AA688" i="12"/>
  <c r="Z688" i="12"/>
  <c r="Y688" i="12"/>
  <c r="AN687" i="12"/>
  <c r="AL687" i="12"/>
  <c r="AJ687" i="12"/>
  <c r="AH687" i="12"/>
  <c r="AE687" i="12"/>
  <c r="AD687" i="12"/>
  <c r="AC687" i="12"/>
  <c r="AB687" i="12"/>
  <c r="AA687" i="12"/>
  <c r="Z687" i="12"/>
  <c r="Y687" i="12"/>
  <c r="AN686" i="12"/>
  <c r="AL686" i="12"/>
  <c r="AJ686" i="12"/>
  <c r="AH686" i="12"/>
  <c r="AE686" i="12"/>
  <c r="AD686" i="12"/>
  <c r="AC686" i="12"/>
  <c r="AB686" i="12"/>
  <c r="AA686" i="12"/>
  <c r="Z686" i="12"/>
  <c r="Y686" i="12"/>
  <c r="AN685" i="12"/>
  <c r="AL685" i="12"/>
  <c r="AJ685" i="12"/>
  <c r="AH685" i="12"/>
  <c r="AE685" i="12"/>
  <c r="AD685" i="12"/>
  <c r="AC685" i="12"/>
  <c r="AB685" i="12"/>
  <c r="AA685" i="12"/>
  <c r="Z685" i="12"/>
  <c r="Y685" i="12"/>
  <c r="AN684" i="12"/>
  <c r="AL684" i="12"/>
  <c r="AJ684" i="12"/>
  <c r="AH684" i="12"/>
  <c r="AE684" i="12"/>
  <c r="AD684" i="12"/>
  <c r="AC684" i="12"/>
  <c r="AB684" i="12"/>
  <c r="AA684" i="12"/>
  <c r="Z684" i="12"/>
  <c r="Y684" i="12"/>
  <c r="AN683" i="12"/>
  <c r="AL683" i="12"/>
  <c r="AJ683" i="12"/>
  <c r="AH683" i="12"/>
  <c r="AE683" i="12"/>
  <c r="AD683" i="12"/>
  <c r="AC683" i="12"/>
  <c r="AB683" i="12"/>
  <c r="AA683" i="12"/>
  <c r="Z683" i="12"/>
  <c r="Y683" i="12"/>
  <c r="AN682" i="12"/>
  <c r="AL682" i="12"/>
  <c r="AJ682" i="12"/>
  <c r="AH682" i="12"/>
  <c r="AE682" i="12"/>
  <c r="AD682" i="12"/>
  <c r="AC682" i="12"/>
  <c r="AB682" i="12"/>
  <c r="AA682" i="12"/>
  <c r="Z682" i="12"/>
  <c r="Y682" i="12"/>
  <c r="AN681" i="12"/>
  <c r="AL681" i="12"/>
  <c r="AJ681" i="12"/>
  <c r="AH681" i="12"/>
  <c r="AE681" i="12"/>
  <c r="AD681" i="12"/>
  <c r="AC681" i="12"/>
  <c r="AB681" i="12"/>
  <c r="AA681" i="12"/>
  <c r="Z681" i="12"/>
  <c r="Y681" i="12"/>
  <c r="AN680" i="12"/>
  <c r="AL680" i="12"/>
  <c r="AJ680" i="12"/>
  <c r="AH680" i="12"/>
  <c r="AE680" i="12"/>
  <c r="AD680" i="12"/>
  <c r="AC680" i="12"/>
  <c r="AB680" i="12"/>
  <c r="AA680" i="12"/>
  <c r="Z680" i="12"/>
  <c r="Y680" i="12"/>
  <c r="AN679" i="12"/>
  <c r="AL679" i="12"/>
  <c r="AJ679" i="12"/>
  <c r="AH679" i="12"/>
  <c r="AE679" i="12"/>
  <c r="AD679" i="12"/>
  <c r="AC679" i="12"/>
  <c r="AB679" i="12"/>
  <c r="AA679" i="12"/>
  <c r="Z679" i="12"/>
  <c r="Y679" i="12"/>
  <c r="AN678" i="12"/>
  <c r="AL678" i="12"/>
  <c r="AJ678" i="12"/>
  <c r="AH678" i="12"/>
  <c r="AE678" i="12"/>
  <c r="AD678" i="12"/>
  <c r="AC678" i="12"/>
  <c r="AB678" i="12"/>
  <c r="AA678" i="12"/>
  <c r="Z678" i="12"/>
  <c r="Y678" i="12"/>
  <c r="AN677" i="12"/>
  <c r="AL677" i="12"/>
  <c r="AJ677" i="12"/>
  <c r="AH677" i="12"/>
  <c r="AE677" i="12"/>
  <c r="AD677" i="12"/>
  <c r="AC677" i="12"/>
  <c r="AB677" i="12"/>
  <c r="AA677" i="12"/>
  <c r="Z677" i="12"/>
  <c r="Y677" i="12"/>
  <c r="AN676" i="12"/>
  <c r="AL676" i="12"/>
  <c r="AJ676" i="12"/>
  <c r="AH676" i="12"/>
  <c r="AE676" i="12"/>
  <c r="AD676" i="12"/>
  <c r="AC676" i="12"/>
  <c r="AB676" i="12"/>
  <c r="AA676" i="12"/>
  <c r="Z676" i="12"/>
  <c r="Y676" i="12"/>
  <c r="AN675" i="12"/>
  <c r="AL675" i="12"/>
  <c r="AJ675" i="12"/>
  <c r="AH675" i="12"/>
  <c r="AE675" i="12"/>
  <c r="AD675" i="12"/>
  <c r="AC675" i="12"/>
  <c r="AB675" i="12"/>
  <c r="AA675" i="12"/>
  <c r="Z675" i="12"/>
  <c r="Y675" i="12"/>
  <c r="AN674" i="12"/>
  <c r="AL674" i="12"/>
  <c r="AJ674" i="12"/>
  <c r="AH674" i="12"/>
  <c r="AE674" i="12"/>
  <c r="AD674" i="12"/>
  <c r="AC674" i="12"/>
  <c r="AB674" i="12"/>
  <c r="AA674" i="12"/>
  <c r="Z674" i="12"/>
  <c r="Y674" i="12"/>
  <c r="AN673" i="12"/>
  <c r="AL673" i="12"/>
  <c r="AJ673" i="12"/>
  <c r="AH673" i="12"/>
  <c r="AE673" i="12"/>
  <c r="AD673" i="12"/>
  <c r="AC673" i="12"/>
  <c r="AB673" i="12"/>
  <c r="AA673" i="12"/>
  <c r="Z673" i="12"/>
  <c r="Y673" i="12"/>
  <c r="AN672" i="12"/>
  <c r="AL672" i="12"/>
  <c r="AJ672" i="12"/>
  <c r="AH672" i="12"/>
  <c r="AE672" i="12"/>
  <c r="AD672" i="12"/>
  <c r="AC672" i="12"/>
  <c r="AB672" i="12"/>
  <c r="AA672" i="12"/>
  <c r="Z672" i="12"/>
  <c r="Y672" i="12"/>
  <c r="AN671" i="12"/>
  <c r="AL671" i="12"/>
  <c r="AJ671" i="12"/>
  <c r="AH671" i="12"/>
  <c r="AE671" i="12"/>
  <c r="AD671" i="12"/>
  <c r="AC671" i="12"/>
  <c r="AB671" i="12"/>
  <c r="AA671" i="12"/>
  <c r="Z671" i="12"/>
  <c r="Y671" i="12"/>
  <c r="AN670" i="12"/>
  <c r="AL670" i="12"/>
  <c r="AJ670" i="12"/>
  <c r="AH670" i="12"/>
  <c r="AE670" i="12"/>
  <c r="AD670" i="12"/>
  <c r="AC670" i="12"/>
  <c r="AB670" i="12"/>
  <c r="AA670" i="12"/>
  <c r="Z670" i="12"/>
  <c r="Y670" i="12"/>
  <c r="AN669" i="12"/>
  <c r="AL669" i="12"/>
  <c r="AJ669" i="12"/>
  <c r="AH669" i="12"/>
  <c r="AE669" i="12"/>
  <c r="AD669" i="12"/>
  <c r="AC669" i="12"/>
  <c r="AB669" i="12"/>
  <c r="AA669" i="12"/>
  <c r="Z669" i="12"/>
  <c r="Y669" i="12"/>
  <c r="AN668" i="12"/>
  <c r="AL668" i="12"/>
  <c r="AJ668" i="12"/>
  <c r="AH668" i="12"/>
  <c r="AE668" i="12"/>
  <c r="AD668" i="12"/>
  <c r="AC668" i="12"/>
  <c r="AB668" i="12"/>
  <c r="AA668" i="12"/>
  <c r="Z668" i="12"/>
  <c r="Y668" i="12"/>
  <c r="AN667" i="12"/>
  <c r="AL667" i="12"/>
  <c r="AJ667" i="12"/>
  <c r="AH667" i="12"/>
  <c r="AE667" i="12"/>
  <c r="AD667" i="12"/>
  <c r="AC667" i="12"/>
  <c r="AB667" i="12"/>
  <c r="AA667" i="12"/>
  <c r="Z667" i="12"/>
  <c r="Y667" i="12"/>
  <c r="AN666" i="12"/>
  <c r="AL666" i="12"/>
  <c r="AJ666" i="12"/>
  <c r="AH666" i="12"/>
  <c r="AE666" i="12"/>
  <c r="AD666" i="12"/>
  <c r="AC666" i="12"/>
  <c r="AB666" i="12"/>
  <c r="AA666" i="12"/>
  <c r="Z666" i="12"/>
  <c r="Y666" i="12"/>
  <c r="AN665" i="12"/>
  <c r="AL665" i="12"/>
  <c r="AJ665" i="12"/>
  <c r="AH665" i="12"/>
  <c r="AE665" i="12"/>
  <c r="AD665" i="12"/>
  <c r="AC665" i="12"/>
  <c r="AB665" i="12"/>
  <c r="AA665" i="12"/>
  <c r="Z665" i="12"/>
  <c r="Y665" i="12"/>
  <c r="AN664" i="12"/>
  <c r="AL664" i="12"/>
  <c r="AJ664" i="12"/>
  <c r="AH664" i="12"/>
  <c r="AE664" i="12"/>
  <c r="AD664" i="12"/>
  <c r="AC664" i="12"/>
  <c r="AB664" i="12"/>
  <c r="AA664" i="12"/>
  <c r="Z664" i="12"/>
  <c r="Y664" i="12"/>
  <c r="AN663" i="12"/>
  <c r="AL663" i="12"/>
  <c r="AJ663" i="12"/>
  <c r="AH663" i="12"/>
  <c r="AE663" i="12"/>
  <c r="AD663" i="12"/>
  <c r="AC663" i="12"/>
  <c r="AB663" i="12"/>
  <c r="AA663" i="12"/>
  <c r="Z663" i="12"/>
  <c r="Y663" i="12"/>
  <c r="AN662" i="12"/>
  <c r="AL662" i="12"/>
  <c r="AJ662" i="12"/>
  <c r="AH662" i="12"/>
  <c r="AE662" i="12"/>
  <c r="AD662" i="12"/>
  <c r="AC662" i="12"/>
  <c r="AB662" i="12"/>
  <c r="AA662" i="12"/>
  <c r="Z662" i="12"/>
  <c r="Y662" i="12"/>
  <c r="AN661" i="12"/>
  <c r="AL661" i="12"/>
  <c r="AJ661" i="12"/>
  <c r="AH661" i="12"/>
  <c r="AE661" i="12"/>
  <c r="AD661" i="12"/>
  <c r="AC661" i="12"/>
  <c r="AB661" i="12"/>
  <c r="AA661" i="12"/>
  <c r="Z661" i="12"/>
  <c r="Y661" i="12"/>
  <c r="AN660" i="12"/>
  <c r="AL660" i="12"/>
  <c r="AJ660" i="12"/>
  <c r="AH660" i="12"/>
  <c r="AE660" i="12"/>
  <c r="AD660" i="12"/>
  <c r="AC660" i="12"/>
  <c r="AB660" i="12"/>
  <c r="AA660" i="12"/>
  <c r="Z660" i="12"/>
  <c r="Y660" i="12"/>
  <c r="AN659" i="12"/>
  <c r="AL659" i="12"/>
  <c r="AJ659" i="12"/>
  <c r="AH659" i="12"/>
  <c r="AE659" i="12"/>
  <c r="AD659" i="12"/>
  <c r="AC659" i="12"/>
  <c r="AB659" i="12"/>
  <c r="AA659" i="12"/>
  <c r="Z659" i="12"/>
  <c r="Y659" i="12"/>
  <c r="AN658" i="12"/>
  <c r="AL658" i="12"/>
  <c r="AJ658" i="12"/>
  <c r="AH658" i="12"/>
  <c r="AE658" i="12"/>
  <c r="AD658" i="12"/>
  <c r="AC658" i="12"/>
  <c r="AB658" i="12"/>
  <c r="AA658" i="12"/>
  <c r="Z658" i="12"/>
  <c r="Y658" i="12"/>
  <c r="AN657" i="12"/>
  <c r="AL657" i="12"/>
  <c r="AJ657" i="12"/>
  <c r="AH657" i="12"/>
  <c r="AE657" i="12"/>
  <c r="AD657" i="12"/>
  <c r="AC657" i="12"/>
  <c r="AB657" i="12"/>
  <c r="AA657" i="12"/>
  <c r="Z657" i="12"/>
  <c r="Y657" i="12"/>
  <c r="AN656" i="12"/>
  <c r="AL656" i="12"/>
  <c r="AJ656" i="12"/>
  <c r="AH656" i="12"/>
  <c r="AE656" i="12"/>
  <c r="AD656" i="12"/>
  <c r="AC656" i="12"/>
  <c r="AB656" i="12"/>
  <c r="AA656" i="12"/>
  <c r="Z656" i="12"/>
  <c r="Y656" i="12"/>
  <c r="AN655" i="12"/>
  <c r="AL655" i="12"/>
  <c r="AJ655" i="12"/>
  <c r="AH655" i="12"/>
  <c r="AE655" i="12"/>
  <c r="AD655" i="12"/>
  <c r="AC655" i="12"/>
  <c r="AB655" i="12"/>
  <c r="AA655" i="12"/>
  <c r="Z655" i="12"/>
  <c r="Y655" i="12"/>
  <c r="AN654" i="12"/>
  <c r="AL654" i="12"/>
  <c r="AJ654" i="12"/>
  <c r="AH654" i="12"/>
  <c r="AE654" i="12"/>
  <c r="AD654" i="12"/>
  <c r="AC654" i="12"/>
  <c r="AB654" i="12"/>
  <c r="AA654" i="12"/>
  <c r="Z654" i="12"/>
  <c r="Y654" i="12"/>
  <c r="AN653" i="12"/>
  <c r="AL653" i="12"/>
  <c r="AJ653" i="12"/>
  <c r="AH653" i="12"/>
  <c r="AE653" i="12"/>
  <c r="AD653" i="12"/>
  <c r="AC653" i="12"/>
  <c r="AB653" i="12"/>
  <c r="AA653" i="12"/>
  <c r="Z653" i="12"/>
  <c r="Y653" i="12"/>
  <c r="AN652" i="12"/>
  <c r="AL652" i="12"/>
  <c r="AJ652" i="12"/>
  <c r="AH652" i="12"/>
  <c r="AE652" i="12"/>
  <c r="AD652" i="12"/>
  <c r="AC652" i="12"/>
  <c r="AB652" i="12"/>
  <c r="AA652" i="12"/>
  <c r="Z652" i="12"/>
  <c r="Y652" i="12"/>
  <c r="AN651" i="12"/>
  <c r="AL651" i="12"/>
  <c r="AJ651" i="12"/>
  <c r="AH651" i="12"/>
  <c r="AE651" i="12"/>
  <c r="AD651" i="12"/>
  <c r="AC651" i="12"/>
  <c r="AB651" i="12"/>
  <c r="AA651" i="12"/>
  <c r="Z651" i="12"/>
  <c r="Y651" i="12"/>
  <c r="AN650" i="12"/>
  <c r="AL650" i="12"/>
  <c r="AJ650" i="12"/>
  <c r="AH650" i="12"/>
  <c r="AE650" i="12"/>
  <c r="AD650" i="12"/>
  <c r="AC650" i="12"/>
  <c r="AB650" i="12"/>
  <c r="AA650" i="12"/>
  <c r="Z650" i="12"/>
  <c r="Y650" i="12"/>
  <c r="AN649" i="12"/>
  <c r="AL649" i="12"/>
  <c r="AJ649" i="12"/>
  <c r="AH649" i="12"/>
  <c r="AE649" i="12"/>
  <c r="AD649" i="12"/>
  <c r="AC649" i="12"/>
  <c r="AB649" i="12"/>
  <c r="AA649" i="12"/>
  <c r="Z649" i="12"/>
  <c r="Y649" i="12"/>
  <c r="AN648" i="12"/>
  <c r="AL648" i="12"/>
  <c r="AJ648" i="12"/>
  <c r="AH648" i="12"/>
  <c r="AE648" i="12"/>
  <c r="AD648" i="12"/>
  <c r="AC648" i="12"/>
  <c r="AB648" i="12"/>
  <c r="AA648" i="12"/>
  <c r="Z648" i="12"/>
  <c r="Y648" i="12"/>
  <c r="AN647" i="12"/>
  <c r="AL647" i="12"/>
  <c r="AJ647" i="12"/>
  <c r="AH647" i="12"/>
  <c r="AE647" i="12"/>
  <c r="AD647" i="12"/>
  <c r="AC647" i="12"/>
  <c r="AB647" i="12"/>
  <c r="AA647" i="12"/>
  <c r="Z647" i="12"/>
  <c r="Y647" i="12"/>
  <c r="AN646" i="12"/>
  <c r="AL646" i="12"/>
  <c r="AJ646" i="12"/>
  <c r="AH646" i="12"/>
  <c r="AE646" i="12"/>
  <c r="AD646" i="12"/>
  <c r="AC646" i="12"/>
  <c r="AB646" i="12"/>
  <c r="AA646" i="12"/>
  <c r="Z646" i="12"/>
  <c r="Y646" i="12"/>
  <c r="AN645" i="12"/>
  <c r="AL645" i="12"/>
  <c r="AJ645" i="12"/>
  <c r="AH645" i="12"/>
  <c r="AE645" i="12"/>
  <c r="AD645" i="12"/>
  <c r="AC645" i="12"/>
  <c r="AB645" i="12"/>
  <c r="AA645" i="12"/>
  <c r="Z645" i="12"/>
  <c r="Y645" i="12"/>
  <c r="AN644" i="12"/>
  <c r="AL644" i="12"/>
  <c r="AJ644" i="12"/>
  <c r="AH644" i="12"/>
  <c r="AE644" i="12"/>
  <c r="AD644" i="12"/>
  <c r="AC644" i="12"/>
  <c r="AB644" i="12"/>
  <c r="AA644" i="12"/>
  <c r="Z644" i="12"/>
  <c r="Y644" i="12"/>
  <c r="AN643" i="12"/>
  <c r="AL643" i="12"/>
  <c r="AJ643" i="12"/>
  <c r="AH643" i="12"/>
  <c r="AE643" i="12"/>
  <c r="AD643" i="12"/>
  <c r="AC643" i="12"/>
  <c r="AB643" i="12"/>
  <c r="AA643" i="12"/>
  <c r="Z643" i="12"/>
  <c r="Y643" i="12"/>
  <c r="AN642" i="12"/>
  <c r="AL642" i="12"/>
  <c r="AJ642" i="12"/>
  <c r="AH642" i="12"/>
  <c r="AE642" i="12"/>
  <c r="AD642" i="12"/>
  <c r="AC642" i="12"/>
  <c r="AB642" i="12"/>
  <c r="AA642" i="12"/>
  <c r="Z642" i="12"/>
  <c r="Y642" i="12"/>
  <c r="AN641" i="12"/>
  <c r="AL641" i="12"/>
  <c r="AJ641" i="12"/>
  <c r="AH641" i="12"/>
  <c r="AE641" i="12"/>
  <c r="AD641" i="12"/>
  <c r="AC641" i="12"/>
  <c r="AB641" i="12"/>
  <c r="AA641" i="12"/>
  <c r="Z641" i="12"/>
  <c r="Y641" i="12"/>
  <c r="AN640" i="12"/>
  <c r="AL640" i="12"/>
  <c r="AJ640" i="12"/>
  <c r="AH640" i="12"/>
  <c r="AE640" i="12"/>
  <c r="AD640" i="12"/>
  <c r="AC640" i="12"/>
  <c r="AB640" i="12"/>
  <c r="AA640" i="12"/>
  <c r="Z640" i="12"/>
  <c r="Y640" i="12"/>
  <c r="AN639" i="12"/>
  <c r="AL639" i="12"/>
  <c r="AJ639" i="12"/>
  <c r="AH639" i="12"/>
  <c r="AE639" i="12"/>
  <c r="AD639" i="12"/>
  <c r="AC639" i="12"/>
  <c r="AB639" i="12"/>
  <c r="AA639" i="12"/>
  <c r="Z639" i="12"/>
  <c r="Y639" i="12"/>
  <c r="AN638" i="12"/>
  <c r="AL638" i="12"/>
  <c r="AJ638" i="12"/>
  <c r="AH638" i="12"/>
  <c r="AE638" i="12"/>
  <c r="AD638" i="12"/>
  <c r="AC638" i="12"/>
  <c r="AB638" i="12"/>
  <c r="AA638" i="12"/>
  <c r="Z638" i="12"/>
  <c r="Y638" i="12"/>
  <c r="AN637" i="12"/>
  <c r="AL637" i="12"/>
  <c r="AJ637" i="12"/>
  <c r="AH637" i="12"/>
  <c r="AE637" i="12"/>
  <c r="AD637" i="12"/>
  <c r="AC637" i="12"/>
  <c r="AB637" i="12"/>
  <c r="AA637" i="12"/>
  <c r="Z637" i="12"/>
  <c r="Y637" i="12"/>
  <c r="AN636" i="12"/>
  <c r="AL636" i="12"/>
  <c r="AJ636" i="12"/>
  <c r="AH636" i="12"/>
  <c r="AE636" i="12"/>
  <c r="AD636" i="12"/>
  <c r="AC636" i="12"/>
  <c r="AB636" i="12"/>
  <c r="AA636" i="12"/>
  <c r="Z636" i="12"/>
  <c r="Y636" i="12"/>
  <c r="AN635" i="12"/>
  <c r="AL635" i="12"/>
  <c r="AJ635" i="12"/>
  <c r="AH635" i="12"/>
  <c r="AE635" i="12"/>
  <c r="AD635" i="12"/>
  <c r="AC635" i="12"/>
  <c r="AB635" i="12"/>
  <c r="AA635" i="12"/>
  <c r="Z635" i="12"/>
  <c r="Y635" i="12"/>
  <c r="AN634" i="12"/>
  <c r="AL634" i="12"/>
  <c r="AJ634" i="12"/>
  <c r="AH634" i="12"/>
  <c r="AE634" i="12"/>
  <c r="AD634" i="12"/>
  <c r="AC634" i="12"/>
  <c r="AB634" i="12"/>
  <c r="AA634" i="12"/>
  <c r="Z634" i="12"/>
  <c r="Y634" i="12"/>
  <c r="AN633" i="12"/>
  <c r="AL633" i="12"/>
  <c r="AJ633" i="12"/>
  <c r="AH633" i="12"/>
  <c r="AE633" i="12"/>
  <c r="AD633" i="12"/>
  <c r="AC633" i="12"/>
  <c r="AB633" i="12"/>
  <c r="AA633" i="12"/>
  <c r="Z633" i="12"/>
  <c r="Y633" i="12"/>
  <c r="AN632" i="12"/>
  <c r="AL632" i="12"/>
  <c r="AJ632" i="12"/>
  <c r="AH632" i="12"/>
  <c r="AE632" i="12"/>
  <c r="AD632" i="12"/>
  <c r="AC632" i="12"/>
  <c r="AB632" i="12"/>
  <c r="AA632" i="12"/>
  <c r="Z632" i="12"/>
  <c r="Y632" i="12"/>
  <c r="AN631" i="12"/>
  <c r="AL631" i="12"/>
  <c r="AJ631" i="12"/>
  <c r="AH631" i="12"/>
  <c r="AE631" i="12"/>
  <c r="AD631" i="12"/>
  <c r="AC631" i="12"/>
  <c r="AB631" i="12"/>
  <c r="AA631" i="12"/>
  <c r="Z631" i="12"/>
  <c r="Y631" i="12"/>
  <c r="AN630" i="12"/>
  <c r="AL630" i="12"/>
  <c r="AJ630" i="12"/>
  <c r="AH630" i="12"/>
  <c r="AE630" i="12"/>
  <c r="AD630" i="12"/>
  <c r="AC630" i="12"/>
  <c r="AB630" i="12"/>
  <c r="AA630" i="12"/>
  <c r="Z630" i="12"/>
  <c r="Y630" i="12"/>
  <c r="AN629" i="12"/>
  <c r="AL629" i="12"/>
  <c r="AJ629" i="12"/>
  <c r="AH629" i="12"/>
  <c r="AE629" i="12"/>
  <c r="AD629" i="12"/>
  <c r="AC629" i="12"/>
  <c r="AB629" i="12"/>
  <c r="AA629" i="12"/>
  <c r="Z629" i="12"/>
  <c r="Y629" i="12"/>
  <c r="AN628" i="12"/>
  <c r="AL628" i="12"/>
  <c r="AJ628" i="12"/>
  <c r="AH628" i="12"/>
  <c r="AE628" i="12"/>
  <c r="AD628" i="12"/>
  <c r="AC628" i="12"/>
  <c r="AB628" i="12"/>
  <c r="AA628" i="12"/>
  <c r="Z628" i="12"/>
  <c r="Y628" i="12"/>
  <c r="AN627" i="12"/>
  <c r="AL627" i="12"/>
  <c r="AJ627" i="12"/>
  <c r="AH627" i="12"/>
  <c r="AE627" i="12"/>
  <c r="AD627" i="12"/>
  <c r="AC627" i="12"/>
  <c r="AB627" i="12"/>
  <c r="AA627" i="12"/>
  <c r="Z627" i="12"/>
  <c r="Y627" i="12"/>
  <c r="AN626" i="12"/>
  <c r="AL626" i="12"/>
  <c r="AJ626" i="12"/>
  <c r="AH626" i="12"/>
  <c r="AE626" i="12"/>
  <c r="AD626" i="12"/>
  <c r="AC626" i="12"/>
  <c r="AB626" i="12"/>
  <c r="AA626" i="12"/>
  <c r="Z626" i="12"/>
  <c r="Y626" i="12"/>
  <c r="AN625" i="12"/>
  <c r="AL625" i="12"/>
  <c r="AJ625" i="12"/>
  <c r="AH625" i="12"/>
  <c r="AE625" i="12"/>
  <c r="AD625" i="12"/>
  <c r="AC625" i="12"/>
  <c r="AB625" i="12"/>
  <c r="AA625" i="12"/>
  <c r="Z625" i="12"/>
  <c r="Y625" i="12"/>
  <c r="AN624" i="12"/>
  <c r="AL624" i="12"/>
  <c r="AJ624" i="12"/>
  <c r="AH624" i="12"/>
  <c r="AE624" i="12"/>
  <c r="AD624" i="12"/>
  <c r="AC624" i="12"/>
  <c r="AB624" i="12"/>
  <c r="AA624" i="12"/>
  <c r="Z624" i="12"/>
  <c r="Y624" i="12"/>
  <c r="AN623" i="12"/>
  <c r="AL623" i="12"/>
  <c r="AJ623" i="12"/>
  <c r="AH623" i="12"/>
  <c r="AE623" i="12"/>
  <c r="AD623" i="12"/>
  <c r="AC623" i="12"/>
  <c r="AB623" i="12"/>
  <c r="AA623" i="12"/>
  <c r="Z623" i="12"/>
  <c r="Y623" i="12"/>
  <c r="AN622" i="12"/>
  <c r="AL622" i="12"/>
  <c r="AJ622" i="12"/>
  <c r="AH622" i="12"/>
  <c r="AE622" i="12"/>
  <c r="AD622" i="12"/>
  <c r="AC622" i="12"/>
  <c r="AB622" i="12"/>
  <c r="AA622" i="12"/>
  <c r="Z622" i="12"/>
  <c r="Y622" i="12"/>
  <c r="AN621" i="12"/>
  <c r="AL621" i="12"/>
  <c r="AJ621" i="12"/>
  <c r="AH621" i="12"/>
  <c r="AE621" i="12"/>
  <c r="AD621" i="12"/>
  <c r="AC621" i="12"/>
  <c r="AB621" i="12"/>
  <c r="AA621" i="12"/>
  <c r="Z621" i="12"/>
  <c r="Y621" i="12"/>
  <c r="AN620" i="12"/>
  <c r="AL620" i="12"/>
  <c r="AJ620" i="12"/>
  <c r="AH620" i="12"/>
  <c r="AE620" i="12"/>
  <c r="AD620" i="12"/>
  <c r="AC620" i="12"/>
  <c r="AB620" i="12"/>
  <c r="AA620" i="12"/>
  <c r="Z620" i="12"/>
  <c r="Y620" i="12"/>
  <c r="AN619" i="12"/>
  <c r="AL619" i="12"/>
  <c r="AJ619" i="12"/>
  <c r="AH619" i="12"/>
  <c r="AE619" i="12"/>
  <c r="AD619" i="12"/>
  <c r="AC619" i="12"/>
  <c r="AB619" i="12"/>
  <c r="AA619" i="12"/>
  <c r="Z619" i="12"/>
  <c r="Y619" i="12"/>
  <c r="AN618" i="12"/>
  <c r="AL618" i="12"/>
  <c r="AJ618" i="12"/>
  <c r="AH618" i="12"/>
  <c r="AE618" i="12"/>
  <c r="AD618" i="12"/>
  <c r="AC618" i="12"/>
  <c r="AB618" i="12"/>
  <c r="AA618" i="12"/>
  <c r="Z618" i="12"/>
  <c r="Y618" i="12"/>
  <c r="AN617" i="12"/>
  <c r="AL617" i="12"/>
  <c r="AJ617" i="12"/>
  <c r="AH617" i="12"/>
  <c r="AE617" i="12"/>
  <c r="AD617" i="12"/>
  <c r="AC617" i="12"/>
  <c r="AB617" i="12"/>
  <c r="AA617" i="12"/>
  <c r="Z617" i="12"/>
  <c r="Y617" i="12"/>
  <c r="AN616" i="12"/>
  <c r="AL616" i="12"/>
  <c r="AJ616" i="12"/>
  <c r="AH616" i="12"/>
  <c r="AE616" i="12"/>
  <c r="AD616" i="12"/>
  <c r="AC616" i="12"/>
  <c r="AB616" i="12"/>
  <c r="AA616" i="12"/>
  <c r="Z616" i="12"/>
  <c r="Y616" i="12"/>
  <c r="AN615" i="12"/>
  <c r="AL615" i="12"/>
  <c r="AJ615" i="12"/>
  <c r="AH615" i="12"/>
  <c r="AE615" i="12"/>
  <c r="AD615" i="12"/>
  <c r="AC615" i="12"/>
  <c r="AB615" i="12"/>
  <c r="AA615" i="12"/>
  <c r="Z615" i="12"/>
  <c r="Y615" i="12"/>
  <c r="AN614" i="12"/>
  <c r="AL614" i="12"/>
  <c r="AJ614" i="12"/>
  <c r="AH614" i="12"/>
  <c r="AE614" i="12"/>
  <c r="AD614" i="12"/>
  <c r="AC614" i="12"/>
  <c r="AB614" i="12"/>
  <c r="AA614" i="12"/>
  <c r="Z614" i="12"/>
  <c r="Y614" i="12"/>
  <c r="AN613" i="12"/>
  <c r="AL613" i="12"/>
  <c r="AJ613" i="12"/>
  <c r="AH613" i="12"/>
  <c r="AE613" i="12"/>
  <c r="AD613" i="12"/>
  <c r="AC613" i="12"/>
  <c r="AB613" i="12"/>
  <c r="AA613" i="12"/>
  <c r="Z613" i="12"/>
  <c r="Y613" i="12"/>
  <c r="AN612" i="12"/>
  <c r="AL612" i="12"/>
  <c r="AJ612" i="12"/>
  <c r="AH612" i="12"/>
  <c r="AE612" i="12"/>
  <c r="AD612" i="12"/>
  <c r="AC612" i="12"/>
  <c r="AB612" i="12"/>
  <c r="AA612" i="12"/>
  <c r="Z612" i="12"/>
  <c r="Y612" i="12"/>
  <c r="AN611" i="12"/>
  <c r="AL611" i="12"/>
  <c r="AJ611" i="12"/>
  <c r="AH611" i="12"/>
  <c r="AE611" i="12"/>
  <c r="AD611" i="12"/>
  <c r="AC611" i="12"/>
  <c r="AB611" i="12"/>
  <c r="AA611" i="12"/>
  <c r="Z611" i="12"/>
  <c r="Y611" i="12"/>
  <c r="AN610" i="12"/>
  <c r="AL610" i="12"/>
  <c r="AJ610" i="12"/>
  <c r="AH610" i="12"/>
  <c r="AE610" i="12"/>
  <c r="AD610" i="12"/>
  <c r="AC610" i="12"/>
  <c r="AB610" i="12"/>
  <c r="AA610" i="12"/>
  <c r="Z610" i="12"/>
  <c r="Y610" i="12"/>
  <c r="AN609" i="12"/>
  <c r="AL609" i="12"/>
  <c r="AJ609" i="12"/>
  <c r="AH609" i="12"/>
  <c r="AE609" i="12"/>
  <c r="AD609" i="12"/>
  <c r="AC609" i="12"/>
  <c r="AB609" i="12"/>
  <c r="AA609" i="12"/>
  <c r="Z609" i="12"/>
  <c r="Y609" i="12"/>
  <c r="AN608" i="12"/>
  <c r="AL608" i="12"/>
  <c r="AJ608" i="12"/>
  <c r="AH608" i="12"/>
  <c r="AE608" i="12"/>
  <c r="AD608" i="12"/>
  <c r="AC608" i="12"/>
  <c r="AB608" i="12"/>
  <c r="AA608" i="12"/>
  <c r="Z608" i="12"/>
  <c r="Y608" i="12"/>
  <c r="AN607" i="12"/>
  <c r="AL607" i="12"/>
  <c r="AJ607" i="12"/>
  <c r="AH607" i="12"/>
  <c r="AE607" i="12"/>
  <c r="AD607" i="12"/>
  <c r="AC607" i="12"/>
  <c r="AB607" i="12"/>
  <c r="AA607" i="12"/>
  <c r="Z607" i="12"/>
  <c r="Y607" i="12"/>
  <c r="AN606" i="12"/>
  <c r="AL606" i="12"/>
  <c r="AJ606" i="12"/>
  <c r="AH606" i="12"/>
  <c r="AE606" i="12"/>
  <c r="AD606" i="12"/>
  <c r="AC606" i="12"/>
  <c r="AB606" i="12"/>
  <c r="AA606" i="12"/>
  <c r="Z606" i="12"/>
  <c r="Y606" i="12"/>
  <c r="AN605" i="12"/>
  <c r="AL605" i="12"/>
  <c r="AJ605" i="12"/>
  <c r="AH605" i="12"/>
  <c r="AE605" i="12"/>
  <c r="AD605" i="12"/>
  <c r="AC605" i="12"/>
  <c r="AB605" i="12"/>
  <c r="AA605" i="12"/>
  <c r="Z605" i="12"/>
  <c r="Y605" i="12"/>
  <c r="AN604" i="12"/>
  <c r="AL604" i="12"/>
  <c r="AJ604" i="12"/>
  <c r="AH604" i="12"/>
  <c r="AE604" i="12"/>
  <c r="AD604" i="12"/>
  <c r="AC604" i="12"/>
  <c r="AB604" i="12"/>
  <c r="AA604" i="12"/>
  <c r="Z604" i="12"/>
  <c r="Y604" i="12"/>
  <c r="AN603" i="12"/>
  <c r="AL603" i="12"/>
  <c r="AJ603" i="12"/>
  <c r="AH603" i="12"/>
  <c r="AE603" i="12"/>
  <c r="AD603" i="12"/>
  <c r="AC603" i="12"/>
  <c r="AB603" i="12"/>
  <c r="AA603" i="12"/>
  <c r="Z603" i="12"/>
  <c r="Y603" i="12"/>
  <c r="AN602" i="12"/>
  <c r="AL602" i="12"/>
  <c r="AJ602" i="12"/>
  <c r="AH602" i="12"/>
  <c r="AE602" i="12"/>
  <c r="AD602" i="12"/>
  <c r="AC602" i="12"/>
  <c r="AB602" i="12"/>
  <c r="AA602" i="12"/>
  <c r="Z602" i="12"/>
  <c r="Y602" i="12"/>
  <c r="AN601" i="12"/>
  <c r="AL601" i="12"/>
  <c r="AJ601" i="12"/>
  <c r="AH601" i="12"/>
  <c r="AE601" i="12"/>
  <c r="AD601" i="12"/>
  <c r="AC601" i="12"/>
  <c r="AB601" i="12"/>
  <c r="AA601" i="12"/>
  <c r="Z601" i="12"/>
  <c r="Y601" i="12"/>
  <c r="AN600" i="12"/>
  <c r="AL600" i="12"/>
  <c r="AJ600" i="12"/>
  <c r="AH600" i="12"/>
  <c r="AE600" i="12"/>
  <c r="AD600" i="12"/>
  <c r="AC600" i="12"/>
  <c r="AB600" i="12"/>
  <c r="AA600" i="12"/>
  <c r="Z600" i="12"/>
  <c r="Y600" i="12"/>
  <c r="AN599" i="12"/>
  <c r="AL599" i="12"/>
  <c r="AJ599" i="12"/>
  <c r="AH599" i="12"/>
  <c r="AE599" i="12"/>
  <c r="AD599" i="12"/>
  <c r="AC599" i="12"/>
  <c r="AB599" i="12"/>
  <c r="AA599" i="12"/>
  <c r="Z599" i="12"/>
  <c r="Y599" i="12"/>
  <c r="AN598" i="12"/>
  <c r="AL598" i="12"/>
  <c r="AJ598" i="12"/>
  <c r="AH598" i="12"/>
  <c r="AE598" i="12"/>
  <c r="AD598" i="12"/>
  <c r="AC598" i="12"/>
  <c r="AB598" i="12"/>
  <c r="AA598" i="12"/>
  <c r="Z598" i="12"/>
  <c r="Y598" i="12"/>
  <c r="AN597" i="12"/>
  <c r="AL597" i="12"/>
  <c r="AJ597" i="12"/>
  <c r="AH597" i="12"/>
  <c r="AE597" i="12"/>
  <c r="AD597" i="12"/>
  <c r="AC597" i="12"/>
  <c r="AB597" i="12"/>
  <c r="AA597" i="12"/>
  <c r="Z597" i="12"/>
  <c r="Y597" i="12"/>
  <c r="AN596" i="12"/>
  <c r="AL596" i="12"/>
  <c r="AJ596" i="12"/>
  <c r="AH596" i="12"/>
  <c r="AE596" i="12"/>
  <c r="AD596" i="12"/>
  <c r="AC596" i="12"/>
  <c r="AB596" i="12"/>
  <c r="AA596" i="12"/>
  <c r="Z596" i="12"/>
  <c r="Y596" i="12"/>
  <c r="AN595" i="12"/>
  <c r="AL595" i="12"/>
  <c r="AJ595" i="12"/>
  <c r="AH595" i="12"/>
  <c r="AE595" i="12"/>
  <c r="AD595" i="12"/>
  <c r="AC595" i="12"/>
  <c r="AB595" i="12"/>
  <c r="AA595" i="12"/>
  <c r="Z595" i="12"/>
  <c r="Y595" i="12"/>
  <c r="AN594" i="12"/>
  <c r="AL594" i="12"/>
  <c r="AJ594" i="12"/>
  <c r="AH594" i="12"/>
  <c r="AE594" i="12"/>
  <c r="AD594" i="12"/>
  <c r="AC594" i="12"/>
  <c r="AB594" i="12"/>
  <c r="AA594" i="12"/>
  <c r="Z594" i="12"/>
  <c r="Y594" i="12"/>
  <c r="AN593" i="12"/>
  <c r="AL593" i="12"/>
  <c r="AJ593" i="12"/>
  <c r="AH593" i="12"/>
  <c r="AE593" i="12"/>
  <c r="AD593" i="12"/>
  <c r="AC593" i="12"/>
  <c r="AB593" i="12"/>
  <c r="AA593" i="12"/>
  <c r="Z593" i="12"/>
  <c r="Y593" i="12"/>
  <c r="AN592" i="12"/>
  <c r="AL592" i="12"/>
  <c r="AJ592" i="12"/>
  <c r="AH592" i="12"/>
  <c r="AE592" i="12"/>
  <c r="AD592" i="12"/>
  <c r="AC592" i="12"/>
  <c r="AB592" i="12"/>
  <c r="AA592" i="12"/>
  <c r="Z592" i="12"/>
  <c r="Y592" i="12"/>
  <c r="AN591" i="12"/>
  <c r="AL591" i="12"/>
  <c r="AJ591" i="12"/>
  <c r="AH591" i="12"/>
  <c r="AE591" i="12"/>
  <c r="AD591" i="12"/>
  <c r="AC591" i="12"/>
  <c r="AB591" i="12"/>
  <c r="AA591" i="12"/>
  <c r="Z591" i="12"/>
  <c r="Y591" i="12"/>
  <c r="AN590" i="12"/>
  <c r="AL590" i="12"/>
  <c r="AJ590" i="12"/>
  <c r="AH590" i="12"/>
  <c r="AE590" i="12"/>
  <c r="AD590" i="12"/>
  <c r="AC590" i="12"/>
  <c r="AB590" i="12"/>
  <c r="AA590" i="12"/>
  <c r="Z590" i="12"/>
  <c r="Y590" i="12"/>
  <c r="AN589" i="12"/>
  <c r="AL589" i="12"/>
  <c r="AJ589" i="12"/>
  <c r="AH589" i="12"/>
  <c r="AE589" i="12"/>
  <c r="AD589" i="12"/>
  <c r="AC589" i="12"/>
  <c r="AB589" i="12"/>
  <c r="AA589" i="12"/>
  <c r="Z589" i="12"/>
  <c r="Y589" i="12"/>
  <c r="AN588" i="12"/>
  <c r="AL588" i="12"/>
  <c r="AJ588" i="12"/>
  <c r="AH588" i="12"/>
  <c r="AE588" i="12"/>
  <c r="AD588" i="12"/>
  <c r="AC588" i="12"/>
  <c r="AB588" i="12"/>
  <c r="AA588" i="12"/>
  <c r="Z588" i="12"/>
  <c r="Y588" i="12"/>
  <c r="AN587" i="12"/>
  <c r="AL587" i="12"/>
  <c r="AJ587" i="12"/>
  <c r="AH587" i="12"/>
  <c r="AE587" i="12"/>
  <c r="AD587" i="12"/>
  <c r="AC587" i="12"/>
  <c r="AB587" i="12"/>
  <c r="AA587" i="12"/>
  <c r="Z587" i="12"/>
  <c r="Y587" i="12"/>
  <c r="AN586" i="12"/>
  <c r="AL586" i="12"/>
  <c r="AJ586" i="12"/>
  <c r="AH586" i="12"/>
  <c r="AE586" i="12"/>
  <c r="AD586" i="12"/>
  <c r="AC586" i="12"/>
  <c r="AB586" i="12"/>
  <c r="AA586" i="12"/>
  <c r="Z586" i="12"/>
  <c r="Y586" i="12"/>
  <c r="AN585" i="12"/>
  <c r="AL585" i="12"/>
  <c r="AJ585" i="12"/>
  <c r="AH585" i="12"/>
  <c r="AE585" i="12"/>
  <c r="AD585" i="12"/>
  <c r="AC585" i="12"/>
  <c r="AB585" i="12"/>
  <c r="AA585" i="12"/>
  <c r="Z585" i="12"/>
  <c r="Y585" i="12"/>
  <c r="AN584" i="12"/>
  <c r="AL584" i="12"/>
  <c r="AJ584" i="12"/>
  <c r="AH584" i="12"/>
  <c r="AE584" i="12"/>
  <c r="AD584" i="12"/>
  <c r="AC584" i="12"/>
  <c r="AB584" i="12"/>
  <c r="AA584" i="12"/>
  <c r="Z584" i="12"/>
  <c r="Y584" i="12"/>
  <c r="AN583" i="12"/>
  <c r="AL583" i="12"/>
  <c r="AJ583" i="12"/>
  <c r="AH583" i="12"/>
  <c r="AE583" i="12"/>
  <c r="AD583" i="12"/>
  <c r="AC583" i="12"/>
  <c r="AB583" i="12"/>
  <c r="AA583" i="12"/>
  <c r="Z583" i="12"/>
  <c r="Y583" i="12"/>
  <c r="AN582" i="12"/>
  <c r="AL582" i="12"/>
  <c r="AJ582" i="12"/>
  <c r="AH582" i="12"/>
  <c r="AE582" i="12"/>
  <c r="AD582" i="12"/>
  <c r="AC582" i="12"/>
  <c r="AB582" i="12"/>
  <c r="AA582" i="12"/>
  <c r="Z582" i="12"/>
  <c r="Y582" i="12"/>
  <c r="AN581" i="12"/>
  <c r="AL581" i="12"/>
  <c r="AJ581" i="12"/>
  <c r="AH581" i="12"/>
  <c r="AE581" i="12"/>
  <c r="AD581" i="12"/>
  <c r="AC581" i="12"/>
  <c r="AB581" i="12"/>
  <c r="AA581" i="12"/>
  <c r="Z581" i="12"/>
  <c r="Y581" i="12"/>
  <c r="AN580" i="12"/>
  <c r="AL580" i="12"/>
  <c r="AJ580" i="12"/>
  <c r="AH580" i="12"/>
  <c r="AE580" i="12"/>
  <c r="AD580" i="12"/>
  <c r="AC580" i="12"/>
  <c r="AB580" i="12"/>
  <c r="AA580" i="12"/>
  <c r="Z580" i="12"/>
  <c r="Y580" i="12"/>
  <c r="AN579" i="12"/>
  <c r="AL579" i="12"/>
  <c r="AJ579" i="12"/>
  <c r="AH579" i="12"/>
  <c r="AE579" i="12"/>
  <c r="AD579" i="12"/>
  <c r="AC579" i="12"/>
  <c r="AB579" i="12"/>
  <c r="AA579" i="12"/>
  <c r="Z579" i="12"/>
  <c r="Y579" i="12"/>
  <c r="AN578" i="12"/>
  <c r="AL578" i="12"/>
  <c r="AJ578" i="12"/>
  <c r="AH578" i="12"/>
  <c r="AE578" i="12"/>
  <c r="AD578" i="12"/>
  <c r="AC578" i="12"/>
  <c r="AB578" i="12"/>
  <c r="AA578" i="12"/>
  <c r="Z578" i="12"/>
  <c r="Y578" i="12"/>
  <c r="AN577" i="12"/>
  <c r="AL577" i="12"/>
  <c r="AJ577" i="12"/>
  <c r="AH577" i="12"/>
  <c r="AE577" i="12"/>
  <c r="AD577" i="12"/>
  <c r="AC577" i="12"/>
  <c r="AB577" i="12"/>
  <c r="AA577" i="12"/>
  <c r="Z577" i="12"/>
  <c r="Y577" i="12"/>
  <c r="AN576" i="12"/>
  <c r="AL576" i="12"/>
  <c r="AJ576" i="12"/>
  <c r="AH576" i="12"/>
  <c r="AE576" i="12"/>
  <c r="AD576" i="12"/>
  <c r="AC576" i="12"/>
  <c r="AB576" i="12"/>
  <c r="AA576" i="12"/>
  <c r="Z576" i="12"/>
  <c r="Y576" i="12"/>
  <c r="AN575" i="12"/>
  <c r="AL575" i="12"/>
  <c r="AJ575" i="12"/>
  <c r="AH575" i="12"/>
  <c r="AE575" i="12"/>
  <c r="AD575" i="12"/>
  <c r="AC575" i="12"/>
  <c r="AB575" i="12"/>
  <c r="AA575" i="12"/>
  <c r="Z575" i="12"/>
  <c r="Y575" i="12"/>
  <c r="AN574" i="12"/>
  <c r="AL574" i="12"/>
  <c r="AJ574" i="12"/>
  <c r="AH574" i="12"/>
  <c r="AE574" i="12"/>
  <c r="AD574" i="12"/>
  <c r="AC574" i="12"/>
  <c r="AB574" i="12"/>
  <c r="AA574" i="12"/>
  <c r="Z574" i="12"/>
  <c r="Y574" i="12"/>
  <c r="AN573" i="12"/>
  <c r="AL573" i="12"/>
  <c r="AJ573" i="12"/>
  <c r="AH573" i="12"/>
  <c r="AE573" i="12"/>
  <c r="AD573" i="12"/>
  <c r="AC573" i="12"/>
  <c r="AB573" i="12"/>
  <c r="AA573" i="12"/>
  <c r="Z573" i="12"/>
  <c r="Y573" i="12"/>
  <c r="AN572" i="12"/>
  <c r="AL572" i="12"/>
  <c r="AJ572" i="12"/>
  <c r="AH572" i="12"/>
  <c r="AE572" i="12"/>
  <c r="AD572" i="12"/>
  <c r="AC572" i="12"/>
  <c r="AB572" i="12"/>
  <c r="AA572" i="12"/>
  <c r="Z572" i="12"/>
  <c r="Y572" i="12"/>
  <c r="AN571" i="12"/>
  <c r="AL571" i="12"/>
  <c r="AJ571" i="12"/>
  <c r="AH571" i="12"/>
  <c r="AE571" i="12"/>
  <c r="AD571" i="12"/>
  <c r="AC571" i="12"/>
  <c r="AB571" i="12"/>
  <c r="AA571" i="12"/>
  <c r="Z571" i="12"/>
  <c r="Y571" i="12"/>
  <c r="AN570" i="12"/>
  <c r="AL570" i="12"/>
  <c r="AJ570" i="12"/>
  <c r="AH570" i="12"/>
  <c r="AE570" i="12"/>
  <c r="AD570" i="12"/>
  <c r="AC570" i="12"/>
  <c r="AB570" i="12"/>
  <c r="AA570" i="12"/>
  <c r="Z570" i="12"/>
  <c r="Y570" i="12"/>
  <c r="AN569" i="12"/>
  <c r="AL569" i="12"/>
  <c r="AJ569" i="12"/>
  <c r="AH569" i="12"/>
  <c r="AE569" i="12"/>
  <c r="AD569" i="12"/>
  <c r="AC569" i="12"/>
  <c r="AB569" i="12"/>
  <c r="AA569" i="12"/>
  <c r="Z569" i="12"/>
  <c r="Y569" i="12"/>
  <c r="AN568" i="12"/>
  <c r="AL568" i="12"/>
  <c r="AJ568" i="12"/>
  <c r="AH568" i="12"/>
  <c r="AE568" i="12"/>
  <c r="AD568" i="12"/>
  <c r="AC568" i="12"/>
  <c r="AB568" i="12"/>
  <c r="AA568" i="12"/>
  <c r="Z568" i="12"/>
  <c r="Y568" i="12"/>
  <c r="AN567" i="12"/>
  <c r="AL567" i="12"/>
  <c r="AJ567" i="12"/>
  <c r="AH567" i="12"/>
  <c r="AE567" i="12"/>
  <c r="AD567" i="12"/>
  <c r="AC567" i="12"/>
  <c r="AB567" i="12"/>
  <c r="AA567" i="12"/>
  <c r="Z567" i="12"/>
  <c r="Y567" i="12"/>
  <c r="AN566" i="12"/>
  <c r="AL566" i="12"/>
  <c r="AJ566" i="12"/>
  <c r="AH566" i="12"/>
  <c r="AE566" i="12"/>
  <c r="AD566" i="12"/>
  <c r="AC566" i="12"/>
  <c r="AB566" i="12"/>
  <c r="AA566" i="12"/>
  <c r="Z566" i="12"/>
  <c r="Y566" i="12"/>
  <c r="AN565" i="12"/>
  <c r="AL565" i="12"/>
  <c r="AJ565" i="12"/>
  <c r="AH565" i="12"/>
  <c r="AE565" i="12"/>
  <c r="AD565" i="12"/>
  <c r="AC565" i="12"/>
  <c r="AB565" i="12"/>
  <c r="AA565" i="12"/>
  <c r="Z565" i="12"/>
  <c r="Y565" i="12"/>
  <c r="AN564" i="12"/>
  <c r="AL564" i="12"/>
  <c r="AJ564" i="12"/>
  <c r="AH564" i="12"/>
  <c r="AE564" i="12"/>
  <c r="AD564" i="12"/>
  <c r="AC564" i="12"/>
  <c r="AB564" i="12"/>
  <c r="AA564" i="12"/>
  <c r="Z564" i="12"/>
  <c r="Y564" i="12"/>
  <c r="AN563" i="12"/>
  <c r="AL563" i="12"/>
  <c r="AJ563" i="12"/>
  <c r="AH563" i="12"/>
  <c r="AE563" i="12"/>
  <c r="AD563" i="12"/>
  <c r="AC563" i="12"/>
  <c r="AB563" i="12"/>
  <c r="AA563" i="12"/>
  <c r="Z563" i="12"/>
  <c r="Y563" i="12"/>
  <c r="AN562" i="12"/>
  <c r="AL562" i="12"/>
  <c r="AJ562" i="12"/>
  <c r="AH562" i="12"/>
  <c r="AE562" i="12"/>
  <c r="AD562" i="12"/>
  <c r="AC562" i="12"/>
  <c r="AB562" i="12"/>
  <c r="AA562" i="12"/>
  <c r="Z562" i="12"/>
  <c r="Y562" i="12"/>
  <c r="AN561" i="12"/>
  <c r="AL561" i="12"/>
  <c r="AJ561" i="12"/>
  <c r="AH561" i="12"/>
  <c r="AE561" i="12"/>
  <c r="AD561" i="12"/>
  <c r="AC561" i="12"/>
  <c r="AB561" i="12"/>
  <c r="AA561" i="12"/>
  <c r="Z561" i="12"/>
  <c r="Y561" i="12"/>
  <c r="AN560" i="12"/>
  <c r="AL560" i="12"/>
  <c r="AJ560" i="12"/>
  <c r="AH560" i="12"/>
  <c r="AE560" i="12"/>
  <c r="AD560" i="12"/>
  <c r="AC560" i="12"/>
  <c r="AB560" i="12"/>
  <c r="AA560" i="12"/>
  <c r="Z560" i="12"/>
  <c r="Y560" i="12"/>
  <c r="AN559" i="12"/>
  <c r="AL559" i="12"/>
  <c r="AJ559" i="12"/>
  <c r="AH559" i="12"/>
  <c r="AE559" i="12"/>
  <c r="AD559" i="12"/>
  <c r="AC559" i="12"/>
  <c r="AB559" i="12"/>
  <c r="AA559" i="12"/>
  <c r="Z559" i="12"/>
  <c r="Y559" i="12"/>
  <c r="AN558" i="12"/>
  <c r="AL558" i="12"/>
  <c r="AJ558" i="12"/>
  <c r="AH558" i="12"/>
  <c r="AE558" i="12"/>
  <c r="AD558" i="12"/>
  <c r="AC558" i="12"/>
  <c r="AB558" i="12"/>
  <c r="AA558" i="12"/>
  <c r="Z558" i="12"/>
  <c r="Y558" i="12"/>
  <c r="AN557" i="12"/>
  <c r="AL557" i="12"/>
  <c r="AJ557" i="12"/>
  <c r="AH557" i="12"/>
  <c r="AE557" i="12"/>
  <c r="AD557" i="12"/>
  <c r="AC557" i="12"/>
  <c r="AB557" i="12"/>
  <c r="AA557" i="12"/>
  <c r="Z557" i="12"/>
  <c r="Y557" i="12"/>
  <c r="AN556" i="12"/>
  <c r="AL556" i="12"/>
  <c r="AJ556" i="12"/>
  <c r="AH556" i="12"/>
  <c r="AE556" i="12"/>
  <c r="AD556" i="12"/>
  <c r="AC556" i="12"/>
  <c r="AB556" i="12"/>
  <c r="AA556" i="12"/>
  <c r="Z556" i="12"/>
  <c r="Y556" i="12"/>
  <c r="AN555" i="12"/>
  <c r="AL555" i="12"/>
  <c r="AJ555" i="12"/>
  <c r="AH555" i="12"/>
  <c r="AE555" i="12"/>
  <c r="AD555" i="12"/>
  <c r="AC555" i="12"/>
  <c r="AB555" i="12"/>
  <c r="AA555" i="12"/>
  <c r="Z555" i="12"/>
  <c r="Y555" i="12"/>
  <c r="AN554" i="12"/>
  <c r="AL554" i="12"/>
  <c r="AJ554" i="12"/>
  <c r="AH554" i="12"/>
  <c r="AE554" i="12"/>
  <c r="AD554" i="12"/>
  <c r="AC554" i="12"/>
  <c r="AB554" i="12"/>
  <c r="AA554" i="12"/>
  <c r="Z554" i="12"/>
  <c r="Y554" i="12"/>
  <c r="AN553" i="12"/>
  <c r="AL553" i="12"/>
  <c r="AJ553" i="12"/>
  <c r="AH553" i="12"/>
  <c r="AE553" i="12"/>
  <c r="AD553" i="12"/>
  <c r="AC553" i="12"/>
  <c r="AB553" i="12"/>
  <c r="AA553" i="12"/>
  <c r="Z553" i="12"/>
  <c r="Y553" i="12"/>
  <c r="AN552" i="12"/>
  <c r="AL552" i="12"/>
  <c r="AJ552" i="12"/>
  <c r="AH552" i="12"/>
  <c r="AE552" i="12"/>
  <c r="AD552" i="12"/>
  <c r="AC552" i="12"/>
  <c r="AB552" i="12"/>
  <c r="AA552" i="12"/>
  <c r="Z552" i="12"/>
  <c r="Y552" i="12"/>
  <c r="AN551" i="12"/>
  <c r="AL551" i="12"/>
  <c r="AJ551" i="12"/>
  <c r="AH551" i="12"/>
  <c r="AE551" i="12"/>
  <c r="AD551" i="12"/>
  <c r="AC551" i="12"/>
  <c r="AB551" i="12"/>
  <c r="AA551" i="12"/>
  <c r="Z551" i="12"/>
  <c r="Y551" i="12"/>
  <c r="AN550" i="12"/>
  <c r="AL550" i="12"/>
  <c r="AJ550" i="12"/>
  <c r="AH550" i="12"/>
  <c r="AE550" i="12"/>
  <c r="AD550" i="12"/>
  <c r="AC550" i="12"/>
  <c r="AB550" i="12"/>
  <c r="AA550" i="12"/>
  <c r="Z550" i="12"/>
  <c r="Y550" i="12"/>
  <c r="AN549" i="12"/>
  <c r="AL549" i="12"/>
  <c r="AJ549" i="12"/>
  <c r="AH549" i="12"/>
  <c r="AE549" i="12"/>
  <c r="AD549" i="12"/>
  <c r="AC549" i="12"/>
  <c r="AB549" i="12"/>
  <c r="AA549" i="12"/>
  <c r="Z549" i="12"/>
  <c r="Y549" i="12"/>
  <c r="AN548" i="12"/>
  <c r="AL548" i="12"/>
  <c r="AJ548" i="12"/>
  <c r="AH548" i="12"/>
  <c r="AE548" i="12"/>
  <c r="AD548" i="12"/>
  <c r="AC548" i="12"/>
  <c r="AB548" i="12"/>
  <c r="AA548" i="12"/>
  <c r="Z548" i="12"/>
  <c r="Y548" i="12"/>
  <c r="AN547" i="12"/>
  <c r="AL547" i="12"/>
  <c r="AJ547" i="12"/>
  <c r="AH547" i="12"/>
  <c r="AE547" i="12"/>
  <c r="AD547" i="12"/>
  <c r="AC547" i="12"/>
  <c r="AB547" i="12"/>
  <c r="AA547" i="12"/>
  <c r="Z547" i="12"/>
  <c r="Y547" i="12"/>
  <c r="AN546" i="12"/>
  <c r="AL546" i="12"/>
  <c r="AJ546" i="12"/>
  <c r="AH546" i="12"/>
  <c r="AE546" i="12"/>
  <c r="AD546" i="12"/>
  <c r="AC546" i="12"/>
  <c r="AB546" i="12"/>
  <c r="AA546" i="12"/>
  <c r="Z546" i="12"/>
  <c r="Y546" i="12"/>
  <c r="AN545" i="12"/>
  <c r="AL545" i="12"/>
  <c r="AJ545" i="12"/>
  <c r="AH545" i="12"/>
  <c r="AE545" i="12"/>
  <c r="AD545" i="12"/>
  <c r="AC545" i="12"/>
  <c r="AB545" i="12"/>
  <c r="AA545" i="12"/>
  <c r="Z545" i="12"/>
  <c r="Y545" i="12"/>
  <c r="AN544" i="12"/>
  <c r="AL544" i="12"/>
  <c r="AJ544" i="12"/>
  <c r="AH544" i="12"/>
  <c r="AE544" i="12"/>
  <c r="AD544" i="12"/>
  <c r="AC544" i="12"/>
  <c r="AB544" i="12"/>
  <c r="AA544" i="12"/>
  <c r="Z544" i="12"/>
  <c r="Y544" i="12"/>
  <c r="AN543" i="12"/>
  <c r="AL543" i="12"/>
  <c r="AJ543" i="12"/>
  <c r="AH543" i="12"/>
  <c r="AE543" i="12"/>
  <c r="AD543" i="12"/>
  <c r="AC543" i="12"/>
  <c r="AB543" i="12"/>
  <c r="AA543" i="12"/>
  <c r="Z543" i="12"/>
  <c r="Y543" i="12"/>
  <c r="AN542" i="12"/>
  <c r="AL542" i="12"/>
  <c r="AJ542" i="12"/>
  <c r="AH542" i="12"/>
  <c r="AE542" i="12"/>
  <c r="AD542" i="12"/>
  <c r="AC542" i="12"/>
  <c r="AB542" i="12"/>
  <c r="AA542" i="12"/>
  <c r="Z542" i="12"/>
  <c r="Y542" i="12"/>
  <c r="AN541" i="12"/>
  <c r="AL541" i="12"/>
  <c r="AJ541" i="12"/>
  <c r="AH541" i="12"/>
  <c r="AE541" i="12"/>
  <c r="AD541" i="12"/>
  <c r="AC541" i="12"/>
  <c r="AB541" i="12"/>
  <c r="AA541" i="12"/>
  <c r="Z541" i="12"/>
  <c r="Y541" i="12"/>
  <c r="AN540" i="12"/>
  <c r="AL540" i="12"/>
  <c r="AJ540" i="12"/>
  <c r="AH540" i="12"/>
  <c r="AE540" i="12"/>
  <c r="AD540" i="12"/>
  <c r="AC540" i="12"/>
  <c r="AB540" i="12"/>
  <c r="AA540" i="12"/>
  <c r="Z540" i="12"/>
  <c r="Y540" i="12"/>
  <c r="AN539" i="12"/>
  <c r="AL539" i="12"/>
  <c r="AJ539" i="12"/>
  <c r="AH539" i="12"/>
  <c r="AE539" i="12"/>
  <c r="AD539" i="12"/>
  <c r="AC539" i="12"/>
  <c r="AB539" i="12"/>
  <c r="AA539" i="12"/>
  <c r="Z539" i="12"/>
  <c r="Y539" i="12"/>
  <c r="AN538" i="12"/>
  <c r="AL538" i="12"/>
  <c r="AJ538" i="12"/>
  <c r="AH538" i="12"/>
  <c r="AE538" i="12"/>
  <c r="AD538" i="12"/>
  <c r="AC538" i="12"/>
  <c r="AB538" i="12"/>
  <c r="AA538" i="12"/>
  <c r="Z538" i="12"/>
  <c r="Y538" i="12"/>
  <c r="AN537" i="12"/>
  <c r="AL537" i="12"/>
  <c r="AJ537" i="12"/>
  <c r="AH537" i="12"/>
  <c r="AE537" i="12"/>
  <c r="AD537" i="12"/>
  <c r="AC537" i="12"/>
  <c r="AB537" i="12"/>
  <c r="AA537" i="12"/>
  <c r="Z537" i="12"/>
  <c r="Y537" i="12"/>
  <c r="AN536" i="12"/>
  <c r="AL536" i="12"/>
  <c r="AJ536" i="12"/>
  <c r="AH536" i="12"/>
  <c r="AE536" i="12"/>
  <c r="AD536" i="12"/>
  <c r="AC536" i="12"/>
  <c r="AB536" i="12"/>
  <c r="AA536" i="12"/>
  <c r="Z536" i="12"/>
  <c r="Y536" i="12"/>
  <c r="AN535" i="12"/>
  <c r="AL535" i="12"/>
  <c r="AJ535" i="12"/>
  <c r="AH535" i="12"/>
  <c r="AE535" i="12"/>
  <c r="AD535" i="12"/>
  <c r="AC535" i="12"/>
  <c r="AB535" i="12"/>
  <c r="AA535" i="12"/>
  <c r="Z535" i="12"/>
  <c r="Y535" i="12"/>
  <c r="AN534" i="12"/>
  <c r="AL534" i="12"/>
  <c r="AJ534" i="12"/>
  <c r="AH534" i="12"/>
  <c r="AE534" i="12"/>
  <c r="AD534" i="12"/>
  <c r="AC534" i="12"/>
  <c r="AB534" i="12"/>
  <c r="AA534" i="12"/>
  <c r="Z534" i="12"/>
  <c r="Y534" i="12"/>
  <c r="AN533" i="12"/>
  <c r="AL533" i="12"/>
  <c r="AJ533" i="12"/>
  <c r="AH533" i="12"/>
  <c r="AE533" i="12"/>
  <c r="AD533" i="12"/>
  <c r="AC533" i="12"/>
  <c r="AB533" i="12"/>
  <c r="AA533" i="12"/>
  <c r="Z533" i="12"/>
  <c r="Y533" i="12"/>
  <c r="AN532" i="12"/>
  <c r="AL532" i="12"/>
  <c r="AJ532" i="12"/>
  <c r="AH532" i="12"/>
  <c r="AE532" i="12"/>
  <c r="AD532" i="12"/>
  <c r="AC532" i="12"/>
  <c r="AB532" i="12"/>
  <c r="AA532" i="12"/>
  <c r="Z532" i="12"/>
  <c r="Y532" i="12"/>
  <c r="AN531" i="12"/>
  <c r="AL531" i="12"/>
  <c r="AJ531" i="12"/>
  <c r="AH531" i="12"/>
  <c r="AE531" i="12"/>
  <c r="AD531" i="12"/>
  <c r="AC531" i="12"/>
  <c r="AB531" i="12"/>
  <c r="AA531" i="12"/>
  <c r="Z531" i="12"/>
  <c r="Y531" i="12"/>
  <c r="AN530" i="12"/>
  <c r="AL530" i="12"/>
  <c r="AJ530" i="12"/>
  <c r="AH530" i="12"/>
  <c r="AE530" i="12"/>
  <c r="AD530" i="12"/>
  <c r="AC530" i="12"/>
  <c r="AB530" i="12"/>
  <c r="AA530" i="12"/>
  <c r="Z530" i="12"/>
  <c r="Y530" i="12"/>
  <c r="AN529" i="12"/>
  <c r="AL529" i="12"/>
  <c r="AJ529" i="12"/>
  <c r="AH529" i="12"/>
  <c r="AE529" i="12"/>
  <c r="AD529" i="12"/>
  <c r="AC529" i="12"/>
  <c r="AB529" i="12"/>
  <c r="AA529" i="12"/>
  <c r="Z529" i="12"/>
  <c r="Y529" i="12"/>
  <c r="AN528" i="12"/>
  <c r="AL528" i="12"/>
  <c r="AJ528" i="12"/>
  <c r="AH528" i="12"/>
  <c r="AE528" i="12"/>
  <c r="AD528" i="12"/>
  <c r="AC528" i="12"/>
  <c r="AB528" i="12"/>
  <c r="AA528" i="12"/>
  <c r="Z528" i="12"/>
  <c r="Y528" i="12"/>
  <c r="AN527" i="12"/>
  <c r="AL527" i="12"/>
  <c r="AJ527" i="12"/>
  <c r="AH527" i="12"/>
  <c r="AE527" i="12"/>
  <c r="AD527" i="12"/>
  <c r="AC527" i="12"/>
  <c r="AB527" i="12"/>
  <c r="AA527" i="12"/>
  <c r="Z527" i="12"/>
  <c r="Y527" i="12"/>
  <c r="AN526" i="12"/>
  <c r="AL526" i="12"/>
  <c r="AJ526" i="12"/>
  <c r="AH526" i="12"/>
  <c r="AE526" i="12"/>
  <c r="AD526" i="12"/>
  <c r="AC526" i="12"/>
  <c r="AB526" i="12"/>
  <c r="AA526" i="12"/>
  <c r="Z526" i="12"/>
  <c r="Y526" i="12"/>
  <c r="AN525" i="12"/>
  <c r="AL525" i="12"/>
  <c r="AJ525" i="12"/>
  <c r="AH525" i="12"/>
  <c r="AE525" i="12"/>
  <c r="AD525" i="12"/>
  <c r="AC525" i="12"/>
  <c r="AB525" i="12"/>
  <c r="AA525" i="12"/>
  <c r="Z525" i="12"/>
  <c r="Y525" i="12"/>
  <c r="AN524" i="12"/>
  <c r="AL524" i="12"/>
  <c r="AJ524" i="12"/>
  <c r="AH524" i="12"/>
  <c r="AE524" i="12"/>
  <c r="AD524" i="12"/>
  <c r="AC524" i="12"/>
  <c r="AB524" i="12"/>
  <c r="AA524" i="12"/>
  <c r="Z524" i="12"/>
  <c r="Y524" i="12"/>
  <c r="AN523" i="12"/>
  <c r="AL523" i="12"/>
  <c r="AJ523" i="12"/>
  <c r="AH523" i="12"/>
  <c r="AE523" i="12"/>
  <c r="AD523" i="12"/>
  <c r="AC523" i="12"/>
  <c r="AB523" i="12"/>
  <c r="AA523" i="12"/>
  <c r="Z523" i="12"/>
  <c r="Y523" i="12"/>
  <c r="AN522" i="12"/>
  <c r="AL522" i="12"/>
  <c r="AJ522" i="12"/>
  <c r="AH522" i="12"/>
  <c r="AE522" i="12"/>
  <c r="AD522" i="12"/>
  <c r="AC522" i="12"/>
  <c r="AB522" i="12"/>
  <c r="AA522" i="12"/>
  <c r="Z522" i="12"/>
  <c r="Y522" i="12"/>
  <c r="AN521" i="12"/>
  <c r="AL521" i="12"/>
  <c r="AJ521" i="12"/>
  <c r="AH521" i="12"/>
  <c r="AE521" i="12"/>
  <c r="AD521" i="12"/>
  <c r="AC521" i="12"/>
  <c r="AB521" i="12"/>
  <c r="AA521" i="12"/>
  <c r="Z521" i="12"/>
  <c r="Y521" i="12"/>
  <c r="AN520" i="12"/>
  <c r="AL520" i="12"/>
  <c r="AJ520" i="12"/>
  <c r="AH520" i="12"/>
  <c r="AE520" i="12"/>
  <c r="AD520" i="12"/>
  <c r="AC520" i="12"/>
  <c r="AB520" i="12"/>
  <c r="AA520" i="12"/>
  <c r="Z520" i="12"/>
  <c r="Y520" i="12"/>
  <c r="AN519" i="12"/>
  <c r="AL519" i="12"/>
  <c r="AJ519" i="12"/>
  <c r="AH519" i="12"/>
  <c r="AE519" i="12"/>
  <c r="AD519" i="12"/>
  <c r="AC519" i="12"/>
  <c r="AB519" i="12"/>
  <c r="AA519" i="12"/>
  <c r="Z519" i="12"/>
  <c r="Y519" i="12"/>
  <c r="AN518" i="12"/>
  <c r="AL518" i="12"/>
  <c r="AJ518" i="12"/>
  <c r="AH518" i="12"/>
  <c r="AE518" i="12"/>
  <c r="AD518" i="12"/>
  <c r="AC518" i="12"/>
  <c r="AB518" i="12"/>
  <c r="AA518" i="12"/>
  <c r="Z518" i="12"/>
  <c r="Y518" i="12"/>
  <c r="AN517" i="12"/>
  <c r="AL517" i="12"/>
  <c r="AJ517" i="12"/>
  <c r="AH517" i="12"/>
  <c r="AE517" i="12"/>
  <c r="AD517" i="12"/>
  <c r="AC517" i="12"/>
  <c r="AB517" i="12"/>
  <c r="AA517" i="12"/>
  <c r="Z517" i="12"/>
  <c r="Y517" i="12"/>
  <c r="AN516" i="12"/>
  <c r="AL516" i="12"/>
  <c r="AJ516" i="12"/>
  <c r="AH516" i="12"/>
  <c r="AE516" i="12"/>
  <c r="AD516" i="12"/>
  <c r="AC516" i="12"/>
  <c r="AB516" i="12"/>
  <c r="AA516" i="12"/>
  <c r="Z516" i="12"/>
  <c r="Y516" i="12"/>
  <c r="AN515" i="12"/>
  <c r="AL515" i="12"/>
  <c r="AJ515" i="12"/>
  <c r="AH515" i="12"/>
  <c r="AE515" i="12"/>
  <c r="AD515" i="12"/>
  <c r="AC515" i="12"/>
  <c r="AB515" i="12"/>
  <c r="AA515" i="12"/>
  <c r="Z515" i="12"/>
  <c r="Y515" i="12"/>
  <c r="AN514" i="12"/>
  <c r="AL514" i="12"/>
  <c r="AJ514" i="12"/>
  <c r="AH514" i="12"/>
  <c r="AE514" i="12"/>
  <c r="AD514" i="12"/>
  <c r="AC514" i="12"/>
  <c r="AB514" i="12"/>
  <c r="AA514" i="12"/>
  <c r="Z514" i="12"/>
  <c r="Y514" i="12"/>
  <c r="AN513" i="12"/>
  <c r="AL513" i="12"/>
  <c r="AJ513" i="12"/>
  <c r="AH513" i="12"/>
  <c r="AE513" i="12"/>
  <c r="AD513" i="12"/>
  <c r="AC513" i="12"/>
  <c r="AB513" i="12"/>
  <c r="AA513" i="12"/>
  <c r="Z513" i="12"/>
  <c r="Y513" i="12"/>
  <c r="AN512" i="12"/>
  <c r="AL512" i="12"/>
  <c r="AJ512" i="12"/>
  <c r="AH512" i="12"/>
  <c r="AE512" i="12"/>
  <c r="AD512" i="12"/>
  <c r="AC512" i="12"/>
  <c r="AB512" i="12"/>
  <c r="AA512" i="12"/>
  <c r="Z512" i="12"/>
  <c r="Y512" i="12"/>
  <c r="AN511" i="12"/>
  <c r="AL511" i="12"/>
  <c r="AJ511" i="12"/>
  <c r="AH511" i="12"/>
  <c r="AE511" i="12"/>
  <c r="AD511" i="12"/>
  <c r="AC511" i="12"/>
  <c r="AB511" i="12"/>
  <c r="AA511" i="12"/>
  <c r="Z511" i="12"/>
  <c r="Y511" i="12"/>
  <c r="AN510" i="12"/>
  <c r="AL510" i="12"/>
  <c r="AJ510" i="12"/>
  <c r="AH510" i="12"/>
  <c r="AE510" i="12"/>
  <c r="AD510" i="12"/>
  <c r="AC510" i="12"/>
  <c r="AB510" i="12"/>
  <c r="AA510" i="12"/>
  <c r="Z510" i="12"/>
  <c r="Y510" i="12"/>
  <c r="AN509" i="12"/>
  <c r="AL509" i="12"/>
  <c r="AJ509" i="12"/>
  <c r="AH509" i="12"/>
  <c r="AE509" i="12"/>
  <c r="AD509" i="12"/>
  <c r="AC509" i="12"/>
  <c r="AB509" i="12"/>
  <c r="AA509" i="12"/>
  <c r="Z509" i="12"/>
  <c r="Y509" i="12"/>
  <c r="AN508" i="12"/>
  <c r="AL508" i="12"/>
  <c r="AJ508" i="12"/>
  <c r="AH508" i="12"/>
  <c r="AE508" i="12"/>
  <c r="AD508" i="12"/>
  <c r="AC508" i="12"/>
  <c r="AB508" i="12"/>
  <c r="AA508" i="12"/>
  <c r="Z508" i="12"/>
  <c r="Y508" i="12"/>
  <c r="AN507" i="12"/>
  <c r="AL507" i="12"/>
  <c r="AJ507" i="12"/>
  <c r="AH507" i="12"/>
  <c r="AE507" i="12"/>
  <c r="AD507" i="12"/>
  <c r="AC507" i="12"/>
  <c r="AB507" i="12"/>
  <c r="AA507" i="12"/>
  <c r="Z507" i="12"/>
  <c r="Y507" i="12"/>
  <c r="AN506" i="12"/>
  <c r="AL506" i="12"/>
  <c r="AJ506" i="12"/>
  <c r="AH506" i="12"/>
  <c r="AE506" i="12"/>
  <c r="AD506" i="12"/>
  <c r="AC506" i="12"/>
  <c r="AB506" i="12"/>
  <c r="AA506" i="12"/>
  <c r="Z506" i="12"/>
  <c r="Y506" i="12"/>
  <c r="AN505" i="12"/>
  <c r="AL505" i="12"/>
  <c r="AJ505" i="12"/>
  <c r="AH505" i="12"/>
  <c r="AE505" i="12"/>
  <c r="AD505" i="12"/>
  <c r="AC505" i="12"/>
  <c r="AB505" i="12"/>
  <c r="AA505" i="12"/>
  <c r="Z505" i="12"/>
  <c r="Y505" i="12"/>
  <c r="AN504" i="12"/>
  <c r="AL504" i="12"/>
  <c r="AJ504" i="12"/>
  <c r="AH504" i="12"/>
  <c r="AE504" i="12"/>
  <c r="AD504" i="12"/>
  <c r="AC504" i="12"/>
  <c r="AB504" i="12"/>
  <c r="AA504" i="12"/>
  <c r="Z504" i="12"/>
  <c r="Y504" i="12"/>
  <c r="AN503" i="12"/>
  <c r="AL503" i="12"/>
  <c r="AJ503" i="12"/>
  <c r="AH503" i="12"/>
  <c r="AE503" i="12"/>
  <c r="AD503" i="12"/>
  <c r="AC503" i="12"/>
  <c r="AB503" i="12"/>
  <c r="AA503" i="12"/>
  <c r="Z503" i="12"/>
  <c r="Y503" i="12"/>
  <c r="AN502" i="12"/>
  <c r="AL502" i="12"/>
  <c r="AJ502" i="12"/>
  <c r="AH502" i="12"/>
  <c r="AE502" i="12"/>
  <c r="AD502" i="12"/>
  <c r="AC502" i="12"/>
  <c r="AB502" i="12"/>
  <c r="AA502" i="12"/>
  <c r="Z502" i="12"/>
  <c r="Y502" i="12"/>
  <c r="AN501" i="12"/>
  <c r="AL501" i="12"/>
  <c r="AJ501" i="12"/>
  <c r="AH501" i="12"/>
  <c r="AE501" i="12"/>
  <c r="AD501" i="12"/>
  <c r="AC501" i="12"/>
  <c r="AB501" i="12"/>
  <c r="AA501" i="12"/>
  <c r="Z501" i="12"/>
  <c r="Y501" i="12"/>
  <c r="AN500" i="12"/>
  <c r="AL500" i="12"/>
  <c r="AJ500" i="12"/>
  <c r="AH500" i="12"/>
  <c r="AE500" i="12"/>
  <c r="AD500" i="12"/>
  <c r="AC500" i="12"/>
  <c r="AB500" i="12"/>
  <c r="AA500" i="12"/>
  <c r="Z500" i="12"/>
  <c r="Y500" i="12"/>
  <c r="AN499" i="12"/>
  <c r="AL499" i="12"/>
  <c r="AJ499" i="12"/>
  <c r="AH499" i="12"/>
  <c r="AE499" i="12"/>
  <c r="AD499" i="12"/>
  <c r="AC499" i="12"/>
  <c r="AB499" i="12"/>
  <c r="AA499" i="12"/>
  <c r="Z499" i="12"/>
  <c r="Y499" i="12"/>
  <c r="AN498" i="12"/>
  <c r="AL498" i="12"/>
  <c r="AJ498" i="12"/>
  <c r="AH498" i="12"/>
  <c r="AE498" i="12"/>
  <c r="AD498" i="12"/>
  <c r="AC498" i="12"/>
  <c r="AB498" i="12"/>
  <c r="AA498" i="12"/>
  <c r="Z498" i="12"/>
  <c r="Y498" i="12"/>
  <c r="AN497" i="12"/>
  <c r="AL497" i="12"/>
  <c r="AJ497" i="12"/>
  <c r="AH497" i="12"/>
  <c r="AE497" i="12"/>
  <c r="AD497" i="12"/>
  <c r="AC497" i="12"/>
  <c r="AB497" i="12"/>
  <c r="AA497" i="12"/>
  <c r="Z497" i="12"/>
  <c r="Y497" i="12"/>
  <c r="AN496" i="12"/>
  <c r="AL496" i="12"/>
  <c r="AJ496" i="12"/>
  <c r="AH496" i="12"/>
  <c r="AE496" i="12"/>
  <c r="AD496" i="12"/>
  <c r="AC496" i="12"/>
  <c r="AB496" i="12"/>
  <c r="AA496" i="12"/>
  <c r="Z496" i="12"/>
  <c r="Y496" i="12"/>
  <c r="AN495" i="12"/>
  <c r="AL495" i="12"/>
  <c r="AJ495" i="12"/>
  <c r="AH495" i="12"/>
  <c r="AE495" i="12"/>
  <c r="AD495" i="12"/>
  <c r="AC495" i="12"/>
  <c r="AB495" i="12"/>
  <c r="AA495" i="12"/>
  <c r="Z495" i="12"/>
  <c r="Y495" i="12"/>
  <c r="AN494" i="12"/>
  <c r="AL494" i="12"/>
  <c r="AJ494" i="12"/>
  <c r="AH494" i="12"/>
  <c r="AE494" i="12"/>
  <c r="AD494" i="12"/>
  <c r="AC494" i="12"/>
  <c r="AB494" i="12"/>
  <c r="AA494" i="12"/>
  <c r="Z494" i="12"/>
  <c r="Y494" i="12"/>
  <c r="AN493" i="12"/>
  <c r="AL493" i="12"/>
  <c r="AJ493" i="12"/>
  <c r="AH493" i="12"/>
  <c r="AE493" i="12"/>
  <c r="AD493" i="12"/>
  <c r="AC493" i="12"/>
  <c r="AB493" i="12"/>
  <c r="AA493" i="12"/>
  <c r="Z493" i="12"/>
  <c r="Y493" i="12"/>
  <c r="AN492" i="12"/>
  <c r="AL492" i="12"/>
  <c r="AJ492" i="12"/>
  <c r="AH492" i="12"/>
  <c r="AE492" i="12"/>
  <c r="AD492" i="12"/>
  <c r="AC492" i="12"/>
  <c r="AB492" i="12"/>
  <c r="AA492" i="12"/>
  <c r="Z492" i="12"/>
  <c r="Y492" i="12"/>
  <c r="AN491" i="12"/>
  <c r="AL491" i="12"/>
  <c r="AJ491" i="12"/>
  <c r="AH491" i="12"/>
  <c r="AE491" i="12"/>
  <c r="AD491" i="12"/>
  <c r="AC491" i="12"/>
  <c r="AB491" i="12"/>
  <c r="AA491" i="12"/>
  <c r="Z491" i="12"/>
  <c r="Y491" i="12"/>
  <c r="AN490" i="12"/>
  <c r="AL490" i="12"/>
  <c r="AJ490" i="12"/>
  <c r="AH490" i="12"/>
  <c r="AE490" i="12"/>
  <c r="AD490" i="12"/>
  <c r="AC490" i="12"/>
  <c r="AB490" i="12"/>
  <c r="AA490" i="12"/>
  <c r="Z490" i="12"/>
  <c r="Y490" i="12"/>
  <c r="AN489" i="12"/>
  <c r="AL489" i="12"/>
  <c r="AJ489" i="12"/>
  <c r="AH489" i="12"/>
  <c r="AE489" i="12"/>
  <c r="AD489" i="12"/>
  <c r="AC489" i="12"/>
  <c r="AB489" i="12"/>
  <c r="AA489" i="12"/>
  <c r="Z489" i="12"/>
  <c r="Y489" i="12"/>
  <c r="AN488" i="12"/>
  <c r="AL488" i="12"/>
  <c r="AJ488" i="12"/>
  <c r="AH488" i="12"/>
  <c r="AE488" i="12"/>
  <c r="AD488" i="12"/>
  <c r="AC488" i="12"/>
  <c r="AB488" i="12"/>
  <c r="AA488" i="12"/>
  <c r="Z488" i="12"/>
  <c r="Y488" i="12"/>
  <c r="AN487" i="12"/>
  <c r="AL487" i="12"/>
  <c r="AJ487" i="12"/>
  <c r="AH487" i="12"/>
  <c r="AE487" i="12"/>
  <c r="AD487" i="12"/>
  <c r="AC487" i="12"/>
  <c r="AB487" i="12"/>
  <c r="AA487" i="12"/>
  <c r="Z487" i="12"/>
  <c r="Y487" i="12"/>
  <c r="AN486" i="12"/>
  <c r="AL486" i="12"/>
  <c r="AJ486" i="12"/>
  <c r="AH486" i="12"/>
  <c r="AE486" i="12"/>
  <c r="AD486" i="12"/>
  <c r="AC486" i="12"/>
  <c r="AB486" i="12"/>
  <c r="AA486" i="12"/>
  <c r="Z486" i="12"/>
  <c r="Y486" i="12"/>
  <c r="AN485" i="12"/>
  <c r="AL485" i="12"/>
  <c r="AJ485" i="12"/>
  <c r="AH485" i="12"/>
  <c r="AE485" i="12"/>
  <c r="AD485" i="12"/>
  <c r="AC485" i="12"/>
  <c r="AB485" i="12"/>
  <c r="AA485" i="12"/>
  <c r="Z485" i="12"/>
  <c r="Y485" i="12"/>
  <c r="AN484" i="12"/>
  <c r="AL484" i="12"/>
  <c r="AJ484" i="12"/>
  <c r="AH484" i="12"/>
  <c r="AE484" i="12"/>
  <c r="AD484" i="12"/>
  <c r="AC484" i="12"/>
  <c r="AB484" i="12"/>
  <c r="AA484" i="12"/>
  <c r="Z484" i="12"/>
  <c r="Y484" i="12"/>
  <c r="AN483" i="12"/>
  <c r="AL483" i="12"/>
  <c r="AJ483" i="12"/>
  <c r="AH483" i="12"/>
  <c r="AE483" i="12"/>
  <c r="AD483" i="12"/>
  <c r="AC483" i="12"/>
  <c r="AB483" i="12"/>
  <c r="AA483" i="12"/>
  <c r="Z483" i="12"/>
  <c r="Y483" i="12"/>
  <c r="AN482" i="12"/>
  <c r="AL482" i="12"/>
  <c r="AJ482" i="12"/>
  <c r="AH482" i="12"/>
  <c r="AE482" i="12"/>
  <c r="AD482" i="12"/>
  <c r="AC482" i="12"/>
  <c r="AB482" i="12"/>
  <c r="AA482" i="12"/>
  <c r="Z482" i="12"/>
  <c r="Y482" i="12"/>
  <c r="AN481" i="12"/>
  <c r="AL481" i="12"/>
  <c r="AJ481" i="12"/>
  <c r="AH481" i="12"/>
  <c r="AE481" i="12"/>
  <c r="AD481" i="12"/>
  <c r="AC481" i="12"/>
  <c r="AB481" i="12"/>
  <c r="AA481" i="12"/>
  <c r="Z481" i="12"/>
  <c r="Y481" i="12"/>
  <c r="AN480" i="12"/>
  <c r="AL480" i="12"/>
  <c r="AJ480" i="12"/>
  <c r="AH480" i="12"/>
  <c r="AE480" i="12"/>
  <c r="AD480" i="12"/>
  <c r="AC480" i="12"/>
  <c r="AB480" i="12"/>
  <c r="AA480" i="12"/>
  <c r="Z480" i="12"/>
  <c r="Y480" i="12"/>
  <c r="AN479" i="12"/>
  <c r="AL479" i="12"/>
  <c r="AJ479" i="12"/>
  <c r="AH479" i="12"/>
  <c r="AE479" i="12"/>
  <c r="AD479" i="12"/>
  <c r="AC479" i="12"/>
  <c r="AB479" i="12"/>
  <c r="AA479" i="12"/>
  <c r="Z479" i="12"/>
  <c r="Y479" i="12"/>
  <c r="AN478" i="12"/>
  <c r="AL478" i="12"/>
  <c r="AJ478" i="12"/>
  <c r="AH478" i="12"/>
  <c r="AE478" i="12"/>
  <c r="AD478" i="12"/>
  <c r="AC478" i="12"/>
  <c r="AB478" i="12"/>
  <c r="AA478" i="12"/>
  <c r="Z478" i="12"/>
  <c r="Y478" i="12"/>
  <c r="AN477" i="12"/>
  <c r="AL477" i="12"/>
  <c r="AJ477" i="12"/>
  <c r="AH477" i="12"/>
  <c r="AE477" i="12"/>
  <c r="AD477" i="12"/>
  <c r="AC477" i="12"/>
  <c r="AB477" i="12"/>
  <c r="AA477" i="12"/>
  <c r="Z477" i="12"/>
  <c r="Y477" i="12"/>
  <c r="AN476" i="12"/>
  <c r="AL476" i="12"/>
  <c r="AJ476" i="12"/>
  <c r="AH476" i="12"/>
  <c r="AE476" i="12"/>
  <c r="AD476" i="12"/>
  <c r="AC476" i="12"/>
  <c r="AB476" i="12"/>
  <c r="AA476" i="12"/>
  <c r="Z476" i="12"/>
  <c r="Y476" i="12"/>
  <c r="AN475" i="12"/>
  <c r="AL475" i="12"/>
  <c r="AJ475" i="12"/>
  <c r="AH475" i="12"/>
  <c r="AE475" i="12"/>
  <c r="AD475" i="12"/>
  <c r="AC475" i="12"/>
  <c r="AB475" i="12"/>
  <c r="AA475" i="12"/>
  <c r="Z475" i="12"/>
  <c r="Y475" i="12"/>
  <c r="AN474" i="12"/>
  <c r="AL474" i="12"/>
  <c r="AJ474" i="12"/>
  <c r="AH474" i="12"/>
  <c r="AE474" i="12"/>
  <c r="AD474" i="12"/>
  <c r="AC474" i="12"/>
  <c r="AB474" i="12"/>
  <c r="AA474" i="12"/>
  <c r="Z474" i="12"/>
  <c r="Y474" i="12"/>
  <c r="AN473" i="12"/>
  <c r="AL473" i="12"/>
  <c r="AJ473" i="12"/>
  <c r="AH473" i="12"/>
  <c r="AE473" i="12"/>
  <c r="AD473" i="12"/>
  <c r="AC473" i="12"/>
  <c r="AB473" i="12"/>
  <c r="AA473" i="12"/>
  <c r="Z473" i="12"/>
  <c r="Y473" i="12"/>
  <c r="AN472" i="12"/>
  <c r="AL472" i="12"/>
  <c r="AJ472" i="12"/>
  <c r="AH472" i="12"/>
  <c r="AE472" i="12"/>
  <c r="AD472" i="12"/>
  <c r="AC472" i="12"/>
  <c r="AB472" i="12"/>
  <c r="AA472" i="12"/>
  <c r="Z472" i="12"/>
  <c r="Y472" i="12"/>
  <c r="AN471" i="12"/>
  <c r="AL471" i="12"/>
  <c r="AJ471" i="12"/>
  <c r="AH471" i="12"/>
  <c r="AE471" i="12"/>
  <c r="AD471" i="12"/>
  <c r="AC471" i="12"/>
  <c r="AB471" i="12"/>
  <c r="AA471" i="12"/>
  <c r="Z471" i="12"/>
  <c r="Y471" i="12"/>
  <c r="AN470" i="12"/>
  <c r="AL470" i="12"/>
  <c r="AJ470" i="12"/>
  <c r="AH470" i="12"/>
  <c r="AE470" i="12"/>
  <c r="AD470" i="12"/>
  <c r="AC470" i="12"/>
  <c r="AB470" i="12"/>
  <c r="AA470" i="12"/>
  <c r="Z470" i="12"/>
  <c r="Y470" i="12"/>
  <c r="AN469" i="12"/>
  <c r="AL469" i="12"/>
  <c r="AJ469" i="12"/>
  <c r="AH469" i="12"/>
  <c r="AE469" i="12"/>
  <c r="AD469" i="12"/>
  <c r="AC469" i="12"/>
  <c r="AB469" i="12"/>
  <c r="AA469" i="12"/>
  <c r="Z469" i="12"/>
  <c r="Y469" i="12"/>
  <c r="AN468" i="12"/>
  <c r="AL468" i="12"/>
  <c r="AJ468" i="12"/>
  <c r="AH468" i="12"/>
  <c r="AE468" i="12"/>
  <c r="AD468" i="12"/>
  <c r="AC468" i="12"/>
  <c r="AB468" i="12"/>
  <c r="AA468" i="12"/>
  <c r="Z468" i="12"/>
  <c r="Y468" i="12"/>
  <c r="AN467" i="12"/>
  <c r="AL467" i="12"/>
  <c r="AJ467" i="12"/>
  <c r="AH467" i="12"/>
  <c r="AE467" i="12"/>
  <c r="AD467" i="12"/>
  <c r="AC467" i="12"/>
  <c r="AB467" i="12"/>
  <c r="AA467" i="12"/>
  <c r="Z467" i="12"/>
  <c r="Y467" i="12"/>
  <c r="AN466" i="12"/>
  <c r="AL466" i="12"/>
  <c r="AJ466" i="12"/>
  <c r="AH466" i="12"/>
  <c r="AE466" i="12"/>
  <c r="AD466" i="12"/>
  <c r="AC466" i="12"/>
  <c r="AB466" i="12"/>
  <c r="AA466" i="12"/>
  <c r="Z466" i="12"/>
  <c r="Y466" i="12"/>
  <c r="AN465" i="12"/>
  <c r="AL465" i="12"/>
  <c r="AJ465" i="12"/>
  <c r="AH465" i="12"/>
  <c r="AE465" i="12"/>
  <c r="AD465" i="12"/>
  <c r="AC465" i="12"/>
  <c r="AB465" i="12"/>
  <c r="AA465" i="12"/>
  <c r="Z465" i="12"/>
  <c r="Y465" i="12"/>
  <c r="AN464" i="12"/>
  <c r="AL464" i="12"/>
  <c r="AJ464" i="12"/>
  <c r="AH464" i="12"/>
  <c r="AE464" i="12"/>
  <c r="AD464" i="12"/>
  <c r="AC464" i="12"/>
  <c r="AB464" i="12"/>
  <c r="AA464" i="12"/>
  <c r="Z464" i="12"/>
  <c r="Y464" i="12"/>
  <c r="AN463" i="12"/>
  <c r="AL463" i="12"/>
  <c r="AJ463" i="12"/>
  <c r="AH463" i="12"/>
  <c r="AE463" i="12"/>
  <c r="AD463" i="12"/>
  <c r="AC463" i="12"/>
  <c r="AB463" i="12"/>
  <c r="AA463" i="12"/>
  <c r="Z463" i="12"/>
  <c r="Y463" i="12"/>
  <c r="AN462" i="12"/>
  <c r="AL462" i="12"/>
  <c r="AJ462" i="12"/>
  <c r="AH462" i="12"/>
  <c r="AE462" i="12"/>
  <c r="AD462" i="12"/>
  <c r="AC462" i="12"/>
  <c r="AB462" i="12"/>
  <c r="AA462" i="12"/>
  <c r="Z462" i="12"/>
  <c r="Y462" i="12"/>
  <c r="AN461" i="12"/>
  <c r="AL461" i="12"/>
  <c r="AJ461" i="12"/>
  <c r="AH461" i="12"/>
  <c r="AE461" i="12"/>
  <c r="AD461" i="12"/>
  <c r="AC461" i="12"/>
  <c r="AB461" i="12"/>
  <c r="AA461" i="12"/>
  <c r="Z461" i="12"/>
  <c r="Y461" i="12"/>
  <c r="AN460" i="12"/>
  <c r="AL460" i="12"/>
  <c r="AJ460" i="12"/>
  <c r="AH460" i="12"/>
  <c r="AE460" i="12"/>
  <c r="AD460" i="12"/>
  <c r="AC460" i="12"/>
  <c r="AB460" i="12"/>
  <c r="AA460" i="12"/>
  <c r="Z460" i="12"/>
  <c r="Y460" i="12"/>
  <c r="AN459" i="12"/>
  <c r="AL459" i="12"/>
  <c r="AJ459" i="12"/>
  <c r="AH459" i="12"/>
  <c r="AE459" i="12"/>
  <c r="AD459" i="12"/>
  <c r="AC459" i="12"/>
  <c r="AB459" i="12"/>
  <c r="AA459" i="12"/>
  <c r="Z459" i="12"/>
  <c r="Y459" i="12"/>
  <c r="AN458" i="12"/>
  <c r="AL458" i="12"/>
  <c r="AJ458" i="12"/>
  <c r="AH458" i="12"/>
  <c r="AE458" i="12"/>
  <c r="AD458" i="12"/>
  <c r="AC458" i="12"/>
  <c r="AB458" i="12"/>
  <c r="AA458" i="12"/>
  <c r="Z458" i="12"/>
  <c r="Y458" i="12"/>
  <c r="AN457" i="12"/>
  <c r="AL457" i="12"/>
  <c r="AJ457" i="12"/>
  <c r="AH457" i="12"/>
  <c r="AE457" i="12"/>
  <c r="AD457" i="12"/>
  <c r="AC457" i="12"/>
  <c r="AB457" i="12"/>
  <c r="AA457" i="12"/>
  <c r="Z457" i="12"/>
  <c r="Y457" i="12"/>
  <c r="AN456" i="12"/>
  <c r="AL456" i="12"/>
  <c r="AJ456" i="12"/>
  <c r="AH456" i="12"/>
  <c r="AE456" i="12"/>
  <c r="AD456" i="12"/>
  <c r="AC456" i="12"/>
  <c r="AB456" i="12"/>
  <c r="AA456" i="12"/>
  <c r="Z456" i="12"/>
  <c r="Y456" i="12"/>
  <c r="AN455" i="12"/>
  <c r="AL455" i="12"/>
  <c r="AJ455" i="12"/>
  <c r="AH455" i="12"/>
  <c r="AE455" i="12"/>
  <c r="AD455" i="12"/>
  <c r="AC455" i="12"/>
  <c r="AB455" i="12"/>
  <c r="AA455" i="12"/>
  <c r="Z455" i="12"/>
  <c r="Y455" i="12"/>
  <c r="AN454" i="12"/>
  <c r="AL454" i="12"/>
  <c r="AJ454" i="12"/>
  <c r="AH454" i="12"/>
  <c r="AE454" i="12"/>
  <c r="AD454" i="12"/>
  <c r="AC454" i="12"/>
  <c r="AB454" i="12"/>
  <c r="AA454" i="12"/>
  <c r="Z454" i="12"/>
  <c r="Y454" i="12"/>
  <c r="AN453" i="12"/>
  <c r="AL453" i="12"/>
  <c r="AJ453" i="12"/>
  <c r="AH453" i="12"/>
  <c r="AE453" i="12"/>
  <c r="AD453" i="12"/>
  <c r="AC453" i="12"/>
  <c r="AB453" i="12"/>
  <c r="AA453" i="12"/>
  <c r="Z453" i="12"/>
  <c r="Y453" i="12"/>
  <c r="AN452" i="12"/>
  <c r="AL452" i="12"/>
  <c r="AJ452" i="12"/>
  <c r="AH452" i="12"/>
  <c r="AE452" i="12"/>
  <c r="AD452" i="12"/>
  <c r="AC452" i="12"/>
  <c r="AB452" i="12"/>
  <c r="AA452" i="12"/>
  <c r="Z452" i="12"/>
  <c r="Y452" i="12"/>
  <c r="AN451" i="12"/>
  <c r="AL451" i="12"/>
  <c r="AJ451" i="12"/>
  <c r="AH451" i="12"/>
  <c r="AE451" i="12"/>
  <c r="AD451" i="12"/>
  <c r="AC451" i="12"/>
  <c r="AB451" i="12"/>
  <c r="AA451" i="12"/>
  <c r="Z451" i="12"/>
  <c r="Y451" i="12"/>
  <c r="AN450" i="12"/>
  <c r="AL450" i="12"/>
  <c r="AJ450" i="12"/>
  <c r="AH450" i="12"/>
  <c r="AE450" i="12"/>
  <c r="AD450" i="12"/>
  <c r="AC450" i="12"/>
  <c r="AB450" i="12"/>
  <c r="AA450" i="12"/>
  <c r="Z450" i="12"/>
  <c r="Y450" i="12"/>
  <c r="AN449" i="12"/>
  <c r="AL449" i="12"/>
  <c r="AJ449" i="12"/>
  <c r="AH449" i="12"/>
  <c r="AE449" i="12"/>
  <c r="AD449" i="12"/>
  <c r="AC449" i="12"/>
  <c r="AB449" i="12"/>
  <c r="AA449" i="12"/>
  <c r="Z449" i="12"/>
  <c r="Y449" i="12"/>
  <c r="AN448" i="12"/>
  <c r="AL448" i="12"/>
  <c r="AJ448" i="12"/>
  <c r="AH448" i="12"/>
  <c r="AE448" i="12"/>
  <c r="AD448" i="12"/>
  <c r="AC448" i="12"/>
  <c r="AB448" i="12"/>
  <c r="AA448" i="12"/>
  <c r="Z448" i="12"/>
  <c r="Y448" i="12"/>
  <c r="AN447" i="12"/>
  <c r="AL447" i="12"/>
  <c r="AJ447" i="12"/>
  <c r="AH447" i="12"/>
  <c r="AE447" i="12"/>
  <c r="AD447" i="12"/>
  <c r="AC447" i="12"/>
  <c r="AB447" i="12"/>
  <c r="AA447" i="12"/>
  <c r="Z447" i="12"/>
  <c r="Y447" i="12"/>
  <c r="AN446" i="12"/>
  <c r="AL446" i="12"/>
  <c r="AJ446" i="12"/>
  <c r="AH446" i="12"/>
  <c r="AE446" i="12"/>
  <c r="AD446" i="12"/>
  <c r="AC446" i="12"/>
  <c r="AB446" i="12"/>
  <c r="AA446" i="12"/>
  <c r="Z446" i="12"/>
  <c r="Y446" i="12"/>
  <c r="AN445" i="12"/>
  <c r="AL445" i="12"/>
  <c r="AJ445" i="12"/>
  <c r="AH445" i="12"/>
  <c r="AE445" i="12"/>
  <c r="AD445" i="12"/>
  <c r="AC445" i="12"/>
  <c r="AB445" i="12"/>
  <c r="AA445" i="12"/>
  <c r="Z445" i="12"/>
  <c r="Y445" i="12"/>
  <c r="AN444" i="12"/>
  <c r="AL444" i="12"/>
  <c r="AJ444" i="12"/>
  <c r="AH444" i="12"/>
  <c r="AE444" i="12"/>
  <c r="AD444" i="12"/>
  <c r="AC444" i="12"/>
  <c r="AB444" i="12"/>
  <c r="AA444" i="12"/>
  <c r="Z444" i="12"/>
  <c r="Y444" i="12"/>
  <c r="AN443" i="12"/>
  <c r="AL443" i="12"/>
  <c r="AJ443" i="12"/>
  <c r="AH443" i="12"/>
  <c r="AE443" i="12"/>
  <c r="AD443" i="12"/>
  <c r="AC443" i="12"/>
  <c r="AB443" i="12"/>
  <c r="AA443" i="12"/>
  <c r="Z443" i="12"/>
  <c r="Y443" i="12"/>
  <c r="AN442" i="12"/>
  <c r="AL442" i="12"/>
  <c r="AJ442" i="12"/>
  <c r="AH442" i="12"/>
  <c r="AE442" i="12"/>
  <c r="AD442" i="12"/>
  <c r="AC442" i="12"/>
  <c r="AB442" i="12"/>
  <c r="AA442" i="12"/>
  <c r="Z442" i="12"/>
  <c r="Y442" i="12"/>
  <c r="AN441" i="12"/>
  <c r="AL441" i="12"/>
  <c r="AJ441" i="12"/>
  <c r="AH441" i="12"/>
  <c r="AE441" i="12"/>
  <c r="AD441" i="12"/>
  <c r="AC441" i="12"/>
  <c r="AB441" i="12"/>
  <c r="AA441" i="12"/>
  <c r="Z441" i="12"/>
  <c r="Y441" i="12"/>
  <c r="AN440" i="12"/>
  <c r="AL440" i="12"/>
  <c r="AJ440" i="12"/>
  <c r="AH440" i="12"/>
  <c r="AE440" i="12"/>
  <c r="AD440" i="12"/>
  <c r="AC440" i="12"/>
  <c r="AB440" i="12"/>
  <c r="AA440" i="12"/>
  <c r="Z440" i="12"/>
  <c r="Y440" i="12"/>
  <c r="AN439" i="12"/>
  <c r="AL439" i="12"/>
  <c r="AJ439" i="12"/>
  <c r="AH439" i="12"/>
  <c r="AE439" i="12"/>
  <c r="AD439" i="12"/>
  <c r="AC439" i="12"/>
  <c r="AB439" i="12"/>
  <c r="AA439" i="12"/>
  <c r="Z439" i="12"/>
  <c r="Y439" i="12"/>
  <c r="AN438" i="12"/>
  <c r="AL438" i="12"/>
  <c r="AJ438" i="12"/>
  <c r="AH438" i="12"/>
  <c r="AE438" i="12"/>
  <c r="AD438" i="12"/>
  <c r="AC438" i="12"/>
  <c r="AB438" i="12"/>
  <c r="AA438" i="12"/>
  <c r="Z438" i="12"/>
  <c r="Y438" i="12"/>
  <c r="AN437" i="12"/>
  <c r="AL437" i="12"/>
  <c r="AJ437" i="12"/>
  <c r="AH437" i="12"/>
  <c r="AE437" i="12"/>
  <c r="AD437" i="12"/>
  <c r="AC437" i="12"/>
  <c r="AB437" i="12"/>
  <c r="AA437" i="12"/>
  <c r="Z437" i="12"/>
  <c r="Y437" i="12"/>
  <c r="AN436" i="12"/>
  <c r="AL436" i="12"/>
  <c r="AJ436" i="12"/>
  <c r="AH436" i="12"/>
  <c r="AE436" i="12"/>
  <c r="AD436" i="12"/>
  <c r="AC436" i="12"/>
  <c r="AB436" i="12"/>
  <c r="AA436" i="12"/>
  <c r="Z436" i="12"/>
  <c r="Y436" i="12"/>
  <c r="AN435" i="12"/>
  <c r="AL435" i="12"/>
  <c r="AJ435" i="12"/>
  <c r="AH435" i="12"/>
  <c r="AE435" i="12"/>
  <c r="AD435" i="12"/>
  <c r="AC435" i="12"/>
  <c r="AB435" i="12"/>
  <c r="AA435" i="12"/>
  <c r="Z435" i="12"/>
  <c r="Y435" i="12"/>
  <c r="AN434" i="12"/>
  <c r="AL434" i="12"/>
  <c r="AJ434" i="12"/>
  <c r="AH434" i="12"/>
  <c r="AE434" i="12"/>
  <c r="AD434" i="12"/>
  <c r="AC434" i="12"/>
  <c r="AB434" i="12"/>
  <c r="AA434" i="12"/>
  <c r="Z434" i="12"/>
  <c r="Y434" i="12"/>
  <c r="AN433" i="12"/>
  <c r="AL433" i="12"/>
  <c r="AJ433" i="12"/>
  <c r="AH433" i="12"/>
  <c r="AE433" i="12"/>
  <c r="AD433" i="12"/>
  <c r="AC433" i="12"/>
  <c r="AB433" i="12"/>
  <c r="AA433" i="12"/>
  <c r="Z433" i="12"/>
  <c r="Y433" i="12"/>
  <c r="AN432" i="12"/>
  <c r="AL432" i="12"/>
  <c r="AJ432" i="12"/>
  <c r="AH432" i="12"/>
  <c r="AE432" i="12"/>
  <c r="AD432" i="12"/>
  <c r="AC432" i="12"/>
  <c r="AB432" i="12"/>
  <c r="AA432" i="12"/>
  <c r="Z432" i="12"/>
  <c r="Y432" i="12"/>
  <c r="AN431" i="12"/>
  <c r="AL431" i="12"/>
  <c r="AJ431" i="12"/>
  <c r="AH431" i="12"/>
  <c r="AE431" i="12"/>
  <c r="AD431" i="12"/>
  <c r="AC431" i="12"/>
  <c r="AB431" i="12"/>
  <c r="AA431" i="12"/>
  <c r="Z431" i="12"/>
  <c r="Y431" i="12"/>
  <c r="AN430" i="12"/>
  <c r="AL430" i="12"/>
  <c r="AJ430" i="12"/>
  <c r="AH430" i="12"/>
  <c r="AE430" i="12"/>
  <c r="AD430" i="12"/>
  <c r="AC430" i="12"/>
  <c r="AB430" i="12"/>
  <c r="AA430" i="12"/>
  <c r="Z430" i="12"/>
  <c r="Y430" i="12"/>
  <c r="AN429" i="12"/>
  <c r="AL429" i="12"/>
  <c r="AJ429" i="12"/>
  <c r="AH429" i="12"/>
  <c r="AE429" i="12"/>
  <c r="AD429" i="12"/>
  <c r="AC429" i="12"/>
  <c r="AB429" i="12"/>
  <c r="AA429" i="12"/>
  <c r="Z429" i="12"/>
  <c r="Y429" i="12"/>
  <c r="AN428" i="12"/>
  <c r="AL428" i="12"/>
  <c r="AJ428" i="12"/>
  <c r="AH428" i="12"/>
  <c r="AE428" i="12"/>
  <c r="AD428" i="12"/>
  <c r="AC428" i="12"/>
  <c r="AB428" i="12"/>
  <c r="AA428" i="12"/>
  <c r="Z428" i="12"/>
  <c r="Y428" i="12"/>
  <c r="AN427" i="12"/>
  <c r="AL427" i="12"/>
  <c r="AJ427" i="12"/>
  <c r="AH427" i="12"/>
  <c r="AE427" i="12"/>
  <c r="AD427" i="12"/>
  <c r="AC427" i="12"/>
  <c r="AB427" i="12"/>
  <c r="AA427" i="12"/>
  <c r="Z427" i="12"/>
  <c r="Y427" i="12"/>
  <c r="AN426" i="12"/>
  <c r="AL426" i="12"/>
  <c r="AJ426" i="12"/>
  <c r="AH426" i="12"/>
  <c r="AE426" i="12"/>
  <c r="AD426" i="12"/>
  <c r="AC426" i="12"/>
  <c r="AB426" i="12"/>
  <c r="AA426" i="12"/>
  <c r="Z426" i="12"/>
  <c r="Y426" i="12"/>
  <c r="AN425" i="12"/>
  <c r="AL425" i="12"/>
  <c r="AJ425" i="12"/>
  <c r="AH425" i="12"/>
  <c r="AE425" i="12"/>
  <c r="AD425" i="12"/>
  <c r="AC425" i="12"/>
  <c r="AB425" i="12"/>
  <c r="AA425" i="12"/>
  <c r="Z425" i="12"/>
  <c r="Y425" i="12"/>
  <c r="AN424" i="12"/>
  <c r="AL424" i="12"/>
  <c r="AJ424" i="12"/>
  <c r="AH424" i="12"/>
  <c r="AE424" i="12"/>
  <c r="AD424" i="12"/>
  <c r="AC424" i="12"/>
  <c r="AB424" i="12"/>
  <c r="AA424" i="12"/>
  <c r="Z424" i="12"/>
  <c r="Y424" i="12"/>
  <c r="AN423" i="12"/>
  <c r="AL423" i="12"/>
  <c r="AJ423" i="12"/>
  <c r="AH423" i="12"/>
  <c r="AE423" i="12"/>
  <c r="AD423" i="12"/>
  <c r="AC423" i="12"/>
  <c r="AB423" i="12"/>
  <c r="AA423" i="12"/>
  <c r="Z423" i="12"/>
  <c r="Y423" i="12"/>
  <c r="AN422" i="12"/>
  <c r="AL422" i="12"/>
  <c r="AJ422" i="12"/>
  <c r="AH422" i="12"/>
  <c r="AE422" i="12"/>
  <c r="AD422" i="12"/>
  <c r="AC422" i="12"/>
  <c r="AB422" i="12"/>
  <c r="AA422" i="12"/>
  <c r="Z422" i="12"/>
  <c r="Y422" i="12"/>
  <c r="AN421" i="12"/>
  <c r="AL421" i="12"/>
  <c r="AJ421" i="12"/>
  <c r="AH421" i="12"/>
  <c r="AE421" i="12"/>
  <c r="AD421" i="12"/>
  <c r="AC421" i="12"/>
  <c r="AB421" i="12"/>
  <c r="AA421" i="12"/>
  <c r="Z421" i="12"/>
  <c r="Y421" i="12"/>
  <c r="AN420" i="12"/>
  <c r="AL420" i="12"/>
  <c r="AJ420" i="12"/>
  <c r="AH420" i="12"/>
  <c r="AE420" i="12"/>
  <c r="AD420" i="12"/>
  <c r="AC420" i="12"/>
  <c r="AB420" i="12"/>
  <c r="AA420" i="12"/>
  <c r="Z420" i="12"/>
  <c r="Y420" i="12"/>
  <c r="AN419" i="12"/>
  <c r="AL419" i="12"/>
  <c r="AJ419" i="12"/>
  <c r="AH419" i="12"/>
  <c r="AE419" i="12"/>
  <c r="AD419" i="12"/>
  <c r="AC419" i="12"/>
  <c r="AB419" i="12"/>
  <c r="AA419" i="12"/>
  <c r="Z419" i="12"/>
  <c r="Y419" i="12"/>
  <c r="AN418" i="12"/>
  <c r="AL418" i="12"/>
  <c r="AJ418" i="12"/>
  <c r="AH418" i="12"/>
  <c r="AE418" i="12"/>
  <c r="AD418" i="12"/>
  <c r="AC418" i="12"/>
  <c r="AB418" i="12"/>
  <c r="AA418" i="12"/>
  <c r="Z418" i="12"/>
  <c r="Y418" i="12"/>
  <c r="AN417" i="12"/>
  <c r="AL417" i="12"/>
  <c r="AJ417" i="12"/>
  <c r="AH417" i="12"/>
  <c r="AE417" i="12"/>
  <c r="AD417" i="12"/>
  <c r="AC417" i="12"/>
  <c r="AB417" i="12"/>
  <c r="AA417" i="12"/>
  <c r="Z417" i="12"/>
  <c r="Y417" i="12"/>
  <c r="AN416" i="12"/>
  <c r="AL416" i="12"/>
  <c r="AJ416" i="12"/>
  <c r="AH416" i="12"/>
  <c r="AE416" i="12"/>
  <c r="AD416" i="12"/>
  <c r="AC416" i="12"/>
  <c r="AB416" i="12"/>
  <c r="AA416" i="12"/>
  <c r="Z416" i="12"/>
  <c r="Y416" i="12"/>
  <c r="AN415" i="12"/>
  <c r="AL415" i="12"/>
  <c r="AJ415" i="12"/>
  <c r="AH415" i="12"/>
  <c r="AE415" i="12"/>
  <c r="AD415" i="12"/>
  <c r="AC415" i="12"/>
  <c r="AB415" i="12"/>
  <c r="AA415" i="12"/>
  <c r="Z415" i="12"/>
  <c r="Y415" i="12"/>
  <c r="AN414" i="12"/>
  <c r="AL414" i="12"/>
  <c r="AJ414" i="12"/>
  <c r="AH414" i="12"/>
  <c r="AE414" i="12"/>
  <c r="AD414" i="12"/>
  <c r="AC414" i="12"/>
  <c r="AB414" i="12"/>
  <c r="AA414" i="12"/>
  <c r="Z414" i="12"/>
  <c r="Y414" i="12"/>
  <c r="AN413" i="12"/>
  <c r="AL413" i="12"/>
  <c r="AJ413" i="12"/>
  <c r="AH413" i="12"/>
  <c r="AE413" i="12"/>
  <c r="AD413" i="12"/>
  <c r="AC413" i="12"/>
  <c r="AB413" i="12"/>
  <c r="AA413" i="12"/>
  <c r="Z413" i="12"/>
  <c r="Y413" i="12"/>
  <c r="AN412" i="12"/>
  <c r="AL412" i="12"/>
  <c r="AJ412" i="12"/>
  <c r="AH412" i="12"/>
  <c r="AE412" i="12"/>
  <c r="AD412" i="12"/>
  <c r="AC412" i="12"/>
  <c r="AB412" i="12"/>
  <c r="AA412" i="12"/>
  <c r="Z412" i="12"/>
  <c r="Y412" i="12"/>
  <c r="AN411" i="12"/>
  <c r="AL411" i="12"/>
  <c r="AJ411" i="12"/>
  <c r="AH411" i="12"/>
  <c r="AE411" i="12"/>
  <c r="AD411" i="12"/>
  <c r="AC411" i="12"/>
  <c r="AB411" i="12"/>
  <c r="AA411" i="12"/>
  <c r="Z411" i="12"/>
  <c r="Y411" i="12"/>
  <c r="AN410" i="12"/>
  <c r="AL410" i="12"/>
  <c r="AJ410" i="12"/>
  <c r="AH410" i="12"/>
  <c r="AE410" i="12"/>
  <c r="AD410" i="12"/>
  <c r="AC410" i="12"/>
  <c r="AB410" i="12"/>
  <c r="AA410" i="12"/>
  <c r="Z410" i="12"/>
  <c r="Y410" i="12"/>
  <c r="AN409" i="12"/>
  <c r="AL409" i="12"/>
  <c r="AJ409" i="12"/>
  <c r="AH409" i="12"/>
  <c r="AE409" i="12"/>
  <c r="AD409" i="12"/>
  <c r="AC409" i="12"/>
  <c r="AB409" i="12"/>
  <c r="AA409" i="12"/>
  <c r="Z409" i="12"/>
  <c r="Y409" i="12"/>
  <c r="AN408" i="12"/>
  <c r="AL408" i="12"/>
  <c r="AJ408" i="12"/>
  <c r="AH408" i="12"/>
  <c r="AE408" i="12"/>
  <c r="AD408" i="12"/>
  <c r="AC408" i="12"/>
  <c r="AB408" i="12"/>
  <c r="AA408" i="12"/>
  <c r="Z408" i="12"/>
  <c r="Y408" i="12"/>
  <c r="AN407" i="12"/>
  <c r="AL407" i="12"/>
  <c r="AJ407" i="12"/>
  <c r="AH407" i="12"/>
  <c r="AE407" i="12"/>
  <c r="AD407" i="12"/>
  <c r="AC407" i="12"/>
  <c r="AB407" i="12"/>
  <c r="AA407" i="12"/>
  <c r="Z407" i="12"/>
  <c r="Y407" i="12"/>
  <c r="AN406" i="12"/>
  <c r="AL406" i="12"/>
  <c r="AJ406" i="12"/>
  <c r="AH406" i="12"/>
  <c r="AE406" i="12"/>
  <c r="AD406" i="12"/>
  <c r="AC406" i="12"/>
  <c r="AB406" i="12"/>
  <c r="AA406" i="12"/>
  <c r="Z406" i="12"/>
  <c r="Y406" i="12"/>
  <c r="AN405" i="12"/>
  <c r="AL405" i="12"/>
  <c r="AJ405" i="12"/>
  <c r="AH405" i="12"/>
  <c r="AE405" i="12"/>
  <c r="AD405" i="12"/>
  <c r="AC405" i="12"/>
  <c r="AB405" i="12"/>
  <c r="AA405" i="12"/>
  <c r="Z405" i="12"/>
  <c r="Y405" i="12"/>
  <c r="AN404" i="12"/>
  <c r="AL404" i="12"/>
  <c r="AJ404" i="12"/>
  <c r="AH404" i="12"/>
  <c r="AE404" i="12"/>
  <c r="AD404" i="12"/>
  <c r="AC404" i="12"/>
  <c r="AB404" i="12"/>
  <c r="AA404" i="12"/>
  <c r="Z404" i="12"/>
  <c r="Y404" i="12"/>
  <c r="AN403" i="12"/>
  <c r="AL403" i="12"/>
  <c r="AJ403" i="12"/>
  <c r="AH403" i="12"/>
  <c r="AE403" i="12"/>
  <c r="AD403" i="12"/>
  <c r="AC403" i="12"/>
  <c r="AB403" i="12"/>
  <c r="AA403" i="12"/>
  <c r="Z403" i="12"/>
  <c r="Y403" i="12"/>
  <c r="AN402" i="12"/>
  <c r="AL402" i="12"/>
  <c r="AJ402" i="12"/>
  <c r="AH402" i="12"/>
  <c r="AE402" i="12"/>
  <c r="AD402" i="12"/>
  <c r="AC402" i="12"/>
  <c r="AB402" i="12"/>
  <c r="AA402" i="12"/>
  <c r="Z402" i="12"/>
  <c r="Y402" i="12"/>
  <c r="AN401" i="12"/>
  <c r="AL401" i="12"/>
  <c r="AJ401" i="12"/>
  <c r="AH401" i="12"/>
  <c r="AE401" i="12"/>
  <c r="AD401" i="12"/>
  <c r="AC401" i="12"/>
  <c r="AB401" i="12"/>
  <c r="AA401" i="12"/>
  <c r="Z401" i="12"/>
  <c r="Y401" i="12"/>
  <c r="AN400" i="12"/>
  <c r="AL400" i="12"/>
  <c r="AJ400" i="12"/>
  <c r="AH400" i="12"/>
  <c r="AE400" i="12"/>
  <c r="AD400" i="12"/>
  <c r="AC400" i="12"/>
  <c r="AB400" i="12"/>
  <c r="AA400" i="12"/>
  <c r="Z400" i="12"/>
  <c r="Y400" i="12"/>
  <c r="AN399" i="12"/>
  <c r="AL399" i="12"/>
  <c r="AJ399" i="12"/>
  <c r="AH399" i="12"/>
  <c r="AE399" i="12"/>
  <c r="AD399" i="12"/>
  <c r="AC399" i="12"/>
  <c r="AB399" i="12"/>
  <c r="AA399" i="12"/>
  <c r="Z399" i="12"/>
  <c r="Y399" i="12"/>
  <c r="AN398" i="12"/>
  <c r="AL398" i="12"/>
  <c r="AJ398" i="12"/>
  <c r="AH398" i="12"/>
  <c r="AE398" i="12"/>
  <c r="AD398" i="12"/>
  <c r="AC398" i="12"/>
  <c r="AB398" i="12"/>
  <c r="AA398" i="12"/>
  <c r="Z398" i="12"/>
  <c r="Y398" i="12"/>
  <c r="AN397" i="12"/>
  <c r="AL397" i="12"/>
  <c r="AJ397" i="12"/>
  <c r="AH397" i="12"/>
  <c r="AE397" i="12"/>
  <c r="AD397" i="12"/>
  <c r="AC397" i="12"/>
  <c r="AB397" i="12"/>
  <c r="AA397" i="12"/>
  <c r="Z397" i="12"/>
  <c r="Y397" i="12"/>
  <c r="AN396" i="12"/>
  <c r="AL396" i="12"/>
  <c r="AJ396" i="12"/>
  <c r="AH396" i="12"/>
  <c r="AE396" i="12"/>
  <c r="AD396" i="12"/>
  <c r="AC396" i="12"/>
  <c r="AB396" i="12"/>
  <c r="AA396" i="12"/>
  <c r="Z396" i="12"/>
  <c r="Y396" i="12"/>
  <c r="AN395" i="12"/>
  <c r="AL395" i="12"/>
  <c r="AJ395" i="12"/>
  <c r="AH395" i="12"/>
  <c r="AE395" i="12"/>
  <c r="AD395" i="12"/>
  <c r="AC395" i="12"/>
  <c r="AB395" i="12"/>
  <c r="AA395" i="12"/>
  <c r="Z395" i="12"/>
  <c r="Y395" i="12"/>
  <c r="AN394" i="12"/>
  <c r="AL394" i="12"/>
  <c r="AJ394" i="12"/>
  <c r="AH394" i="12"/>
  <c r="AE394" i="12"/>
  <c r="AD394" i="12"/>
  <c r="AC394" i="12"/>
  <c r="AB394" i="12"/>
  <c r="AA394" i="12"/>
  <c r="Z394" i="12"/>
  <c r="Y394" i="12"/>
  <c r="AN393" i="12"/>
  <c r="AL393" i="12"/>
  <c r="AJ393" i="12"/>
  <c r="AH393" i="12"/>
  <c r="AE393" i="12"/>
  <c r="AD393" i="12"/>
  <c r="AC393" i="12"/>
  <c r="AB393" i="12"/>
  <c r="AA393" i="12"/>
  <c r="Z393" i="12"/>
  <c r="Y393" i="12"/>
  <c r="AN392" i="12"/>
  <c r="AL392" i="12"/>
  <c r="AJ392" i="12"/>
  <c r="AH392" i="12"/>
  <c r="AE392" i="12"/>
  <c r="AD392" i="12"/>
  <c r="AC392" i="12"/>
  <c r="AB392" i="12"/>
  <c r="AA392" i="12"/>
  <c r="Z392" i="12"/>
  <c r="Y392" i="12"/>
  <c r="AN391" i="12"/>
  <c r="AL391" i="12"/>
  <c r="AJ391" i="12"/>
  <c r="AH391" i="12"/>
  <c r="AE391" i="12"/>
  <c r="AD391" i="12"/>
  <c r="AC391" i="12"/>
  <c r="AB391" i="12"/>
  <c r="AA391" i="12"/>
  <c r="Z391" i="12"/>
  <c r="Y391" i="12"/>
  <c r="AN390" i="12"/>
  <c r="AL390" i="12"/>
  <c r="AJ390" i="12"/>
  <c r="AH390" i="12"/>
  <c r="AE390" i="12"/>
  <c r="AD390" i="12"/>
  <c r="AC390" i="12"/>
  <c r="AB390" i="12"/>
  <c r="AA390" i="12"/>
  <c r="Z390" i="12"/>
  <c r="Y390" i="12"/>
  <c r="AN389" i="12"/>
  <c r="AL389" i="12"/>
  <c r="AJ389" i="12"/>
  <c r="AH389" i="12"/>
  <c r="AE389" i="12"/>
  <c r="AD389" i="12"/>
  <c r="AC389" i="12"/>
  <c r="AB389" i="12"/>
  <c r="AA389" i="12"/>
  <c r="Z389" i="12"/>
  <c r="Y389" i="12"/>
  <c r="AN388" i="12"/>
  <c r="AL388" i="12"/>
  <c r="AJ388" i="12"/>
  <c r="AH388" i="12"/>
  <c r="AE388" i="12"/>
  <c r="AD388" i="12"/>
  <c r="AC388" i="12"/>
  <c r="AB388" i="12"/>
  <c r="AA388" i="12"/>
  <c r="Z388" i="12"/>
  <c r="Y388" i="12"/>
  <c r="AN387" i="12"/>
  <c r="AL387" i="12"/>
  <c r="AJ387" i="12"/>
  <c r="AH387" i="12"/>
  <c r="AE387" i="12"/>
  <c r="AD387" i="12"/>
  <c r="AC387" i="12"/>
  <c r="AB387" i="12"/>
  <c r="AA387" i="12"/>
  <c r="Z387" i="12"/>
  <c r="Y387" i="12"/>
  <c r="AN386" i="12"/>
  <c r="AL386" i="12"/>
  <c r="AJ386" i="12"/>
  <c r="AH386" i="12"/>
  <c r="AE386" i="12"/>
  <c r="AD386" i="12"/>
  <c r="AC386" i="12"/>
  <c r="AB386" i="12"/>
  <c r="AA386" i="12"/>
  <c r="Z386" i="12"/>
  <c r="Y386" i="12"/>
  <c r="AN385" i="12"/>
  <c r="AL385" i="12"/>
  <c r="AJ385" i="12"/>
  <c r="AH385" i="12"/>
  <c r="AE385" i="12"/>
  <c r="AD385" i="12"/>
  <c r="AC385" i="12"/>
  <c r="AB385" i="12"/>
  <c r="AA385" i="12"/>
  <c r="Z385" i="12"/>
  <c r="Y385" i="12"/>
  <c r="AN384" i="12"/>
  <c r="AL384" i="12"/>
  <c r="AJ384" i="12"/>
  <c r="AH384" i="12"/>
  <c r="AE384" i="12"/>
  <c r="AD384" i="12"/>
  <c r="AC384" i="12"/>
  <c r="AB384" i="12"/>
  <c r="AA384" i="12"/>
  <c r="Z384" i="12"/>
  <c r="Y384" i="12"/>
  <c r="AN383" i="12"/>
  <c r="AL383" i="12"/>
  <c r="AJ383" i="12"/>
  <c r="AH383" i="12"/>
  <c r="AE383" i="12"/>
  <c r="AD383" i="12"/>
  <c r="AC383" i="12"/>
  <c r="AB383" i="12"/>
  <c r="AA383" i="12"/>
  <c r="Z383" i="12"/>
  <c r="Y383" i="12"/>
  <c r="AN382" i="12"/>
  <c r="AL382" i="12"/>
  <c r="AJ382" i="12"/>
  <c r="AH382" i="12"/>
  <c r="AE382" i="12"/>
  <c r="AD382" i="12"/>
  <c r="AC382" i="12"/>
  <c r="AB382" i="12"/>
  <c r="AA382" i="12"/>
  <c r="Z382" i="12"/>
  <c r="Y382" i="12"/>
  <c r="AN381" i="12"/>
  <c r="AL381" i="12"/>
  <c r="AJ381" i="12"/>
  <c r="AH381" i="12"/>
  <c r="AE381" i="12"/>
  <c r="AD381" i="12"/>
  <c r="AC381" i="12"/>
  <c r="AB381" i="12"/>
  <c r="AA381" i="12"/>
  <c r="Z381" i="12"/>
  <c r="Y381" i="12"/>
  <c r="AN380" i="12"/>
  <c r="AL380" i="12"/>
  <c r="AJ380" i="12"/>
  <c r="AH380" i="12"/>
  <c r="AE380" i="12"/>
  <c r="AD380" i="12"/>
  <c r="AC380" i="12"/>
  <c r="AB380" i="12"/>
  <c r="AA380" i="12"/>
  <c r="Z380" i="12"/>
  <c r="Y380" i="12"/>
  <c r="AN379" i="12"/>
  <c r="AL379" i="12"/>
  <c r="AJ379" i="12"/>
  <c r="AH379" i="12"/>
  <c r="AE379" i="12"/>
  <c r="AD379" i="12"/>
  <c r="AC379" i="12"/>
  <c r="AB379" i="12"/>
  <c r="AA379" i="12"/>
  <c r="Z379" i="12"/>
  <c r="Y379" i="12"/>
  <c r="AN378" i="12"/>
  <c r="AL378" i="12"/>
  <c r="AJ378" i="12"/>
  <c r="AH378" i="12"/>
  <c r="AE378" i="12"/>
  <c r="AD378" i="12"/>
  <c r="AC378" i="12"/>
  <c r="AB378" i="12"/>
  <c r="AA378" i="12"/>
  <c r="Z378" i="12"/>
  <c r="Y378" i="12"/>
  <c r="AN377" i="12"/>
  <c r="AL377" i="12"/>
  <c r="AJ377" i="12"/>
  <c r="AH377" i="12"/>
  <c r="AE377" i="12"/>
  <c r="AD377" i="12"/>
  <c r="AC377" i="12"/>
  <c r="AB377" i="12"/>
  <c r="AA377" i="12"/>
  <c r="Z377" i="12"/>
  <c r="Y377" i="12"/>
  <c r="AN376" i="12"/>
  <c r="AL376" i="12"/>
  <c r="AJ376" i="12"/>
  <c r="AH376" i="12"/>
  <c r="AE376" i="12"/>
  <c r="AD376" i="12"/>
  <c r="AC376" i="12"/>
  <c r="AB376" i="12"/>
  <c r="AA376" i="12"/>
  <c r="Z376" i="12"/>
  <c r="Y376" i="12"/>
  <c r="AN375" i="12"/>
  <c r="AL375" i="12"/>
  <c r="AJ375" i="12"/>
  <c r="AH375" i="12"/>
  <c r="AE375" i="12"/>
  <c r="AD375" i="12"/>
  <c r="AC375" i="12"/>
  <c r="AB375" i="12"/>
  <c r="AA375" i="12"/>
  <c r="Z375" i="12"/>
  <c r="Y375" i="12"/>
  <c r="AN374" i="12"/>
  <c r="AL374" i="12"/>
  <c r="AJ374" i="12"/>
  <c r="AH374" i="12"/>
  <c r="AE374" i="12"/>
  <c r="AD374" i="12"/>
  <c r="AC374" i="12"/>
  <c r="AB374" i="12"/>
  <c r="AA374" i="12"/>
  <c r="Z374" i="12"/>
  <c r="Y374" i="12"/>
  <c r="AN373" i="12"/>
  <c r="AL373" i="12"/>
  <c r="AJ373" i="12"/>
  <c r="AH373" i="12"/>
  <c r="AE373" i="12"/>
  <c r="AD373" i="12"/>
  <c r="AC373" i="12"/>
  <c r="AB373" i="12"/>
  <c r="AA373" i="12"/>
  <c r="Z373" i="12"/>
  <c r="Y373" i="12"/>
  <c r="AN372" i="12"/>
  <c r="AL372" i="12"/>
  <c r="AJ372" i="12"/>
  <c r="AH372" i="12"/>
  <c r="AE372" i="12"/>
  <c r="AD372" i="12"/>
  <c r="AC372" i="12"/>
  <c r="AB372" i="12"/>
  <c r="AA372" i="12"/>
  <c r="Z372" i="12"/>
  <c r="Y372" i="12"/>
  <c r="AN371" i="12"/>
  <c r="AL371" i="12"/>
  <c r="AJ371" i="12"/>
  <c r="AH371" i="12"/>
  <c r="AE371" i="12"/>
  <c r="AD371" i="12"/>
  <c r="AC371" i="12"/>
  <c r="AB371" i="12"/>
  <c r="AA371" i="12"/>
  <c r="Z371" i="12"/>
  <c r="Y371" i="12"/>
  <c r="AN370" i="12"/>
  <c r="AL370" i="12"/>
  <c r="AJ370" i="12"/>
  <c r="AH370" i="12"/>
  <c r="AE370" i="12"/>
  <c r="AD370" i="12"/>
  <c r="AC370" i="12"/>
  <c r="AB370" i="12"/>
  <c r="AA370" i="12"/>
  <c r="Z370" i="12"/>
  <c r="Y370" i="12"/>
  <c r="AN369" i="12"/>
  <c r="AL369" i="12"/>
  <c r="AJ369" i="12"/>
  <c r="AH369" i="12"/>
  <c r="AE369" i="12"/>
  <c r="AD369" i="12"/>
  <c r="AC369" i="12"/>
  <c r="AB369" i="12"/>
  <c r="AA369" i="12"/>
  <c r="Z369" i="12"/>
  <c r="Y369" i="12"/>
  <c r="AN368" i="12"/>
  <c r="AL368" i="12"/>
  <c r="AJ368" i="12"/>
  <c r="AH368" i="12"/>
  <c r="AE368" i="12"/>
  <c r="AD368" i="12"/>
  <c r="AC368" i="12"/>
  <c r="AB368" i="12"/>
  <c r="AA368" i="12"/>
  <c r="Z368" i="12"/>
  <c r="Y368" i="12"/>
  <c r="AN367" i="12"/>
  <c r="AL367" i="12"/>
  <c r="AJ367" i="12"/>
  <c r="AH367" i="12"/>
  <c r="AE367" i="12"/>
  <c r="AD367" i="12"/>
  <c r="AC367" i="12"/>
  <c r="AB367" i="12"/>
  <c r="AA367" i="12"/>
  <c r="Z367" i="12"/>
  <c r="Y367" i="12"/>
  <c r="AN366" i="12"/>
  <c r="AL366" i="12"/>
  <c r="AJ366" i="12"/>
  <c r="AH366" i="12"/>
  <c r="AE366" i="12"/>
  <c r="AD366" i="12"/>
  <c r="AC366" i="12"/>
  <c r="AB366" i="12"/>
  <c r="AA366" i="12"/>
  <c r="Z366" i="12"/>
  <c r="Y366" i="12"/>
  <c r="AN365" i="12"/>
  <c r="AL365" i="12"/>
  <c r="AJ365" i="12"/>
  <c r="AH365" i="12"/>
  <c r="AE365" i="12"/>
  <c r="AD365" i="12"/>
  <c r="AC365" i="12"/>
  <c r="AB365" i="12"/>
  <c r="AA365" i="12"/>
  <c r="Z365" i="12"/>
  <c r="Y365" i="12"/>
  <c r="AN364" i="12"/>
  <c r="AL364" i="12"/>
  <c r="AJ364" i="12"/>
  <c r="AH364" i="12"/>
  <c r="AE364" i="12"/>
  <c r="AD364" i="12"/>
  <c r="AC364" i="12"/>
  <c r="AB364" i="12"/>
  <c r="AA364" i="12"/>
  <c r="Z364" i="12"/>
  <c r="Y364" i="12"/>
  <c r="AN363" i="12"/>
  <c r="AL363" i="12"/>
  <c r="AJ363" i="12"/>
  <c r="AH363" i="12"/>
  <c r="AE363" i="12"/>
  <c r="AD363" i="12"/>
  <c r="AC363" i="12"/>
  <c r="AB363" i="12"/>
  <c r="AA363" i="12"/>
  <c r="Z363" i="12"/>
  <c r="Y363" i="12"/>
  <c r="AN362" i="12"/>
  <c r="AL362" i="12"/>
  <c r="AJ362" i="12"/>
  <c r="AH362" i="12"/>
  <c r="AE362" i="12"/>
  <c r="AD362" i="12"/>
  <c r="AC362" i="12"/>
  <c r="AB362" i="12"/>
  <c r="AA362" i="12"/>
  <c r="Z362" i="12"/>
  <c r="Y362" i="12"/>
  <c r="AN361" i="12"/>
  <c r="AL361" i="12"/>
  <c r="AJ361" i="12"/>
  <c r="AH361" i="12"/>
  <c r="AE361" i="12"/>
  <c r="AD361" i="12"/>
  <c r="AC361" i="12"/>
  <c r="AB361" i="12"/>
  <c r="AA361" i="12"/>
  <c r="Z361" i="12"/>
  <c r="Y361" i="12"/>
  <c r="AN360" i="12"/>
  <c r="AL360" i="12"/>
  <c r="AJ360" i="12"/>
  <c r="AH360" i="12"/>
  <c r="AE360" i="12"/>
  <c r="AD360" i="12"/>
  <c r="AC360" i="12"/>
  <c r="AB360" i="12"/>
  <c r="AA360" i="12"/>
  <c r="Z360" i="12"/>
  <c r="Y360" i="12"/>
  <c r="AN359" i="12"/>
  <c r="AL359" i="12"/>
  <c r="AJ359" i="12"/>
  <c r="AH359" i="12"/>
  <c r="AE359" i="12"/>
  <c r="AD359" i="12"/>
  <c r="AC359" i="12"/>
  <c r="AB359" i="12"/>
  <c r="AA359" i="12"/>
  <c r="Z359" i="12"/>
  <c r="Y359" i="12"/>
  <c r="AN358" i="12"/>
  <c r="AL358" i="12"/>
  <c r="AJ358" i="12"/>
  <c r="AH358" i="12"/>
  <c r="AE358" i="12"/>
  <c r="AD358" i="12"/>
  <c r="AC358" i="12"/>
  <c r="AB358" i="12"/>
  <c r="AA358" i="12"/>
  <c r="Z358" i="12"/>
  <c r="Y358" i="12"/>
  <c r="AN357" i="12"/>
  <c r="AL357" i="12"/>
  <c r="AJ357" i="12"/>
  <c r="AH357" i="12"/>
  <c r="AE357" i="12"/>
  <c r="AD357" i="12"/>
  <c r="AC357" i="12"/>
  <c r="AB357" i="12"/>
  <c r="AA357" i="12"/>
  <c r="Z357" i="12"/>
  <c r="Y357" i="12"/>
  <c r="AN356" i="12"/>
  <c r="AL356" i="12"/>
  <c r="AJ356" i="12"/>
  <c r="AH356" i="12"/>
  <c r="AE356" i="12"/>
  <c r="AD356" i="12"/>
  <c r="AC356" i="12"/>
  <c r="AB356" i="12"/>
  <c r="AA356" i="12"/>
  <c r="Z356" i="12"/>
  <c r="Y356" i="12"/>
  <c r="AN355" i="12"/>
  <c r="AL355" i="12"/>
  <c r="AJ355" i="12"/>
  <c r="AH355" i="12"/>
  <c r="AE355" i="12"/>
  <c r="AD355" i="12"/>
  <c r="AC355" i="12"/>
  <c r="AB355" i="12"/>
  <c r="AA355" i="12"/>
  <c r="Z355" i="12"/>
  <c r="Y355" i="12"/>
  <c r="AN354" i="12"/>
  <c r="AL354" i="12"/>
  <c r="AJ354" i="12"/>
  <c r="AH354" i="12"/>
  <c r="AE354" i="12"/>
  <c r="AD354" i="12"/>
  <c r="AC354" i="12"/>
  <c r="AB354" i="12"/>
  <c r="AA354" i="12"/>
  <c r="Z354" i="12"/>
  <c r="Y354" i="12"/>
  <c r="AN353" i="12"/>
  <c r="AL353" i="12"/>
  <c r="AJ353" i="12"/>
  <c r="AH353" i="12"/>
  <c r="AE353" i="12"/>
  <c r="AD353" i="12"/>
  <c r="AC353" i="12"/>
  <c r="AB353" i="12"/>
  <c r="AA353" i="12"/>
  <c r="Z353" i="12"/>
  <c r="Y353" i="12"/>
  <c r="AN352" i="12"/>
  <c r="AL352" i="12"/>
  <c r="AJ352" i="12"/>
  <c r="AH352" i="12"/>
  <c r="AE352" i="12"/>
  <c r="AD352" i="12"/>
  <c r="AC352" i="12"/>
  <c r="AB352" i="12"/>
  <c r="AA352" i="12"/>
  <c r="Z352" i="12"/>
  <c r="Y352" i="12"/>
  <c r="AN351" i="12"/>
  <c r="AL351" i="12"/>
  <c r="AJ351" i="12"/>
  <c r="AH351" i="12"/>
  <c r="AE351" i="12"/>
  <c r="AD351" i="12"/>
  <c r="AC351" i="12"/>
  <c r="AB351" i="12"/>
  <c r="AA351" i="12"/>
  <c r="Z351" i="12"/>
  <c r="Y351" i="12"/>
  <c r="AN350" i="12"/>
  <c r="AL350" i="12"/>
  <c r="AJ350" i="12"/>
  <c r="AH350" i="12"/>
  <c r="AE350" i="12"/>
  <c r="AD350" i="12"/>
  <c r="AC350" i="12"/>
  <c r="AB350" i="12"/>
  <c r="AA350" i="12"/>
  <c r="Z350" i="12"/>
  <c r="Y350" i="12"/>
  <c r="AN349" i="12"/>
  <c r="AL349" i="12"/>
  <c r="AJ349" i="12"/>
  <c r="AH349" i="12"/>
  <c r="AE349" i="12"/>
  <c r="AD349" i="12"/>
  <c r="AC349" i="12"/>
  <c r="AB349" i="12"/>
  <c r="AA349" i="12"/>
  <c r="Z349" i="12"/>
  <c r="Y349" i="12"/>
  <c r="AN348" i="12"/>
  <c r="AL348" i="12"/>
  <c r="AJ348" i="12"/>
  <c r="AH348" i="12"/>
  <c r="AE348" i="12"/>
  <c r="AD348" i="12"/>
  <c r="AC348" i="12"/>
  <c r="AB348" i="12"/>
  <c r="AA348" i="12"/>
  <c r="Z348" i="12"/>
  <c r="Y348" i="12"/>
  <c r="AN347" i="12"/>
  <c r="AL347" i="12"/>
  <c r="AJ347" i="12"/>
  <c r="AH347" i="12"/>
  <c r="AE347" i="12"/>
  <c r="AD347" i="12"/>
  <c r="AC347" i="12"/>
  <c r="AB347" i="12"/>
  <c r="AA347" i="12"/>
  <c r="Z347" i="12"/>
  <c r="Y347" i="12"/>
  <c r="AN346" i="12"/>
  <c r="AL346" i="12"/>
  <c r="AJ346" i="12"/>
  <c r="AH346" i="12"/>
  <c r="AE346" i="12"/>
  <c r="AD346" i="12"/>
  <c r="AC346" i="12"/>
  <c r="AB346" i="12"/>
  <c r="AA346" i="12"/>
  <c r="Z346" i="12"/>
  <c r="Y346" i="12"/>
  <c r="AN345" i="12"/>
  <c r="AL345" i="12"/>
  <c r="AJ345" i="12"/>
  <c r="AH345" i="12"/>
  <c r="AE345" i="12"/>
  <c r="AD345" i="12"/>
  <c r="AC345" i="12"/>
  <c r="AB345" i="12"/>
  <c r="AA345" i="12"/>
  <c r="Z345" i="12"/>
  <c r="Y345" i="12"/>
  <c r="AN344" i="12"/>
  <c r="AL344" i="12"/>
  <c r="AJ344" i="12"/>
  <c r="AH344" i="12"/>
  <c r="AE344" i="12"/>
  <c r="AD344" i="12"/>
  <c r="AC344" i="12"/>
  <c r="AB344" i="12"/>
  <c r="AA344" i="12"/>
  <c r="Z344" i="12"/>
  <c r="Y344" i="12"/>
  <c r="AN343" i="12"/>
  <c r="AL343" i="12"/>
  <c r="AJ343" i="12"/>
  <c r="AH343" i="12"/>
  <c r="AE343" i="12"/>
  <c r="AD343" i="12"/>
  <c r="AC343" i="12"/>
  <c r="AB343" i="12"/>
  <c r="AA343" i="12"/>
  <c r="Z343" i="12"/>
  <c r="Y343" i="12"/>
  <c r="AN342" i="12"/>
  <c r="AL342" i="12"/>
  <c r="AJ342" i="12"/>
  <c r="AH342" i="12"/>
  <c r="AE342" i="12"/>
  <c r="AD342" i="12"/>
  <c r="AC342" i="12"/>
  <c r="AB342" i="12"/>
  <c r="AA342" i="12"/>
  <c r="Z342" i="12"/>
  <c r="Y342" i="12"/>
  <c r="AN341" i="12"/>
  <c r="AL341" i="12"/>
  <c r="AJ341" i="12"/>
  <c r="AH341" i="12"/>
  <c r="AE341" i="12"/>
  <c r="AD341" i="12"/>
  <c r="AC341" i="12"/>
  <c r="AB341" i="12"/>
  <c r="AA341" i="12"/>
  <c r="Z341" i="12"/>
  <c r="Y341" i="12"/>
  <c r="AN340" i="12"/>
  <c r="AL340" i="12"/>
  <c r="AJ340" i="12"/>
  <c r="AH340" i="12"/>
  <c r="AE340" i="12"/>
  <c r="AD340" i="12"/>
  <c r="AC340" i="12"/>
  <c r="AB340" i="12"/>
  <c r="AA340" i="12"/>
  <c r="Z340" i="12"/>
  <c r="Y340" i="12"/>
  <c r="AN339" i="12"/>
  <c r="AL339" i="12"/>
  <c r="AJ339" i="12"/>
  <c r="AH339" i="12"/>
  <c r="AE339" i="12"/>
  <c r="AD339" i="12"/>
  <c r="AC339" i="12"/>
  <c r="AB339" i="12"/>
  <c r="AA339" i="12"/>
  <c r="Z339" i="12"/>
  <c r="Y339" i="12"/>
  <c r="AN338" i="12"/>
  <c r="AL338" i="12"/>
  <c r="AJ338" i="12"/>
  <c r="AH338" i="12"/>
  <c r="AE338" i="12"/>
  <c r="AD338" i="12"/>
  <c r="AC338" i="12"/>
  <c r="AB338" i="12"/>
  <c r="AA338" i="12"/>
  <c r="Z338" i="12"/>
  <c r="Y338" i="12"/>
  <c r="AN337" i="12"/>
  <c r="AL337" i="12"/>
  <c r="AJ337" i="12"/>
  <c r="AH337" i="12"/>
  <c r="AE337" i="12"/>
  <c r="AD337" i="12"/>
  <c r="AC337" i="12"/>
  <c r="AB337" i="12"/>
  <c r="AA337" i="12"/>
  <c r="Z337" i="12"/>
  <c r="Y337" i="12"/>
  <c r="AN336" i="12"/>
  <c r="AL336" i="12"/>
  <c r="AJ336" i="12"/>
  <c r="AH336" i="12"/>
  <c r="AE336" i="12"/>
  <c r="AD336" i="12"/>
  <c r="AC336" i="12"/>
  <c r="AB336" i="12"/>
  <c r="AA336" i="12"/>
  <c r="Z336" i="12"/>
  <c r="Y336" i="12"/>
  <c r="AN335" i="12"/>
  <c r="AL335" i="12"/>
  <c r="AJ335" i="12"/>
  <c r="AH335" i="12"/>
  <c r="AE335" i="12"/>
  <c r="AD335" i="12"/>
  <c r="AC335" i="12"/>
  <c r="AB335" i="12"/>
  <c r="AA335" i="12"/>
  <c r="Z335" i="12"/>
  <c r="Y335" i="12"/>
  <c r="AN334" i="12"/>
  <c r="AL334" i="12"/>
  <c r="AJ334" i="12"/>
  <c r="AH334" i="12"/>
  <c r="AE334" i="12"/>
  <c r="AD334" i="12"/>
  <c r="AC334" i="12"/>
  <c r="AB334" i="12"/>
  <c r="AA334" i="12"/>
  <c r="Z334" i="12"/>
  <c r="Y334" i="12"/>
  <c r="AN333" i="12"/>
  <c r="AL333" i="12"/>
  <c r="AJ333" i="12"/>
  <c r="AH333" i="12"/>
  <c r="AE333" i="12"/>
  <c r="AD333" i="12"/>
  <c r="AC333" i="12"/>
  <c r="AB333" i="12"/>
  <c r="AA333" i="12"/>
  <c r="Z333" i="12"/>
  <c r="Y333" i="12"/>
  <c r="AN332" i="12"/>
  <c r="AL332" i="12"/>
  <c r="AJ332" i="12"/>
  <c r="AH332" i="12"/>
  <c r="AE332" i="12"/>
  <c r="AD332" i="12"/>
  <c r="AC332" i="12"/>
  <c r="AB332" i="12"/>
  <c r="AA332" i="12"/>
  <c r="Z332" i="12"/>
  <c r="Y332" i="12"/>
  <c r="AN331" i="12"/>
  <c r="AL331" i="12"/>
  <c r="AJ331" i="12"/>
  <c r="AH331" i="12"/>
  <c r="AE331" i="12"/>
  <c r="AD331" i="12"/>
  <c r="AC331" i="12"/>
  <c r="AB331" i="12"/>
  <c r="AA331" i="12"/>
  <c r="Z331" i="12"/>
  <c r="Y331" i="12"/>
  <c r="AN330" i="12"/>
  <c r="AL330" i="12"/>
  <c r="AJ330" i="12"/>
  <c r="AH330" i="12"/>
  <c r="AE330" i="12"/>
  <c r="AD330" i="12"/>
  <c r="AC330" i="12"/>
  <c r="AB330" i="12"/>
  <c r="AA330" i="12"/>
  <c r="Z330" i="12"/>
  <c r="Y330" i="12"/>
  <c r="AN329" i="12"/>
  <c r="AL329" i="12"/>
  <c r="AJ329" i="12"/>
  <c r="AH329" i="12"/>
  <c r="AE329" i="12"/>
  <c r="AD329" i="12"/>
  <c r="AC329" i="12"/>
  <c r="AB329" i="12"/>
  <c r="AA329" i="12"/>
  <c r="Z329" i="12"/>
  <c r="Y329" i="12"/>
  <c r="AN328" i="12"/>
  <c r="AL328" i="12"/>
  <c r="AJ328" i="12"/>
  <c r="AH328" i="12"/>
  <c r="AE328" i="12"/>
  <c r="AD328" i="12"/>
  <c r="AC328" i="12"/>
  <c r="AB328" i="12"/>
  <c r="AA328" i="12"/>
  <c r="Z328" i="12"/>
  <c r="Y328" i="12"/>
  <c r="AN327" i="12"/>
  <c r="AL327" i="12"/>
  <c r="AJ327" i="12"/>
  <c r="AH327" i="12"/>
  <c r="AE327" i="12"/>
  <c r="AD327" i="12"/>
  <c r="AC327" i="12"/>
  <c r="AB327" i="12"/>
  <c r="AA327" i="12"/>
  <c r="Z327" i="12"/>
  <c r="Y327" i="12"/>
  <c r="AN326" i="12"/>
  <c r="AL326" i="12"/>
  <c r="AJ326" i="12"/>
  <c r="AH326" i="12"/>
  <c r="AE326" i="12"/>
  <c r="AD326" i="12"/>
  <c r="AC326" i="12"/>
  <c r="AB326" i="12"/>
  <c r="AA326" i="12"/>
  <c r="Z326" i="12"/>
  <c r="Y326" i="12"/>
  <c r="AN325" i="12"/>
  <c r="AL325" i="12"/>
  <c r="AJ325" i="12"/>
  <c r="AH325" i="12"/>
  <c r="AE325" i="12"/>
  <c r="AD325" i="12"/>
  <c r="AC325" i="12"/>
  <c r="AB325" i="12"/>
  <c r="AA325" i="12"/>
  <c r="Z325" i="12"/>
  <c r="Y325" i="12"/>
  <c r="AN324" i="12"/>
  <c r="AL324" i="12"/>
  <c r="AJ324" i="12"/>
  <c r="AH324" i="12"/>
  <c r="AE324" i="12"/>
  <c r="AD324" i="12"/>
  <c r="AC324" i="12"/>
  <c r="AB324" i="12"/>
  <c r="AA324" i="12"/>
  <c r="Z324" i="12"/>
  <c r="Y324" i="12"/>
  <c r="AN323" i="12"/>
  <c r="AL323" i="12"/>
  <c r="AJ323" i="12"/>
  <c r="AH323" i="12"/>
  <c r="AE323" i="12"/>
  <c r="AD323" i="12"/>
  <c r="AC323" i="12"/>
  <c r="AB323" i="12"/>
  <c r="AA323" i="12"/>
  <c r="Z323" i="12"/>
  <c r="Y323" i="12"/>
  <c r="AN322" i="12"/>
  <c r="AL322" i="12"/>
  <c r="AJ322" i="12"/>
  <c r="AH322" i="12"/>
  <c r="AE322" i="12"/>
  <c r="AD322" i="12"/>
  <c r="AC322" i="12"/>
  <c r="AB322" i="12"/>
  <c r="AA322" i="12"/>
  <c r="Z322" i="12"/>
  <c r="Y322" i="12"/>
  <c r="AN321" i="12"/>
  <c r="AL321" i="12"/>
  <c r="AJ321" i="12"/>
  <c r="AH321" i="12"/>
  <c r="AE321" i="12"/>
  <c r="AD321" i="12"/>
  <c r="AC321" i="12"/>
  <c r="AB321" i="12"/>
  <c r="AA321" i="12"/>
  <c r="Z321" i="12"/>
  <c r="Y321" i="12"/>
  <c r="AN320" i="12"/>
  <c r="AL320" i="12"/>
  <c r="AJ320" i="12"/>
  <c r="AH320" i="12"/>
  <c r="AE320" i="12"/>
  <c r="AD320" i="12"/>
  <c r="AC320" i="12"/>
  <c r="AB320" i="12"/>
  <c r="AA320" i="12"/>
  <c r="Z320" i="12"/>
  <c r="Y320" i="12"/>
  <c r="AN319" i="12"/>
  <c r="AL319" i="12"/>
  <c r="AJ319" i="12"/>
  <c r="AH319" i="12"/>
  <c r="AE319" i="12"/>
  <c r="AD319" i="12"/>
  <c r="AC319" i="12"/>
  <c r="AB319" i="12"/>
  <c r="AA319" i="12"/>
  <c r="Z319" i="12"/>
  <c r="Y319" i="12"/>
  <c r="AN318" i="12"/>
  <c r="AL318" i="12"/>
  <c r="AJ318" i="12"/>
  <c r="AH318" i="12"/>
  <c r="AE318" i="12"/>
  <c r="AD318" i="12"/>
  <c r="AC318" i="12"/>
  <c r="AB318" i="12"/>
  <c r="AA318" i="12"/>
  <c r="Z318" i="12"/>
  <c r="Y318" i="12"/>
  <c r="AN317" i="12"/>
  <c r="AL317" i="12"/>
  <c r="AJ317" i="12"/>
  <c r="AH317" i="12"/>
  <c r="AE317" i="12"/>
  <c r="AD317" i="12"/>
  <c r="AC317" i="12"/>
  <c r="AB317" i="12"/>
  <c r="AA317" i="12"/>
  <c r="Z317" i="12"/>
  <c r="Y317" i="12"/>
  <c r="AN316" i="12"/>
  <c r="AL316" i="12"/>
  <c r="AJ316" i="12"/>
  <c r="AH316" i="12"/>
  <c r="AE316" i="12"/>
  <c r="AD316" i="12"/>
  <c r="AC316" i="12"/>
  <c r="AB316" i="12"/>
  <c r="AA316" i="12"/>
  <c r="Z316" i="12"/>
  <c r="Y316" i="12"/>
  <c r="AN315" i="12"/>
  <c r="AL315" i="12"/>
  <c r="AJ315" i="12"/>
  <c r="AH315" i="12"/>
  <c r="AE315" i="12"/>
  <c r="AD315" i="12"/>
  <c r="AC315" i="12"/>
  <c r="AB315" i="12"/>
  <c r="AA315" i="12"/>
  <c r="Z315" i="12"/>
  <c r="Y315" i="12"/>
  <c r="AN314" i="12"/>
  <c r="AL314" i="12"/>
  <c r="AJ314" i="12"/>
  <c r="AH314" i="12"/>
  <c r="AE314" i="12"/>
  <c r="AD314" i="12"/>
  <c r="AC314" i="12"/>
  <c r="AB314" i="12"/>
  <c r="AA314" i="12"/>
  <c r="Z314" i="12"/>
  <c r="Y314" i="12"/>
  <c r="AN313" i="12"/>
  <c r="AL313" i="12"/>
  <c r="AJ313" i="12"/>
  <c r="AH313" i="12"/>
  <c r="AE313" i="12"/>
  <c r="AD313" i="12"/>
  <c r="AC313" i="12"/>
  <c r="AB313" i="12"/>
  <c r="AA313" i="12"/>
  <c r="Z313" i="12"/>
  <c r="Y313" i="12"/>
  <c r="AN312" i="12"/>
  <c r="AL312" i="12"/>
  <c r="AJ312" i="12"/>
  <c r="AH312" i="12"/>
  <c r="AE312" i="12"/>
  <c r="AD312" i="12"/>
  <c r="AC312" i="12"/>
  <c r="AB312" i="12"/>
  <c r="AA312" i="12"/>
  <c r="Z312" i="12"/>
  <c r="Y312" i="12"/>
  <c r="AN311" i="12"/>
  <c r="AL311" i="12"/>
  <c r="AJ311" i="12"/>
  <c r="AH311" i="12"/>
  <c r="AE311" i="12"/>
  <c r="AD311" i="12"/>
  <c r="AC311" i="12"/>
  <c r="AB311" i="12"/>
  <c r="AA311" i="12"/>
  <c r="Z311" i="12"/>
  <c r="Y311" i="12"/>
  <c r="AN310" i="12"/>
  <c r="AL310" i="12"/>
  <c r="AJ310" i="12"/>
  <c r="AH310" i="12"/>
  <c r="AE310" i="12"/>
  <c r="AD310" i="12"/>
  <c r="AC310" i="12"/>
  <c r="AB310" i="12"/>
  <c r="AA310" i="12"/>
  <c r="Z310" i="12"/>
  <c r="Y310" i="12"/>
  <c r="AN309" i="12"/>
  <c r="AL309" i="12"/>
  <c r="AJ309" i="12"/>
  <c r="AH309" i="12"/>
  <c r="AE309" i="12"/>
  <c r="AD309" i="12"/>
  <c r="AC309" i="12"/>
  <c r="AB309" i="12"/>
  <c r="AA309" i="12"/>
  <c r="Z309" i="12"/>
  <c r="Y309" i="12"/>
  <c r="AN308" i="12"/>
  <c r="AL308" i="12"/>
  <c r="AJ308" i="12"/>
  <c r="AH308" i="12"/>
  <c r="AE308" i="12"/>
  <c r="AD308" i="12"/>
  <c r="AC308" i="12"/>
  <c r="AB308" i="12"/>
  <c r="AA308" i="12"/>
  <c r="Z308" i="12"/>
  <c r="Y308" i="12"/>
  <c r="AN307" i="12"/>
  <c r="AL307" i="12"/>
  <c r="AJ307" i="12"/>
  <c r="AH307" i="12"/>
  <c r="AE307" i="12"/>
  <c r="AD307" i="12"/>
  <c r="AC307" i="12"/>
  <c r="AB307" i="12"/>
  <c r="AA307" i="12"/>
  <c r="Z307" i="12"/>
  <c r="Y307" i="12"/>
  <c r="AN306" i="12"/>
  <c r="AL306" i="12"/>
  <c r="AJ306" i="12"/>
  <c r="AH306" i="12"/>
  <c r="AE306" i="12"/>
  <c r="AD306" i="12"/>
  <c r="AC306" i="12"/>
  <c r="AB306" i="12"/>
  <c r="AA306" i="12"/>
  <c r="Z306" i="12"/>
  <c r="Y306" i="12"/>
  <c r="AN305" i="12"/>
  <c r="AL305" i="12"/>
  <c r="AJ305" i="12"/>
  <c r="AH305" i="12"/>
  <c r="AE305" i="12"/>
  <c r="AD305" i="12"/>
  <c r="AC305" i="12"/>
  <c r="AB305" i="12"/>
  <c r="AA305" i="12"/>
  <c r="Z305" i="12"/>
  <c r="Y305" i="12"/>
  <c r="AN304" i="12"/>
  <c r="AL304" i="12"/>
  <c r="AJ304" i="12"/>
  <c r="AH304" i="12"/>
  <c r="AE304" i="12"/>
  <c r="AD304" i="12"/>
  <c r="AC304" i="12"/>
  <c r="AB304" i="12"/>
  <c r="AA304" i="12"/>
  <c r="Z304" i="12"/>
  <c r="Y304" i="12"/>
  <c r="AN303" i="12"/>
  <c r="AL303" i="12"/>
  <c r="AJ303" i="12"/>
  <c r="AH303" i="12"/>
  <c r="AE303" i="12"/>
  <c r="AD303" i="12"/>
  <c r="AC303" i="12"/>
  <c r="AB303" i="12"/>
  <c r="AA303" i="12"/>
  <c r="Z303" i="12"/>
  <c r="Y303" i="12"/>
  <c r="AN302" i="12"/>
  <c r="AL302" i="12"/>
  <c r="AJ302" i="12"/>
  <c r="AH302" i="12"/>
  <c r="AE302" i="12"/>
  <c r="AD302" i="12"/>
  <c r="AC302" i="12"/>
  <c r="AB302" i="12"/>
  <c r="AA302" i="12"/>
  <c r="Z302" i="12"/>
  <c r="Y302" i="12"/>
  <c r="AN301" i="12"/>
  <c r="AL301" i="12"/>
  <c r="AJ301" i="12"/>
  <c r="AH301" i="12"/>
  <c r="AE301" i="12"/>
  <c r="AD301" i="12"/>
  <c r="AC301" i="12"/>
  <c r="AB301" i="12"/>
  <c r="AA301" i="12"/>
  <c r="Z301" i="12"/>
  <c r="Y301" i="12"/>
  <c r="AN300" i="12"/>
  <c r="AL300" i="12"/>
  <c r="AJ300" i="12"/>
  <c r="AH300" i="12"/>
  <c r="AE300" i="12"/>
  <c r="AD300" i="12"/>
  <c r="AC300" i="12"/>
  <c r="AB300" i="12"/>
  <c r="AA300" i="12"/>
  <c r="Z300" i="12"/>
  <c r="Y300" i="12"/>
  <c r="AN299" i="12"/>
  <c r="AL299" i="12"/>
  <c r="AJ299" i="12"/>
  <c r="AH299" i="12"/>
  <c r="AE299" i="12"/>
  <c r="AD299" i="12"/>
  <c r="AC299" i="12"/>
  <c r="AB299" i="12"/>
  <c r="AA299" i="12"/>
  <c r="Z299" i="12"/>
  <c r="Y299" i="12"/>
  <c r="AN298" i="12"/>
  <c r="AL298" i="12"/>
  <c r="AJ298" i="12"/>
  <c r="AH298" i="12"/>
  <c r="AE298" i="12"/>
  <c r="AD298" i="12"/>
  <c r="AC298" i="12"/>
  <c r="AB298" i="12"/>
  <c r="AA298" i="12"/>
  <c r="Z298" i="12"/>
  <c r="Y298" i="12"/>
  <c r="AN297" i="12"/>
  <c r="AL297" i="12"/>
  <c r="AJ297" i="12"/>
  <c r="AH297" i="12"/>
  <c r="AE297" i="12"/>
  <c r="AD297" i="12"/>
  <c r="AC297" i="12"/>
  <c r="AB297" i="12"/>
  <c r="AA297" i="12"/>
  <c r="Z297" i="12"/>
  <c r="Y297" i="12"/>
  <c r="AN296" i="12"/>
  <c r="AL296" i="12"/>
  <c r="AJ296" i="12"/>
  <c r="AH296" i="12"/>
  <c r="AE296" i="12"/>
  <c r="AD296" i="12"/>
  <c r="AC296" i="12"/>
  <c r="AB296" i="12"/>
  <c r="AA296" i="12"/>
  <c r="Z296" i="12"/>
  <c r="Y296" i="12"/>
  <c r="AN295" i="12"/>
  <c r="AL295" i="12"/>
  <c r="AJ295" i="12"/>
  <c r="AH295" i="12"/>
  <c r="AE295" i="12"/>
  <c r="AD295" i="12"/>
  <c r="AC295" i="12"/>
  <c r="AB295" i="12"/>
  <c r="AA295" i="12"/>
  <c r="Z295" i="12"/>
  <c r="Y295" i="12"/>
  <c r="AN294" i="12"/>
  <c r="AL294" i="12"/>
  <c r="AJ294" i="12"/>
  <c r="AH294" i="12"/>
  <c r="AE294" i="12"/>
  <c r="AD294" i="12"/>
  <c r="AC294" i="12"/>
  <c r="AB294" i="12"/>
  <c r="AA294" i="12"/>
  <c r="Z294" i="12"/>
  <c r="Y294" i="12"/>
  <c r="AN293" i="12"/>
  <c r="AL293" i="12"/>
  <c r="AJ293" i="12"/>
  <c r="AH293" i="12"/>
  <c r="AE293" i="12"/>
  <c r="AD293" i="12"/>
  <c r="AC293" i="12"/>
  <c r="AB293" i="12"/>
  <c r="AA293" i="12"/>
  <c r="Z293" i="12"/>
  <c r="Y293" i="12"/>
  <c r="AN292" i="12"/>
  <c r="AL292" i="12"/>
  <c r="AJ292" i="12"/>
  <c r="AH292" i="12"/>
  <c r="AE292" i="12"/>
  <c r="AD292" i="12"/>
  <c r="AC292" i="12"/>
  <c r="AB292" i="12"/>
  <c r="AA292" i="12"/>
  <c r="Z292" i="12"/>
  <c r="Y292" i="12"/>
  <c r="AN291" i="12"/>
  <c r="AL291" i="12"/>
  <c r="AJ291" i="12"/>
  <c r="AH291" i="12"/>
  <c r="AE291" i="12"/>
  <c r="AD291" i="12"/>
  <c r="AC291" i="12"/>
  <c r="AB291" i="12"/>
  <c r="AA291" i="12"/>
  <c r="Z291" i="12"/>
  <c r="Y291" i="12"/>
  <c r="AN290" i="12"/>
  <c r="AL290" i="12"/>
  <c r="AJ290" i="12"/>
  <c r="AH290" i="12"/>
  <c r="AE290" i="12"/>
  <c r="AD290" i="12"/>
  <c r="AC290" i="12"/>
  <c r="AB290" i="12"/>
  <c r="AA290" i="12"/>
  <c r="Z290" i="12"/>
  <c r="Y290" i="12"/>
  <c r="AN289" i="12"/>
  <c r="AL289" i="12"/>
  <c r="AJ289" i="12"/>
  <c r="AH289" i="12"/>
  <c r="AE289" i="12"/>
  <c r="AD289" i="12"/>
  <c r="AC289" i="12"/>
  <c r="AB289" i="12"/>
  <c r="AA289" i="12"/>
  <c r="Z289" i="12"/>
  <c r="Y289" i="12"/>
  <c r="AN288" i="12"/>
  <c r="AL288" i="12"/>
  <c r="AJ288" i="12"/>
  <c r="AH288" i="12"/>
  <c r="AE288" i="12"/>
  <c r="AD288" i="12"/>
  <c r="AC288" i="12"/>
  <c r="AB288" i="12"/>
  <c r="AA288" i="12"/>
  <c r="Z288" i="12"/>
  <c r="Y288" i="12"/>
  <c r="AN287" i="12"/>
  <c r="AL287" i="12"/>
  <c r="AJ287" i="12"/>
  <c r="AH287" i="12"/>
  <c r="AE287" i="12"/>
  <c r="AD287" i="12"/>
  <c r="AC287" i="12"/>
  <c r="AB287" i="12"/>
  <c r="AA287" i="12"/>
  <c r="Z287" i="12"/>
  <c r="Y287" i="12"/>
  <c r="AN286" i="12"/>
  <c r="AL286" i="12"/>
  <c r="AJ286" i="12"/>
  <c r="AH286" i="12"/>
  <c r="AE286" i="12"/>
  <c r="AD286" i="12"/>
  <c r="AC286" i="12"/>
  <c r="AB286" i="12"/>
  <c r="AA286" i="12"/>
  <c r="Z286" i="12"/>
  <c r="Y286" i="12"/>
  <c r="AN285" i="12"/>
  <c r="AL285" i="12"/>
  <c r="AJ285" i="12"/>
  <c r="AH285" i="12"/>
  <c r="AE285" i="12"/>
  <c r="AD285" i="12"/>
  <c r="AC285" i="12"/>
  <c r="AB285" i="12"/>
  <c r="AA285" i="12"/>
  <c r="Z285" i="12"/>
  <c r="Y285" i="12"/>
  <c r="AN284" i="12"/>
  <c r="AL284" i="12"/>
  <c r="AJ284" i="12"/>
  <c r="AH284" i="12"/>
  <c r="AE284" i="12"/>
  <c r="AD284" i="12"/>
  <c r="AC284" i="12"/>
  <c r="AB284" i="12"/>
  <c r="AA284" i="12"/>
  <c r="Z284" i="12"/>
  <c r="Y284" i="12"/>
  <c r="AN283" i="12"/>
  <c r="AL283" i="12"/>
  <c r="AJ283" i="12"/>
  <c r="AH283" i="12"/>
  <c r="AE283" i="12"/>
  <c r="AD283" i="12"/>
  <c r="AC283" i="12"/>
  <c r="AB283" i="12"/>
  <c r="AA283" i="12"/>
  <c r="Z283" i="12"/>
  <c r="Y283" i="12"/>
  <c r="AN282" i="12"/>
  <c r="AL282" i="12"/>
  <c r="AJ282" i="12"/>
  <c r="AH282" i="12"/>
  <c r="AE282" i="12"/>
  <c r="AD282" i="12"/>
  <c r="AC282" i="12"/>
  <c r="AB282" i="12"/>
  <c r="AA282" i="12"/>
  <c r="Z282" i="12"/>
  <c r="Y282" i="12"/>
  <c r="AN281" i="12"/>
  <c r="AL281" i="12"/>
  <c r="AJ281" i="12"/>
  <c r="AH281" i="12"/>
  <c r="AE281" i="12"/>
  <c r="AD281" i="12"/>
  <c r="AC281" i="12"/>
  <c r="AB281" i="12"/>
  <c r="AA281" i="12"/>
  <c r="Z281" i="12"/>
  <c r="Y281" i="12"/>
  <c r="AN280" i="12"/>
  <c r="AL280" i="12"/>
  <c r="AJ280" i="12"/>
  <c r="AH280" i="12"/>
  <c r="AE280" i="12"/>
  <c r="AD280" i="12"/>
  <c r="AC280" i="12"/>
  <c r="AB280" i="12"/>
  <c r="AA280" i="12"/>
  <c r="Z280" i="12"/>
  <c r="Y280" i="12"/>
  <c r="AN279" i="12"/>
  <c r="AL279" i="12"/>
  <c r="AJ279" i="12"/>
  <c r="AH279" i="12"/>
  <c r="AE279" i="12"/>
  <c r="AD279" i="12"/>
  <c r="AC279" i="12"/>
  <c r="AB279" i="12"/>
  <c r="AA279" i="12"/>
  <c r="Z279" i="12"/>
  <c r="Y279" i="12"/>
  <c r="AN278" i="12"/>
  <c r="AL278" i="12"/>
  <c r="AJ278" i="12"/>
  <c r="AH278" i="12"/>
  <c r="AE278" i="12"/>
  <c r="AD278" i="12"/>
  <c r="AC278" i="12"/>
  <c r="AB278" i="12"/>
  <c r="AA278" i="12"/>
  <c r="Z278" i="12"/>
  <c r="Y278" i="12"/>
  <c r="AN277" i="12"/>
  <c r="AL277" i="12"/>
  <c r="AJ277" i="12"/>
  <c r="AH277" i="12"/>
  <c r="AE277" i="12"/>
  <c r="AD277" i="12"/>
  <c r="AC277" i="12"/>
  <c r="AB277" i="12"/>
  <c r="AA277" i="12"/>
  <c r="Z277" i="12"/>
  <c r="Y277" i="12"/>
  <c r="AN276" i="12"/>
  <c r="AL276" i="12"/>
  <c r="AJ276" i="12"/>
  <c r="AH276" i="12"/>
  <c r="AE276" i="12"/>
  <c r="AD276" i="12"/>
  <c r="AC276" i="12"/>
  <c r="AB276" i="12"/>
  <c r="AA276" i="12"/>
  <c r="Z276" i="12"/>
  <c r="Y276" i="12"/>
  <c r="AN275" i="12"/>
  <c r="AL275" i="12"/>
  <c r="AJ275" i="12"/>
  <c r="AH275" i="12"/>
  <c r="AE275" i="12"/>
  <c r="AD275" i="12"/>
  <c r="AC275" i="12"/>
  <c r="AB275" i="12"/>
  <c r="AA275" i="12"/>
  <c r="Z275" i="12"/>
  <c r="Y275" i="12"/>
  <c r="AN274" i="12"/>
  <c r="AL274" i="12"/>
  <c r="AJ274" i="12"/>
  <c r="AH274" i="12"/>
  <c r="AE274" i="12"/>
  <c r="AD274" i="12"/>
  <c r="AC274" i="12"/>
  <c r="AB274" i="12"/>
  <c r="AA274" i="12"/>
  <c r="Z274" i="12"/>
  <c r="Y274" i="12"/>
  <c r="AN273" i="12"/>
  <c r="AL273" i="12"/>
  <c r="AJ273" i="12"/>
  <c r="AH273" i="12"/>
  <c r="AE273" i="12"/>
  <c r="AD273" i="12"/>
  <c r="AC273" i="12"/>
  <c r="AB273" i="12"/>
  <c r="AA273" i="12"/>
  <c r="Z273" i="12"/>
  <c r="Y273" i="12"/>
  <c r="AN272" i="12"/>
  <c r="AL272" i="12"/>
  <c r="AJ272" i="12"/>
  <c r="AH272" i="12"/>
  <c r="AE272" i="12"/>
  <c r="AD272" i="12"/>
  <c r="AC272" i="12"/>
  <c r="AB272" i="12"/>
  <c r="AA272" i="12"/>
  <c r="Z272" i="12"/>
  <c r="Y272" i="12"/>
  <c r="AN271" i="12"/>
  <c r="AL271" i="12"/>
  <c r="AJ271" i="12"/>
  <c r="AH271" i="12"/>
  <c r="AE271" i="12"/>
  <c r="AD271" i="12"/>
  <c r="AC271" i="12"/>
  <c r="AB271" i="12"/>
  <c r="AA271" i="12"/>
  <c r="Z271" i="12"/>
  <c r="Y271" i="12"/>
  <c r="AN270" i="12"/>
  <c r="AL270" i="12"/>
  <c r="AJ270" i="12"/>
  <c r="AH270" i="12"/>
  <c r="AE270" i="12"/>
  <c r="AD270" i="12"/>
  <c r="AC270" i="12"/>
  <c r="AB270" i="12"/>
  <c r="AA270" i="12"/>
  <c r="Z270" i="12"/>
  <c r="Y270" i="12"/>
  <c r="AN269" i="12"/>
  <c r="AL269" i="12"/>
  <c r="AJ269" i="12"/>
  <c r="AH269" i="12"/>
  <c r="AE269" i="12"/>
  <c r="AD269" i="12"/>
  <c r="AC269" i="12"/>
  <c r="AB269" i="12"/>
  <c r="AA269" i="12"/>
  <c r="Z269" i="12"/>
  <c r="Y269" i="12"/>
  <c r="AN268" i="12"/>
  <c r="AL268" i="12"/>
  <c r="AJ268" i="12"/>
  <c r="AH268" i="12"/>
  <c r="AE268" i="12"/>
  <c r="AD268" i="12"/>
  <c r="AC268" i="12"/>
  <c r="AB268" i="12"/>
  <c r="AA268" i="12"/>
  <c r="Z268" i="12"/>
  <c r="Y268" i="12"/>
  <c r="AN267" i="12"/>
  <c r="AL267" i="12"/>
  <c r="AJ267" i="12"/>
  <c r="AH267" i="12"/>
  <c r="AE267" i="12"/>
  <c r="AD267" i="12"/>
  <c r="AC267" i="12"/>
  <c r="AB267" i="12"/>
  <c r="AA267" i="12"/>
  <c r="Z267" i="12"/>
  <c r="Y267" i="12"/>
  <c r="AN266" i="12"/>
  <c r="AL266" i="12"/>
  <c r="AJ266" i="12"/>
  <c r="AH266" i="12"/>
  <c r="AE266" i="12"/>
  <c r="AD266" i="12"/>
  <c r="AC266" i="12"/>
  <c r="AB266" i="12"/>
  <c r="AA266" i="12"/>
  <c r="Z266" i="12"/>
  <c r="Y266" i="12"/>
  <c r="AN265" i="12"/>
  <c r="AL265" i="12"/>
  <c r="AJ265" i="12"/>
  <c r="AH265" i="12"/>
  <c r="AE265" i="12"/>
  <c r="AD265" i="12"/>
  <c r="AC265" i="12"/>
  <c r="AB265" i="12"/>
  <c r="AA265" i="12"/>
  <c r="Z265" i="12"/>
  <c r="Y265" i="12"/>
  <c r="AN264" i="12"/>
  <c r="AL264" i="12"/>
  <c r="AJ264" i="12"/>
  <c r="AH264" i="12"/>
  <c r="AE264" i="12"/>
  <c r="AD264" i="12"/>
  <c r="AC264" i="12"/>
  <c r="AB264" i="12"/>
  <c r="AA264" i="12"/>
  <c r="Z264" i="12"/>
  <c r="Y264" i="12"/>
  <c r="AN263" i="12"/>
  <c r="AL263" i="12"/>
  <c r="AJ263" i="12"/>
  <c r="AH263" i="12"/>
  <c r="AE263" i="12"/>
  <c r="AD263" i="12"/>
  <c r="AC263" i="12"/>
  <c r="AB263" i="12"/>
  <c r="AA263" i="12"/>
  <c r="Z263" i="12"/>
  <c r="Y263" i="12"/>
  <c r="AN262" i="12"/>
  <c r="AL262" i="12"/>
  <c r="AJ262" i="12"/>
  <c r="AH262" i="12"/>
  <c r="AE262" i="12"/>
  <c r="AD262" i="12"/>
  <c r="AC262" i="12"/>
  <c r="AB262" i="12"/>
  <c r="AA262" i="12"/>
  <c r="Z262" i="12"/>
  <c r="Y262" i="12"/>
  <c r="AN261" i="12"/>
  <c r="AL261" i="12"/>
  <c r="AJ261" i="12"/>
  <c r="AH261" i="12"/>
  <c r="AE261" i="12"/>
  <c r="AD261" i="12"/>
  <c r="AC261" i="12"/>
  <c r="AB261" i="12"/>
  <c r="AA261" i="12"/>
  <c r="Z261" i="12"/>
  <c r="Y261" i="12"/>
  <c r="AN260" i="12"/>
  <c r="AL260" i="12"/>
  <c r="AJ260" i="12"/>
  <c r="AH260" i="12"/>
  <c r="AE260" i="12"/>
  <c r="AD260" i="12"/>
  <c r="AC260" i="12"/>
  <c r="AB260" i="12"/>
  <c r="AA260" i="12"/>
  <c r="Z260" i="12"/>
  <c r="Y260" i="12"/>
  <c r="AN259" i="12"/>
  <c r="AL259" i="12"/>
  <c r="AJ259" i="12"/>
  <c r="AH259" i="12"/>
  <c r="AE259" i="12"/>
  <c r="AD259" i="12"/>
  <c r="AC259" i="12"/>
  <c r="AB259" i="12"/>
  <c r="AA259" i="12"/>
  <c r="Z259" i="12"/>
  <c r="Y259" i="12"/>
  <c r="AN258" i="12"/>
  <c r="AL258" i="12"/>
  <c r="AJ258" i="12"/>
  <c r="AH258" i="12"/>
  <c r="AE258" i="12"/>
  <c r="AD258" i="12"/>
  <c r="AC258" i="12"/>
  <c r="AB258" i="12"/>
  <c r="AA258" i="12"/>
  <c r="Z258" i="12"/>
  <c r="Y258" i="12"/>
  <c r="AN257" i="12"/>
  <c r="AL257" i="12"/>
  <c r="AJ257" i="12"/>
  <c r="AH257" i="12"/>
  <c r="AE257" i="12"/>
  <c r="AD257" i="12"/>
  <c r="AC257" i="12"/>
  <c r="AB257" i="12"/>
  <c r="AA257" i="12"/>
  <c r="Z257" i="12"/>
  <c r="Y257" i="12"/>
  <c r="AN256" i="12"/>
  <c r="AL256" i="12"/>
  <c r="AJ256" i="12"/>
  <c r="AH256" i="12"/>
  <c r="AE256" i="12"/>
  <c r="AD256" i="12"/>
  <c r="AC256" i="12"/>
  <c r="AB256" i="12"/>
  <c r="AA256" i="12"/>
  <c r="Z256" i="12"/>
  <c r="Y256" i="12"/>
  <c r="AN255" i="12"/>
  <c r="AL255" i="12"/>
  <c r="AJ255" i="12"/>
  <c r="AH255" i="12"/>
  <c r="AE255" i="12"/>
  <c r="AD255" i="12"/>
  <c r="AC255" i="12"/>
  <c r="AB255" i="12"/>
  <c r="AA255" i="12"/>
  <c r="Z255" i="12"/>
  <c r="Y255" i="12"/>
  <c r="AN254" i="12"/>
  <c r="AL254" i="12"/>
  <c r="AJ254" i="12"/>
  <c r="AH254" i="12"/>
  <c r="AE254" i="12"/>
  <c r="AD254" i="12"/>
  <c r="AC254" i="12"/>
  <c r="AB254" i="12"/>
  <c r="AA254" i="12"/>
  <c r="Z254" i="12"/>
  <c r="Y254" i="12"/>
  <c r="AN253" i="12"/>
  <c r="AL253" i="12"/>
  <c r="AJ253" i="12"/>
  <c r="AH253" i="12"/>
  <c r="AE253" i="12"/>
  <c r="AD253" i="12"/>
  <c r="AC253" i="12"/>
  <c r="AB253" i="12"/>
  <c r="AA253" i="12"/>
  <c r="Z253" i="12"/>
  <c r="Y253" i="12"/>
  <c r="AN252" i="12"/>
  <c r="AL252" i="12"/>
  <c r="AJ252" i="12"/>
  <c r="AH252" i="12"/>
  <c r="AE252" i="12"/>
  <c r="AD252" i="12"/>
  <c r="AC252" i="12"/>
  <c r="AB252" i="12"/>
  <c r="AA252" i="12"/>
  <c r="Z252" i="12"/>
  <c r="Y252" i="12"/>
  <c r="AN251" i="12"/>
  <c r="AL251" i="12"/>
  <c r="AJ251" i="12"/>
  <c r="AH251" i="12"/>
  <c r="AE251" i="12"/>
  <c r="AD251" i="12"/>
  <c r="AC251" i="12"/>
  <c r="AB251" i="12"/>
  <c r="AA251" i="12"/>
  <c r="Z251" i="12"/>
  <c r="Y251" i="12"/>
  <c r="AN250" i="12"/>
  <c r="AL250" i="12"/>
  <c r="AJ250" i="12"/>
  <c r="AH250" i="12"/>
  <c r="AE250" i="12"/>
  <c r="AD250" i="12"/>
  <c r="AC250" i="12"/>
  <c r="AB250" i="12"/>
  <c r="AA250" i="12"/>
  <c r="Z250" i="12"/>
  <c r="Y250" i="12"/>
  <c r="AN249" i="12"/>
  <c r="AL249" i="12"/>
  <c r="AJ249" i="12"/>
  <c r="AH249" i="12"/>
  <c r="AE249" i="12"/>
  <c r="AD249" i="12"/>
  <c r="AC249" i="12"/>
  <c r="AB249" i="12"/>
  <c r="AA249" i="12"/>
  <c r="Z249" i="12"/>
  <c r="Y249" i="12"/>
  <c r="AN248" i="12"/>
  <c r="AL248" i="12"/>
  <c r="AJ248" i="12"/>
  <c r="AH248" i="12"/>
  <c r="AE248" i="12"/>
  <c r="AD248" i="12"/>
  <c r="AC248" i="12"/>
  <c r="AB248" i="12"/>
  <c r="AA248" i="12"/>
  <c r="Z248" i="12"/>
  <c r="Y248" i="12"/>
  <c r="AN247" i="12"/>
  <c r="AL247" i="12"/>
  <c r="AJ247" i="12"/>
  <c r="AH247" i="12"/>
  <c r="AE247" i="12"/>
  <c r="AD247" i="12"/>
  <c r="AC247" i="12"/>
  <c r="AB247" i="12"/>
  <c r="AA247" i="12"/>
  <c r="Z247" i="12"/>
  <c r="Y247" i="12"/>
  <c r="AN246" i="12"/>
  <c r="AL246" i="12"/>
  <c r="AJ246" i="12"/>
  <c r="AH246" i="12"/>
  <c r="AE246" i="12"/>
  <c r="AD246" i="12"/>
  <c r="AC246" i="12"/>
  <c r="AB246" i="12"/>
  <c r="AA246" i="12"/>
  <c r="Z246" i="12"/>
  <c r="Y246" i="12"/>
  <c r="AN245" i="12"/>
  <c r="AL245" i="12"/>
  <c r="AJ245" i="12"/>
  <c r="AH245" i="12"/>
  <c r="AE245" i="12"/>
  <c r="AD245" i="12"/>
  <c r="AC245" i="12"/>
  <c r="AB245" i="12"/>
  <c r="AA245" i="12"/>
  <c r="Z245" i="12"/>
  <c r="Y245" i="12"/>
  <c r="AN244" i="12"/>
  <c r="AL244" i="12"/>
  <c r="AJ244" i="12"/>
  <c r="AH244" i="12"/>
  <c r="AE244" i="12"/>
  <c r="AD244" i="12"/>
  <c r="AC244" i="12"/>
  <c r="AB244" i="12"/>
  <c r="AA244" i="12"/>
  <c r="Z244" i="12"/>
  <c r="Y244" i="12"/>
  <c r="AN243" i="12"/>
  <c r="AL243" i="12"/>
  <c r="AJ243" i="12"/>
  <c r="AH243" i="12"/>
  <c r="AE243" i="12"/>
  <c r="AD243" i="12"/>
  <c r="AC243" i="12"/>
  <c r="AB243" i="12"/>
  <c r="AA243" i="12"/>
  <c r="Z243" i="12"/>
  <c r="Y243" i="12"/>
  <c r="AN242" i="12"/>
  <c r="AL242" i="12"/>
  <c r="AJ242" i="12"/>
  <c r="AH242" i="12"/>
  <c r="AE242" i="12"/>
  <c r="AD242" i="12"/>
  <c r="AC242" i="12"/>
  <c r="AB242" i="12"/>
  <c r="AA242" i="12"/>
  <c r="Z242" i="12"/>
  <c r="Y242" i="12"/>
  <c r="AN241" i="12"/>
  <c r="AL241" i="12"/>
  <c r="AJ241" i="12"/>
  <c r="AH241" i="12"/>
  <c r="AE241" i="12"/>
  <c r="AD241" i="12"/>
  <c r="AC241" i="12"/>
  <c r="AB241" i="12"/>
  <c r="AA241" i="12"/>
  <c r="Z241" i="12"/>
  <c r="Y241" i="12"/>
  <c r="AN240" i="12"/>
  <c r="AL240" i="12"/>
  <c r="AJ240" i="12"/>
  <c r="AH240" i="12"/>
  <c r="AE240" i="12"/>
  <c r="AD240" i="12"/>
  <c r="AC240" i="12"/>
  <c r="AB240" i="12"/>
  <c r="AA240" i="12"/>
  <c r="Z240" i="12"/>
  <c r="Y240" i="12"/>
  <c r="AN239" i="12"/>
  <c r="AL239" i="12"/>
  <c r="AJ239" i="12"/>
  <c r="AH239" i="12"/>
  <c r="AE239" i="12"/>
  <c r="AD239" i="12"/>
  <c r="AC239" i="12"/>
  <c r="AB239" i="12"/>
  <c r="AA239" i="12"/>
  <c r="Z239" i="12"/>
  <c r="Y239" i="12"/>
  <c r="AN238" i="12"/>
  <c r="AL238" i="12"/>
  <c r="AJ238" i="12"/>
  <c r="AH238" i="12"/>
  <c r="AE238" i="12"/>
  <c r="AD238" i="12"/>
  <c r="AC238" i="12"/>
  <c r="AB238" i="12"/>
  <c r="AA238" i="12"/>
  <c r="Z238" i="12"/>
  <c r="Y238" i="12"/>
  <c r="AN237" i="12"/>
  <c r="AL237" i="12"/>
  <c r="AJ237" i="12"/>
  <c r="AH237" i="12"/>
  <c r="AE237" i="12"/>
  <c r="AD237" i="12"/>
  <c r="AC237" i="12"/>
  <c r="AB237" i="12"/>
  <c r="AA237" i="12"/>
  <c r="Z237" i="12"/>
  <c r="Y237" i="12"/>
  <c r="AN236" i="12"/>
  <c r="AL236" i="12"/>
  <c r="AJ236" i="12"/>
  <c r="AH236" i="12"/>
  <c r="AE236" i="12"/>
  <c r="AD236" i="12"/>
  <c r="AC236" i="12"/>
  <c r="AB236" i="12"/>
  <c r="AA236" i="12"/>
  <c r="Z236" i="12"/>
  <c r="Y236" i="12"/>
  <c r="AN235" i="12"/>
  <c r="AL235" i="12"/>
  <c r="AJ235" i="12"/>
  <c r="AH235" i="12"/>
  <c r="AE235" i="12"/>
  <c r="AD235" i="12"/>
  <c r="AC235" i="12"/>
  <c r="AB235" i="12"/>
  <c r="AA235" i="12"/>
  <c r="Z235" i="12"/>
  <c r="Y235" i="12"/>
  <c r="AN234" i="12"/>
  <c r="AL234" i="12"/>
  <c r="AJ234" i="12"/>
  <c r="AH234" i="12"/>
  <c r="AE234" i="12"/>
  <c r="AD234" i="12"/>
  <c r="AC234" i="12"/>
  <c r="AB234" i="12"/>
  <c r="AA234" i="12"/>
  <c r="Z234" i="12"/>
  <c r="Y234" i="12"/>
  <c r="AN233" i="12"/>
  <c r="AL233" i="12"/>
  <c r="AJ233" i="12"/>
  <c r="AH233" i="12"/>
  <c r="AE233" i="12"/>
  <c r="AD233" i="12"/>
  <c r="AC233" i="12"/>
  <c r="AB233" i="12"/>
  <c r="AA233" i="12"/>
  <c r="Z233" i="12"/>
  <c r="Y233" i="12"/>
  <c r="AN232" i="12"/>
  <c r="AL232" i="12"/>
  <c r="AJ232" i="12"/>
  <c r="AH232" i="12"/>
  <c r="AE232" i="12"/>
  <c r="AD232" i="12"/>
  <c r="AC232" i="12"/>
  <c r="AB232" i="12"/>
  <c r="AA232" i="12"/>
  <c r="Z232" i="12"/>
  <c r="Y232" i="12"/>
  <c r="AN231" i="12"/>
  <c r="AL231" i="12"/>
  <c r="AJ231" i="12"/>
  <c r="AH231" i="12"/>
  <c r="AE231" i="12"/>
  <c r="AD231" i="12"/>
  <c r="AC231" i="12"/>
  <c r="AB231" i="12"/>
  <c r="AA231" i="12"/>
  <c r="Z231" i="12"/>
  <c r="Y231" i="12"/>
  <c r="AN230" i="12"/>
  <c r="AL230" i="12"/>
  <c r="AJ230" i="12"/>
  <c r="AH230" i="12"/>
  <c r="AE230" i="12"/>
  <c r="AD230" i="12"/>
  <c r="AC230" i="12"/>
  <c r="AB230" i="12"/>
  <c r="AA230" i="12"/>
  <c r="Z230" i="12"/>
  <c r="Y230" i="12"/>
  <c r="AN229" i="12"/>
  <c r="AL229" i="12"/>
  <c r="AJ229" i="12"/>
  <c r="AH229" i="12"/>
  <c r="AE229" i="12"/>
  <c r="AD229" i="12"/>
  <c r="AC229" i="12"/>
  <c r="AB229" i="12"/>
  <c r="AA229" i="12"/>
  <c r="Z229" i="12"/>
  <c r="Y229" i="12"/>
  <c r="AN228" i="12"/>
  <c r="AL228" i="12"/>
  <c r="AJ228" i="12"/>
  <c r="AH228" i="12"/>
  <c r="AE228" i="12"/>
  <c r="AD228" i="12"/>
  <c r="AC228" i="12"/>
  <c r="AB228" i="12"/>
  <c r="AA228" i="12"/>
  <c r="Z228" i="12"/>
  <c r="Y228" i="12"/>
  <c r="AN227" i="12"/>
  <c r="AL227" i="12"/>
  <c r="AJ227" i="12"/>
  <c r="AH227" i="12"/>
  <c r="AE227" i="12"/>
  <c r="AD227" i="12"/>
  <c r="AC227" i="12"/>
  <c r="AB227" i="12"/>
  <c r="AA227" i="12"/>
  <c r="Z227" i="12"/>
  <c r="Y227" i="12"/>
  <c r="AN226" i="12"/>
  <c r="AL226" i="12"/>
  <c r="AJ226" i="12"/>
  <c r="AH226" i="12"/>
  <c r="AE226" i="12"/>
  <c r="AD226" i="12"/>
  <c r="AC226" i="12"/>
  <c r="AB226" i="12"/>
  <c r="AA226" i="12"/>
  <c r="Z226" i="12"/>
  <c r="Y226" i="12"/>
  <c r="AN225" i="12"/>
  <c r="AL225" i="12"/>
  <c r="AJ225" i="12"/>
  <c r="AH225" i="12"/>
  <c r="AE225" i="12"/>
  <c r="AD225" i="12"/>
  <c r="AC225" i="12"/>
  <c r="AB225" i="12"/>
  <c r="AA225" i="12"/>
  <c r="Z225" i="12"/>
  <c r="Y225" i="12"/>
  <c r="AN224" i="12"/>
  <c r="AL224" i="12"/>
  <c r="AJ224" i="12"/>
  <c r="AH224" i="12"/>
  <c r="AE224" i="12"/>
  <c r="AD224" i="12"/>
  <c r="AC224" i="12"/>
  <c r="AB224" i="12"/>
  <c r="AA224" i="12"/>
  <c r="Z224" i="12"/>
  <c r="Y224" i="12"/>
  <c r="AN223" i="12"/>
  <c r="AL223" i="12"/>
  <c r="AJ223" i="12"/>
  <c r="AH223" i="12"/>
  <c r="AE223" i="12"/>
  <c r="AD223" i="12"/>
  <c r="AC223" i="12"/>
  <c r="AB223" i="12"/>
  <c r="AA223" i="12"/>
  <c r="Z223" i="12"/>
  <c r="Y223" i="12"/>
  <c r="AN222" i="12"/>
  <c r="AL222" i="12"/>
  <c r="AJ222" i="12"/>
  <c r="AH222" i="12"/>
  <c r="AE222" i="12"/>
  <c r="AD222" i="12"/>
  <c r="AC222" i="12"/>
  <c r="AB222" i="12"/>
  <c r="AA222" i="12"/>
  <c r="Z222" i="12"/>
  <c r="Y222" i="12"/>
  <c r="AN221" i="12"/>
  <c r="AL221" i="12"/>
  <c r="AJ221" i="12"/>
  <c r="AH221" i="12"/>
  <c r="AE221" i="12"/>
  <c r="AD221" i="12"/>
  <c r="AC221" i="12"/>
  <c r="AB221" i="12"/>
  <c r="AA221" i="12"/>
  <c r="Z221" i="12"/>
  <c r="Y221" i="12"/>
  <c r="AN220" i="12"/>
  <c r="AL220" i="12"/>
  <c r="AJ220" i="12"/>
  <c r="AH220" i="12"/>
  <c r="AE220" i="12"/>
  <c r="AD220" i="12"/>
  <c r="AC220" i="12"/>
  <c r="AB220" i="12"/>
  <c r="AA220" i="12"/>
  <c r="Z220" i="12"/>
  <c r="Y220" i="12"/>
  <c r="AN219" i="12"/>
  <c r="AL219" i="12"/>
  <c r="AJ219" i="12"/>
  <c r="AH219" i="12"/>
  <c r="AE219" i="12"/>
  <c r="AD219" i="12"/>
  <c r="AC219" i="12"/>
  <c r="AB219" i="12"/>
  <c r="AA219" i="12"/>
  <c r="Z219" i="12"/>
  <c r="Y219" i="12"/>
  <c r="AN218" i="12"/>
  <c r="AL218" i="12"/>
  <c r="AJ218" i="12"/>
  <c r="AH218" i="12"/>
  <c r="AE218" i="12"/>
  <c r="AD218" i="12"/>
  <c r="AC218" i="12"/>
  <c r="AB218" i="12"/>
  <c r="AA218" i="12"/>
  <c r="Z218" i="12"/>
  <c r="Y218" i="12"/>
  <c r="AN217" i="12"/>
  <c r="AL217" i="12"/>
  <c r="AJ217" i="12"/>
  <c r="AH217" i="12"/>
  <c r="AE217" i="12"/>
  <c r="AD217" i="12"/>
  <c r="AC217" i="12"/>
  <c r="AB217" i="12"/>
  <c r="AA217" i="12"/>
  <c r="Z217" i="12"/>
  <c r="Y217" i="12"/>
  <c r="AN216" i="12"/>
  <c r="AL216" i="12"/>
  <c r="AJ216" i="12"/>
  <c r="AH216" i="12"/>
  <c r="AE216" i="12"/>
  <c r="AD216" i="12"/>
  <c r="AC216" i="12"/>
  <c r="AB216" i="12"/>
  <c r="AA216" i="12"/>
  <c r="Z216" i="12"/>
  <c r="Y216" i="12"/>
  <c r="AN215" i="12"/>
  <c r="AL215" i="12"/>
  <c r="AJ215" i="12"/>
  <c r="AH215" i="12"/>
  <c r="AE215" i="12"/>
  <c r="AD215" i="12"/>
  <c r="AC215" i="12"/>
  <c r="AB215" i="12"/>
  <c r="AA215" i="12"/>
  <c r="Z215" i="12"/>
  <c r="Y215" i="12"/>
  <c r="AN214" i="12"/>
  <c r="AL214" i="12"/>
  <c r="AJ214" i="12"/>
  <c r="AH214" i="12"/>
  <c r="AE214" i="12"/>
  <c r="AD214" i="12"/>
  <c r="AC214" i="12"/>
  <c r="AB214" i="12"/>
  <c r="AA214" i="12"/>
  <c r="Z214" i="12"/>
  <c r="Y214" i="12"/>
  <c r="AN213" i="12"/>
  <c r="AL213" i="12"/>
  <c r="AJ213" i="12"/>
  <c r="AH213" i="12"/>
  <c r="AE213" i="12"/>
  <c r="AD213" i="12"/>
  <c r="AC213" i="12"/>
  <c r="AB213" i="12"/>
  <c r="AA213" i="12"/>
  <c r="Z213" i="12"/>
  <c r="Y213" i="12"/>
  <c r="AN212" i="12"/>
  <c r="AL212" i="12"/>
  <c r="AJ212" i="12"/>
  <c r="AH212" i="12"/>
  <c r="AE212" i="12"/>
  <c r="AD212" i="12"/>
  <c r="AC212" i="12"/>
  <c r="AB212" i="12"/>
  <c r="AA212" i="12"/>
  <c r="Z212" i="12"/>
  <c r="Y212" i="12"/>
  <c r="AN211" i="12"/>
  <c r="AL211" i="12"/>
  <c r="AJ211" i="12"/>
  <c r="AH211" i="12"/>
  <c r="AE211" i="12"/>
  <c r="AD211" i="12"/>
  <c r="AC211" i="12"/>
  <c r="AB211" i="12"/>
  <c r="AA211" i="12"/>
  <c r="Z211" i="12"/>
  <c r="Y211" i="12"/>
  <c r="AN210" i="12"/>
  <c r="AL210" i="12"/>
  <c r="AJ210" i="12"/>
  <c r="AH210" i="12"/>
  <c r="AE210" i="12"/>
  <c r="AD210" i="12"/>
  <c r="AC210" i="12"/>
  <c r="AB210" i="12"/>
  <c r="AA210" i="12"/>
  <c r="Z210" i="12"/>
  <c r="Y210" i="12"/>
  <c r="AN209" i="12"/>
  <c r="AL209" i="12"/>
  <c r="AJ209" i="12"/>
  <c r="AH209" i="12"/>
  <c r="AE209" i="12"/>
  <c r="AD209" i="12"/>
  <c r="AC209" i="12"/>
  <c r="AB209" i="12"/>
  <c r="AA209" i="12"/>
  <c r="Z209" i="12"/>
  <c r="Y209" i="12"/>
  <c r="AN208" i="12"/>
  <c r="AL208" i="12"/>
  <c r="AJ208" i="12"/>
  <c r="AH208" i="12"/>
  <c r="AE208" i="12"/>
  <c r="AD208" i="12"/>
  <c r="AC208" i="12"/>
  <c r="AB208" i="12"/>
  <c r="AA208" i="12"/>
  <c r="Z208" i="12"/>
  <c r="Y208" i="12"/>
  <c r="AN207" i="12"/>
  <c r="AL207" i="12"/>
  <c r="AJ207" i="12"/>
  <c r="AH207" i="12"/>
  <c r="AE207" i="12"/>
  <c r="AD207" i="12"/>
  <c r="AC207" i="12"/>
  <c r="AB207" i="12"/>
  <c r="AA207" i="12"/>
  <c r="Z207" i="12"/>
  <c r="Y207" i="12"/>
  <c r="AN206" i="12"/>
  <c r="AL206" i="12"/>
  <c r="AJ206" i="12"/>
  <c r="AH206" i="12"/>
  <c r="AE206" i="12"/>
  <c r="AD206" i="12"/>
  <c r="AC206" i="12"/>
  <c r="AB206" i="12"/>
  <c r="AA206" i="12"/>
  <c r="Z206" i="12"/>
  <c r="Y206" i="12"/>
  <c r="AN205" i="12"/>
  <c r="AL205" i="12"/>
  <c r="AJ205" i="12"/>
  <c r="AH205" i="12"/>
  <c r="AE205" i="12"/>
  <c r="AD205" i="12"/>
  <c r="AC205" i="12"/>
  <c r="AB205" i="12"/>
  <c r="AA205" i="12"/>
  <c r="Z205" i="12"/>
  <c r="Y205" i="12"/>
  <c r="AN204" i="12"/>
  <c r="AL204" i="12"/>
  <c r="AJ204" i="12"/>
  <c r="AH204" i="12"/>
  <c r="AE204" i="12"/>
  <c r="AD204" i="12"/>
  <c r="AC204" i="12"/>
  <c r="AB204" i="12"/>
  <c r="AA204" i="12"/>
  <c r="Z204" i="12"/>
  <c r="Y204" i="12"/>
  <c r="AN203" i="12"/>
  <c r="AL203" i="12"/>
  <c r="AJ203" i="12"/>
  <c r="AH203" i="12"/>
  <c r="AE203" i="12"/>
  <c r="AD203" i="12"/>
  <c r="AC203" i="12"/>
  <c r="AB203" i="12"/>
  <c r="AA203" i="12"/>
  <c r="Z203" i="12"/>
  <c r="Y203" i="12"/>
  <c r="AN202" i="12"/>
  <c r="AL202" i="12"/>
  <c r="AJ202" i="12"/>
  <c r="AH202" i="12"/>
  <c r="AE202" i="12"/>
  <c r="AD202" i="12"/>
  <c r="AC202" i="12"/>
  <c r="AB202" i="12"/>
  <c r="AA202" i="12"/>
  <c r="Z202" i="12"/>
  <c r="Y202" i="12"/>
  <c r="AN201" i="12"/>
  <c r="AL201" i="12"/>
  <c r="AJ201" i="12"/>
  <c r="AH201" i="12"/>
  <c r="AE201" i="12"/>
  <c r="AD201" i="12"/>
  <c r="AC201" i="12"/>
  <c r="AB201" i="12"/>
  <c r="AA201" i="12"/>
  <c r="Z201" i="12"/>
  <c r="Y201" i="12"/>
  <c r="AN200" i="12"/>
  <c r="AL200" i="12"/>
  <c r="AJ200" i="12"/>
  <c r="AH200" i="12"/>
  <c r="AE200" i="12"/>
  <c r="AD200" i="12"/>
  <c r="AC200" i="12"/>
  <c r="AB200" i="12"/>
  <c r="AA200" i="12"/>
  <c r="Z200" i="12"/>
  <c r="Y200" i="12"/>
  <c r="AN199" i="12"/>
  <c r="AL199" i="12"/>
  <c r="AJ199" i="12"/>
  <c r="AH199" i="12"/>
  <c r="AE199" i="12"/>
  <c r="AD199" i="12"/>
  <c r="AC199" i="12"/>
  <c r="AB199" i="12"/>
  <c r="AA199" i="12"/>
  <c r="Z199" i="12"/>
  <c r="Y199" i="12"/>
  <c r="AN198" i="12"/>
  <c r="AL198" i="12"/>
  <c r="AJ198" i="12"/>
  <c r="AH198" i="12"/>
  <c r="AE198" i="12"/>
  <c r="AD198" i="12"/>
  <c r="AC198" i="12"/>
  <c r="AB198" i="12"/>
  <c r="AA198" i="12"/>
  <c r="Z198" i="12"/>
  <c r="Y198" i="12"/>
  <c r="AN197" i="12"/>
  <c r="AL197" i="12"/>
  <c r="AJ197" i="12"/>
  <c r="AH197" i="12"/>
  <c r="AE197" i="12"/>
  <c r="AD197" i="12"/>
  <c r="AC197" i="12"/>
  <c r="AB197" i="12"/>
  <c r="AA197" i="12"/>
  <c r="Z197" i="12"/>
  <c r="Y197" i="12"/>
  <c r="AN196" i="12"/>
  <c r="AL196" i="12"/>
  <c r="AJ196" i="12"/>
  <c r="AH196" i="12"/>
  <c r="AE196" i="12"/>
  <c r="AD196" i="12"/>
  <c r="AC196" i="12"/>
  <c r="AB196" i="12"/>
  <c r="AA196" i="12"/>
  <c r="Z196" i="12"/>
  <c r="Y196" i="12"/>
  <c r="AN195" i="12"/>
  <c r="AL195" i="12"/>
  <c r="AJ195" i="12"/>
  <c r="AH195" i="12"/>
  <c r="AE195" i="12"/>
  <c r="AD195" i="12"/>
  <c r="AC195" i="12"/>
  <c r="AB195" i="12"/>
  <c r="AA195" i="12"/>
  <c r="Z195" i="12"/>
  <c r="Y195" i="12"/>
  <c r="AN194" i="12"/>
  <c r="AL194" i="12"/>
  <c r="AJ194" i="12"/>
  <c r="AH194" i="12"/>
  <c r="AE194" i="12"/>
  <c r="AD194" i="12"/>
  <c r="AC194" i="12"/>
  <c r="AB194" i="12"/>
  <c r="AA194" i="12"/>
  <c r="Z194" i="12"/>
  <c r="Y194" i="12"/>
  <c r="AN193" i="12"/>
  <c r="AL193" i="12"/>
  <c r="AJ193" i="12"/>
  <c r="AH193" i="12"/>
  <c r="AE193" i="12"/>
  <c r="AD193" i="12"/>
  <c r="AC193" i="12"/>
  <c r="AB193" i="12"/>
  <c r="AA193" i="12"/>
  <c r="Z193" i="12"/>
  <c r="Y193" i="12"/>
  <c r="AN192" i="12"/>
  <c r="AL192" i="12"/>
  <c r="AJ192" i="12"/>
  <c r="AH192" i="12"/>
  <c r="AE192" i="12"/>
  <c r="AD192" i="12"/>
  <c r="AC192" i="12"/>
  <c r="AB192" i="12"/>
  <c r="AA192" i="12"/>
  <c r="Z192" i="12"/>
  <c r="Y192" i="12"/>
  <c r="AN191" i="12"/>
  <c r="AL191" i="12"/>
  <c r="AJ191" i="12"/>
  <c r="AH191" i="12"/>
  <c r="AE191" i="12"/>
  <c r="AD191" i="12"/>
  <c r="AC191" i="12"/>
  <c r="AB191" i="12"/>
  <c r="AA191" i="12"/>
  <c r="Z191" i="12"/>
  <c r="Y191" i="12"/>
  <c r="AN190" i="12"/>
  <c r="AL190" i="12"/>
  <c r="AJ190" i="12"/>
  <c r="AH190" i="12"/>
  <c r="AE190" i="12"/>
  <c r="AD190" i="12"/>
  <c r="AC190" i="12"/>
  <c r="AB190" i="12"/>
  <c r="AA190" i="12"/>
  <c r="Z190" i="12"/>
  <c r="Y190" i="12"/>
  <c r="AN189" i="12"/>
  <c r="AL189" i="12"/>
  <c r="AJ189" i="12"/>
  <c r="AH189" i="12"/>
  <c r="AE189" i="12"/>
  <c r="AD189" i="12"/>
  <c r="AC189" i="12"/>
  <c r="AB189" i="12"/>
  <c r="AA189" i="12"/>
  <c r="Z189" i="12"/>
  <c r="Y189" i="12"/>
  <c r="AN188" i="12"/>
  <c r="AL188" i="12"/>
  <c r="AJ188" i="12"/>
  <c r="AH188" i="12"/>
  <c r="AE188" i="12"/>
  <c r="AD188" i="12"/>
  <c r="AC188" i="12"/>
  <c r="AB188" i="12"/>
  <c r="AA188" i="12"/>
  <c r="Z188" i="12"/>
  <c r="Y188" i="12"/>
  <c r="AN187" i="12"/>
  <c r="AL187" i="12"/>
  <c r="AJ187" i="12"/>
  <c r="AH187" i="12"/>
  <c r="AE187" i="12"/>
  <c r="AD187" i="12"/>
  <c r="AC187" i="12"/>
  <c r="AB187" i="12"/>
  <c r="AA187" i="12"/>
  <c r="Z187" i="12"/>
  <c r="Y187" i="12"/>
  <c r="AN186" i="12"/>
  <c r="AL186" i="12"/>
  <c r="AJ186" i="12"/>
  <c r="AH186" i="12"/>
  <c r="AE186" i="12"/>
  <c r="AD186" i="12"/>
  <c r="AC186" i="12"/>
  <c r="AB186" i="12"/>
  <c r="AA186" i="12"/>
  <c r="Z186" i="12"/>
  <c r="Y186" i="12"/>
  <c r="AN185" i="12"/>
  <c r="AL185" i="12"/>
  <c r="AJ185" i="12"/>
  <c r="AH185" i="12"/>
  <c r="AE185" i="12"/>
  <c r="AD185" i="12"/>
  <c r="AC185" i="12"/>
  <c r="AB185" i="12"/>
  <c r="AA185" i="12"/>
  <c r="Z185" i="12"/>
  <c r="Y185" i="12"/>
  <c r="AN184" i="12"/>
  <c r="AL184" i="12"/>
  <c r="AJ184" i="12"/>
  <c r="AH184" i="12"/>
  <c r="AE184" i="12"/>
  <c r="AD184" i="12"/>
  <c r="AC184" i="12"/>
  <c r="AB184" i="12"/>
  <c r="AA184" i="12"/>
  <c r="Z184" i="12"/>
  <c r="Y184" i="12"/>
  <c r="AN183" i="12"/>
  <c r="AL183" i="12"/>
  <c r="AJ183" i="12"/>
  <c r="AH183" i="12"/>
  <c r="AE183" i="12"/>
  <c r="AD183" i="12"/>
  <c r="AC183" i="12"/>
  <c r="AB183" i="12"/>
  <c r="AA183" i="12"/>
  <c r="Z183" i="12"/>
  <c r="Y183" i="12"/>
  <c r="AN182" i="12"/>
  <c r="AL182" i="12"/>
  <c r="AJ182" i="12"/>
  <c r="AH182" i="12"/>
  <c r="AE182" i="12"/>
  <c r="AD182" i="12"/>
  <c r="AC182" i="12"/>
  <c r="AB182" i="12"/>
  <c r="AA182" i="12"/>
  <c r="Z182" i="12"/>
  <c r="Y182" i="12"/>
  <c r="AN181" i="12"/>
  <c r="AL181" i="12"/>
  <c r="AJ181" i="12"/>
  <c r="AH181" i="12"/>
  <c r="AE181" i="12"/>
  <c r="AD181" i="12"/>
  <c r="AC181" i="12"/>
  <c r="AB181" i="12"/>
  <c r="AA181" i="12"/>
  <c r="Z181" i="12"/>
  <c r="Y181" i="12"/>
  <c r="AN180" i="12"/>
  <c r="AL180" i="12"/>
  <c r="AJ180" i="12"/>
  <c r="AH180" i="12"/>
  <c r="AE180" i="12"/>
  <c r="AD180" i="12"/>
  <c r="AC180" i="12"/>
  <c r="AB180" i="12"/>
  <c r="AA180" i="12"/>
  <c r="Z180" i="12"/>
  <c r="Y180" i="12"/>
  <c r="AN179" i="12"/>
  <c r="AL179" i="12"/>
  <c r="AJ179" i="12"/>
  <c r="AH179" i="12"/>
  <c r="AE179" i="12"/>
  <c r="AD179" i="12"/>
  <c r="AC179" i="12"/>
  <c r="AB179" i="12"/>
  <c r="AA179" i="12"/>
  <c r="Z179" i="12"/>
  <c r="Y179" i="12"/>
  <c r="AN178" i="12"/>
  <c r="AL178" i="12"/>
  <c r="AJ178" i="12"/>
  <c r="AH178" i="12"/>
  <c r="AE178" i="12"/>
  <c r="AD178" i="12"/>
  <c r="AC178" i="12"/>
  <c r="AB178" i="12"/>
  <c r="AA178" i="12"/>
  <c r="Z178" i="12"/>
  <c r="Y178" i="12"/>
  <c r="AN177" i="12"/>
  <c r="AL177" i="12"/>
  <c r="AJ177" i="12"/>
  <c r="AH177" i="12"/>
  <c r="AE177" i="12"/>
  <c r="AD177" i="12"/>
  <c r="AC177" i="12"/>
  <c r="AB177" i="12"/>
  <c r="AA177" i="12"/>
  <c r="Z177" i="12"/>
  <c r="Y177" i="12"/>
  <c r="AN176" i="12"/>
  <c r="AL176" i="12"/>
  <c r="AJ176" i="12"/>
  <c r="AH176" i="12"/>
  <c r="AE176" i="12"/>
  <c r="AD176" i="12"/>
  <c r="AC176" i="12"/>
  <c r="AB176" i="12"/>
  <c r="AA176" i="12"/>
  <c r="Z176" i="12"/>
  <c r="Y176" i="12"/>
  <c r="AN175" i="12"/>
  <c r="AL175" i="12"/>
  <c r="AJ175" i="12"/>
  <c r="AH175" i="12"/>
  <c r="AE175" i="12"/>
  <c r="AD175" i="12"/>
  <c r="AC175" i="12"/>
  <c r="AB175" i="12"/>
  <c r="AA175" i="12"/>
  <c r="Z175" i="12"/>
  <c r="Y175" i="12"/>
  <c r="AN174" i="12"/>
  <c r="AL174" i="12"/>
  <c r="AJ174" i="12"/>
  <c r="AH174" i="12"/>
  <c r="AE174" i="12"/>
  <c r="AD174" i="12"/>
  <c r="AC174" i="12"/>
  <c r="AB174" i="12"/>
  <c r="AA174" i="12"/>
  <c r="Z174" i="12"/>
  <c r="Y174" i="12"/>
  <c r="AN173" i="12"/>
  <c r="AL173" i="12"/>
  <c r="AJ173" i="12"/>
  <c r="AH173" i="12"/>
  <c r="AE173" i="12"/>
  <c r="AD173" i="12"/>
  <c r="AC173" i="12"/>
  <c r="AB173" i="12"/>
  <c r="AA173" i="12"/>
  <c r="Z173" i="12"/>
  <c r="Y173" i="12"/>
  <c r="AN172" i="12"/>
  <c r="AL172" i="12"/>
  <c r="AJ172" i="12"/>
  <c r="AH172" i="12"/>
  <c r="AE172" i="12"/>
  <c r="AD172" i="12"/>
  <c r="AC172" i="12"/>
  <c r="AB172" i="12"/>
  <c r="AA172" i="12"/>
  <c r="Z172" i="12"/>
  <c r="Y172" i="12"/>
  <c r="AN171" i="12"/>
  <c r="AL171" i="12"/>
  <c r="AJ171" i="12"/>
  <c r="AH171" i="12"/>
  <c r="AE171" i="12"/>
  <c r="AD171" i="12"/>
  <c r="AC171" i="12"/>
  <c r="AB171" i="12"/>
  <c r="AA171" i="12"/>
  <c r="Z171" i="12"/>
  <c r="Y171" i="12"/>
  <c r="AN170" i="12"/>
  <c r="AL170" i="12"/>
  <c r="AJ170" i="12"/>
  <c r="AH170" i="12"/>
  <c r="AE170" i="12"/>
  <c r="AD170" i="12"/>
  <c r="AC170" i="12"/>
  <c r="AB170" i="12"/>
  <c r="AA170" i="12"/>
  <c r="Z170" i="12"/>
  <c r="Y170" i="12"/>
  <c r="AN169" i="12"/>
  <c r="AL169" i="12"/>
  <c r="AJ169" i="12"/>
  <c r="AH169" i="12"/>
  <c r="AE169" i="12"/>
  <c r="AD169" i="12"/>
  <c r="AC169" i="12"/>
  <c r="AB169" i="12"/>
  <c r="AA169" i="12"/>
  <c r="Z169" i="12"/>
  <c r="Y169" i="12"/>
  <c r="AN168" i="12"/>
  <c r="AL168" i="12"/>
  <c r="AJ168" i="12"/>
  <c r="AH168" i="12"/>
  <c r="AE168" i="12"/>
  <c r="AD168" i="12"/>
  <c r="AC168" i="12"/>
  <c r="AB168" i="12"/>
  <c r="AA168" i="12"/>
  <c r="Z168" i="12"/>
  <c r="Y168" i="12"/>
  <c r="AN167" i="12"/>
  <c r="AL167" i="12"/>
  <c r="AJ167" i="12"/>
  <c r="AH167" i="12"/>
  <c r="AE167" i="12"/>
  <c r="AD167" i="12"/>
  <c r="AC167" i="12"/>
  <c r="AB167" i="12"/>
  <c r="AA167" i="12"/>
  <c r="Z167" i="12"/>
  <c r="Y167" i="12"/>
  <c r="AN166" i="12"/>
  <c r="AL166" i="12"/>
  <c r="AJ166" i="12"/>
  <c r="AH166" i="12"/>
  <c r="AE166" i="12"/>
  <c r="AD166" i="12"/>
  <c r="AC166" i="12"/>
  <c r="AB166" i="12"/>
  <c r="AA166" i="12"/>
  <c r="Z166" i="12"/>
  <c r="Y166" i="12"/>
  <c r="AN165" i="12"/>
  <c r="AL165" i="12"/>
  <c r="AJ165" i="12"/>
  <c r="AH165" i="12"/>
  <c r="AE165" i="12"/>
  <c r="AD165" i="12"/>
  <c r="AC165" i="12"/>
  <c r="AB165" i="12"/>
  <c r="AA165" i="12"/>
  <c r="Z165" i="12"/>
  <c r="Y165" i="12"/>
  <c r="AN164" i="12"/>
  <c r="AL164" i="12"/>
  <c r="AJ164" i="12"/>
  <c r="AH164" i="12"/>
  <c r="AE164" i="12"/>
  <c r="AD164" i="12"/>
  <c r="AC164" i="12"/>
  <c r="AB164" i="12"/>
  <c r="AA164" i="12"/>
  <c r="Z164" i="12"/>
  <c r="Y164" i="12"/>
  <c r="AN163" i="12"/>
  <c r="AL163" i="12"/>
  <c r="AJ163" i="12"/>
  <c r="AH163" i="12"/>
  <c r="AE163" i="12"/>
  <c r="AD163" i="12"/>
  <c r="AC163" i="12"/>
  <c r="AB163" i="12"/>
  <c r="AA163" i="12"/>
  <c r="Z163" i="12"/>
  <c r="Y163" i="12"/>
  <c r="AN162" i="12"/>
  <c r="AL162" i="12"/>
  <c r="AJ162" i="12"/>
  <c r="AH162" i="12"/>
  <c r="AE162" i="12"/>
  <c r="AD162" i="12"/>
  <c r="AC162" i="12"/>
  <c r="AB162" i="12"/>
  <c r="AA162" i="12"/>
  <c r="Z162" i="12"/>
  <c r="Y162" i="12"/>
  <c r="AN161" i="12"/>
  <c r="AL161" i="12"/>
  <c r="AJ161" i="12"/>
  <c r="AH161" i="12"/>
  <c r="AE161" i="12"/>
  <c r="AD161" i="12"/>
  <c r="AC161" i="12"/>
  <c r="AB161" i="12"/>
  <c r="AA161" i="12"/>
  <c r="Z161" i="12"/>
  <c r="Y161" i="12"/>
  <c r="AN160" i="12"/>
  <c r="AL160" i="12"/>
  <c r="AJ160" i="12"/>
  <c r="AH160" i="12"/>
  <c r="AE160" i="12"/>
  <c r="AD160" i="12"/>
  <c r="AC160" i="12"/>
  <c r="AB160" i="12"/>
  <c r="AA160" i="12"/>
  <c r="Z160" i="12"/>
  <c r="Y160" i="12"/>
  <c r="AN159" i="12"/>
  <c r="AL159" i="12"/>
  <c r="AJ159" i="12"/>
  <c r="AH159" i="12"/>
  <c r="AE159" i="12"/>
  <c r="AD159" i="12"/>
  <c r="AC159" i="12"/>
  <c r="AB159" i="12"/>
  <c r="AA159" i="12"/>
  <c r="Z159" i="12"/>
  <c r="Y159" i="12"/>
  <c r="AN158" i="12"/>
  <c r="AL158" i="12"/>
  <c r="AJ158" i="12"/>
  <c r="AH158" i="12"/>
  <c r="AE158" i="12"/>
  <c r="AD158" i="12"/>
  <c r="AC158" i="12"/>
  <c r="AB158" i="12"/>
  <c r="AA158" i="12"/>
  <c r="Z158" i="12"/>
  <c r="Y158" i="12"/>
  <c r="AN157" i="12"/>
  <c r="AL157" i="12"/>
  <c r="AJ157" i="12"/>
  <c r="AH157" i="12"/>
  <c r="AE157" i="12"/>
  <c r="AD157" i="12"/>
  <c r="AC157" i="12"/>
  <c r="AB157" i="12"/>
  <c r="AA157" i="12"/>
  <c r="Z157" i="12"/>
  <c r="Y157" i="12"/>
  <c r="AN156" i="12"/>
  <c r="AL156" i="12"/>
  <c r="AJ156" i="12"/>
  <c r="AH156" i="12"/>
  <c r="AE156" i="12"/>
  <c r="AD156" i="12"/>
  <c r="AC156" i="12"/>
  <c r="AB156" i="12"/>
  <c r="AA156" i="12"/>
  <c r="Z156" i="12"/>
  <c r="Y156" i="12"/>
  <c r="AN155" i="12"/>
  <c r="AL155" i="12"/>
  <c r="AJ155" i="12"/>
  <c r="AH155" i="12"/>
  <c r="AE155" i="12"/>
  <c r="AD155" i="12"/>
  <c r="AC155" i="12"/>
  <c r="AB155" i="12"/>
  <c r="AA155" i="12"/>
  <c r="Z155" i="12"/>
  <c r="Y155" i="12"/>
  <c r="AN154" i="12"/>
  <c r="AL154" i="12"/>
  <c r="AJ154" i="12"/>
  <c r="AH154" i="12"/>
  <c r="AE154" i="12"/>
  <c r="AD154" i="12"/>
  <c r="AC154" i="12"/>
  <c r="AB154" i="12"/>
  <c r="AA154" i="12"/>
  <c r="Z154" i="12"/>
  <c r="Y154" i="12"/>
  <c r="AN153" i="12"/>
  <c r="AL153" i="12"/>
  <c r="AJ153" i="12"/>
  <c r="AH153" i="12"/>
  <c r="AE153" i="12"/>
  <c r="AD153" i="12"/>
  <c r="AC153" i="12"/>
  <c r="AB153" i="12"/>
  <c r="AA153" i="12"/>
  <c r="Z153" i="12"/>
  <c r="Y153" i="12"/>
  <c r="AN152" i="12"/>
  <c r="AL152" i="12"/>
  <c r="AJ152" i="12"/>
  <c r="AH152" i="12"/>
  <c r="AE152" i="12"/>
  <c r="AD152" i="12"/>
  <c r="AC152" i="12"/>
  <c r="AB152" i="12"/>
  <c r="AA152" i="12"/>
  <c r="Z152" i="12"/>
  <c r="Y152" i="12"/>
  <c r="AN151" i="12"/>
  <c r="AL151" i="12"/>
  <c r="AJ151" i="12"/>
  <c r="AH151" i="12"/>
  <c r="AE151" i="12"/>
  <c r="AD151" i="12"/>
  <c r="AC151" i="12"/>
  <c r="AB151" i="12"/>
  <c r="AA151" i="12"/>
  <c r="Z151" i="12"/>
  <c r="Y151" i="12"/>
  <c r="AN150" i="12"/>
  <c r="AL150" i="12"/>
  <c r="AJ150" i="12"/>
  <c r="AH150" i="12"/>
  <c r="AE150" i="12"/>
  <c r="AD150" i="12"/>
  <c r="AC150" i="12"/>
  <c r="AB150" i="12"/>
  <c r="AA150" i="12"/>
  <c r="Z150" i="12"/>
  <c r="Y150" i="12"/>
  <c r="W150" i="12"/>
  <c r="T150" i="12"/>
  <c r="R150" i="12"/>
  <c r="P150" i="12"/>
  <c r="N150" i="12"/>
  <c r="L150" i="12"/>
  <c r="J150" i="12"/>
  <c r="H150" i="12"/>
  <c r="F150" i="12"/>
  <c r="D150" i="12"/>
  <c r="AN149" i="12"/>
  <c r="AL149" i="12"/>
  <c r="AJ149" i="12"/>
  <c r="AH149" i="12"/>
  <c r="AE149" i="12"/>
  <c r="AD149" i="12"/>
  <c r="AC149" i="12"/>
  <c r="AB149" i="12"/>
  <c r="AA149" i="12"/>
  <c r="Z149" i="12"/>
  <c r="Y149" i="12"/>
  <c r="W149" i="12"/>
  <c r="T149" i="12"/>
  <c r="R149" i="12"/>
  <c r="P149" i="12"/>
  <c r="N149" i="12"/>
  <c r="L149" i="12"/>
  <c r="J149" i="12"/>
  <c r="H149" i="12"/>
  <c r="F149" i="12"/>
  <c r="D149" i="12"/>
  <c r="AN148" i="12"/>
  <c r="AL148" i="12"/>
  <c r="AJ148" i="12"/>
  <c r="AH148" i="12"/>
  <c r="AE148" i="12"/>
  <c r="AD148" i="12"/>
  <c r="AC148" i="12"/>
  <c r="AB148" i="12"/>
  <c r="AA148" i="12"/>
  <c r="Z148" i="12"/>
  <c r="Y148" i="12"/>
  <c r="W148" i="12"/>
  <c r="T148" i="12"/>
  <c r="R148" i="12"/>
  <c r="P148" i="12"/>
  <c r="N148" i="12"/>
  <c r="L148" i="12"/>
  <c r="J148" i="12"/>
  <c r="H148" i="12"/>
  <c r="F148" i="12"/>
  <c r="D148" i="12"/>
  <c r="AN147" i="12"/>
  <c r="AL147" i="12"/>
  <c r="AJ147" i="12"/>
  <c r="AH147" i="12"/>
  <c r="AE147" i="12"/>
  <c r="AD147" i="12"/>
  <c r="AC147" i="12"/>
  <c r="AB147" i="12"/>
  <c r="AA147" i="12"/>
  <c r="Z147" i="12"/>
  <c r="Y147" i="12"/>
  <c r="W147" i="12"/>
  <c r="T147" i="12"/>
  <c r="R147" i="12"/>
  <c r="P147" i="12"/>
  <c r="N147" i="12"/>
  <c r="L147" i="12"/>
  <c r="J147" i="12"/>
  <c r="H147" i="12"/>
  <c r="F147" i="12"/>
  <c r="D147" i="12"/>
  <c r="AN146" i="12"/>
  <c r="AL146" i="12"/>
  <c r="AJ146" i="12"/>
  <c r="AH146" i="12"/>
  <c r="AE146" i="12"/>
  <c r="AD146" i="12"/>
  <c r="AC146" i="12"/>
  <c r="AB146" i="12"/>
  <c r="AA146" i="12"/>
  <c r="Z146" i="12"/>
  <c r="Y146" i="12"/>
  <c r="W146" i="12"/>
  <c r="T146" i="12"/>
  <c r="R146" i="12"/>
  <c r="P146" i="12"/>
  <c r="N146" i="12"/>
  <c r="L146" i="12"/>
  <c r="J146" i="12"/>
  <c r="H146" i="12"/>
  <c r="F146" i="12"/>
  <c r="D146" i="12"/>
  <c r="AN145" i="12"/>
  <c r="AL145" i="12"/>
  <c r="AJ145" i="12"/>
  <c r="AH145" i="12"/>
  <c r="AE145" i="12"/>
  <c r="AD145" i="12"/>
  <c r="AC145" i="12"/>
  <c r="AB145" i="12"/>
  <c r="AA145" i="12"/>
  <c r="Z145" i="12"/>
  <c r="Y145" i="12"/>
  <c r="W145" i="12"/>
  <c r="T145" i="12"/>
  <c r="R145" i="12"/>
  <c r="P145" i="12"/>
  <c r="N145" i="12"/>
  <c r="L145" i="12"/>
  <c r="J145" i="12"/>
  <c r="H145" i="12"/>
  <c r="F145" i="12"/>
  <c r="D145" i="12"/>
  <c r="AN144" i="12"/>
  <c r="AL144" i="12"/>
  <c r="AJ144" i="12"/>
  <c r="AH144" i="12"/>
  <c r="AE144" i="12"/>
  <c r="AD144" i="12"/>
  <c r="AC144" i="12"/>
  <c r="AB144" i="12"/>
  <c r="AA144" i="12"/>
  <c r="Z144" i="12"/>
  <c r="Y144" i="12"/>
  <c r="W144" i="12"/>
  <c r="T144" i="12"/>
  <c r="R144" i="12"/>
  <c r="P144" i="12"/>
  <c r="N144" i="12"/>
  <c r="L144" i="12"/>
  <c r="J144" i="12"/>
  <c r="H144" i="12"/>
  <c r="F144" i="12"/>
  <c r="D144" i="12"/>
  <c r="AN143" i="12"/>
  <c r="AL143" i="12"/>
  <c r="AJ143" i="12"/>
  <c r="AH143" i="12"/>
  <c r="AE143" i="12"/>
  <c r="AD143" i="12"/>
  <c r="AC143" i="12"/>
  <c r="AB143" i="12"/>
  <c r="AA143" i="12"/>
  <c r="Z143" i="12"/>
  <c r="Y143" i="12"/>
  <c r="W143" i="12"/>
  <c r="T143" i="12"/>
  <c r="R143" i="12"/>
  <c r="P143" i="12"/>
  <c r="N143" i="12"/>
  <c r="L143" i="12"/>
  <c r="J143" i="12"/>
  <c r="H143" i="12"/>
  <c r="F143" i="12"/>
  <c r="D143" i="12"/>
  <c r="AN142" i="12"/>
  <c r="AL142" i="12"/>
  <c r="AJ142" i="12"/>
  <c r="AH142" i="12"/>
  <c r="AE142" i="12"/>
  <c r="AD142" i="12"/>
  <c r="AC142" i="12"/>
  <c r="AB142" i="12"/>
  <c r="AA142" i="12"/>
  <c r="Z142" i="12"/>
  <c r="Y142" i="12"/>
  <c r="W142" i="12"/>
  <c r="T142" i="12"/>
  <c r="R142" i="12"/>
  <c r="P142" i="12"/>
  <c r="N142" i="12"/>
  <c r="L142" i="12"/>
  <c r="J142" i="12"/>
  <c r="H142" i="12"/>
  <c r="F142" i="12"/>
  <c r="D142" i="12"/>
  <c r="AN141" i="12"/>
  <c r="AL141" i="12"/>
  <c r="AJ141" i="12"/>
  <c r="AH141" i="12"/>
  <c r="AE141" i="12"/>
  <c r="AD141" i="12"/>
  <c r="AC141" i="12"/>
  <c r="AB141" i="12"/>
  <c r="AA141" i="12"/>
  <c r="Z141" i="12"/>
  <c r="Y141" i="12"/>
  <c r="W141" i="12"/>
  <c r="T141" i="12"/>
  <c r="R141" i="12"/>
  <c r="P141" i="12"/>
  <c r="N141" i="12"/>
  <c r="L141" i="12"/>
  <c r="J141" i="12"/>
  <c r="H141" i="12"/>
  <c r="F141" i="12"/>
  <c r="D141" i="12"/>
  <c r="AN140" i="12"/>
  <c r="AL140" i="12"/>
  <c r="AJ140" i="12"/>
  <c r="AH140" i="12"/>
  <c r="AE140" i="12"/>
  <c r="AD140" i="12"/>
  <c r="AC140" i="12"/>
  <c r="AB140" i="12"/>
  <c r="AA140" i="12"/>
  <c r="Z140" i="12"/>
  <c r="Y140" i="12"/>
  <c r="W140" i="12"/>
  <c r="T140" i="12"/>
  <c r="R140" i="12"/>
  <c r="P140" i="12"/>
  <c r="N140" i="12"/>
  <c r="L140" i="12"/>
  <c r="J140" i="12"/>
  <c r="H140" i="12"/>
  <c r="F140" i="12"/>
  <c r="D140" i="12"/>
  <c r="AN139" i="12"/>
  <c r="AL139" i="12"/>
  <c r="AJ139" i="12"/>
  <c r="AH139" i="12"/>
  <c r="AE139" i="12"/>
  <c r="AD139" i="12"/>
  <c r="AC139" i="12"/>
  <c r="AB139" i="12"/>
  <c r="AA139" i="12"/>
  <c r="Z139" i="12"/>
  <c r="Y139" i="12"/>
  <c r="W139" i="12"/>
  <c r="T139" i="12"/>
  <c r="R139" i="12"/>
  <c r="P139" i="12"/>
  <c r="N139" i="12"/>
  <c r="L139" i="12"/>
  <c r="J139" i="12"/>
  <c r="H139" i="12"/>
  <c r="F139" i="12"/>
  <c r="D139" i="12"/>
  <c r="AN138" i="12"/>
  <c r="AL138" i="12"/>
  <c r="AJ138" i="12"/>
  <c r="AH138" i="12"/>
  <c r="AE138" i="12"/>
  <c r="AD138" i="12"/>
  <c r="AC138" i="12"/>
  <c r="AB138" i="12"/>
  <c r="AA138" i="12"/>
  <c r="Z138" i="12"/>
  <c r="Y138" i="12"/>
  <c r="W138" i="12"/>
  <c r="T138" i="12"/>
  <c r="R138" i="12"/>
  <c r="P138" i="12"/>
  <c r="N138" i="12"/>
  <c r="L138" i="12"/>
  <c r="J138" i="12"/>
  <c r="H138" i="12"/>
  <c r="F138" i="12"/>
  <c r="D138" i="12"/>
  <c r="AN137" i="12"/>
  <c r="AL137" i="12"/>
  <c r="AJ137" i="12"/>
  <c r="AH137" i="12"/>
  <c r="AE137" i="12"/>
  <c r="AD137" i="12"/>
  <c r="AC137" i="12"/>
  <c r="AB137" i="12"/>
  <c r="AA137" i="12"/>
  <c r="Z137" i="12"/>
  <c r="Y137" i="12"/>
  <c r="W137" i="12"/>
  <c r="T137" i="12"/>
  <c r="R137" i="12"/>
  <c r="P137" i="12"/>
  <c r="N137" i="12"/>
  <c r="L137" i="12"/>
  <c r="J137" i="12"/>
  <c r="H137" i="12"/>
  <c r="F137" i="12"/>
  <c r="D137" i="12"/>
  <c r="AN136" i="12"/>
  <c r="AL136" i="12"/>
  <c r="AJ136" i="12"/>
  <c r="AH136" i="12"/>
  <c r="AE136" i="12"/>
  <c r="AD136" i="12"/>
  <c r="AC136" i="12"/>
  <c r="AB136" i="12"/>
  <c r="AA136" i="12"/>
  <c r="Z136" i="12"/>
  <c r="Y136" i="12"/>
  <c r="W136" i="12"/>
  <c r="T136" i="12"/>
  <c r="R136" i="12"/>
  <c r="P136" i="12"/>
  <c r="N136" i="12"/>
  <c r="L136" i="12"/>
  <c r="J136" i="12"/>
  <c r="H136" i="12"/>
  <c r="F136" i="12"/>
  <c r="D136" i="12"/>
  <c r="AN135" i="12"/>
  <c r="AL135" i="12"/>
  <c r="AJ135" i="12"/>
  <c r="AH135" i="12"/>
  <c r="AE135" i="12"/>
  <c r="AD135" i="12"/>
  <c r="AC135" i="12"/>
  <c r="AB135" i="12"/>
  <c r="AA135" i="12"/>
  <c r="Z135" i="12"/>
  <c r="Y135" i="12"/>
  <c r="W135" i="12"/>
  <c r="T135" i="12"/>
  <c r="R135" i="12"/>
  <c r="P135" i="12"/>
  <c r="N135" i="12"/>
  <c r="L135" i="12"/>
  <c r="J135" i="12"/>
  <c r="H135" i="12"/>
  <c r="F135" i="12"/>
  <c r="D135" i="12"/>
  <c r="AN134" i="12"/>
  <c r="AL134" i="12"/>
  <c r="AJ134" i="12"/>
  <c r="AH134" i="12"/>
  <c r="AE134" i="12"/>
  <c r="AD134" i="12"/>
  <c r="AC134" i="12"/>
  <c r="AB134" i="12"/>
  <c r="AA134" i="12"/>
  <c r="Z134" i="12"/>
  <c r="Y134" i="12"/>
  <c r="W134" i="12"/>
  <c r="T134" i="12"/>
  <c r="R134" i="12"/>
  <c r="P134" i="12"/>
  <c r="N134" i="12"/>
  <c r="L134" i="12"/>
  <c r="J134" i="12"/>
  <c r="H134" i="12"/>
  <c r="F134" i="12"/>
  <c r="D134" i="12"/>
  <c r="AN133" i="12"/>
  <c r="AL133" i="12"/>
  <c r="AJ133" i="12"/>
  <c r="AH133" i="12"/>
  <c r="AE133" i="12"/>
  <c r="AD133" i="12"/>
  <c r="AC133" i="12"/>
  <c r="AB133" i="12"/>
  <c r="AA133" i="12"/>
  <c r="Z133" i="12"/>
  <c r="Y133" i="12"/>
  <c r="W133" i="12"/>
  <c r="T133" i="12"/>
  <c r="R133" i="12"/>
  <c r="P133" i="12"/>
  <c r="N133" i="12"/>
  <c r="L133" i="12"/>
  <c r="J133" i="12"/>
  <c r="H133" i="12"/>
  <c r="F133" i="12"/>
  <c r="D133" i="12"/>
  <c r="AN132" i="12"/>
  <c r="AL132" i="12"/>
  <c r="AJ132" i="12"/>
  <c r="AH132" i="12"/>
  <c r="AE132" i="12"/>
  <c r="AD132" i="12"/>
  <c r="AC132" i="12"/>
  <c r="AB132" i="12"/>
  <c r="AA132" i="12"/>
  <c r="Z132" i="12"/>
  <c r="Y132" i="12"/>
  <c r="W132" i="12"/>
  <c r="T132" i="12"/>
  <c r="R132" i="12"/>
  <c r="P132" i="12"/>
  <c r="N132" i="12"/>
  <c r="L132" i="12"/>
  <c r="J132" i="12"/>
  <c r="H132" i="12"/>
  <c r="F132" i="12"/>
  <c r="D132" i="12"/>
  <c r="AN131" i="12"/>
  <c r="AL131" i="12"/>
  <c r="AJ131" i="12"/>
  <c r="AH131" i="12"/>
  <c r="AE131" i="12"/>
  <c r="AD131" i="12"/>
  <c r="AC131" i="12"/>
  <c r="AB131" i="12"/>
  <c r="AA131" i="12"/>
  <c r="Z131" i="12"/>
  <c r="Y131" i="12"/>
  <c r="W131" i="12"/>
  <c r="T131" i="12"/>
  <c r="R131" i="12"/>
  <c r="P131" i="12"/>
  <c r="N131" i="12"/>
  <c r="L131" i="12"/>
  <c r="J131" i="12"/>
  <c r="H131" i="12"/>
  <c r="F131" i="12"/>
  <c r="D131" i="12"/>
  <c r="AN130" i="12"/>
  <c r="AL130" i="12"/>
  <c r="AJ130" i="12"/>
  <c r="AH130" i="12"/>
  <c r="AE130" i="12"/>
  <c r="AD130" i="12"/>
  <c r="AC130" i="12"/>
  <c r="AB130" i="12"/>
  <c r="AA130" i="12"/>
  <c r="Z130" i="12"/>
  <c r="Y130" i="12"/>
  <c r="W130" i="12"/>
  <c r="T130" i="12"/>
  <c r="R130" i="12"/>
  <c r="P130" i="12"/>
  <c r="N130" i="12"/>
  <c r="L130" i="12"/>
  <c r="J130" i="12"/>
  <c r="H130" i="12"/>
  <c r="F130" i="12"/>
  <c r="D130" i="12"/>
  <c r="AN129" i="12"/>
  <c r="AL129" i="12"/>
  <c r="AJ129" i="12"/>
  <c r="AH129" i="12"/>
  <c r="AE129" i="12"/>
  <c r="AD129" i="12"/>
  <c r="AC129" i="12"/>
  <c r="AB129" i="12"/>
  <c r="AA129" i="12"/>
  <c r="Z129" i="12"/>
  <c r="Y129" i="12"/>
  <c r="W129" i="12"/>
  <c r="T129" i="12"/>
  <c r="R129" i="12"/>
  <c r="P129" i="12"/>
  <c r="N129" i="12"/>
  <c r="L129" i="12"/>
  <c r="J129" i="12"/>
  <c r="H129" i="12"/>
  <c r="F129" i="12"/>
  <c r="D129" i="12"/>
  <c r="AN128" i="12"/>
  <c r="AL128" i="12"/>
  <c r="AJ128" i="12"/>
  <c r="AH128" i="12"/>
  <c r="AE128" i="12"/>
  <c r="AD128" i="12"/>
  <c r="AC128" i="12"/>
  <c r="AB128" i="12"/>
  <c r="AA128" i="12"/>
  <c r="Z128" i="12"/>
  <c r="Y128" i="12"/>
  <c r="W128" i="12"/>
  <c r="T128" i="12"/>
  <c r="R128" i="12"/>
  <c r="P128" i="12"/>
  <c r="N128" i="12"/>
  <c r="L128" i="12"/>
  <c r="J128" i="12"/>
  <c r="H128" i="12"/>
  <c r="F128" i="12"/>
  <c r="D128" i="12"/>
  <c r="AN127" i="12"/>
  <c r="AL127" i="12"/>
  <c r="AJ127" i="12"/>
  <c r="AH127" i="12"/>
  <c r="AE127" i="12"/>
  <c r="AD127" i="12"/>
  <c r="AC127" i="12"/>
  <c r="AB127" i="12"/>
  <c r="AA127" i="12"/>
  <c r="Z127" i="12"/>
  <c r="Y127" i="12"/>
  <c r="W127" i="12"/>
  <c r="T127" i="12"/>
  <c r="R127" i="12"/>
  <c r="P127" i="12"/>
  <c r="N127" i="12"/>
  <c r="L127" i="12"/>
  <c r="J127" i="12"/>
  <c r="H127" i="12"/>
  <c r="F127" i="12"/>
  <c r="D127" i="12"/>
  <c r="AN126" i="12"/>
  <c r="AL126" i="12"/>
  <c r="AJ126" i="12"/>
  <c r="AH126" i="12"/>
  <c r="AE126" i="12"/>
  <c r="AD126" i="12"/>
  <c r="AC126" i="12"/>
  <c r="AB126" i="12"/>
  <c r="AA126" i="12"/>
  <c r="Z126" i="12"/>
  <c r="Y126" i="12"/>
  <c r="W126" i="12"/>
  <c r="T126" i="12"/>
  <c r="R126" i="12"/>
  <c r="P126" i="12"/>
  <c r="N126" i="12"/>
  <c r="L126" i="12"/>
  <c r="J126" i="12"/>
  <c r="H126" i="12"/>
  <c r="F126" i="12"/>
  <c r="D126" i="12"/>
  <c r="AN125" i="12"/>
  <c r="AL125" i="12"/>
  <c r="AJ125" i="12"/>
  <c r="AH125" i="12"/>
  <c r="AE125" i="12"/>
  <c r="AD125" i="12"/>
  <c r="AC125" i="12"/>
  <c r="AB125" i="12"/>
  <c r="AA125" i="12"/>
  <c r="Z125" i="12"/>
  <c r="Y125" i="12"/>
  <c r="W125" i="12"/>
  <c r="T125" i="12"/>
  <c r="R125" i="12"/>
  <c r="P125" i="12"/>
  <c r="N125" i="12"/>
  <c r="L125" i="12"/>
  <c r="J125" i="12"/>
  <c r="H125" i="12"/>
  <c r="F125" i="12"/>
  <c r="D125" i="12"/>
  <c r="AN124" i="12"/>
  <c r="AL124" i="12"/>
  <c r="AJ124" i="12"/>
  <c r="AH124" i="12"/>
  <c r="AE124" i="12"/>
  <c r="AD124" i="12"/>
  <c r="AC124" i="12"/>
  <c r="AB124" i="12"/>
  <c r="AA124" i="12"/>
  <c r="Z124" i="12"/>
  <c r="Y124" i="12"/>
  <c r="W124" i="12"/>
  <c r="T124" i="12"/>
  <c r="R124" i="12"/>
  <c r="P124" i="12"/>
  <c r="N124" i="12"/>
  <c r="L124" i="12"/>
  <c r="J124" i="12"/>
  <c r="H124" i="12"/>
  <c r="F124" i="12"/>
  <c r="D124" i="12"/>
  <c r="AN123" i="12"/>
  <c r="AL123" i="12"/>
  <c r="AJ123" i="12"/>
  <c r="AH123" i="12"/>
  <c r="AE123" i="12"/>
  <c r="AD123" i="12"/>
  <c r="AC123" i="12"/>
  <c r="AB123" i="12"/>
  <c r="AA123" i="12"/>
  <c r="Z123" i="12"/>
  <c r="Y123" i="12"/>
  <c r="W123" i="12"/>
  <c r="T123" i="12"/>
  <c r="R123" i="12"/>
  <c r="P123" i="12"/>
  <c r="N123" i="12"/>
  <c r="L123" i="12"/>
  <c r="J123" i="12"/>
  <c r="H123" i="12"/>
  <c r="F123" i="12"/>
  <c r="D123" i="12"/>
  <c r="AN122" i="12"/>
  <c r="AL122" i="12"/>
  <c r="AJ122" i="12"/>
  <c r="AH122" i="12"/>
  <c r="AE122" i="12"/>
  <c r="AD122" i="12"/>
  <c r="AC122" i="12"/>
  <c r="AB122" i="12"/>
  <c r="AA122" i="12"/>
  <c r="Z122" i="12"/>
  <c r="Y122" i="12"/>
  <c r="W122" i="12"/>
  <c r="T122" i="12"/>
  <c r="R122" i="12"/>
  <c r="P122" i="12"/>
  <c r="N122" i="12"/>
  <c r="L122" i="12"/>
  <c r="J122" i="12"/>
  <c r="H122" i="12"/>
  <c r="F122" i="12"/>
  <c r="D122" i="12"/>
  <c r="AN121" i="12"/>
  <c r="AL121" i="12"/>
  <c r="AJ121" i="12"/>
  <c r="AH121" i="12"/>
  <c r="AE121" i="12"/>
  <c r="AD121" i="12"/>
  <c r="AC121" i="12"/>
  <c r="AB121" i="12"/>
  <c r="AA121" i="12"/>
  <c r="Z121" i="12"/>
  <c r="Y121" i="12"/>
  <c r="W121" i="12"/>
  <c r="T121" i="12"/>
  <c r="R121" i="12"/>
  <c r="P121" i="12"/>
  <c r="N121" i="12"/>
  <c r="L121" i="12"/>
  <c r="J121" i="12"/>
  <c r="H121" i="12"/>
  <c r="F121" i="12"/>
  <c r="D121" i="12"/>
  <c r="AN120" i="12"/>
  <c r="AL120" i="12"/>
  <c r="AJ120" i="12"/>
  <c r="AH120" i="12"/>
  <c r="AE120" i="12"/>
  <c r="AD120" i="12"/>
  <c r="AC120" i="12"/>
  <c r="AB120" i="12"/>
  <c r="AA120" i="12"/>
  <c r="Z120" i="12"/>
  <c r="Y120" i="12"/>
  <c r="W120" i="12"/>
  <c r="T120" i="12"/>
  <c r="R120" i="12"/>
  <c r="P120" i="12"/>
  <c r="N120" i="12"/>
  <c r="L120" i="12"/>
  <c r="J120" i="12"/>
  <c r="H120" i="12"/>
  <c r="F120" i="12"/>
  <c r="D120" i="12"/>
  <c r="AN119" i="12"/>
  <c r="AL119" i="12"/>
  <c r="AJ119" i="12"/>
  <c r="AH119" i="12"/>
  <c r="AE119" i="12"/>
  <c r="AD119" i="12"/>
  <c r="AC119" i="12"/>
  <c r="AB119" i="12"/>
  <c r="AA119" i="12"/>
  <c r="Z119" i="12"/>
  <c r="Y119" i="12"/>
  <c r="W119" i="12"/>
  <c r="T119" i="12"/>
  <c r="R119" i="12"/>
  <c r="P119" i="12"/>
  <c r="N119" i="12"/>
  <c r="L119" i="12"/>
  <c r="J119" i="12"/>
  <c r="H119" i="12"/>
  <c r="F119" i="12"/>
  <c r="D119" i="12"/>
  <c r="AN118" i="12"/>
  <c r="AL118" i="12"/>
  <c r="AJ118" i="12"/>
  <c r="AH118" i="12"/>
  <c r="AE118" i="12"/>
  <c r="AD118" i="12"/>
  <c r="AC118" i="12"/>
  <c r="AB118" i="12"/>
  <c r="AA118" i="12"/>
  <c r="Z118" i="12"/>
  <c r="Y118" i="12"/>
  <c r="W118" i="12"/>
  <c r="T118" i="12"/>
  <c r="R118" i="12"/>
  <c r="P118" i="12"/>
  <c r="N118" i="12"/>
  <c r="L118" i="12"/>
  <c r="J118" i="12"/>
  <c r="H118" i="12"/>
  <c r="F118" i="12"/>
  <c r="D118" i="12"/>
  <c r="AN117" i="12"/>
  <c r="AL117" i="12"/>
  <c r="AJ117" i="12"/>
  <c r="AH117" i="12"/>
  <c r="AE117" i="12"/>
  <c r="AD117" i="12"/>
  <c r="AC117" i="12"/>
  <c r="AB117" i="12"/>
  <c r="AA117" i="12"/>
  <c r="Z117" i="12"/>
  <c r="Y117" i="12"/>
  <c r="W117" i="12"/>
  <c r="T117" i="12"/>
  <c r="R117" i="12"/>
  <c r="P117" i="12"/>
  <c r="N117" i="12"/>
  <c r="L117" i="12"/>
  <c r="J117" i="12"/>
  <c r="H117" i="12"/>
  <c r="F117" i="12"/>
  <c r="D117" i="12"/>
  <c r="AN116" i="12"/>
  <c r="AL116" i="12"/>
  <c r="AJ116" i="12"/>
  <c r="AH116" i="12"/>
  <c r="AE116" i="12"/>
  <c r="AD116" i="12"/>
  <c r="AC116" i="12"/>
  <c r="AB116" i="12"/>
  <c r="AA116" i="12"/>
  <c r="Z116" i="12"/>
  <c r="Y116" i="12"/>
  <c r="W116" i="12"/>
  <c r="T116" i="12"/>
  <c r="R116" i="12"/>
  <c r="P116" i="12"/>
  <c r="N116" i="12"/>
  <c r="L116" i="12"/>
  <c r="J116" i="12"/>
  <c r="H116" i="12"/>
  <c r="F116" i="12"/>
  <c r="D116" i="12"/>
  <c r="AN115" i="12"/>
  <c r="AL115" i="12"/>
  <c r="AJ115" i="12"/>
  <c r="AH115" i="12"/>
  <c r="AE115" i="12"/>
  <c r="AD115" i="12"/>
  <c r="AC115" i="12"/>
  <c r="AB115" i="12"/>
  <c r="AA115" i="12"/>
  <c r="Z115" i="12"/>
  <c r="Y115" i="12"/>
  <c r="W115" i="12"/>
  <c r="T115" i="12"/>
  <c r="R115" i="12"/>
  <c r="P115" i="12"/>
  <c r="N115" i="12"/>
  <c r="L115" i="12"/>
  <c r="J115" i="12"/>
  <c r="H115" i="12"/>
  <c r="F115" i="12"/>
  <c r="D115" i="12"/>
  <c r="AN114" i="12"/>
  <c r="AL114" i="12"/>
  <c r="AJ114" i="12"/>
  <c r="AH114" i="12"/>
  <c r="AE114" i="12"/>
  <c r="AD114" i="12"/>
  <c r="AC114" i="12"/>
  <c r="AB114" i="12"/>
  <c r="AA114" i="12"/>
  <c r="Z114" i="12"/>
  <c r="Y114" i="12"/>
  <c r="W114" i="12"/>
  <c r="T114" i="12"/>
  <c r="R114" i="12"/>
  <c r="P114" i="12"/>
  <c r="N114" i="12"/>
  <c r="L114" i="12"/>
  <c r="J114" i="12"/>
  <c r="H114" i="12"/>
  <c r="F114" i="12"/>
  <c r="D114" i="12"/>
  <c r="AN113" i="12"/>
  <c r="AL113" i="12"/>
  <c r="AJ113" i="12"/>
  <c r="AH113" i="12"/>
  <c r="AE113" i="12"/>
  <c r="AD113" i="12"/>
  <c r="AC113" i="12"/>
  <c r="AB113" i="12"/>
  <c r="AA113" i="12"/>
  <c r="Z113" i="12"/>
  <c r="Y113" i="12"/>
  <c r="W113" i="12"/>
  <c r="T113" i="12"/>
  <c r="R113" i="12"/>
  <c r="P113" i="12"/>
  <c r="N113" i="12"/>
  <c r="L113" i="12"/>
  <c r="J113" i="12"/>
  <c r="H113" i="12"/>
  <c r="F113" i="12"/>
  <c r="D113" i="12"/>
  <c r="AN112" i="12"/>
  <c r="AL112" i="12"/>
  <c r="AJ112" i="12"/>
  <c r="AH112" i="12"/>
  <c r="AE112" i="12"/>
  <c r="AD112" i="12"/>
  <c r="AC112" i="12"/>
  <c r="AB112" i="12"/>
  <c r="AA112" i="12"/>
  <c r="Z112" i="12"/>
  <c r="Y112" i="12"/>
  <c r="W112" i="12"/>
  <c r="T112" i="12"/>
  <c r="R112" i="12"/>
  <c r="P112" i="12"/>
  <c r="N112" i="12"/>
  <c r="L112" i="12"/>
  <c r="J112" i="12"/>
  <c r="H112" i="12"/>
  <c r="F112" i="12"/>
  <c r="D112" i="12"/>
  <c r="AN111" i="12"/>
  <c r="AL111" i="12"/>
  <c r="AJ111" i="12"/>
  <c r="AH111" i="12"/>
  <c r="AE111" i="12"/>
  <c r="AD111" i="12"/>
  <c r="AC111" i="12"/>
  <c r="AB111" i="12"/>
  <c r="AA111" i="12"/>
  <c r="Z111" i="12"/>
  <c r="Y111" i="12"/>
  <c r="W111" i="12"/>
  <c r="T111" i="12"/>
  <c r="R111" i="12"/>
  <c r="P111" i="12"/>
  <c r="N111" i="12"/>
  <c r="L111" i="12"/>
  <c r="J111" i="12"/>
  <c r="H111" i="12"/>
  <c r="F111" i="12"/>
  <c r="D111" i="12"/>
  <c r="AN110" i="12"/>
  <c r="AL110" i="12"/>
  <c r="AJ110" i="12"/>
  <c r="AH110" i="12"/>
  <c r="AE110" i="12"/>
  <c r="AD110" i="12"/>
  <c r="AC110" i="12"/>
  <c r="AB110" i="12"/>
  <c r="AA110" i="12"/>
  <c r="Z110" i="12"/>
  <c r="Y110" i="12"/>
  <c r="W110" i="12"/>
  <c r="T110" i="12"/>
  <c r="R110" i="12"/>
  <c r="P110" i="12"/>
  <c r="N110" i="12"/>
  <c r="L110" i="12"/>
  <c r="J110" i="12"/>
  <c r="H110" i="12"/>
  <c r="F110" i="12"/>
  <c r="D110" i="12"/>
  <c r="AN109" i="12"/>
  <c r="AL109" i="12"/>
  <c r="AJ109" i="12"/>
  <c r="AH109" i="12"/>
  <c r="AE109" i="12"/>
  <c r="AD109" i="12"/>
  <c r="AC109" i="12"/>
  <c r="AB109" i="12"/>
  <c r="AA109" i="12"/>
  <c r="Z109" i="12"/>
  <c r="Y109" i="12"/>
  <c r="W109" i="12"/>
  <c r="T109" i="12"/>
  <c r="R109" i="12"/>
  <c r="P109" i="12"/>
  <c r="N109" i="12"/>
  <c r="L109" i="12"/>
  <c r="J109" i="12"/>
  <c r="H109" i="12"/>
  <c r="F109" i="12"/>
  <c r="D109" i="12"/>
  <c r="AN108" i="12"/>
  <c r="AL108" i="12"/>
  <c r="AJ108" i="12"/>
  <c r="AH108" i="12"/>
  <c r="AE108" i="12"/>
  <c r="AD108" i="12"/>
  <c r="AC108" i="12"/>
  <c r="AB108" i="12"/>
  <c r="AA108" i="12"/>
  <c r="Z108" i="12"/>
  <c r="Y108" i="12"/>
  <c r="W108" i="12"/>
  <c r="T108" i="12"/>
  <c r="R108" i="12"/>
  <c r="P108" i="12"/>
  <c r="N108" i="12"/>
  <c r="L108" i="12"/>
  <c r="J108" i="12"/>
  <c r="H108" i="12"/>
  <c r="F108" i="12"/>
  <c r="D108" i="12"/>
  <c r="AN107" i="12"/>
  <c r="AL107" i="12"/>
  <c r="AJ107" i="12"/>
  <c r="AH107" i="12"/>
  <c r="AE107" i="12"/>
  <c r="AD107" i="12"/>
  <c r="AC107" i="12"/>
  <c r="AB107" i="12"/>
  <c r="AA107" i="12"/>
  <c r="Z107" i="12"/>
  <c r="Y107" i="12"/>
  <c r="W107" i="12"/>
  <c r="T107" i="12"/>
  <c r="R107" i="12"/>
  <c r="P107" i="12"/>
  <c r="N107" i="12"/>
  <c r="L107" i="12"/>
  <c r="J107" i="12"/>
  <c r="H107" i="12"/>
  <c r="F107" i="12"/>
  <c r="D107" i="12"/>
  <c r="AN106" i="12"/>
  <c r="AL106" i="12"/>
  <c r="AJ106" i="12"/>
  <c r="AH106" i="12"/>
  <c r="AE106" i="12"/>
  <c r="AD106" i="12"/>
  <c r="AC106" i="12"/>
  <c r="AB106" i="12"/>
  <c r="AA106" i="12"/>
  <c r="Z106" i="12"/>
  <c r="Y106" i="12"/>
  <c r="W106" i="12"/>
  <c r="T106" i="12"/>
  <c r="R106" i="12"/>
  <c r="P106" i="12"/>
  <c r="N106" i="12"/>
  <c r="L106" i="12"/>
  <c r="J106" i="12"/>
  <c r="H106" i="12"/>
  <c r="F106" i="12"/>
  <c r="D106" i="12"/>
  <c r="AN105" i="12"/>
  <c r="AL105" i="12"/>
  <c r="AJ105" i="12"/>
  <c r="AH105" i="12"/>
  <c r="AE105" i="12"/>
  <c r="AD105" i="12"/>
  <c r="AC105" i="12"/>
  <c r="AB105" i="12"/>
  <c r="AA105" i="12"/>
  <c r="Z105" i="12"/>
  <c r="Y105" i="12"/>
  <c r="W105" i="12"/>
  <c r="T105" i="12"/>
  <c r="R105" i="12"/>
  <c r="P105" i="12"/>
  <c r="N105" i="12"/>
  <c r="L105" i="12"/>
  <c r="J105" i="12"/>
  <c r="H105" i="12"/>
  <c r="F105" i="12"/>
  <c r="D105" i="12"/>
  <c r="AN104" i="12"/>
  <c r="AL104" i="12"/>
  <c r="AJ104" i="12"/>
  <c r="AH104" i="12"/>
  <c r="AE104" i="12"/>
  <c r="AD104" i="12"/>
  <c r="AC104" i="12"/>
  <c r="AB104" i="12"/>
  <c r="AA104" i="12"/>
  <c r="Z104" i="12"/>
  <c r="Y104" i="12"/>
  <c r="W104" i="12"/>
  <c r="T104" i="12"/>
  <c r="R104" i="12"/>
  <c r="P104" i="12"/>
  <c r="N104" i="12"/>
  <c r="L104" i="12"/>
  <c r="J104" i="12"/>
  <c r="H104" i="12"/>
  <c r="F104" i="12"/>
  <c r="D104" i="12"/>
  <c r="AN103" i="12"/>
  <c r="AL103" i="12"/>
  <c r="AJ103" i="12"/>
  <c r="AH103" i="12"/>
  <c r="AE103" i="12"/>
  <c r="AD103" i="12"/>
  <c r="AC103" i="12"/>
  <c r="AB103" i="12"/>
  <c r="AA103" i="12"/>
  <c r="Z103" i="12"/>
  <c r="Y103" i="12"/>
  <c r="W103" i="12"/>
  <c r="T103" i="12"/>
  <c r="R103" i="12"/>
  <c r="P103" i="12"/>
  <c r="N103" i="12"/>
  <c r="L103" i="12"/>
  <c r="J103" i="12"/>
  <c r="H103" i="12"/>
  <c r="F103" i="12"/>
  <c r="D103" i="12"/>
  <c r="AN102" i="12"/>
  <c r="AL102" i="12"/>
  <c r="AJ102" i="12"/>
  <c r="AH102" i="12"/>
  <c r="AE102" i="12"/>
  <c r="AD102" i="12"/>
  <c r="AC102" i="12"/>
  <c r="AB102" i="12"/>
  <c r="AA102" i="12"/>
  <c r="Z102" i="12"/>
  <c r="Y102" i="12"/>
  <c r="W102" i="12"/>
  <c r="T102" i="12"/>
  <c r="R102" i="12"/>
  <c r="P102" i="12"/>
  <c r="N102" i="12"/>
  <c r="L102" i="12"/>
  <c r="J102" i="12"/>
  <c r="H102" i="12"/>
  <c r="F102" i="12"/>
  <c r="D102" i="12"/>
  <c r="AN101" i="12"/>
  <c r="AL101" i="12"/>
  <c r="AJ101" i="12"/>
  <c r="AH101" i="12"/>
  <c r="AE101" i="12"/>
  <c r="AD101" i="12"/>
  <c r="AC101" i="12"/>
  <c r="AB101" i="12"/>
  <c r="AA101" i="12"/>
  <c r="Z101" i="12"/>
  <c r="Y101" i="12"/>
  <c r="W101" i="12"/>
  <c r="T101" i="12"/>
  <c r="R101" i="12"/>
  <c r="P101" i="12"/>
  <c r="N101" i="12"/>
  <c r="L101" i="12"/>
  <c r="J101" i="12"/>
  <c r="H101" i="12"/>
  <c r="F101" i="12"/>
  <c r="D101" i="12"/>
  <c r="AN100" i="12"/>
  <c r="AL100" i="12"/>
  <c r="AJ100" i="12"/>
  <c r="AH100" i="12"/>
  <c r="AE100" i="12"/>
  <c r="AD100" i="12"/>
  <c r="AC100" i="12"/>
  <c r="AB100" i="12"/>
  <c r="AA100" i="12"/>
  <c r="Z100" i="12"/>
  <c r="Y100" i="12"/>
  <c r="W100" i="12"/>
  <c r="T100" i="12"/>
  <c r="R100" i="12"/>
  <c r="P100" i="12"/>
  <c r="N100" i="12"/>
  <c r="L100" i="12"/>
  <c r="J100" i="12"/>
  <c r="H100" i="12"/>
  <c r="F100" i="12"/>
  <c r="D100" i="12"/>
  <c r="AN99" i="12"/>
  <c r="AL99" i="12"/>
  <c r="AJ99" i="12"/>
  <c r="AH99" i="12"/>
  <c r="AE99" i="12"/>
  <c r="AD99" i="12"/>
  <c r="AC99" i="12"/>
  <c r="AB99" i="12"/>
  <c r="AA99" i="12"/>
  <c r="Z99" i="12"/>
  <c r="Y99" i="12"/>
  <c r="W99" i="12"/>
  <c r="T99" i="12"/>
  <c r="R99" i="12"/>
  <c r="P99" i="12"/>
  <c r="N99" i="12"/>
  <c r="L99" i="12"/>
  <c r="J99" i="12"/>
  <c r="H99" i="12"/>
  <c r="F99" i="12"/>
  <c r="D99" i="12"/>
  <c r="AN98" i="12"/>
  <c r="AL98" i="12"/>
  <c r="AJ98" i="12"/>
  <c r="AH98" i="12"/>
  <c r="AE98" i="12"/>
  <c r="AD98" i="12"/>
  <c r="AC98" i="12"/>
  <c r="AB98" i="12"/>
  <c r="AA98" i="12"/>
  <c r="Z98" i="12"/>
  <c r="Y98" i="12"/>
  <c r="W98" i="12"/>
  <c r="T98" i="12"/>
  <c r="R98" i="12"/>
  <c r="P98" i="12"/>
  <c r="N98" i="12"/>
  <c r="L98" i="12"/>
  <c r="J98" i="12"/>
  <c r="H98" i="12"/>
  <c r="F98" i="12"/>
  <c r="D98" i="12"/>
  <c r="AN97" i="12"/>
  <c r="AL97" i="12"/>
  <c r="AJ97" i="12"/>
  <c r="AH97" i="12"/>
  <c r="AE97" i="12"/>
  <c r="AD97" i="12"/>
  <c r="AC97" i="12"/>
  <c r="AB97" i="12"/>
  <c r="AA97" i="12"/>
  <c r="Z97" i="12"/>
  <c r="Y97" i="12"/>
  <c r="W97" i="12"/>
  <c r="T97" i="12"/>
  <c r="R97" i="12"/>
  <c r="P97" i="12"/>
  <c r="N97" i="12"/>
  <c r="L97" i="12"/>
  <c r="J97" i="12"/>
  <c r="H97" i="12"/>
  <c r="F97" i="12"/>
  <c r="D97" i="12"/>
  <c r="AN96" i="12"/>
  <c r="AL96" i="12"/>
  <c r="AJ96" i="12"/>
  <c r="AH96" i="12"/>
  <c r="AE96" i="12"/>
  <c r="AD96" i="12"/>
  <c r="AC96" i="12"/>
  <c r="AB96" i="12"/>
  <c r="AA96" i="12"/>
  <c r="Z96" i="12"/>
  <c r="Y96" i="12"/>
  <c r="W96" i="12"/>
  <c r="T96" i="12"/>
  <c r="R96" i="12"/>
  <c r="P96" i="12"/>
  <c r="N96" i="12"/>
  <c r="L96" i="12"/>
  <c r="J96" i="12"/>
  <c r="H96" i="12"/>
  <c r="F96" i="12"/>
  <c r="D96" i="12"/>
  <c r="AN95" i="12"/>
  <c r="AL95" i="12"/>
  <c r="AJ95" i="12"/>
  <c r="AH95" i="12"/>
  <c r="AE95" i="12"/>
  <c r="AD95" i="12"/>
  <c r="AC95" i="12"/>
  <c r="AB95" i="12"/>
  <c r="AA95" i="12"/>
  <c r="Z95" i="12"/>
  <c r="Y95" i="12"/>
  <c r="W95" i="12"/>
  <c r="T95" i="12"/>
  <c r="R95" i="12"/>
  <c r="P95" i="12"/>
  <c r="N95" i="12"/>
  <c r="L95" i="12"/>
  <c r="J95" i="12"/>
  <c r="H95" i="12"/>
  <c r="F95" i="12"/>
  <c r="D95" i="12"/>
  <c r="AN94" i="12"/>
  <c r="AL94" i="12"/>
  <c r="AJ94" i="12"/>
  <c r="AH94" i="12"/>
  <c r="AE94" i="12"/>
  <c r="AD94" i="12"/>
  <c r="AC94" i="12"/>
  <c r="AB94" i="12"/>
  <c r="AA94" i="12"/>
  <c r="Z94" i="12"/>
  <c r="Y94" i="12"/>
  <c r="W94" i="12"/>
  <c r="T94" i="12"/>
  <c r="R94" i="12"/>
  <c r="P94" i="12"/>
  <c r="N94" i="12"/>
  <c r="L94" i="12"/>
  <c r="J94" i="12"/>
  <c r="H94" i="12"/>
  <c r="F94" i="12"/>
  <c r="D94" i="12"/>
  <c r="AN93" i="12"/>
  <c r="AL93" i="12"/>
  <c r="AJ93" i="12"/>
  <c r="AH93" i="12"/>
  <c r="AE93" i="12"/>
  <c r="AD93" i="12"/>
  <c r="AC93" i="12"/>
  <c r="AB93" i="12"/>
  <c r="AA93" i="12"/>
  <c r="Z93" i="12"/>
  <c r="Y93" i="12"/>
  <c r="W93" i="12"/>
  <c r="T93" i="12"/>
  <c r="R93" i="12"/>
  <c r="P93" i="12"/>
  <c r="N93" i="12"/>
  <c r="L93" i="12"/>
  <c r="J93" i="12"/>
  <c r="H93" i="12"/>
  <c r="F93" i="12"/>
  <c r="D93" i="12"/>
  <c r="AN92" i="12"/>
  <c r="AL92" i="12"/>
  <c r="AJ92" i="12"/>
  <c r="AH92" i="12"/>
  <c r="AE92" i="12"/>
  <c r="AD92" i="12"/>
  <c r="AC92" i="12"/>
  <c r="AB92" i="12"/>
  <c r="AA92" i="12"/>
  <c r="Z92" i="12"/>
  <c r="Y92" i="12"/>
  <c r="W92" i="12"/>
  <c r="T92" i="12"/>
  <c r="R92" i="12"/>
  <c r="P92" i="12"/>
  <c r="N92" i="12"/>
  <c r="L92" i="12"/>
  <c r="J92" i="12"/>
  <c r="H92" i="12"/>
  <c r="F92" i="12"/>
  <c r="D92" i="12"/>
  <c r="AN91" i="12"/>
  <c r="AL91" i="12"/>
  <c r="AJ91" i="12"/>
  <c r="AH91" i="12"/>
  <c r="AE91" i="12"/>
  <c r="AD91" i="12"/>
  <c r="AC91" i="12"/>
  <c r="AB91" i="12"/>
  <c r="AA91" i="12"/>
  <c r="Z91" i="12"/>
  <c r="Y91" i="12"/>
  <c r="W91" i="12"/>
  <c r="T91" i="12"/>
  <c r="R91" i="12"/>
  <c r="P91" i="12"/>
  <c r="N91" i="12"/>
  <c r="L91" i="12"/>
  <c r="J91" i="12"/>
  <c r="H91" i="12"/>
  <c r="F91" i="12"/>
  <c r="D91" i="12"/>
  <c r="AN90" i="12"/>
  <c r="AL90" i="12"/>
  <c r="AJ90" i="12"/>
  <c r="AH90" i="12"/>
  <c r="AE90" i="12"/>
  <c r="AD90" i="12"/>
  <c r="AC90" i="12"/>
  <c r="AB90" i="12"/>
  <c r="AA90" i="12"/>
  <c r="Z90" i="12"/>
  <c r="Y90" i="12"/>
  <c r="W90" i="12"/>
  <c r="T90" i="12"/>
  <c r="R90" i="12"/>
  <c r="P90" i="12"/>
  <c r="N90" i="12"/>
  <c r="L90" i="12"/>
  <c r="J90" i="12"/>
  <c r="H90" i="12"/>
  <c r="F90" i="12"/>
  <c r="D90" i="12"/>
  <c r="AN89" i="12"/>
  <c r="AL89" i="12"/>
  <c r="AJ89" i="12"/>
  <c r="AH89" i="12"/>
  <c r="AE89" i="12"/>
  <c r="AD89" i="12"/>
  <c r="AC89" i="12"/>
  <c r="AB89" i="12"/>
  <c r="AA89" i="12"/>
  <c r="Z89" i="12"/>
  <c r="Y89" i="12"/>
  <c r="W89" i="12"/>
  <c r="T89" i="12"/>
  <c r="R89" i="12"/>
  <c r="P89" i="12"/>
  <c r="N89" i="12"/>
  <c r="L89" i="12"/>
  <c r="J89" i="12"/>
  <c r="H89" i="12"/>
  <c r="F89" i="12"/>
  <c r="D89" i="12"/>
  <c r="AN88" i="12"/>
  <c r="AL88" i="12"/>
  <c r="AJ88" i="12"/>
  <c r="AH88" i="12"/>
  <c r="AE88" i="12"/>
  <c r="AD88" i="12"/>
  <c r="AC88" i="12"/>
  <c r="AB88" i="12"/>
  <c r="AA88" i="12"/>
  <c r="Z88" i="12"/>
  <c r="Y88" i="12"/>
  <c r="W88" i="12"/>
  <c r="T88" i="12"/>
  <c r="R88" i="12"/>
  <c r="P88" i="12"/>
  <c r="N88" i="12"/>
  <c r="L88" i="12"/>
  <c r="J88" i="12"/>
  <c r="H88" i="12"/>
  <c r="F88" i="12"/>
  <c r="D88" i="12"/>
  <c r="AN87" i="12"/>
  <c r="AL87" i="12"/>
  <c r="AJ87" i="12"/>
  <c r="AH87" i="12"/>
  <c r="AE87" i="12"/>
  <c r="AD87" i="12"/>
  <c r="AC87" i="12"/>
  <c r="AB87" i="12"/>
  <c r="AA87" i="12"/>
  <c r="Z87" i="12"/>
  <c r="Y87" i="12"/>
  <c r="W87" i="12"/>
  <c r="T87" i="12"/>
  <c r="R87" i="12"/>
  <c r="P87" i="12"/>
  <c r="N87" i="12"/>
  <c r="L87" i="12"/>
  <c r="J87" i="12"/>
  <c r="H87" i="12"/>
  <c r="F87" i="12"/>
  <c r="D87" i="12"/>
  <c r="AN86" i="12"/>
  <c r="AL86" i="12"/>
  <c r="AJ86" i="12"/>
  <c r="AH86" i="12"/>
  <c r="AE86" i="12"/>
  <c r="AD86" i="12"/>
  <c r="AC86" i="12"/>
  <c r="AB86" i="12"/>
  <c r="AA86" i="12"/>
  <c r="Z86" i="12"/>
  <c r="Y86" i="12"/>
  <c r="W86" i="12"/>
  <c r="T86" i="12"/>
  <c r="R86" i="12"/>
  <c r="P86" i="12"/>
  <c r="N86" i="12"/>
  <c r="L86" i="12"/>
  <c r="J86" i="12"/>
  <c r="H86" i="12"/>
  <c r="F86" i="12"/>
  <c r="D86" i="12"/>
  <c r="AN85" i="12"/>
  <c r="AL85" i="12"/>
  <c r="AJ85" i="12"/>
  <c r="AH85" i="12"/>
  <c r="AE85" i="12"/>
  <c r="AD85" i="12"/>
  <c r="AC85" i="12"/>
  <c r="AB85" i="12"/>
  <c r="AA85" i="12"/>
  <c r="Z85" i="12"/>
  <c r="Y85" i="12"/>
  <c r="W85" i="12"/>
  <c r="T85" i="12"/>
  <c r="R85" i="12"/>
  <c r="P85" i="12"/>
  <c r="N85" i="12"/>
  <c r="L85" i="12"/>
  <c r="J85" i="12"/>
  <c r="H85" i="12"/>
  <c r="F85" i="12"/>
  <c r="D85" i="12"/>
  <c r="AN84" i="12"/>
  <c r="AL84" i="12"/>
  <c r="AJ84" i="12"/>
  <c r="AH84" i="12"/>
  <c r="AE84" i="12"/>
  <c r="AD84" i="12"/>
  <c r="AC84" i="12"/>
  <c r="AB84" i="12"/>
  <c r="AA84" i="12"/>
  <c r="Z84" i="12"/>
  <c r="Y84" i="12"/>
  <c r="W84" i="12"/>
  <c r="T84" i="12"/>
  <c r="R84" i="12"/>
  <c r="P84" i="12"/>
  <c r="N84" i="12"/>
  <c r="L84" i="12"/>
  <c r="J84" i="12"/>
  <c r="H84" i="12"/>
  <c r="F84" i="12"/>
  <c r="D84" i="12"/>
  <c r="AN83" i="12"/>
  <c r="AL83" i="12"/>
  <c r="AJ83" i="12"/>
  <c r="AH83" i="12"/>
  <c r="AE83" i="12"/>
  <c r="AD83" i="12"/>
  <c r="AC83" i="12"/>
  <c r="AB83" i="12"/>
  <c r="AA83" i="12"/>
  <c r="Z83" i="12"/>
  <c r="Y83" i="12"/>
  <c r="W83" i="12"/>
  <c r="T83" i="12"/>
  <c r="R83" i="12"/>
  <c r="P83" i="12"/>
  <c r="N83" i="12"/>
  <c r="L83" i="12"/>
  <c r="J83" i="12"/>
  <c r="H83" i="12"/>
  <c r="F83" i="12"/>
  <c r="D83" i="12"/>
  <c r="AN82" i="12"/>
  <c r="AL82" i="12"/>
  <c r="AJ82" i="12"/>
  <c r="AH82" i="12"/>
  <c r="AE82" i="12"/>
  <c r="AD82" i="12"/>
  <c r="AC82" i="12"/>
  <c r="AB82" i="12"/>
  <c r="AA82" i="12"/>
  <c r="Z82" i="12"/>
  <c r="Y82" i="12"/>
  <c r="W82" i="12"/>
  <c r="T82" i="12"/>
  <c r="R82" i="12"/>
  <c r="P82" i="12"/>
  <c r="N82" i="12"/>
  <c r="L82" i="12"/>
  <c r="J82" i="12"/>
  <c r="H82" i="12"/>
  <c r="F82" i="12"/>
  <c r="D82" i="12"/>
  <c r="AN81" i="12"/>
  <c r="AL81" i="12"/>
  <c r="AJ81" i="12"/>
  <c r="AH81" i="12"/>
  <c r="AE81" i="12"/>
  <c r="AD81" i="12"/>
  <c r="AC81" i="12"/>
  <c r="AB81" i="12"/>
  <c r="AA81" i="12"/>
  <c r="Z81" i="12"/>
  <c r="Y81" i="12"/>
  <c r="W81" i="12"/>
  <c r="T81" i="12"/>
  <c r="R81" i="12"/>
  <c r="P81" i="12"/>
  <c r="N81" i="12"/>
  <c r="L81" i="12"/>
  <c r="J81" i="12"/>
  <c r="H81" i="12"/>
  <c r="F81" i="12"/>
  <c r="D81" i="12"/>
  <c r="AN80" i="12"/>
  <c r="AL80" i="12"/>
  <c r="AJ80" i="12"/>
  <c r="AH80" i="12"/>
  <c r="AE80" i="12"/>
  <c r="AD80" i="12"/>
  <c r="AC80" i="12"/>
  <c r="AB80" i="12"/>
  <c r="AA80" i="12"/>
  <c r="Z80" i="12"/>
  <c r="Y80" i="12"/>
  <c r="W80" i="12"/>
  <c r="T80" i="12"/>
  <c r="R80" i="12"/>
  <c r="P80" i="12"/>
  <c r="N80" i="12"/>
  <c r="L80" i="12"/>
  <c r="J80" i="12"/>
  <c r="H80" i="12"/>
  <c r="F80" i="12"/>
  <c r="D80" i="12"/>
  <c r="AN79" i="12"/>
  <c r="AL79" i="12"/>
  <c r="AJ79" i="12"/>
  <c r="AH79" i="12"/>
  <c r="AE79" i="12"/>
  <c r="AD79" i="12"/>
  <c r="AC79" i="12"/>
  <c r="AB79" i="12"/>
  <c r="AA79" i="12"/>
  <c r="Z79" i="12"/>
  <c r="Y79" i="12"/>
  <c r="W79" i="12"/>
  <c r="T79" i="12"/>
  <c r="R79" i="12"/>
  <c r="P79" i="12"/>
  <c r="N79" i="12"/>
  <c r="L79" i="12"/>
  <c r="J79" i="12"/>
  <c r="H79" i="12"/>
  <c r="F79" i="12"/>
  <c r="D79" i="12"/>
  <c r="AN78" i="12"/>
  <c r="AL78" i="12"/>
  <c r="AJ78" i="12"/>
  <c r="AH78" i="12"/>
  <c r="AE78" i="12"/>
  <c r="AD78" i="12"/>
  <c r="AC78" i="12"/>
  <c r="AB78" i="12"/>
  <c r="AA78" i="12"/>
  <c r="Z78" i="12"/>
  <c r="Y78" i="12"/>
  <c r="W78" i="12"/>
  <c r="T78" i="12"/>
  <c r="R78" i="12"/>
  <c r="P78" i="12"/>
  <c r="N78" i="12"/>
  <c r="L78" i="12"/>
  <c r="J78" i="12"/>
  <c r="H78" i="12"/>
  <c r="F78" i="12"/>
  <c r="D78" i="12"/>
  <c r="AN77" i="12"/>
  <c r="AL77" i="12"/>
  <c r="AJ77" i="12"/>
  <c r="AH77" i="12"/>
  <c r="AE77" i="12"/>
  <c r="AD77" i="12"/>
  <c r="AC77" i="12"/>
  <c r="AB77" i="12"/>
  <c r="AA77" i="12"/>
  <c r="Z77" i="12"/>
  <c r="Y77" i="12"/>
  <c r="W77" i="12"/>
  <c r="T77" i="12"/>
  <c r="R77" i="12"/>
  <c r="P77" i="12"/>
  <c r="N77" i="12"/>
  <c r="L77" i="12"/>
  <c r="J77" i="12"/>
  <c r="H77" i="12"/>
  <c r="F77" i="12"/>
  <c r="D77" i="12"/>
  <c r="AN76" i="12"/>
  <c r="AL76" i="12"/>
  <c r="AJ76" i="12"/>
  <c r="AH76" i="12"/>
  <c r="AE76" i="12"/>
  <c r="AD76" i="12"/>
  <c r="AC76" i="12"/>
  <c r="AB76" i="12"/>
  <c r="AA76" i="12"/>
  <c r="Z76" i="12"/>
  <c r="Y76" i="12"/>
  <c r="W76" i="12"/>
  <c r="T76" i="12"/>
  <c r="R76" i="12"/>
  <c r="P76" i="12"/>
  <c r="N76" i="12"/>
  <c r="L76" i="12"/>
  <c r="J76" i="12"/>
  <c r="H76" i="12"/>
  <c r="F76" i="12"/>
  <c r="D76" i="12"/>
  <c r="AN75" i="12"/>
  <c r="AL75" i="12"/>
  <c r="AJ75" i="12"/>
  <c r="AH75" i="12"/>
  <c r="AE75" i="12"/>
  <c r="AD75" i="12"/>
  <c r="AC75" i="12"/>
  <c r="AB75" i="12"/>
  <c r="AA75" i="12"/>
  <c r="Z75" i="12"/>
  <c r="Y75" i="12"/>
  <c r="W75" i="12"/>
  <c r="T75" i="12"/>
  <c r="R75" i="12"/>
  <c r="P75" i="12"/>
  <c r="N75" i="12"/>
  <c r="L75" i="12"/>
  <c r="J75" i="12"/>
  <c r="H75" i="12"/>
  <c r="F75" i="12"/>
  <c r="D75" i="12"/>
  <c r="AN74" i="12"/>
  <c r="AL74" i="12"/>
  <c r="AJ74" i="12"/>
  <c r="AH74" i="12"/>
  <c r="AE74" i="12"/>
  <c r="AD74" i="12"/>
  <c r="AC74" i="12"/>
  <c r="AB74" i="12"/>
  <c r="AA74" i="12"/>
  <c r="Z74" i="12"/>
  <c r="Y74" i="12"/>
  <c r="W74" i="12"/>
  <c r="T74" i="12"/>
  <c r="R74" i="12"/>
  <c r="P74" i="12"/>
  <c r="N74" i="12"/>
  <c r="L74" i="12"/>
  <c r="J74" i="12"/>
  <c r="H74" i="12"/>
  <c r="F74" i="12"/>
  <c r="D74" i="12"/>
  <c r="AN73" i="12"/>
  <c r="AL73" i="12"/>
  <c r="AJ73" i="12"/>
  <c r="AH73" i="12"/>
  <c r="AE73" i="12"/>
  <c r="AD73" i="12"/>
  <c r="AC73" i="12"/>
  <c r="AB73" i="12"/>
  <c r="AA73" i="12"/>
  <c r="Z73" i="12"/>
  <c r="Y73" i="12"/>
  <c r="W73" i="12"/>
  <c r="T73" i="12"/>
  <c r="R73" i="12"/>
  <c r="P73" i="12"/>
  <c r="N73" i="12"/>
  <c r="L73" i="12"/>
  <c r="J73" i="12"/>
  <c r="H73" i="12"/>
  <c r="F73" i="12"/>
  <c r="D73" i="12"/>
  <c r="AN72" i="12"/>
  <c r="AL72" i="12"/>
  <c r="AJ72" i="12"/>
  <c r="AH72" i="12"/>
  <c r="AE72" i="12"/>
  <c r="AD72" i="12"/>
  <c r="AC72" i="12"/>
  <c r="AB72" i="12"/>
  <c r="AA72" i="12"/>
  <c r="Z72" i="12"/>
  <c r="Y72" i="12"/>
  <c r="W72" i="12"/>
  <c r="T72" i="12"/>
  <c r="R72" i="12"/>
  <c r="P72" i="12"/>
  <c r="N72" i="12"/>
  <c r="L72" i="12"/>
  <c r="J72" i="12"/>
  <c r="H72" i="12"/>
  <c r="F72" i="12"/>
  <c r="D72" i="12"/>
  <c r="AN71" i="12"/>
  <c r="AL71" i="12"/>
  <c r="AJ71" i="12"/>
  <c r="AH71" i="12"/>
  <c r="AE71" i="12"/>
  <c r="AD71" i="12"/>
  <c r="AC71" i="12"/>
  <c r="AB71" i="12"/>
  <c r="AA71" i="12"/>
  <c r="Z71" i="12"/>
  <c r="Y71" i="12"/>
  <c r="W71" i="12"/>
  <c r="T71" i="12"/>
  <c r="R71" i="12"/>
  <c r="P71" i="12"/>
  <c r="N71" i="12"/>
  <c r="L71" i="12"/>
  <c r="J71" i="12"/>
  <c r="H71" i="12"/>
  <c r="F71" i="12"/>
  <c r="D71" i="12"/>
  <c r="AN70" i="12"/>
  <c r="AL70" i="12"/>
  <c r="AJ70" i="12"/>
  <c r="AH70" i="12"/>
  <c r="AE70" i="12"/>
  <c r="AD70" i="12"/>
  <c r="AC70" i="12"/>
  <c r="AB70" i="12"/>
  <c r="AA70" i="12"/>
  <c r="Z70" i="12"/>
  <c r="Y70" i="12"/>
  <c r="W70" i="12"/>
  <c r="T70" i="12"/>
  <c r="R70" i="12"/>
  <c r="P70" i="12"/>
  <c r="N70" i="12"/>
  <c r="L70" i="12"/>
  <c r="J70" i="12"/>
  <c r="H70" i="12"/>
  <c r="F70" i="12"/>
  <c r="D70" i="12"/>
  <c r="AN69" i="12"/>
  <c r="AL69" i="12"/>
  <c r="AJ69" i="12"/>
  <c r="AH69" i="12"/>
  <c r="AE69" i="12"/>
  <c r="AD69" i="12"/>
  <c r="AC69" i="12"/>
  <c r="AB69" i="12"/>
  <c r="AA69" i="12"/>
  <c r="Z69" i="12"/>
  <c r="Y69" i="12"/>
  <c r="W69" i="12"/>
  <c r="T69" i="12"/>
  <c r="R69" i="12"/>
  <c r="P69" i="12"/>
  <c r="N69" i="12"/>
  <c r="L69" i="12"/>
  <c r="J69" i="12"/>
  <c r="H69" i="12"/>
  <c r="F69" i="12"/>
  <c r="D69" i="12"/>
  <c r="AN68" i="12"/>
  <c r="AL68" i="12"/>
  <c r="AJ68" i="12"/>
  <c r="AH68" i="12"/>
  <c r="AE68" i="12"/>
  <c r="AD68" i="12"/>
  <c r="AC68" i="12"/>
  <c r="AB68" i="12"/>
  <c r="AA68" i="12"/>
  <c r="Z68" i="12"/>
  <c r="Y68" i="12"/>
  <c r="W68" i="12"/>
  <c r="T68" i="12"/>
  <c r="R68" i="12"/>
  <c r="P68" i="12"/>
  <c r="N68" i="12"/>
  <c r="L68" i="12"/>
  <c r="J68" i="12"/>
  <c r="H68" i="12"/>
  <c r="F68" i="12"/>
  <c r="D68" i="12"/>
  <c r="AN67" i="12"/>
  <c r="AL67" i="12"/>
  <c r="AJ67" i="12"/>
  <c r="AH67" i="12"/>
  <c r="AE67" i="12"/>
  <c r="AD67" i="12"/>
  <c r="AC67" i="12"/>
  <c r="AB67" i="12"/>
  <c r="AA67" i="12"/>
  <c r="Z67" i="12"/>
  <c r="Y67" i="12"/>
  <c r="W67" i="12"/>
  <c r="T67" i="12"/>
  <c r="R67" i="12"/>
  <c r="P67" i="12"/>
  <c r="N67" i="12"/>
  <c r="L67" i="12"/>
  <c r="J67" i="12"/>
  <c r="H67" i="12"/>
  <c r="F67" i="12"/>
  <c r="D67" i="12"/>
  <c r="AN66" i="12"/>
  <c r="AL66" i="12"/>
  <c r="AJ66" i="12"/>
  <c r="AH66" i="12"/>
  <c r="AE66" i="12"/>
  <c r="AD66" i="12"/>
  <c r="AC66" i="12"/>
  <c r="AB66" i="12"/>
  <c r="AA66" i="12"/>
  <c r="Z66" i="12"/>
  <c r="Y66" i="12"/>
  <c r="W66" i="12"/>
  <c r="T66" i="12"/>
  <c r="R66" i="12"/>
  <c r="P66" i="12"/>
  <c r="N66" i="12"/>
  <c r="L66" i="12"/>
  <c r="J66" i="12"/>
  <c r="H66" i="12"/>
  <c r="F66" i="12"/>
  <c r="D66" i="12"/>
  <c r="AN65" i="12"/>
  <c r="AL65" i="12"/>
  <c r="AJ65" i="12"/>
  <c r="AH65" i="12"/>
  <c r="AE65" i="12"/>
  <c r="AD65" i="12"/>
  <c r="AC65" i="12"/>
  <c r="AB65" i="12"/>
  <c r="AA65" i="12"/>
  <c r="Z65" i="12"/>
  <c r="Y65" i="12"/>
  <c r="W65" i="12"/>
  <c r="T65" i="12"/>
  <c r="R65" i="12"/>
  <c r="P65" i="12"/>
  <c r="N65" i="12"/>
  <c r="L65" i="12"/>
  <c r="J65" i="12"/>
  <c r="H65" i="12"/>
  <c r="F65" i="12"/>
  <c r="D65" i="12"/>
  <c r="AN64" i="12"/>
  <c r="AL64" i="12"/>
  <c r="AJ64" i="12"/>
  <c r="AH64" i="12"/>
  <c r="AE64" i="12"/>
  <c r="AD64" i="12"/>
  <c r="AC64" i="12"/>
  <c r="AB64" i="12"/>
  <c r="AA64" i="12"/>
  <c r="Z64" i="12"/>
  <c r="Y64" i="12"/>
  <c r="W64" i="12"/>
  <c r="T64" i="12"/>
  <c r="R64" i="12"/>
  <c r="P64" i="12"/>
  <c r="N64" i="12"/>
  <c r="L64" i="12"/>
  <c r="J64" i="12"/>
  <c r="H64" i="12"/>
  <c r="F64" i="12"/>
  <c r="D64" i="12"/>
  <c r="AN63" i="12"/>
  <c r="AL63" i="12"/>
  <c r="AJ63" i="12"/>
  <c r="AH63" i="12"/>
  <c r="AE63" i="12"/>
  <c r="AD63" i="12"/>
  <c r="AC63" i="12"/>
  <c r="AB63" i="12"/>
  <c r="AA63" i="12"/>
  <c r="Z63" i="12"/>
  <c r="Y63" i="12"/>
  <c r="W63" i="12"/>
  <c r="T63" i="12"/>
  <c r="R63" i="12"/>
  <c r="P63" i="12"/>
  <c r="N63" i="12"/>
  <c r="L63" i="12"/>
  <c r="J63" i="12"/>
  <c r="H63" i="12"/>
  <c r="F63" i="12"/>
  <c r="D63" i="12"/>
  <c r="AN62" i="12"/>
  <c r="AL62" i="12"/>
  <c r="AJ62" i="12"/>
  <c r="AH62" i="12"/>
  <c r="AE62" i="12"/>
  <c r="AD62" i="12"/>
  <c r="AC62" i="12"/>
  <c r="AB62" i="12"/>
  <c r="AA62" i="12"/>
  <c r="Z62" i="12"/>
  <c r="Y62" i="12"/>
  <c r="W62" i="12"/>
  <c r="T62" i="12"/>
  <c r="R62" i="12"/>
  <c r="P62" i="12"/>
  <c r="N62" i="12"/>
  <c r="L62" i="12"/>
  <c r="J62" i="12"/>
  <c r="H62" i="12"/>
  <c r="F62" i="12"/>
  <c r="D62" i="12"/>
  <c r="AN61" i="12"/>
  <c r="AL61" i="12"/>
  <c r="AJ61" i="12"/>
  <c r="AH61" i="12"/>
  <c r="AE61" i="12"/>
  <c r="AD61" i="12"/>
  <c r="AC61" i="12"/>
  <c r="AB61" i="12"/>
  <c r="AA61" i="12"/>
  <c r="Z61" i="12"/>
  <c r="Y61" i="12"/>
  <c r="W61" i="12"/>
  <c r="T61" i="12"/>
  <c r="R61" i="12"/>
  <c r="P61" i="12"/>
  <c r="N61" i="12"/>
  <c r="L61" i="12"/>
  <c r="J61" i="12"/>
  <c r="H61" i="12"/>
  <c r="F61" i="12"/>
  <c r="D61" i="12"/>
  <c r="AN60" i="12"/>
  <c r="AL60" i="12"/>
  <c r="AJ60" i="12"/>
  <c r="AH60" i="12"/>
  <c r="AE60" i="12"/>
  <c r="AD60" i="12"/>
  <c r="AC60" i="12"/>
  <c r="AB60" i="12"/>
  <c r="AA60" i="12"/>
  <c r="Z60" i="12"/>
  <c r="Y60" i="12"/>
  <c r="W60" i="12"/>
  <c r="T60" i="12"/>
  <c r="R60" i="12"/>
  <c r="P60" i="12"/>
  <c r="N60" i="12"/>
  <c r="L60" i="12"/>
  <c r="J60" i="12"/>
  <c r="H60" i="12"/>
  <c r="F60" i="12"/>
  <c r="D60" i="12"/>
  <c r="AN59" i="12"/>
  <c r="AL59" i="12"/>
  <c r="AJ59" i="12"/>
  <c r="AH59" i="12"/>
  <c r="AE59" i="12"/>
  <c r="AD59" i="12"/>
  <c r="AC59" i="12"/>
  <c r="AB59" i="12"/>
  <c r="AA59" i="12"/>
  <c r="Z59" i="12"/>
  <c r="Y59" i="12"/>
  <c r="W59" i="12"/>
  <c r="T59" i="12"/>
  <c r="R59" i="12"/>
  <c r="P59" i="12"/>
  <c r="N59" i="12"/>
  <c r="L59" i="12"/>
  <c r="J59" i="12"/>
  <c r="H59" i="12"/>
  <c r="F59" i="12"/>
  <c r="D59" i="12"/>
  <c r="AN58" i="12"/>
  <c r="AL58" i="12"/>
  <c r="AJ58" i="12"/>
  <c r="AH58" i="12"/>
  <c r="AE58" i="12"/>
  <c r="AD58" i="12"/>
  <c r="AC58" i="12"/>
  <c r="AB58" i="12"/>
  <c r="AA58" i="12"/>
  <c r="Z58" i="12"/>
  <c r="Y58" i="12"/>
  <c r="W58" i="12"/>
  <c r="T58" i="12"/>
  <c r="R58" i="12"/>
  <c r="P58" i="12"/>
  <c r="N58" i="12"/>
  <c r="L58" i="12"/>
  <c r="J58" i="12"/>
  <c r="H58" i="12"/>
  <c r="F58" i="12"/>
  <c r="D58" i="12"/>
  <c r="AN57" i="12"/>
  <c r="AL57" i="12"/>
  <c r="AJ57" i="12"/>
  <c r="AH57" i="12"/>
  <c r="AE57" i="12"/>
  <c r="AD57" i="12"/>
  <c r="AC57" i="12"/>
  <c r="AB57" i="12"/>
  <c r="AA57" i="12"/>
  <c r="Z57" i="12"/>
  <c r="Y57" i="12"/>
  <c r="W57" i="12"/>
  <c r="T57" i="12"/>
  <c r="R57" i="12"/>
  <c r="P57" i="12"/>
  <c r="N57" i="12"/>
  <c r="L57" i="12"/>
  <c r="J57" i="12"/>
  <c r="H57" i="12"/>
  <c r="F57" i="12"/>
  <c r="D57" i="12"/>
  <c r="AN56" i="12"/>
  <c r="AL56" i="12"/>
  <c r="AJ56" i="12"/>
  <c r="AH56" i="12"/>
  <c r="AE56" i="12"/>
  <c r="AD56" i="12"/>
  <c r="AC56" i="12"/>
  <c r="AB56" i="12"/>
  <c r="AA56" i="12"/>
  <c r="Z56" i="12"/>
  <c r="Y56" i="12"/>
  <c r="W56" i="12"/>
  <c r="T56" i="12"/>
  <c r="R56" i="12"/>
  <c r="P56" i="12"/>
  <c r="N56" i="12"/>
  <c r="L56" i="12"/>
  <c r="J56" i="12"/>
  <c r="H56" i="12"/>
  <c r="F56" i="12"/>
  <c r="D56" i="12"/>
  <c r="AN55" i="12"/>
  <c r="AL55" i="12"/>
  <c r="AJ55" i="12"/>
  <c r="AH55" i="12"/>
  <c r="AE55" i="12"/>
  <c r="AD55" i="12"/>
  <c r="AC55" i="12"/>
  <c r="AB55" i="12"/>
  <c r="AA55" i="12"/>
  <c r="Z55" i="12"/>
  <c r="Y55" i="12"/>
  <c r="W55" i="12"/>
  <c r="T55" i="12"/>
  <c r="R55" i="12"/>
  <c r="P55" i="12"/>
  <c r="N55" i="12"/>
  <c r="L55" i="12"/>
  <c r="J55" i="12"/>
  <c r="H55" i="12"/>
  <c r="F55" i="12"/>
  <c r="D55" i="12"/>
  <c r="AN54" i="12"/>
  <c r="AL54" i="12"/>
  <c r="AJ54" i="12"/>
  <c r="AH54" i="12"/>
  <c r="AE54" i="12"/>
  <c r="AD54" i="12"/>
  <c r="AC54" i="12"/>
  <c r="AB54" i="12"/>
  <c r="AA54" i="12"/>
  <c r="Z54" i="12"/>
  <c r="Y54" i="12"/>
  <c r="W54" i="12"/>
  <c r="T54" i="12"/>
  <c r="R54" i="12"/>
  <c r="P54" i="12"/>
  <c r="N54" i="12"/>
  <c r="L54" i="12"/>
  <c r="J54" i="12"/>
  <c r="H54" i="12"/>
  <c r="F54" i="12"/>
  <c r="D54" i="12"/>
  <c r="AN53" i="12"/>
  <c r="AL53" i="12"/>
  <c r="AJ53" i="12"/>
  <c r="AH53" i="12"/>
  <c r="AE53" i="12"/>
  <c r="AD53" i="12"/>
  <c r="AC53" i="12"/>
  <c r="AB53" i="12"/>
  <c r="AA53" i="12"/>
  <c r="Z53" i="12"/>
  <c r="Y53" i="12"/>
  <c r="W53" i="12"/>
  <c r="T53" i="12"/>
  <c r="R53" i="12"/>
  <c r="P53" i="12"/>
  <c r="N53" i="12"/>
  <c r="L53" i="12"/>
  <c r="J53" i="12"/>
  <c r="H53" i="12"/>
  <c r="F53" i="12"/>
  <c r="D53" i="12"/>
  <c r="AN52" i="12"/>
  <c r="AL52" i="12"/>
  <c r="AJ52" i="12"/>
  <c r="AH52" i="12"/>
  <c r="AE52" i="12"/>
  <c r="AD52" i="12"/>
  <c r="AC52" i="12"/>
  <c r="AB52" i="12"/>
  <c r="AA52" i="12"/>
  <c r="Z52" i="12"/>
  <c r="Y52" i="12"/>
  <c r="W52" i="12"/>
  <c r="T52" i="12"/>
  <c r="R52" i="12"/>
  <c r="P52" i="12"/>
  <c r="N52" i="12"/>
  <c r="L52" i="12"/>
  <c r="J52" i="12"/>
  <c r="H52" i="12"/>
  <c r="F52" i="12"/>
  <c r="D52" i="12"/>
  <c r="AN51" i="12"/>
  <c r="AL51" i="12"/>
  <c r="AJ51" i="12"/>
  <c r="AH51" i="12"/>
  <c r="AE51" i="12"/>
  <c r="AD51" i="12"/>
  <c r="AC51" i="12"/>
  <c r="AB51" i="12"/>
  <c r="AA51" i="12"/>
  <c r="Z51" i="12"/>
  <c r="Y51" i="12"/>
  <c r="W51" i="12"/>
  <c r="T51" i="12"/>
  <c r="R51" i="12"/>
  <c r="P51" i="12"/>
  <c r="N51" i="12"/>
  <c r="L51" i="12"/>
  <c r="J51" i="12"/>
  <c r="H51" i="12"/>
  <c r="F51" i="12"/>
  <c r="D51" i="12"/>
  <c r="AN50" i="12"/>
  <c r="AL50" i="12"/>
  <c r="AJ50" i="12"/>
  <c r="AH50" i="12"/>
  <c r="AE50" i="12"/>
  <c r="AD50" i="12"/>
  <c r="AC50" i="12"/>
  <c r="AB50" i="12"/>
  <c r="AA50" i="12"/>
  <c r="Z50" i="12"/>
  <c r="Y50" i="12"/>
  <c r="W50" i="12"/>
  <c r="T50" i="12"/>
  <c r="R50" i="12"/>
  <c r="P50" i="12"/>
  <c r="N50" i="12"/>
  <c r="L50" i="12"/>
  <c r="J50" i="12"/>
  <c r="H50" i="12"/>
  <c r="F50" i="12"/>
  <c r="D50" i="12"/>
  <c r="AN49" i="12"/>
  <c r="AL49" i="12"/>
  <c r="AJ49" i="12"/>
  <c r="AH49" i="12"/>
  <c r="AE49" i="12"/>
  <c r="AD49" i="12"/>
  <c r="AC49" i="12"/>
  <c r="AB49" i="12"/>
  <c r="AA49" i="12"/>
  <c r="Z49" i="12"/>
  <c r="Y49" i="12"/>
  <c r="W49" i="12"/>
  <c r="T49" i="12"/>
  <c r="R49" i="12"/>
  <c r="P49" i="12"/>
  <c r="N49" i="12"/>
  <c r="L49" i="12"/>
  <c r="J49" i="12"/>
  <c r="H49" i="12"/>
  <c r="F49" i="12"/>
  <c r="D49" i="12"/>
  <c r="AN48" i="12"/>
  <c r="AL48" i="12"/>
  <c r="AJ48" i="12"/>
  <c r="AH48" i="12"/>
  <c r="AE48" i="12"/>
  <c r="AD48" i="12"/>
  <c r="AC48" i="12"/>
  <c r="AB48" i="12"/>
  <c r="AA48" i="12"/>
  <c r="Z48" i="12"/>
  <c r="Y48" i="12"/>
  <c r="W48" i="12"/>
  <c r="T48" i="12"/>
  <c r="R48" i="12"/>
  <c r="P48" i="12"/>
  <c r="N48" i="12"/>
  <c r="L48" i="12"/>
  <c r="J48" i="12"/>
  <c r="H48" i="12"/>
  <c r="F48" i="12"/>
  <c r="D48" i="12"/>
  <c r="AN47" i="12"/>
  <c r="AL47" i="12"/>
  <c r="AJ47" i="12"/>
  <c r="AH47" i="12"/>
  <c r="AE47" i="12"/>
  <c r="AD47" i="12"/>
  <c r="AC47" i="12"/>
  <c r="AB47" i="12"/>
  <c r="AA47" i="12"/>
  <c r="Z47" i="12"/>
  <c r="Y47" i="12"/>
  <c r="W47" i="12"/>
  <c r="T47" i="12"/>
  <c r="R47" i="12"/>
  <c r="P47" i="12"/>
  <c r="N47" i="12"/>
  <c r="L47" i="12"/>
  <c r="J47" i="12"/>
  <c r="H47" i="12"/>
  <c r="F47" i="12"/>
  <c r="D47" i="12"/>
  <c r="AN46" i="12"/>
  <c r="AL46" i="12"/>
  <c r="AJ46" i="12"/>
  <c r="AH46" i="12"/>
  <c r="AE46" i="12"/>
  <c r="AD46" i="12"/>
  <c r="AC46" i="12"/>
  <c r="AB46" i="12"/>
  <c r="AA46" i="12"/>
  <c r="Z46" i="12"/>
  <c r="Y46" i="12"/>
  <c r="W46" i="12"/>
  <c r="T46" i="12"/>
  <c r="R46" i="12"/>
  <c r="P46" i="12"/>
  <c r="N46" i="12"/>
  <c r="L46" i="12"/>
  <c r="J46" i="12"/>
  <c r="H46" i="12"/>
  <c r="F46" i="12"/>
  <c r="D46" i="12"/>
  <c r="AN45" i="12"/>
  <c r="AL45" i="12"/>
  <c r="AJ45" i="12"/>
  <c r="AH45" i="12"/>
  <c r="AE45" i="12"/>
  <c r="AD45" i="12"/>
  <c r="AC45" i="12"/>
  <c r="AB45" i="12"/>
  <c r="AA45" i="12"/>
  <c r="Z45" i="12"/>
  <c r="Y45" i="12"/>
  <c r="W45" i="12"/>
  <c r="T45" i="12"/>
  <c r="R45" i="12"/>
  <c r="P45" i="12"/>
  <c r="N45" i="12"/>
  <c r="L45" i="12"/>
  <c r="J45" i="12"/>
  <c r="H45" i="12"/>
  <c r="F45" i="12"/>
  <c r="D45" i="12"/>
  <c r="AN44" i="12"/>
  <c r="AL44" i="12"/>
  <c r="AJ44" i="12"/>
  <c r="AH44" i="12"/>
  <c r="AE44" i="12"/>
  <c r="AD44" i="12"/>
  <c r="AC44" i="12"/>
  <c r="AB44" i="12"/>
  <c r="AA44" i="12"/>
  <c r="Z44" i="12"/>
  <c r="Y44" i="12"/>
  <c r="W44" i="12"/>
  <c r="T44" i="12"/>
  <c r="R44" i="12"/>
  <c r="P44" i="12"/>
  <c r="N44" i="12"/>
  <c r="L44" i="12"/>
  <c r="J44" i="12"/>
  <c r="H44" i="12"/>
  <c r="F44" i="12"/>
  <c r="D44" i="12"/>
  <c r="AN43" i="12"/>
  <c r="AL43" i="12"/>
  <c r="AJ43" i="12"/>
  <c r="AH43" i="12"/>
  <c r="AE43" i="12"/>
  <c r="AD43" i="12"/>
  <c r="AC43" i="12"/>
  <c r="AB43" i="12"/>
  <c r="AA43" i="12"/>
  <c r="Z43" i="12"/>
  <c r="Y43" i="12"/>
  <c r="W43" i="12"/>
  <c r="T43" i="12"/>
  <c r="R43" i="12"/>
  <c r="P43" i="12"/>
  <c r="N43" i="12"/>
  <c r="L43" i="12"/>
  <c r="J43" i="12"/>
  <c r="H43" i="12"/>
  <c r="F43" i="12"/>
  <c r="D43" i="12"/>
  <c r="AN42" i="12"/>
  <c r="AL42" i="12"/>
  <c r="AJ42" i="12"/>
  <c r="AH42" i="12"/>
  <c r="AE42" i="12"/>
  <c r="AD42" i="12"/>
  <c r="AC42" i="12"/>
  <c r="AB42" i="12"/>
  <c r="AA42" i="12"/>
  <c r="Z42" i="12"/>
  <c r="Y42" i="12"/>
  <c r="W42" i="12"/>
  <c r="T42" i="12"/>
  <c r="R42" i="12"/>
  <c r="P42" i="12"/>
  <c r="N42" i="12"/>
  <c r="L42" i="12"/>
  <c r="J42" i="12"/>
  <c r="H42" i="12"/>
  <c r="F42" i="12"/>
  <c r="D42" i="12"/>
  <c r="AN41" i="12"/>
  <c r="AL41" i="12"/>
  <c r="AJ41" i="12"/>
  <c r="AH41" i="12"/>
  <c r="AE41" i="12"/>
  <c r="AD41" i="12"/>
  <c r="AC41" i="12"/>
  <c r="AB41" i="12"/>
  <c r="AA41" i="12"/>
  <c r="Z41" i="12"/>
  <c r="Y41" i="12"/>
  <c r="W41" i="12"/>
  <c r="T41" i="12"/>
  <c r="R41" i="12"/>
  <c r="P41" i="12"/>
  <c r="N41" i="12"/>
  <c r="L41" i="12"/>
  <c r="J41" i="12"/>
  <c r="H41" i="12"/>
  <c r="F41" i="12"/>
  <c r="D41" i="12"/>
  <c r="AN40" i="12"/>
  <c r="AL40" i="12"/>
  <c r="AJ40" i="12"/>
  <c r="AH40" i="12"/>
  <c r="AE40" i="12"/>
  <c r="AD40" i="12"/>
  <c r="AC40" i="12"/>
  <c r="AB40" i="12"/>
  <c r="AA40" i="12"/>
  <c r="Z40" i="12"/>
  <c r="Y40" i="12"/>
  <c r="W40" i="12"/>
  <c r="T40" i="12"/>
  <c r="R40" i="12"/>
  <c r="P40" i="12"/>
  <c r="N40" i="12"/>
  <c r="L40" i="12"/>
  <c r="J40" i="12"/>
  <c r="H40" i="12"/>
  <c r="F40" i="12"/>
  <c r="D40" i="12"/>
  <c r="AN39" i="12"/>
  <c r="AL39" i="12"/>
  <c r="AJ39" i="12"/>
  <c r="AH39" i="12"/>
  <c r="AE39" i="12"/>
  <c r="AD39" i="12"/>
  <c r="AC39" i="12"/>
  <c r="AB39" i="12"/>
  <c r="AA39" i="12"/>
  <c r="Z39" i="12"/>
  <c r="Y39" i="12"/>
  <c r="W39" i="12"/>
  <c r="T39" i="12"/>
  <c r="R39" i="12"/>
  <c r="P39" i="12"/>
  <c r="N39" i="12"/>
  <c r="L39" i="12"/>
  <c r="J39" i="12"/>
  <c r="H39" i="12"/>
  <c r="F39" i="12"/>
  <c r="D39" i="12"/>
  <c r="AN38" i="12"/>
  <c r="AL38" i="12"/>
  <c r="AJ38" i="12"/>
  <c r="AH38" i="12"/>
  <c r="AE38" i="12"/>
  <c r="AD38" i="12"/>
  <c r="AC38" i="12"/>
  <c r="AB38" i="12"/>
  <c r="AA38" i="12"/>
  <c r="Z38" i="12"/>
  <c r="Y38" i="12"/>
  <c r="W38" i="12"/>
  <c r="T38" i="12"/>
  <c r="R38" i="12"/>
  <c r="P38" i="12"/>
  <c r="N38" i="12"/>
  <c r="L38" i="12"/>
  <c r="J38" i="12"/>
  <c r="H38" i="12"/>
  <c r="F38" i="12"/>
  <c r="D38" i="12"/>
  <c r="AN37" i="12"/>
  <c r="AL37" i="12"/>
  <c r="AJ37" i="12"/>
  <c r="AH37" i="12"/>
  <c r="AE37" i="12"/>
  <c r="AD37" i="12"/>
  <c r="AC37" i="12"/>
  <c r="AB37" i="12"/>
  <c r="AA37" i="12"/>
  <c r="Z37" i="12"/>
  <c r="Y37" i="12"/>
  <c r="W37" i="12"/>
  <c r="T37" i="12"/>
  <c r="R37" i="12"/>
  <c r="P37" i="12"/>
  <c r="N37" i="12"/>
  <c r="L37" i="12"/>
  <c r="J37" i="12"/>
  <c r="H37" i="12"/>
  <c r="F37" i="12"/>
  <c r="D37" i="12"/>
  <c r="AN36" i="12"/>
  <c r="AL36" i="12"/>
  <c r="AJ36" i="12"/>
  <c r="AH36" i="12"/>
  <c r="AE36" i="12"/>
  <c r="AD36" i="12"/>
  <c r="AC36" i="12"/>
  <c r="AB36" i="12"/>
  <c r="AA36" i="12"/>
  <c r="Z36" i="12"/>
  <c r="Y36" i="12"/>
  <c r="W36" i="12"/>
  <c r="T36" i="12"/>
  <c r="R36" i="12"/>
  <c r="P36" i="12"/>
  <c r="N36" i="12"/>
  <c r="L36" i="12"/>
  <c r="J36" i="12"/>
  <c r="H36" i="12"/>
  <c r="F36" i="12"/>
  <c r="D36" i="12"/>
  <c r="AN35" i="12"/>
  <c r="AL35" i="12"/>
  <c r="AJ35" i="12"/>
  <c r="AH35" i="12"/>
  <c r="AE35" i="12"/>
  <c r="AD35" i="12"/>
  <c r="AC35" i="12"/>
  <c r="AB35" i="12"/>
  <c r="AA35" i="12"/>
  <c r="Z35" i="12"/>
  <c r="Y35" i="12"/>
  <c r="W35" i="12"/>
  <c r="T35" i="12"/>
  <c r="R35" i="12"/>
  <c r="P35" i="12"/>
  <c r="N35" i="12"/>
  <c r="L35" i="12"/>
  <c r="J35" i="12"/>
  <c r="H35" i="12"/>
  <c r="F35" i="12"/>
  <c r="D35" i="12"/>
  <c r="AN34" i="12"/>
  <c r="AL34" i="12"/>
  <c r="AJ34" i="12"/>
  <c r="AH34" i="12"/>
  <c r="AE34" i="12"/>
  <c r="AD34" i="12"/>
  <c r="AC34" i="12"/>
  <c r="AB34" i="12"/>
  <c r="AA34" i="12"/>
  <c r="Z34" i="12"/>
  <c r="Y34" i="12"/>
  <c r="W34" i="12"/>
  <c r="T34" i="12"/>
  <c r="R34" i="12"/>
  <c r="P34" i="12"/>
  <c r="N34" i="12"/>
  <c r="L34" i="12"/>
  <c r="J34" i="12"/>
  <c r="H34" i="12"/>
  <c r="F34" i="12"/>
  <c r="D34" i="12"/>
  <c r="AN33" i="12"/>
  <c r="AL33" i="12"/>
  <c r="AJ33" i="12"/>
  <c r="AH33" i="12"/>
  <c r="AE33" i="12"/>
  <c r="AD33" i="12"/>
  <c r="AC33" i="12"/>
  <c r="AB33" i="12"/>
  <c r="AA33" i="12"/>
  <c r="Z33" i="12"/>
  <c r="Y33" i="12"/>
  <c r="W33" i="12"/>
  <c r="T33" i="12"/>
  <c r="R33" i="12"/>
  <c r="P33" i="12"/>
  <c r="N33" i="12"/>
  <c r="L33" i="12"/>
  <c r="J33" i="12"/>
  <c r="H33" i="12"/>
  <c r="F33" i="12"/>
  <c r="D33" i="12"/>
  <c r="AN32" i="12"/>
  <c r="AL32" i="12"/>
  <c r="AJ32" i="12"/>
  <c r="AH32" i="12"/>
  <c r="AE32" i="12"/>
  <c r="AD32" i="12"/>
  <c r="AC32" i="12"/>
  <c r="AB32" i="12"/>
  <c r="AA32" i="12"/>
  <c r="Z32" i="12"/>
  <c r="Y32" i="12"/>
  <c r="W32" i="12"/>
  <c r="T32" i="12"/>
  <c r="R32" i="12"/>
  <c r="P32" i="12"/>
  <c r="N32" i="12"/>
  <c r="L32" i="12"/>
  <c r="J32" i="12"/>
  <c r="H32" i="12"/>
  <c r="F32" i="12"/>
  <c r="D32" i="12"/>
  <c r="AN31" i="12"/>
  <c r="AL31" i="12"/>
  <c r="AJ31" i="12"/>
  <c r="AH31" i="12"/>
  <c r="AE31" i="12"/>
  <c r="AD31" i="12"/>
  <c r="AC31" i="12"/>
  <c r="AB31" i="12"/>
  <c r="AA31" i="12"/>
  <c r="Z31" i="12"/>
  <c r="Y31" i="12"/>
  <c r="W31" i="12"/>
  <c r="T31" i="12"/>
  <c r="R31" i="12"/>
  <c r="P31" i="12"/>
  <c r="N31" i="12"/>
  <c r="L31" i="12"/>
  <c r="J31" i="12"/>
  <c r="H31" i="12"/>
  <c r="F31" i="12"/>
  <c r="D31" i="12"/>
  <c r="AN30" i="12"/>
  <c r="AL30" i="12"/>
  <c r="AJ30" i="12"/>
  <c r="AH30" i="12"/>
  <c r="AE30" i="12"/>
  <c r="AD30" i="12"/>
  <c r="AC30" i="12"/>
  <c r="AB30" i="12"/>
  <c r="AA30" i="12"/>
  <c r="Z30" i="12"/>
  <c r="Y30" i="12"/>
  <c r="W30" i="12"/>
  <c r="T30" i="12"/>
  <c r="R30" i="12"/>
  <c r="P30" i="12"/>
  <c r="N30" i="12"/>
  <c r="L30" i="12"/>
  <c r="J30" i="12"/>
  <c r="H30" i="12"/>
  <c r="F30" i="12"/>
  <c r="D30" i="12"/>
  <c r="AN29" i="12"/>
  <c r="AL29" i="12"/>
  <c r="AJ29" i="12"/>
  <c r="AH29" i="12"/>
  <c r="AE29" i="12"/>
  <c r="AD29" i="12"/>
  <c r="AC29" i="12"/>
  <c r="AB29" i="12"/>
  <c r="AA29" i="12"/>
  <c r="Z29" i="12"/>
  <c r="Y29" i="12"/>
  <c r="W29" i="12"/>
  <c r="T29" i="12"/>
  <c r="R29" i="12"/>
  <c r="P29" i="12"/>
  <c r="N29" i="12"/>
  <c r="L29" i="12"/>
  <c r="J29" i="12"/>
  <c r="H29" i="12"/>
  <c r="F29" i="12"/>
  <c r="D29" i="12"/>
  <c r="AN28" i="12"/>
  <c r="AL28" i="12"/>
  <c r="AJ28" i="12"/>
  <c r="AH28" i="12"/>
  <c r="AE28" i="12"/>
  <c r="AD28" i="12"/>
  <c r="AC28" i="12"/>
  <c r="AB28" i="12"/>
  <c r="AA28" i="12"/>
  <c r="Z28" i="12"/>
  <c r="Y28" i="12"/>
  <c r="W28" i="12"/>
  <c r="T28" i="12"/>
  <c r="R28" i="12"/>
  <c r="P28" i="12"/>
  <c r="N28" i="12"/>
  <c r="L28" i="12"/>
  <c r="J28" i="12"/>
  <c r="H28" i="12"/>
  <c r="F28" i="12"/>
  <c r="D28" i="12"/>
  <c r="AN27" i="12"/>
  <c r="AL27" i="12"/>
  <c r="AJ27" i="12"/>
  <c r="AH27" i="12"/>
  <c r="AE27" i="12"/>
  <c r="AD27" i="12"/>
  <c r="AC27" i="12"/>
  <c r="AB27" i="12"/>
  <c r="AA27" i="12"/>
  <c r="Z27" i="12"/>
  <c r="Y27" i="12"/>
  <c r="W27" i="12"/>
  <c r="T27" i="12"/>
  <c r="R27" i="12"/>
  <c r="P27" i="12"/>
  <c r="N27" i="12"/>
  <c r="L27" i="12"/>
  <c r="J27" i="12"/>
  <c r="H27" i="12"/>
  <c r="F27" i="12"/>
  <c r="D27" i="12"/>
  <c r="AN26" i="12"/>
  <c r="AL26" i="12"/>
  <c r="AJ26" i="12"/>
  <c r="AH26" i="12"/>
  <c r="AE26" i="12"/>
  <c r="AD26" i="12"/>
  <c r="AC26" i="12"/>
  <c r="AB26" i="12"/>
  <c r="AA26" i="12"/>
  <c r="Z26" i="12"/>
  <c r="Y26" i="12"/>
  <c r="W26" i="12"/>
  <c r="T26" i="12"/>
  <c r="R26" i="12"/>
  <c r="P26" i="12"/>
  <c r="N26" i="12"/>
  <c r="L26" i="12"/>
  <c r="J26" i="12"/>
  <c r="H26" i="12"/>
  <c r="F26" i="12"/>
  <c r="D26" i="12"/>
  <c r="AN25" i="12"/>
  <c r="AL25" i="12"/>
  <c r="AJ25" i="12"/>
  <c r="AH25" i="12"/>
  <c r="AE25" i="12"/>
  <c r="AD25" i="12"/>
  <c r="AC25" i="12"/>
  <c r="AB25" i="12"/>
  <c r="AA25" i="12"/>
  <c r="Z25" i="12"/>
  <c r="Y25" i="12"/>
  <c r="W25" i="12"/>
  <c r="T25" i="12"/>
  <c r="R25" i="12"/>
  <c r="P25" i="12"/>
  <c r="N25" i="12"/>
  <c r="L25" i="12"/>
  <c r="J25" i="12"/>
  <c r="H25" i="12"/>
  <c r="F25" i="12"/>
  <c r="D25" i="12"/>
  <c r="AN24" i="12"/>
  <c r="AL24" i="12"/>
  <c r="AJ24" i="12"/>
  <c r="AH24" i="12"/>
  <c r="AE24" i="12"/>
  <c r="AD24" i="12"/>
  <c r="AC24" i="12"/>
  <c r="AB24" i="12"/>
  <c r="AA24" i="12"/>
  <c r="Z24" i="12"/>
  <c r="Y24" i="12"/>
  <c r="W24" i="12"/>
  <c r="T24" i="12"/>
  <c r="R24" i="12"/>
  <c r="P24" i="12"/>
  <c r="N24" i="12"/>
  <c r="L24" i="12"/>
  <c r="J24" i="12"/>
  <c r="H24" i="12"/>
  <c r="F24" i="12"/>
  <c r="D24" i="12"/>
  <c r="AN23" i="12"/>
  <c r="AL23" i="12"/>
  <c r="AJ23" i="12"/>
  <c r="AH23" i="12"/>
  <c r="AE23" i="12"/>
  <c r="AD23" i="12"/>
  <c r="AC23" i="12"/>
  <c r="AB23" i="12"/>
  <c r="AA23" i="12"/>
  <c r="Z23" i="12"/>
  <c r="Y23" i="12"/>
  <c r="W23" i="12"/>
  <c r="T23" i="12"/>
  <c r="R23" i="12"/>
  <c r="P23" i="12"/>
  <c r="N23" i="12"/>
  <c r="L23" i="12"/>
  <c r="J23" i="12"/>
  <c r="H23" i="12"/>
  <c r="F23" i="12"/>
  <c r="D23" i="12"/>
  <c r="AN22" i="12"/>
  <c r="AL22" i="12"/>
  <c r="AJ22" i="12"/>
  <c r="AH22" i="12"/>
  <c r="AE22" i="12"/>
  <c r="AD22" i="12"/>
  <c r="AC22" i="12"/>
  <c r="AB22" i="12"/>
  <c r="AA22" i="12"/>
  <c r="Z22" i="12"/>
  <c r="Y22" i="12"/>
  <c r="W22" i="12"/>
  <c r="T22" i="12"/>
  <c r="R22" i="12"/>
  <c r="P22" i="12"/>
  <c r="N22" i="12"/>
  <c r="L22" i="12"/>
  <c r="J22" i="12"/>
  <c r="H22" i="12"/>
  <c r="F22" i="12"/>
  <c r="D22" i="12"/>
  <c r="AN21" i="12"/>
  <c r="AL21" i="12"/>
  <c r="AJ21" i="12"/>
  <c r="AH21" i="12"/>
  <c r="AE21" i="12"/>
  <c r="AD21" i="12"/>
  <c r="AC21" i="12"/>
  <c r="AB21" i="12"/>
  <c r="AA21" i="12"/>
  <c r="Z21" i="12"/>
  <c r="Y21" i="12"/>
  <c r="W21" i="12"/>
  <c r="T21" i="12"/>
  <c r="R21" i="12"/>
  <c r="P21" i="12"/>
  <c r="N21" i="12"/>
  <c r="L21" i="12"/>
  <c r="J21" i="12"/>
  <c r="H21" i="12"/>
  <c r="F21" i="12"/>
  <c r="D21" i="12"/>
  <c r="AN20" i="12"/>
  <c r="AL20" i="12"/>
  <c r="AJ20" i="12"/>
  <c r="AH20" i="12"/>
  <c r="AE20" i="12"/>
  <c r="AD20" i="12"/>
  <c r="AC20" i="12"/>
  <c r="AB20" i="12"/>
  <c r="AA20" i="12"/>
  <c r="Z20" i="12"/>
  <c r="Y20" i="12"/>
  <c r="W20" i="12"/>
  <c r="T20" i="12"/>
  <c r="R20" i="12"/>
  <c r="P20" i="12"/>
  <c r="N20" i="12"/>
  <c r="L20" i="12"/>
  <c r="J20" i="12"/>
  <c r="H20" i="12"/>
  <c r="F20" i="12"/>
  <c r="D20" i="12"/>
  <c r="AN19" i="12"/>
  <c r="AL19" i="12"/>
  <c r="AJ19" i="12"/>
  <c r="AH19" i="12"/>
  <c r="AE19" i="12"/>
  <c r="AD19" i="12"/>
  <c r="AC19" i="12"/>
  <c r="AB19" i="12"/>
  <c r="AA19" i="12"/>
  <c r="Z19" i="12"/>
  <c r="Y19" i="12"/>
  <c r="W19" i="12"/>
  <c r="T19" i="12"/>
  <c r="R19" i="12"/>
  <c r="P19" i="12"/>
  <c r="N19" i="12"/>
  <c r="L19" i="12"/>
  <c r="J19" i="12"/>
  <c r="H19" i="12"/>
  <c r="F19" i="12"/>
  <c r="D19" i="12"/>
  <c r="AN18" i="12"/>
  <c r="AL18" i="12"/>
  <c r="AJ18" i="12"/>
  <c r="AH18" i="12"/>
  <c r="AE18" i="12"/>
  <c r="AD18" i="12"/>
  <c r="AC18" i="12"/>
  <c r="AB18" i="12"/>
  <c r="AA18" i="12"/>
  <c r="Z18" i="12"/>
  <c r="Y18" i="12"/>
  <c r="W18" i="12"/>
  <c r="T18" i="12"/>
  <c r="R18" i="12"/>
  <c r="P18" i="12"/>
  <c r="N18" i="12"/>
  <c r="L18" i="12"/>
  <c r="J18" i="12"/>
  <c r="H18" i="12"/>
  <c r="F18" i="12"/>
  <c r="D18" i="12"/>
  <c r="AN17" i="12"/>
  <c r="AL17" i="12"/>
  <c r="AJ17" i="12"/>
  <c r="AH17" i="12"/>
  <c r="AE17" i="12"/>
  <c r="AD17" i="12"/>
  <c r="AC17" i="12"/>
  <c r="AB17" i="12"/>
  <c r="AA17" i="12"/>
  <c r="Z17" i="12"/>
  <c r="Y17" i="12"/>
  <c r="W17" i="12"/>
  <c r="T17" i="12"/>
  <c r="R17" i="12"/>
  <c r="P17" i="12"/>
  <c r="N17" i="12"/>
  <c r="L17" i="12"/>
  <c r="J17" i="12"/>
  <c r="H17" i="12"/>
  <c r="F17" i="12"/>
  <c r="D17" i="12"/>
  <c r="AN16" i="12"/>
  <c r="AL16" i="12"/>
  <c r="AJ16" i="12"/>
  <c r="AH16" i="12"/>
  <c r="AE16" i="12"/>
  <c r="AD16" i="12"/>
  <c r="AC16" i="12"/>
  <c r="AB16" i="12"/>
  <c r="AA16" i="12"/>
  <c r="Z16" i="12"/>
  <c r="Y16" i="12"/>
  <c r="W16" i="12"/>
  <c r="T16" i="12"/>
  <c r="R16" i="12"/>
  <c r="P16" i="12"/>
  <c r="N16" i="12"/>
  <c r="L16" i="12"/>
  <c r="J16" i="12"/>
  <c r="H16" i="12"/>
  <c r="F16" i="12"/>
  <c r="D16" i="12"/>
  <c r="AN15" i="12"/>
  <c r="AL15" i="12"/>
  <c r="AJ15" i="12"/>
  <c r="AH15" i="12"/>
  <c r="AE15" i="12"/>
  <c r="AD15" i="12"/>
  <c r="AC15" i="12"/>
  <c r="AB15" i="12"/>
  <c r="AA15" i="12"/>
  <c r="Z15" i="12"/>
  <c r="Y15" i="12"/>
  <c r="W15" i="12"/>
  <c r="T15" i="12"/>
  <c r="R15" i="12"/>
  <c r="P15" i="12"/>
  <c r="N15" i="12"/>
  <c r="L15" i="12"/>
  <c r="J15" i="12"/>
  <c r="H15" i="12"/>
  <c r="F15" i="12"/>
  <c r="D15" i="12"/>
  <c r="AN14" i="12"/>
  <c r="AL14" i="12"/>
  <c r="AJ14" i="12"/>
  <c r="AH14" i="12"/>
  <c r="AE14" i="12"/>
  <c r="AD14" i="12"/>
  <c r="AC14" i="12"/>
  <c r="AB14" i="12"/>
  <c r="AA14" i="12"/>
  <c r="Z14" i="12"/>
  <c r="Y14" i="12"/>
  <c r="W14" i="12"/>
  <c r="T14" i="12"/>
  <c r="R14" i="12"/>
  <c r="P14" i="12"/>
  <c r="N14" i="12"/>
  <c r="L14" i="12"/>
  <c r="J14" i="12"/>
  <c r="H14" i="12"/>
  <c r="F14" i="12"/>
  <c r="D14" i="12"/>
  <c r="AN13" i="12"/>
  <c r="AL13" i="12"/>
  <c r="AJ13" i="12"/>
  <c r="AH13" i="12"/>
  <c r="AE13" i="12"/>
  <c r="AD13" i="12"/>
  <c r="AC13" i="12"/>
  <c r="AB13" i="12"/>
  <c r="AA13" i="12"/>
  <c r="Z13" i="12"/>
  <c r="Y13" i="12"/>
  <c r="W13" i="12"/>
  <c r="T13" i="12"/>
  <c r="R13" i="12"/>
  <c r="P13" i="12"/>
  <c r="N13" i="12"/>
  <c r="L13" i="12"/>
  <c r="J13" i="12"/>
  <c r="H13" i="12"/>
  <c r="F13" i="12"/>
  <c r="D13" i="12"/>
  <c r="AN12" i="12"/>
  <c r="AL12" i="12"/>
  <c r="AJ12" i="12"/>
  <c r="AH12" i="12"/>
  <c r="AE12" i="12"/>
  <c r="AD12" i="12"/>
  <c r="AC12" i="12"/>
  <c r="AB12" i="12"/>
  <c r="AA12" i="12"/>
  <c r="Z12" i="12"/>
  <c r="Y12" i="12"/>
  <c r="W12" i="12"/>
  <c r="T12" i="12"/>
  <c r="R12" i="12"/>
  <c r="P12" i="12"/>
  <c r="N12" i="12"/>
  <c r="L12" i="12"/>
  <c r="J12" i="12"/>
  <c r="H12" i="12"/>
  <c r="F12" i="12"/>
  <c r="D12" i="12"/>
  <c r="AN11" i="12"/>
  <c r="AL11" i="12"/>
  <c r="AJ11" i="12"/>
  <c r="AH11" i="12"/>
  <c r="AE11" i="12"/>
  <c r="AD11" i="12"/>
  <c r="AC11" i="12"/>
  <c r="AB11" i="12"/>
  <c r="AA11" i="12"/>
  <c r="Z11" i="12"/>
  <c r="Y11" i="12"/>
  <c r="W11" i="12"/>
  <c r="T11" i="12"/>
  <c r="R11" i="12"/>
  <c r="P11" i="12"/>
  <c r="N11" i="12"/>
  <c r="L11" i="12"/>
  <c r="J11" i="12"/>
  <c r="H11" i="12"/>
  <c r="F11" i="12"/>
  <c r="D11" i="12"/>
  <c r="AN10" i="12"/>
  <c r="AL10" i="12"/>
  <c r="AJ10" i="12"/>
  <c r="AH10" i="12"/>
  <c r="AE10" i="12"/>
  <c r="AD10" i="12"/>
  <c r="AC10" i="12"/>
  <c r="AB10" i="12"/>
  <c r="AA10" i="12"/>
  <c r="Z10" i="12"/>
  <c r="Y10" i="12"/>
  <c r="W10" i="12"/>
  <c r="T10" i="12"/>
  <c r="R10" i="12"/>
  <c r="P10" i="12"/>
  <c r="N10" i="12"/>
  <c r="L10" i="12"/>
  <c r="J10" i="12"/>
  <c r="H10" i="12"/>
  <c r="F10" i="12"/>
  <c r="D10" i="12"/>
  <c r="AN9" i="12"/>
  <c r="AL9" i="12"/>
  <c r="AJ9" i="12"/>
  <c r="AH9" i="12"/>
  <c r="AE9" i="12"/>
  <c r="AD9" i="12"/>
  <c r="AC9" i="12"/>
  <c r="AB9" i="12"/>
  <c r="AA9" i="12"/>
  <c r="Z9" i="12"/>
  <c r="Y9" i="12"/>
  <c r="W9" i="12"/>
  <c r="T9" i="12"/>
  <c r="R9" i="12"/>
  <c r="P9" i="12"/>
  <c r="N9" i="12"/>
  <c r="L9" i="12"/>
  <c r="J9" i="12"/>
  <c r="H9" i="12"/>
  <c r="F9" i="12"/>
  <c r="D9" i="12"/>
  <c r="AN8" i="12"/>
  <c r="AL8" i="12"/>
  <c r="AJ8" i="12"/>
  <c r="AH8" i="12"/>
  <c r="AE8" i="12"/>
  <c r="AD8" i="12"/>
  <c r="AC8" i="12"/>
  <c r="AB8" i="12"/>
  <c r="AA8" i="12"/>
  <c r="Z8" i="12"/>
  <c r="Y8" i="12"/>
  <c r="W8" i="12"/>
  <c r="T8" i="12"/>
  <c r="R8" i="12"/>
  <c r="P8" i="12"/>
  <c r="N8" i="12"/>
  <c r="L8" i="12"/>
  <c r="J8" i="12"/>
  <c r="H8" i="12"/>
  <c r="F8" i="12"/>
  <c r="D8" i="12"/>
  <c r="AN7" i="12"/>
  <c r="AL7" i="12"/>
  <c r="AJ7" i="12"/>
  <c r="AH7" i="12"/>
  <c r="AE7" i="12"/>
  <c r="AD7" i="12"/>
  <c r="AC7" i="12"/>
  <c r="AB7" i="12"/>
  <c r="AA7" i="12"/>
  <c r="Z7" i="12"/>
  <c r="Y7" i="12"/>
  <c r="W7" i="12"/>
  <c r="T7" i="12"/>
  <c r="R7" i="12"/>
  <c r="P7" i="12"/>
  <c r="N7" i="12"/>
  <c r="L7" i="12"/>
  <c r="J7" i="12"/>
  <c r="H7" i="12"/>
  <c r="F7" i="12"/>
  <c r="D7" i="12"/>
  <c r="AN6" i="12"/>
  <c r="AL6" i="12"/>
  <c r="AJ6" i="12"/>
  <c r="AH6" i="12"/>
  <c r="AE6" i="12"/>
  <c r="AD6" i="12"/>
  <c r="AC6" i="12"/>
  <c r="AB6" i="12"/>
  <c r="AA6" i="12"/>
  <c r="Z6" i="12"/>
  <c r="Y6" i="12"/>
  <c r="W6" i="12"/>
  <c r="T6" i="12"/>
  <c r="R6" i="12"/>
  <c r="P6" i="12"/>
  <c r="N6" i="12"/>
  <c r="L6" i="12"/>
  <c r="J6" i="12"/>
  <c r="H6" i="12"/>
  <c r="F6" i="12"/>
  <c r="D6" i="12"/>
  <c r="AN5" i="12"/>
  <c r="AL5" i="12"/>
  <c r="AJ5" i="12"/>
  <c r="AH5" i="12"/>
  <c r="AE5" i="12"/>
  <c r="AD5" i="12"/>
  <c r="AC5" i="12"/>
  <c r="AB5" i="12"/>
  <c r="AA5" i="12"/>
  <c r="Z5" i="12"/>
  <c r="Y5" i="12"/>
  <c r="W5" i="12"/>
  <c r="T5" i="12"/>
  <c r="R5" i="12"/>
  <c r="P5" i="12"/>
  <c r="N5" i="12"/>
  <c r="L5" i="12"/>
  <c r="J5" i="12"/>
  <c r="H5" i="12"/>
  <c r="F5" i="12"/>
  <c r="D5" i="12"/>
  <c r="AN4" i="12"/>
  <c r="AL4" i="12"/>
  <c r="AJ4" i="12"/>
  <c r="AH4" i="12"/>
  <c r="AE4" i="12"/>
  <c r="AD4" i="12"/>
  <c r="AC4" i="12"/>
  <c r="AB4" i="12"/>
  <c r="AA4" i="12"/>
  <c r="Z4" i="12"/>
  <c r="Y4" i="12"/>
  <c r="W4" i="12"/>
  <c r="T4" i="12"/>
  <c r="R4" i="12"/>
  <c r="P4" i="12"/>
  <c r="N4" i="12"/>
  <c r="L4" i="12"/>
  <c r="J4" i="12"/>
  <c r="H4" i="12"/>
  <c r="F4" i="12"/>
  <c r="D4" i="12"/>
  <c r="AN3" i="12"/>
  <c r="AL3" i="12"/>
  <c r="AJ3" i="12"/>
  <c r="AH3" i="12"/>
  <c r="AE3" i="12"/>
  <c r="AD3" i="12"/>
  <c r="AC3" i="12"/>
  <c r="AB3" i="12"/>
  <c r="AA3" i="12"/>
  <c r="Z3" i="12"/>
  <c r="Y3" i="12"/>
  <c r="W3" i="12"/>
  <c r="I5" i="30" s="1"/>
  <c r="L5" i="30" s="1"/>
  <c r="N5" i="30" s="1"/>
  <c r="T3" i="12"/>
  <c r="R3" i="12"/>
  <c r="P3" i="12"/>
  <c r="N3" i="12"/>
  <c r="L3" i="12"/>
  <c r="J3" i="12"/>
  <c r="H3" i="12"/>
  <c r="F3" i="12"/>
  <c r="D3" i="12"/>
  <c r="AN2" i="12"/>
  <c r="AL2" i="12"/>
  <c r="AJ2" i="12"/>
  <c r="AH2" i="12"/>
  <c r="AE2" i="12"/>
  <c r="AD2" i="12"/>
  <c r="AC2" i="12"/>
  <c r="AB2" i="12"/>
  <c r="AA2" i="12"/>
  <c r="Z2" i="12"/>
  <c r="Y2" i="12"/>
  <c r="W2" i="12"/>
  <c r="T2" i="12"/>
  <c r="R2" i="12"/>
  <c r="P2" i="12"/>
  <c r="N2" i="12"/>
  <c r="L2" i="12"/>
  <c r="J2" i="12"/>
  <c r="H2" i="12"/>
  <c r="F2" i="12"/>
  <c r="D2" i="12"/>
  <c r="G5" i="11"/>
  <c r="F5" i="11"/>
  <c r="B4" i="11"/>
  <c r="E4" i="11" s="1"/>
  <c r="B3" i="11"/>
  <c r="E3" i="11" s="1"/>
  <c r="B2" i="11"/>
  <c r="F2" i="11" s="1"/>
  <c r="P76" i="22" l="1"/>
  <c r="Q76" i="22" s="1"/>
  <c r="P80" i="22"/>
  <c r="Q80" i="22" s="1"/>
  <c r="T80" i="22" s="1"/>
  <c r="P84" i="22"/>
  <c r="Q84" i="22" s="1"/>
  <c r="P112" i="22"/>
  <c r="Q112" i="22" s="1"/>
  <c r="P30" i="22"/>
  <c r="Q30" i="22" s="1"/>
  <c r="P34" i="22"/>
  <c r="Q34" i="22" s="1"/>
  <c r="T34" i="22" s="1"/>
  <c r="P38" i="22"/>
  <c r="Q38" i="22" s="1"/>
  <c r="T38" i="22" s="1"/>
  <c r="P50" i="22"/>
  <c r="Q50" i="22" s="1"/>
  <c r="T50" i="22" s="1"/>
  <c r="P54" i="22"/>
  <c r="Q54" i="22" s="1"/>
  <c r="T54" i="22" s="1"/>
  <c r="P62" i="22"/>
  <c r="Q62" i="22" s="1"/>
  <c r="T62" i="22" s="1"/>
  <c r="P70" i="22"/>
  <c r="Q70" i="22" s="1"/>
  <c r="T70" i="22" s="1"/>
  <c r="P94" i="22"/>
  <c r="Q94" i="22" s="1"/>
  <c r="P28" i="22"/>
  <c r="Q28" i="22" s="1"/>
  <c r="P96" i="22"/>
  <c r="Q96" i="22" s="1"/>
  <c r="T96" i="22" s="1"/>
  <c r="P104" i="22"/>
  <c r="Q104" i="22" s="1"/>
  <c r="T104" i="22" s="1"/>
  <c r="P25" i="22"/>
  <c r="Q25" i="22" s="1"/>
  <c r="T25" i="22" s="1"/>
  <c r="P89" i="22"/>
  <c r="Q89" i="22" s="1"/>
  <c r="T89" i="22" s="1"/>
  <c r="P148" i="22"/>
  <c r="Q148" i="22" s="1"/>
  <c r="L4" i="30"/>
  <c r="N4" i="30" s="1"/>
  <c r="P102" i="22"/>
  <c r="Q102" i="22" s="1"/>
  <c r="P91" i="22"/>
  <c r="Q91" i="22" s="1"/>
  <c r="T91" i="22" s="1"/>
  <c r="P92" i="22"/>
  <c r="Q92" i="22" s="1"/>
  <c r="P118" i="22"/>
  <c r="Q118" i="22" s="1"/>
  <c r="T118" i="22" s="1"/>
  <c r="P126" i="22"/>
  <c r="Q126" i="22" s="1"/>
  <c r="T126" i="22" s="1"/>
  <c r="P134" i="22"/>
  <c r="Q134" i="22" s="1"/>
  <c r="T134" i="22" s="1"/>
  <c r="P138" i="22"/>
  <c r="Q138" i="22" s="1"/>
  <c r="T138" i="22" s="1"/>
  <c r="P52" i="22"/>
  <c r="Q52" i="22" s="1"/>
  <c r="T52" i="22" s="1"/>
  <c r="P53" i="22"/>
  <c r="Q53" i="22" s="1"/>
  <c r="T53" i="22" s="1"/>
  <c r="P60" i="22"/>
  <c r="Q60" i="22" s="1"/>
  <c r="T60" i="22" s="1"/>
  <c r="P64" i="22"/>
  <c r="Q64" i="22" s="1"/>
  <c r="T64" i="22" s="1"/>
  <c r="P68" i="22"/>
  <c r="Q68" i="22" s="1"/>
  <c r="T68" i="22" s="1"/>
  <c r="P72" i="22"/>
  <c r="Q72" i="22" s="1"/>
  <c r="T72" i="22" s="1"/>
  <c r="P99" i="22"/>
  <c r="Q99" i="22" s="1"/>
  <c r="T99" i="22" s="1"/>
  <c r="E5" i="11"/>
  <c r="P108" i="22"/>
  <c r="Q108" i="22" s="1"/>
  <c r="T108" i="22" s="1"/>
  <c r="P7" i="22"/>
  <c r="Q7" i="22" s="1"/>
  <c r="T7" i="22" s="1"/>
  <c r="P27" i="22"/>
  <c r="Q27" i="22" s="1"/>
  <c r="T27" i="22" s="1"/>
  <c r="P86" i="22"/>
  <c r="Q86" i="22" s="1"/>
  <c r="T86" i="22" s="1"/>
  <c r="P78" i="22"/>
  <c r="Q78" i="22" s="1"/>
  <c r="T78" i="22" s="1"/>
  <c r="P82" i="22"/>
  <c r="Q82" i="22" s="1"/>
  <c r="T82" i="22" s="1"/>
  <c r="P101" i="22"/>
  <c r="Q101" i="22" s="1"/>
  <c r="T101" i="22" s="1"/>
  <c r="P116" i="22"/>
  <c r="Q116" i="22" s="1"/>
  <c r="T116" i="22" s="1"/>
  <c r="P124" i="22"/>
  <c r="Q124" i="22" s="1"/>
  <c r="T124" i="22" s="1"/>
  <c r="P128" i="22"/>
  <c r="Q128" i="22" s="1"/>
  <c r="T128" i="22" s="1"/>
  <c r="P132" i="22"/>
  <c r="Q132" i="22" s="1"/>
  <c r="T132" i="22" s="1"/>
  <c r="P136" i="22"/>
  <c r="Q136" i="22" s="1"/>
  <c r="T136" i="22" s="1"/>
  <c r="P140" i="22"/>
  <c r="Q140" i="22" s="1"/>
  <c r="T140" i="22" s="1"/>
  <c r="P12" i="22"/>
  <c r="Q12" i="22" s="1"/>
  <c r="T12" i="22" s="1"/>
  <c r="P13" i="22"/>
  <c r="Q13" i="22" s="1"/>
  <c r="T13" i="22" s="1"/>
  <c r="P16" i="22"/>
  <c r="Q16" i="22" s="1"/>
  <c r="T16" i="22" s="1"/>
  <c r="P20" i="22"/>
  <c r="Q20" i="22" s="1"/>
  <c r="P21" i="22"/>
  <c r="Q21" i="22" s="1"/>
  <c r="T21" i="22" s="1"/>
  <c r="P47" i="22"/>
  <c r="Q47" i="22" s="1"/>
  <c r="T47" i="22" s="1"/>
  <c r="P110" i="22"/>
  <c r="Q110" i="22" s="1"/>
  <c r="T110" i="22" s="1"/>
  <c r="P32" i="22"/>
  <c r="Q32" i="22" s="1"/>
  <c r="T32" i="22" s="1"/>
  <c r="P100" i="22"/>
  <c r="Q100" i="22" s="1"/>
  <c r="T100" i="22" s="1"/>
  <c r="P14" i="22"/>
  <c r="Q14" i="22" s="1"/>
  <c r="T14" i="22" s="1"/>
  <c r="P18" i="22"/>
  <c r="Q18" i="22" s="1"/>
  <c r="T18" i="22" s="1"/>
  <c r="P22" i="22"/>
  <c r="Q22" i="22" s="1"/>
  <c r="T22" i="22" s="1"/>
  <c r="P46" i="22"/>
  <c r="Q46" i="22" s="1"/>
  <c r="T46" i="22" s="1"/>
  <c r="P150" i="22"/>
  <c r="Q150" i="22" s="1"/>
  <c r="T150" i="22" s="1"/>
  <c r="P8" i="22"/>
  <c r="Q8" i="22" s="1"/>
  <c r="T8" i="22" s="1"/>
  <c r="P44" i="22"/>
  <c r="Q44" i="22" s="1"/>
  <c r="T44" i="22" s="1"/>
  <c r="T76" i="22"/>
  <c r="P79" i="22"/>
  <c r="Q79" i="22" s="1"/>
  <c r="T79" i="22" s="1"/>
  <c r="P115" i="22"/>
  <c r="Q115" i="22" s="1"/>
  <c r="T115" i="22" s="1"/>
  <c r="P119" i="22"/>
  <c r="Q119" i="22" s="1"/>
  <c r="T119" i="22" s="1"/>
  <c r="P120" i="22"/>
  <c r="Q120" i="22" s="1"/>
  <c r="T120" i="22" s="1"/>
  <c r="P123" i="22"/>
  <c r="Q123" i="22" s="1"/>
  <c r="T123" i="22" s="1"/>
  <c r="P135" i="22"/>
  <c r="Q135" i="22" s="1"/>
  <c r="T135" i="22" s="1"/>
  <c r="O5" i="16"/>
  <c r="P17" i="22"/>
  <c r="Q17" i="22" s="1"/>
  <c r="T17" i="22" s="1"/>
  <c r="P24" i="22"/>
  <c r="Q24" i="22" s="1"/>
  <c r="T24" i="22" s="1"/>
  <c r="P57" i="22"/>
  <c r="Q57" i="22" s="1"/>
  <c r="T57" i="22" s="1"/>
  <c r="P65" i="22"/>
  <c r="Q65" i="22" s="1"/>
  <c r="T65" i="22" s="1"/>
  <c r="P98" i="22"/>
  <c r="Q98" i="22" s="1"/>
  <c r="T98" i="22" s="1"/>
  <c r="P109" i="22"/>
  <c r="Q109" i="22" s="1"/>
  <c r="T109" i="22" s="1"/>
  <c r="P144" i="22"/>
  <c r="Q144" i="22" s="1"/>
  <c r="T144" i="22" s="1"/>
  <c r="P6" i="22"/>
  <c r="Q6" i="22" s="1"/>
  <c r="T6" i="22" s="1"/>
  <c r="P10" i="22"/>
  <c r="Q10" i="22" s="1"/>
  <c r="T10" i="22" s="1"/>
  <c r="P29" i="22"/>
  <c r="Q29" i="22" s="1"/>
  <c r="T29" i="22" s="1"/>
  <c r="P35" i="22"/>
  <c r="Q35" i="22" s="1"/>
  <c r="T35" i="22" s="1"/>
  <c r="P36" i="22"/>
  <c r="Q36" i="22" s="1"/>
  <c r="T36" i="22" s="1"/>
  <c r="P42" i="22"/>
  <c r="Q42" i="22" s="1"/>
  <c r="T42" i="22" s="1"/>
  <c r="P77" i="22"/>
  <c r="Q77" i="22" s="1"/>
  <c r="T77" i="22" s="1"/>
  <c r="P81" i="22"/>
  <c r="Q81" i="22" s="1"/>
  <c r="T81" i="22" s="1"/>
  <c r="P88" i="22"/>
  <c r="Q88" i="22" s="1"/>
  <c r="T88" i="22" s="1"/>
  <c r="P121" i="22"/>
  <c r="Q121" i="22" s="1"/>
  <c r="T121" i="22" s="1"/>
  <c r="P125" i="22"/>
  <c r="Q125" i="22" s="1"/>
  <c r="T125" i="22" s="1"/>
  <c r="P129" i="22"/>
  <c r="Q129" i="22" s="1"/>
  <c r="T129" i="22" s="1"/>
  <c r="P133" i="22"/>
  <c r="Q133" i="22" s="1"/>
  <c r="T133" i="22" s="1"/>
  <c r="P74" i="22"/>
  <c r="Q74" i="22" s="1"/>
  <c r="T74" i="22" s="1"/>
  <c r="P106" i="22"/>
  <c r="Q106" i="22" s="1"/>
  <c r="T106" i="22" s="1"/>
  <c r="P145" i="22"/>
  <c r="Q145" i="22" s="1"/>
  <c r="T145" i="22" s="1"/>
  <c r="J3" i="21"/>
  <c r="P15" i="22"/>
  <c r="Q15" i="22" s="1"/>
  <c r="T15" i="22" s="1"/>
  <c r="P51" i="22"/>
  <c r="Q51" i="22" s="1"/>
  <c r="T51" i="22" s="1"/>
  <c r="P55" i="22"/>
  <c r="Q55" i="22" s="1"/>
  <c r="T55" i="22" s="1"/>
  <c r="P56" i="22"/>
  <c r="Q56" i="22" s="1"/>
  <c r="T56" i="22" s="1"/>
  <c r="P59" i="22"/>
  <c r="Q59" i="22" s="1"/>
  <c r="T59" i="22" s="1"/>
  <c r="P67" i="22"/>
  <c r="Q67" i="22" s="1"/>
  <c r="T67" i="22" s="1"/>
  <c r="P71" i="22"/>
  <c r="Q71" i="22" s="1"/>
  <c r="T71" i="22" s="1"/>
  <c r="P111" i="22"/>
  <c r="Q111" i="22" s="1"/>
  <c r="T111" i="22" s="1"/>
  <c r="P142" i="22"/>
  <c r="Q142" i="22" s="1"/>
  <c r="T142" i="22" s="1"/>
  <c r="P146" i="22"/>
  <c r="Q146" i="22" s="1"/>
  <c r="T146" i="22" s="1"/>
  <c r="L5" i="31"/>
  <c r="Q5" i="31" s="1"/>
  <c r="T5" i="31" s="1"/>
  <c r="T28" i="22"/>
  <c r="P45" i="22"/>
  <c r="Q45" i="22" s="1"/>
  <c r="T45" i="22" s="1"/>
  <c r="T48" i="22"/>
  <c r="T92" i="22"/>
  <c r="T102" i="22"/>
  <c r="T112" i="22"/>
  <c r="P11" i="22"/>
  <c r="Q11" i="22" s="1"/>
  <c r="T11" i="22" s="1"/>
  <c r="P31" i="22"/>
  <c r="Q31" i="22" s="1"/>
  <c r="T31" i="22" s="1"/>
  <c r="P41" i="22"/>
  <c r="Q41" i="22" s="1"/>
  <c r="T41" i="22" s="1"/>
  <c r="P58" i="22"/>
  <c r="Q58" i="22" s="1"/>
  <c r="T58" i="22" s="1"/>
  <c r="P69" i="22"/>
  <c r="Q69" i="22" s="1"/>
  <c r="T69" i="22" s="1"/>
  <c r="P75" i="22"/>
  <c r="Q75" i="22" s="1"/>
  <c r="T75" i="22" s="1"/>
  <c r="P85" i="22"/>
  <c r="Q85" i="22" s="1"/>
  <c r="T85" i="22" s="1"/>
  <c r="P95" i="22"/>
  <c r="Q95" i="22" s="1"/>
  <c r="T95" i="22" s="1"/>
  <c r="P105" i="22"/>
  <c r="Q105" i="22" s="1"/>
  <c r="T105" i="22" s="1"/>
  <c r="P122" i="22"/>
  <c r="Q122" i="22" s="1"/>
  <c r="T122" i="22" s="1"/>
  <c r="P139" i="22"/>
  <c r="Q139" i="22" s="1"/>
  <c r="T139" i="22" s="1"/>
  <c r="P149" i="22"/>
  <c r="Q149" i="22" s="1"/>
  <c r="T149" i="22" s="1"/>
  <c r="N2" i="22"/>
  <c r="P2" i="22" s="1"/>
  <c r="Q2" i="22" s="1"/>
  <c r="T2" i="22" s="1"/>
  <c r="E2" i="11"/>
  <c r="J4" i="21"/>
  <c r="L4" i="31"/>
  <c r="Q4" i="31" s="1"/>
  <c r="T4" i="31" s="1"/>
  <c r="N4" i="22"/>
  <c r="P4" i="22" s="1"/>
  <c r="Q4" i="22" s="1"/>
  <c r="T4" i="22" s="1"/>
  <c r="P19" i="22"/>
  <c r="Q19" i="22" s="1"/>
  <c r="T19" i="22" s="1"/>
  <c r="P39" i="22"/>
  <c r="Q39" i="22" s="1"/>
  <c r="T39" i="22" s="1"/>
  <c r="P49" i="22"/>
  <c r="Q49" i="22" s="1"/>
  <c r="T49" i="22" s="1"/>
  <c r="P66" i="22"/>
  <c r="Q66" i="22" s="1"/>
  <c r="T66" i="22" s="1"/>
  <c r="P83" i="22"/>
  <c r="Q83" i="22" s="1"/>
  <c r="T83" i="22" s="1"/>
  <c r="P93" i="22"/>
  <c r="Q93" i="22" s="1"/>
  <c r="T93" i="22" s="1"/>
  <c r="P103" i="22"/>
  <c r="Q103" i="22" s="1"/>
  <c r="T103" i="22" s="1"/>
  <c r="P113" i="22"/>
  <c r="Q113" i="22" s="1"/>
  <c r="T113" i="22" s="1"/>
  <c r="P130" i="22"/>
  <c r="Q130" i="22" s="1"/>
  <c r="T130" i="22" s="1"/>
  <c r="P147" i="22"/>
  <c r="Q147" i="22" s="1"/>
  <c r="T147" i="22" s="1"/>
  <c r="P9" i="22"/>
  <c r="Q9" i="22" s="1"/>
  <c r="T9" i="22" s="1"/>
  <c r="T20" i="22"/>
  <c r="P26" i="22"/>
  <c r="Q26" i="22" s="1"/>
  <c r="T26" i="22" s="1"/>
  <c r="T30" i="22"/>
  <c r="P37" i="22"/>
  <c r="Q37" i="22" s="1"/>
  <c r="T37" i="22" s="1"/>
  <c r="T40" i="22"/>
  <c r="P43" i="22"/>
  <c r="Q43" i="22" s="1"/>
  <c r="T43" i="22" s="1"/>
  <c r="P63" i="22"/>
  <c r="Q63" i="22" s="1"/>
  <c r="T63" i="22" s="1"/>
  <c r="P73" i="22"/>
  <c r="Q73" i="22" s="1"/>
  <c r="T73" i="22" s="1"/>
  <c r="T84" i="22"/>
  <c r="P90" i="22"/>
  <c r="Q90" i="22" s="1"/>
  <c r="T90" i="22" s="1"/>
  <c r="T94" i="22"/>
  <c r="P107" i="22"/>
  <c r="Q107" i="22" s="1"/>
  <c r="T107" i="22" s="1"/>
  <c r="P117" i="22"/>
  <c r="Q117" i="22" s="1"/>
  <c r="T117" i="22" s="1"/>
  <c r="P127" i="22"/>
  <c r="Q127" i="22" s="1"/>
  <c r="T127" i="22" s="1"/>
  <c r="P137" i="22"/>
  <c r="Q137" i="22" s="1"/>
  <c r="T137" i="22" s="1"/>
  <c r="T148" i="22"/>
  <c r="I3" i="30"/>
  <c r="L3" i="30" s="1"/>
  <c r="N3" i="30" s="1"/>
  <c r="F4" i="11"/>
  <c r="P23" i="22"/>
  <c r="Q23" i="22" s="1"/>
  <c r="T23" i="22" s="1"/>
  <c r="P33" i="22"/>
  <c r="Q33" i="22" s="1"/>
  <c r="T33" i="22" s="1"/>
  <c r="P61" i="22"/>
  <c r="Q61" i="22" s="1"/>
  <c r="T61" i="22" s="1"/>
  <c r="P87" i="22"/>
  <c r="Q87" i="22" s="1"/>
  <c r="T87" i="22" s="1"/>
  <c r="P97" i="22"/>
  <c r="Q97" i="22" s="1"/>
  <c r="T97" i="22" s="1"/>
  <c r="P114" i="22"/>
  <c r="Q114" i="22" s="1"/>
  <c r="T114" i="22" s="1"/>
  <c r="P131" i="22"/>
  <c r="Q131" i="22" s="1"/>
  <c r="T131" i="22" s="1"/>
  <c r="P141" i="22"/>
  <c r="Q141" i="22" s="1"/>
  <c r="T141" i="22" s="1"/>
  <c r="Q3" i="31"/>
  <c r="T3" i="31" s="1"/>
  <c r="N3" i="22"/>
  <c r="P3" i="22" s="1"/>
  <c r="Q3" i="22" s="1"/>
  <c r="T3" i="22" s="1"/>
  <c r="O2" i="16"/>
  <c r="J5" i="21"/>
  <c r="N5" i="22"/>
  <c r="P5" i="22" s="1"/>
  <c r="Q5" i="22" s="1"/>
  <c r="T5" i="22" s="1"/>
  <c r="O3" i="16"/>
  <c r="J6" i="21"/>
  <c r="F3" i="11"/>
  <c r="O4" i="16"/>
  <c r="J7" i="21"/>
  <c r="L2" i="31"/>
  <c r="J8" i="21"/>
  <c r="J2" i="21"/>
  <c r="I2" i="30" l="1"/>
  <c r="L2" i="30" s="1"/>
  <c r="N2" i="30" s="1"/>
  <c r="K2" i="31"/>
  <c r="Q2" i="31" s="1"/>
  <c r="P2" i="31" l="1"/>
  <c r="T2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Уникальный ID канонической работы. Не зависит от старого RowNumber.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Единая нормализованная сущность. Например: «Выборка ложа».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Название, которое клиент увидит в КП.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Главный раздел КП.</t>
        </r>
      </text>
    </comment>
    <comment ref="F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Для этого листа обычно = Работа, но поле оставлено явным.</t>
        </r>
      </text>
    </comment>
    <comment ref="I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Базовая цена за единицу. Если метод расчета вариативный — можно оставить 0 и считать по вариантам.</t>
        </r>
      </text>
    </comment>
    <comment ref="J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Базовый способ выполнения, от которого считаются коэффициенты.</t>
        </r>
      </text>
    </comment>
    <comment ref="M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Можно ли включать позицию в шаблонные наборы/комплекты.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E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Коэффициент способа выполнения. Не считать его фактом — это рабочая гипотеза до калибровки.</t>
        </r>
      </text>
    </comment>
    <comment ref="F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Коэффициент условий объекта: стесненность, уклон, малый объем и т.д.</t>
        </r>
      </text>
    </comment>
    <comment ref="G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Если заполняется — имеет приоритет над расчетом через коэффициенты.</t>
        </r>
      </text>
    </comment>
    <comment ref="H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Опционально: итоговая цена за единицу, если хочешь хранить ее прямо в варианте.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Семейство материала: например «Брусчатка бетонная».</t>
        </r>
      </text>
    </comment>
    <comment ref="C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Каноническая сущность. Не плодить по одной строке на каждую толщину.</t>
        </r>
      </text>
    </comment>
    <comment ref="D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Базовое имя для клиента; точная версия может собираться из варианта.</t>
        </r>
      </text>
    </comment>
    <comment ref="K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Категория материала для фильтрации и правил.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Толщина — полноценный вариант материала, если влияет на цену и применимость.</t>
        </r>
      </text>
    </comment>
    <comment ref="G1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Полезно для правил подбора: дорожка / въезд / повышенная нагрузка.</t>
        </r>
      </text>
    </comment>
    <comment ref="I1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Цена за единицу материала именно для этого варианта.</t>
        </r>
      </text>
    </comment>
    <comment ref="J1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Как вариант будет показан клиенту в КП.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1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Оригинальная строка из старого прайса/файла. Ее не нужно нормализовать вручную.</t>
        </r>
      </text>
    </comment>
    <comment ref="D1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Старый RowNumber или иной идентификатор источника. Не ключ новой сущности.</t>
        </r>
      </text>
    </comment>
    <comment ref="G1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WorkID или MaterialID в зависимости от EntityType.</t>
        </r>
      </text>
    </comment>
    <comment ref="H1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Заполняется, если исходная строка относится к конкретному варианту.</t>
        </r>
      </text>
    </comment>
  </commentList>
</comments>
</file>

<file path=xl/sharedStrings.xml><?xml version="1.0" encoding="utf-8"?>
<sst xmlns="http://schemas.openxmlformats.org/spreadsheetml/2006/main" count="24703" uniqueCount="2731">
  <si>
    <t>README / START</t>
  </si>
  <si>
    <t>Добавлены реальные импортированные позиции из PRICE_MASTER</t>
  </si>
  <si>
    <t>Смотри листы: IMPORT_SUMMARY, PRICE_MASTER_REAL, WORK_MASTER_REAL, MATERIAL_MASTER_REAL, MATERIAL_VARIANTS_REAL, RAW_MAPPING_REAL</t>
  </si>
  <si>
    <t>Листы REAL_TARIFF_DEFAULTS_* содержат только безопасные стартовые правила 1:1 и требуют ручной настройки.</t>
  </si>
  <si>
    <t>Листы REAL_NORMALIZATION_REVIEW и REAL_GAPS показывают, где ещё нужна ручная доработка.</t>
  </si>
  <si>
    <t>3) MATERIAL_MASTER — канонические материалы/семейства.</t>
  </si>
  <si>
    <t>4) MATERIAL_VARIANTS — варианты материала (толщина, цвет, фаска, класс нагрузки, цена).</t>
  </si>
  <si>
    <t>5) RAW_MAPPING — связь сырых строк из старых прайсов с каноническими сущностями и вариантами.</t>
  </si>
  <si>
    <t>Базовые правила:</t>
  </si>
  <si>
    <t>• RawName хранить как пришло из исходника; не делать его универсальным.</t>
  </si>
  <si>
    <t>• CanonicalWork / CanonicalMaterial — единая нормализованная сущность.</t>
  </si>
  <si>
    <t>• RowNumber использовать только как след старой структуры, а не как ключ новой базы.</t>
  </si>
  <si>
    <t>• Ручной / механизированный способ — это вариант работы, а не новая сущность.</t>
  </si>
  <si>
    <t>• Толщина, цвет, фаска и т.п. у материалов — это вариант материала.</t>
  </si>
  <si>
    <t>Как добавлять новые позиции:</t>
  </si>
  <si>
    <t>1) Сначала ищи дубль по каноническому названию и синонимам.</t>
  </si>
  <si>
    <t>2) Если смысл тот же, добавляй вариант, а не новую сущность.</t>
  </si>
  <si>
    <t>3) Если смысл другой — создавай новый WorkID / MaterialID.</t>
  </si>
  <si>
    <t>4) Не добавляй составные позиции вроде «дренаж под ключ» как одну строку.</t>
  </si>
  <si>
    <t>Важно:</t>
  </si>
  <si>
    <t>• Значения коэффициентов и цен в примерах условные — это только демонстрация структуры.</t>
  </si>
  <si>
    <t>• Перед реальным запуском откалибруй коэффициенты на закрытых сметах.</t>
  </si>
  <si>
    <t>Новые листы для учёта условий объекта:</t>
  </si>
  <si>
    <t>6) OBJECT_CONDITIONS — карточка объекта: грунт, влажность, уклон, доступ, близость построек. Коэффициенты подтягиваются автоматически из SITE_COEFFS.</t>
  </si>
  <si>
    <t>7) WORK_FACTOR_APPLICABILITY — веса чувствительности каждой работы к условиям объекта. Формула SiteCoeffExample считает пример итогового коэффициента по выбранному ObjectID.</t>
  </si>
  <si>
    <t>8) SITE_COEFFS — справочник стартовых коэффициентов по грунту, влажности, уклону, стеснённости и механизации. Это гипотезы для калибровки на закрытых сметах.</t>
  </si>
  <si>
    <t>9) CONDITION_RULES — правила для генератора: принудительный выбор метода, предпочтительный метод, заметки и будущие автодобавления строк.</t>
  </si>
  <si>
    <t>Логика расчёта:</t>
  </si>
  <si>
    <t>• Сначала задаётся карточка объекта в OBJECT_CONDITIONS.</t>
  </si>
  <si>
    <t>• Затем для каждой работы в WORK_FACTOR_APPLICABILITY указываются веса влияния факторов от 0.0 до 1.0.</t>
  </si>
  <si>
    <t>• Итоговый SiteCoeff считается по взвешенной добавочной формуле, а не простым перемножением всех коэффициентов.</t>
  </si>
  <si>
    <t>• CONDITION_RULES нужны там, где условия меняют не только цену, но и состав решения.</t>
  </si>
  <si>
    <t>10) MATERIAL_ALLOWANCES — библиотека коэффициентов запаса по материалам: разрыхление, нахлест, подрезка, торцовка, техзапас.</t>
  </si>
  <si>
    <t>11) MATERIAL_FACTOR_APPLICABILITY — веса влияния геометрии, уклона, неровностей и доступа на перерасход материалов.</t>
  </si>
  <si>
    <t>12) MATERIAL_QUANTITY_EXAMPLE — пример расчёта итогового количества материала: чистый объем/площадь → запас → закупка.</t>
  </si>
  <si>
    <t>Логика по материалам:</t>
  </si>
  <si>
    <t>• Не смешивай коэффициент разрыхления с коэффициентом подрезки: это разные механики.</t>
  </si>
  <si>
    <t>• Для сыпучих материалов база часто считается от проектного уплотненного объема к закупке.</t>
  </si>
  <si>
    <t>• Для рулонных и листовых материалов запас складывается из нахлеста, подрезки и геометрии участка.</t>
  </si>
  <si>
    <t>• Для досок и погонажа нужен отдельный запас на раскрой/торцовку.</t>
  </si>
  <si>
    <t>Новый слой: тарифы сметы</t>
  </si>
  <si>
    <t>1) Тариф = не просто наценка. Он влияет на коэффициенты продаж, предпочтительные варианты материалов и режим показа строк.</t>
  </si>
  <si>
    <t>2) Используй лист TARIFF_PROFILES для профилей Эконом / Стандарт / Премиум.</t>
  </si>
  <si>
    <t>3) WORK_TARIFF_RULES задает предпочтительный способ выполнения и переименование работ по тарифу.</t>
  </si>
  <si>
    <t>4) MATERIAL_TARIFF_RULES задает предпочтительный вариант материала, поправку к цене и поправку к запасу по тарифу.</t>
  </si>
  <si>
    <t>5) TARIFF_COMPOSITION_RULES хранит замены и укрупнение/детализацию состава под тариф.</t>
  </si>
  <si>
    <t>6) TARIFF_KP_EXAMPLE показывает, как тариф влияет на работу и материал в расчете.</t>
  </si>
  <si>
    <t>V5 — критическая пересборка архитектуры</t>
  </si>
  <si>
    <t>Что было слабым: не хватало порядка применения правил, коммерческих floors, округления закупки, distance/season/urgency, tax/VAT, validation и libraries inclusions/exclusions.</t>
  </si>
  <si>
    <t>Что добавлено: CRITIQUE_AND_GAPS, CALC_PRECEDENCE, OPERATING_COEFFS, TAX_MODES, COMMERCIAL_POLICY, PROCUREMENT_RULES, DEPENDENCY_RULES, OUTPUT_RULES, VALIDATION_RULES, VALIDATION_EXAMPLE, EXCLUSIONS_LIBRARY, KP_ENGINE_V5_EXAMPLE.</t>
  </si>
  <si>
    <t>Смысл: шаблон перестроен из «набора примеров» в более полный каркас движка генератора КП.</t>
  </si>
  <si>
    <t>Layer</t>
  </si>
  <si>
    <t>CurrentWeakness</t>
  </si>
  <si>
    <t>WhyItBreaksTheGenerator</t>
  </si>
  <si>
    <t>WhatWasAddedInV5</t>
  </si>
  <si>
    <t>Priority</t>
  </si>
  <si>
    <t>Status</t>
  </si>
  <si>
    <t>1. Архитектура расчета</t>
  </si>
  <si>
    <t>Не была явно зафиксирована очередность применения правил и коэффициентов</t>
  </si>
  <si>
    <t>Без порядка приоритета модель начинает по-разному считать одну и ту же строку</t>
  </si>
  <si>
    <t>Добавлен лист CALC_PRECEDENCE с порядком применения: override → variant → site → tariff → reserve → rounding → min charges → VAT</t>
  </si>
  <si>
    <t>Critical</t>
  </si>
  <si>
    <t>Added</t>
  </si>
  <si>
    <t>2. Условия объекта</t>
  </si>
  <si>
    <t>Были грунт/рельеф, но не было расстояния, сезона, срочности и налогового режима</t>
  </si>
  <si>
    <t>Коммерческая цена и логистика поедут даже при верных работах и материалах</t>
  </si>
  <si>
    <t>OBJECT_CONDITIONS расширен: distance, season, urgency, tax, VAT</t>
  </si>
  <si>
    <t>3. Логистика и операционные коэффициенты</t>
  </si>
  <si>
    <t>Отсутствовали distance/season/urgency коэффициенты</t>
  </si>
  <si>
    <t>Занижение маленьких, дальних и срочных объектов</t>
  </si>
  <si>
    <t>Добавлен OPERATING_COEFFS</t>
  </si>
  <si>
    <t>High</t>
  </si>
  <si>
    <t>4. Закупка материалов</t>
  </si>
  <si>
    <t>Был запас, но не было правил округления закупки, MOQ и шагов заказа</t>
  </si>
  <si>
    <t>Генератор может посчитать правильный расход и все равно неверно заказать</t>
  </si>
  <si>
    <t>Добавлен PROCUREMENT_RULES</t>
  </si>
  <si>
    <t>5. Минимальные коммерческие пороги</t>
  </si>
  <si>
    <t>Не было minimum charge, mobilization, visit charge, floor для маленьких объектов</t>
  </si>
  <si>
    <t>Мелкие заказы будут системно недооценены</t>
  </si>
  <si>
    <t>Добавлен COMMERCIAL_POLICY</t>
  </si>
  <si>
    <t>6. Совместимость и автодобавления</t>
  </si>
  <si>
    <t>Не было явного слоя dependency/compatibility</t>
  </si>
  <si>
    <t>Смета может собрать невозможную комбинацию</t>
  </si>
  <si>
    <t>Добавлен DEPENDENCY_RULES</t>
  </si>
  <si>
    <t>7. Вывод клиенту</t>
  </si>
  <si>
    <t>Не было отдельной политики вывода по разделам и типам строк</t>
  </si>
  <si>
    <t>КП может быть либо перегружено, либо слишком пусто</t>
  </si>
  <si>
    <t>Добавлен OUTPUT_RULES</t>
  </si>
  <si>
    <t>Medium</t>
  </si>
  <si>
    <t>8. Контроль качества данных</t>
  </si>
  <si>
    <t>Не было валидации обязательных полей и конфликтов</t>
  </si>
  <si>
    <t>Ошибки останутся тихими до момента отправки КП</t>
  </si>
  <si>
    <t>Добавлены VALIDATION_RULES и VALIDATION_EXAMPLE</t>
  </si>
  <si>
    <t>9. Юридические и коммерческие оговорки</t>
  </si>
  <si>
    <t>Не было библиотеки стандартных inclusion/exclusion/assumption</t>
  </si>
  <si>
    <t>Даже верная цифра без условий порождает спор с клиентом</t>
  </si>
  <si>
    <t>Добавлен EXCLUSIONS_LIBRARY</t>
  </si>
  <si>
    <t>10. Управление ценами</t>
  </si>
  <si>
    <t>В каталогах не хватало price source/validity/tax/lead time</t>
  </si>
  <si>
    <t>Нельзя контролировать устаревшие цены и происхождение цифры</t>
  </si>
  <si>
    <t>Расширены WORK_MASTER и MATERIAL_VARIANTS</t>
  </si>
  <si>
    <t>11. Внутренний и клиентский контур</t>
  </si>
  <si>
    <t>Не были разделены коммерческие коэффициенты и налоговый режим</t>
  </si>
  <si>
    <t>Смешивание sell-logic и tax приводит к двойному/нулевому НДС</t>
  </si>
  <si>
    <t>Добавлены TAX_MODES и логика VAT в примерах</t>
  </si>
  <si>
    <t>12. Итоговый пример расчета</t>
  </si>
  <si>
    <t>Пример был полезным, но не отражал полный расчетный стек</t>
  </si>
  <si>
    <t>Пользователь не видит, как сходятся все правила вместе</t>
  </si>
  <si>
    <t>Добавлен KP_ENGINE_V5_EXAMPLE</t>
  </si>
  <si>
    <t>StepNo</t>
  </si>
  <si>
    <t>AppliedWhen</t>
  </si>
  <si>
    <t>RuleSource</t>
  </si>
  <si>
    <t>OutputField</t>
  </si>
  <si>
    <t>PriorityLogic</t>
  </si>
  <si>
    <t>FormulaSkeleton</t>
  </si>
  <si>
    <t>WhyNeeded</t>
  </si>
  <si>
    <t>Notes</t>
  </si>
  <si>
    <t>Direct override</t>
  </si>
  <si>
    <t>Если задан ManualOverridePrice или explicit PreferredVariantID</t>
  </si>
  <si>
    <t>WORK_VARIANTS / ручной ввод</t>
  </si>
  <si>
    <t>BaseUnitPrice / Variant</t>
  </si>
  <si>
    <t>Override всегда бьет базу</t>
  </si>
  <si>
    <t>Price = ManualOverridePrice</t>
  </si>
  <si>
    <t>Позволяет не ломать модель там, где коэффициентами не описать</t>
  </si>
  <si>
    <t>Для rare cases</t>
  </si>
  <si>
    <t>Variant resolution</t>
  </si>
  <si>
    <t>Когда есть Method/Variant/Tariff rules</t>
  </si>
  <si>
    <t>WORK_VARIANTS / MATERIAL_VARIANTS / *_TARIFF_RULES</t>
  </si>
  <si>
    <t>ResolvedVariantID / MethodCoeff</t>
  </si>
  <si>
    <t>Выбрать прямую цену варианта до общих коэффициентов</t>
  </si>
  <si>
    <t>Base = VariantPrice or MasterBasePrice</t>
  </si>
  <si>
    <t>Иначе база и вариант конфликтуют</t>
  </si>
  <si>
    <t>Site factors</t>
  </si>
  <si>
    <t>Когда строка чувствительна к условиям участка</t>
  </si>
  <si>
    <t>WORK_FACTOR_APPLICABILITY / MATERIAL_FACTOR_APPLICABILITY / OBJECT_CONDITIONS</t>
  </si>
  <si>
    <t>SiteCoeff</t>
  </si>
  <si>
    <t>Только для чувствительных позиций</t>
  </si>
  <si>
    <t>Adj = 1 + Σ(weight*(coeff-1))</t>
  </si>
  <si>
    <t>Иначе будет двойной учет</t>
  </si>
  <si>
    <t>Operating factors</t>
  </si>
  <si>
    <t>Дальность, сезон, срочность</t>
  </si>
  <si>
    <t>OPERATING_COEFFS / OBJECT_CONDITIONS</t>
  </si>
  <si>
    <t>OperatingCoeff</t>
  </si>
  <si>
    <t>Применять только к work/logistics и частично к material delivery</t>
  </si>
  <si>
    <t>Adj = Distance*Season*Urgency</t>
  </si>
  <si>
    <t>Учитывает эксплуатационную реальность</t>
  </si>
  <si>
    <t>Tariff rules</t>
  </si>
  <si>
    <t>Всегда при выбранном тарифе</t>
  </si>
  <si>
    <t>TARIFF_PROFILES / *_TARIFF_RULES</t>
  </si>
  <si>
    <t>TariffCoeff / display</t>
  </si>
  <si>
    <t>Override строки сильнее профиля тарифа</t>
  </si>
  <si>
    <t>Adj = TariffOverride or TariffProfile</t>
  </si>
  <si>
    <t>Тариф меняет не только цену, но и вывод</t>
  </si>
  <si>
    <t>Reserve / waste</t>
  </si>
  <si>
    <t>Только для материалов</t>
  </si>
  <si>
    <t>MATERIAL_ALLOWANCES + тариф bias</t>
  </si>
  <si>
    <t>ReserveCoeff</t>
  </si>
  <si>
    <t>Сначала физический расход, затем bias тарифа</t>
  </si>
  <si>
    <t>PurchaseNet = NetQty * ReserveCoeff</t>
  </si>
  <si>
    <t>Разных причин потерь нельзя смешивать</t>
  </si>
  <si>
    <t>Procurement rounding</t>
  </si>
  <si>
    <t>Только для материалов/логистики</t>
  </si>
  <si>
    <t>PROCUREMENT_RULES</t>
  </si>
  <si>
    <t>PurchaseQty</t>
  </si>
  <si>
    <t>Округление после запаса</t>
  </si>
  <si>
    <t>PurchaseQty = ROUNDUP(...)</t>
  </si>
  <si>
    <t>Иначе расход верный, закупка неверная</t>
  </si>
  <si>
    <t>Commercial floors</t>
  </si>
  <si>
    <t>Малые объекты, выезды, мобилизация</t>
  </si>
  <si>
    <t>COMMERCIAL_POLICY</t>
  </si>
  <si>
    <t>MinCharge / Mobilization</t>
  </si>
  <si>
    <t>После построчного расчета и до НДС</t>
  </si>
  <si>
    <t>Subtotal = MAX(sum, MinQuoteValue)+charges</t>
  </si>
  <si>
    <t>Иначе маленькие объекты убыточны</t>
  </si>
  <si>
    <t>VAT / tax</t>
  </si>
  <si>
    <t>В конце</t>
  </si>
  <si>
    <t>TAX_MODES / OBJECT_CONDITIONS</t>
  </si>
  <si>
    <t>PriceIncVAT</t>
  </si>
  <si>
    <t>НДС последним слоем поверх ex VAT</t>
  </si>
  <si>
    <t>IncVAT = ExVAT*(1+VATRate)</t>
  </si>
  <si>
    <t>Иначе высокий риск двойного учета</t>
  </si>
  <si>
    <t>Output assembly</t>
  </si>
  <si>
    <t>После расчета</t>
  </si>
  <si>
    <t>OUTPUT_RULES / EXCLUSIONS_LIBRARY</t>
  </si>
  <si>
    <t>Client lines and notes</t>
  </si>
  <si>
    <t>Не меняет математику, меняет упаковку</t>
  </si>
  <si>
    <t>Bundle, hide, reorder, append notes</t>
  </si>
  <si>
    <t>Иначе хороший расчет плохо продается</t>
  </si>
  <si>
    <t>Sections</t>
  </si>
  <si>
    <t>PositionTypes</t>
  </si>
  <si>
    <t>Units</t>
  </si>
  <si>
    <t>DisplayModes</t>
  </si>
  <si>
    <t>ExecutionMethods</t>
  </si>
  <si>
    <t>PricingModels</t>
  </si>
  <si>
    <t>YesNo</t>
  </si>
  <si>
    <t>EntityTypes</t>
  </si>
  <si>
    <t>MappingConfidence</t>
  </si>
  <si>
    <t>MappingStatus</t>
  </si>
  <si>
    <t>LoadClass</t>
  </si>
  <si>
    <t>Surface</t>
  </si>
  <si>
    <t>EdgeType</t>
  </si>
  <si>
    <t>Colors</t>
  </si>
  <si>
    <t>MaterialTypes</t>
  </si>
  <si>
    <t>SoilWorkability</t>
  </si>
  <si>
    <t>SoilMoisture</t>
  </si>
  <si>
    <t>DebrisLevel</t>
  </si>
  <si>
    <t>SlopeClass</t>
  </si>
  <si>
    <t>UnevennessClass</t>
  </si>
  <si>
    <t>AccessClass</t>
  </si>
  <si>
    <t>TurnSpace</t>
  </si>
  <si>
    <t>ProximityClass</t>
  </si>
  <si>
    <t>MachineryAllowed</t>
  </si>
  <si>
    <t>RuleAction</t>
  </si>
  <si>
    <t>RuleScope</t>
  </si>
  <si>
    <t>ConditionFields</t>
  </si>
  <si>
    <t>AllowanceGroups</t>
  </si>
  <si>
    <t>AllowanceTypes</t>
  </si>
  <si>
    <t>MaterialCalcModes</t>
  </si>
  <si>
    <t>GeometryComplexity</t>
  </si>
  <si>
    <t>PurchaseUnits</t>
  </si>
  <si>
    <t>MaterialScopeType</t>
  </si>
  <si>
    <t>MaterialConditionFields</t>
  </si>
  <si>
    <t>Tariffs</t>
  </si>
  <si>
    <t>TariffScope</t>
  </si>
  <si>
    <t>TariffDisplayMode</t>
  </si>
  <si>
    <t>SeasonClass</t>
  </si>
  <si>
    <t>UrgencyClass</t>
  </si>
  <si>
    <t>DistanceClass</t>
  </si>
  <si>
    <t>TaxModes</t>
  </si>
  <si>
    <t>RoundingModes</t>
  </si>
  <si>
    <t>PurchaseRoundBasis</t>
  </si>
  <si>
    <t>Severity</t>
  </si>
  <si>
    <t>ValidationRuleType</t>
  </si>
  <si>
    <t>KPLineTypes</t>
  </si>
  <si>
    <t>BundleModes</t>
  </si>
  <si>
    <t>InclusionType</t>
  </si>
  <si>
    <t>ApprovalLevel</t>
  </si>
  <si>
    <t>PriceSourceType</t>
  </si>
  <si>
    <t>SortProfile</t>
  </si>
  <si>
    <t>Мощение</t>
  </si>
  <si>
    <t>Работа</t>
  </si>
  <si>
    <t>м2</t>
  </si>
  <si>
    <t>Показать строкой</t>
  </si>
  <si>
    <t>Стандарт</t>
  </si>
  <si>
    <t>за м2</t>
  </si>
  <si>
    <t>Да</t>
  </si>
  <si>
    <t>Work</t>
  </si>
  <si>
    <t>Approved</t>
  </si>
  <si>
    <t>Пешеходная</t>
  </si>
  <si>
    <t>Гладкая</t>
  </si>
  <si>
    <t>Без фаски</t>
  </si>
  <si>
    <t>Серый</t>
  </si>
  <si>
    <t>Покрытие</t>
  </si>
  <si>
    <t>Лёгкая</t>
  </si>
  <si>
    <t>Сухая</t>
  </si>
  <si>
    <t>Нет</t>
  </si>
  <si>
    <t>0-3%</t>
  </si>
  <si>
    <t>Низкая</t>
  </si>
  <si>
    <t>Свободный</t>
  </si>
  <si>
    <t>Достаточно</t>
  </si>
  <si>
    <t>Нет влияния</t>
  </si>
  <si>
    <t>ForceMethod</t>
  </si>
  <si>
    <t>Сыпучие с уплотнением</t>
  </si>
  <si>
    <t>Разрыхление/уплотнение</t>
  </si>
  <si>
    <t>NetQty x BaseReserveCoeff</t>
  </si>
  <si>
    <t>Простая</t>
  </si>
  <si>
    <t>MaterialType</t>
  </si>
  <si>
    <t>Эконом</t>
  </si>
  <si>
    <t>Свернуть в раздел</t>
  </si>
  <si>
    <t>Низкий сезон</t>
  </si>
  <si>
    <t>Планово</t>
  </si>
  <si>
    <t>До 10 км</t>
  </si>
  <si>
    <t>Без НДС</t>
  </si>
  <si>
    <t>UP</t>
  </si>
  <si>
    <t>По упаковке</t>
  </si>
  <si>
    <t>Info</t>
  </si>
  <si>
    <t>Required</t>
  </si>
  <si>
    <t>Минимум</t>
  </si>
  <si>
    <t>Inclusion</t>
  </si>
  <si>
    <t>Менеджер</t>
  </si>
  <si>
    <t>Прайс поставщика</t>
  </si>
  <si>
    <t>Газон</t>
  </si>
  <si>
    <t>Материал</t>
  </si>
  <si>
    <t>м.п.</t>
  </si>
  <si>
    <t>Ручной</t>
  </si>
  <si>
    <t>за м.п.</t>
  </si>
  <si>
    <t>Material</t>
  </si>
  <si>
    <t>Review</t>
  </si>
  <si>
    <t>Легковой транспорт</t>
  </si>
  <si>
    <t>Фактурная</t>
  </si>
  <si>
    <t>С фаской</t>
  </si>
  <si>
    <t>Красный</t>
  </si>
  <si>
    <t>Сыпучий материал</t>
  </si>
  <si>
    <t>Средняя</t>
  </si>
  <si>
    <t>Нормальная</t>
  </si>
  <si>
    <t>Умеренно</t>
  </si>
  <si>
    <t>3-8%</t>
  </si>
  <si>
    <t>Ограниченный</t>
  </si>
  <si>
    <t>Ограниченно</t>
  </si>
  <si>
    <t>Близко</t>
  </si>
  <si>
    <t>Частично</t>
  </si>
  <si>
    <t>PreferMethod</t>
  </si>
  <si>
    <t>Section</t>
  </si>
  <si>
    <t>Сыпучие без уплотнения</t>
  </si>
  <si>
    <t>Запас на подрезку</t>
  </si>
  <si>
    <t>NetQty x BaseReserveCoeff x SiteReserveCoeff</t>
  </si>
  <si>
    <t>шт</t>
  </si>
  <si>
    <t>MaterialFamily</t>
  </si>
  <si>
    <t>Базовый сезон</t>
  </si>
  <si>
    <t>Ускоренно</t>
  </si>
  <si>
    <t>10-30 км</t>
  </si>
  <si>
    <t>С НДС 20%</t>
  </si>
  <si>
    <t>NEAREST</t>
  </si>
  <si>
    <t>По паллете</t>
  </si>
  <si>
    <t>Warn</t>
  </si>
  <si>
    <t>AllowedList</t>
  </si>
  <si>
    <t>База</t>
  </si>
  <si>
    <t>Exclusion</t>
  </si>
  <si>
    <t>Прораб</t>
  </si>
  <si>
    <t>Историческая цена</t>
  </si>
  <si>
    <t>Дренаж</t>
  </si>
  <si>
    <t>Техника</t>
  </si>
  <si>
    <t>Скрыть из клиентской версии</t>
  </si>
  <si>
    <t>Механизированный</t>
  </si>
  <si>
    <t>за шт</t>
  </si>
  <si>
    <t>Low</t>
  </si>
  <si>
    <t>Draft</t>
  </si>
  <si>
    <t>Повышенная нагрузка</t>
  </si>
  <si>
    <t>Не задано</t>
  </si>
  <si>
    <t>Коричневый</t>
  </si>
  <si>
    <t>Бортовой элемент</t>
  </si>
  <si>
    <t>Тяжёлая</t>
  </si>
  <si>
    <t>Влажная</t>
  </si>
  <si>
    <t>Высоко</t>
  </si>
  <si>
    <t>8-15%</t>
  </si>
  <si>
    <t>Высокая</t>
  </si>
  <si>
    <t>Очень стеснённый</t>
  </si>
  <si>
    <t>Очень близко</t>
  </si>
  <si>
    <t>AddNote</t>
  </si>
  <si>
    <t>Штучное покрытие</t>
  </si>
  <si>
    <t>Запас на нахлест</t>
  </si>
  <si>
    <t>DesignCompactedVolume x BaseReserveCoeff</t>
  </si>
  <si>
    <t>Сложная</t>
  </si>
  <si>
    <t>рулон</t>
  </si>
  <si>
    <t>MaterialID</t>
  </si>
  <si>
    <t>SurfaceUnevenness</t>
  </si>
  <si>
    <t>Премиум</t>
  </si>
  <si>
    <t>Высокий сезон</t>
  </si>
  <si>
    <t>Срочно</t>
  </si>
  <si>
    <t>30-60 км</t>
  </si>
  <si>
    <t>С НДС 10%</t>
  </si>
  <si>
    <t>DOWN</t>
  </si>
  <si>
    <t>По рулону/листу</t>
  </si>
  <si>
    <t>Block</t>
  </si>
  <si>
    <t>NonNegative</t>
  </si>
  <si>
    <t>Logistics</t>
  </si>
  <si>
    <t>Детально</t>
  </si>
  <si>
    <t>Assumption</t>
  </si>
  <si>
    <t>Финдир</t>
  </si>
  <si>
    <t>Ручной ввод</t>
  </si>
  <si>
    <t>Ливневая канализация</t>
  </si>
  <si>
    <t>Логистика</t>
  </si>
  <si>
    <t>м3</t>
  </si>
  <si>
    <t>Смешанный</t>
  </si>
  <si>
    <t>за м3</t>
  </si>
  <si>
    <t>Не задан</t>
  </si>
  <si>
    <t>Черный</t>
  </si>
  <si>
    <t>Сетка / текстиль</t>
  </si>
  <si>
    <t>Очень тяжёлая</t>
  </si>
  <si>
    <t>Переувлажнённая</t>
  </si>
  <si>
    <t>&gt;15%</t>
  </si>
  <si>
    <t>AddWork</t>
  </si>
  <si>
    <t>Рулонный текстиль</t>
  </si>
  <si>
    <t>Запас на стыковку/подгонку</t>
  </si>
  <si>
    <t>DesignCompactedVolume x BaseReserveCoeff x SiteReserveCoeff</t>
  </si>
  <si>
    <t>Очень сложная</t>
  </si>
  <si>
    <t>лист</t>
  </si>
  <si>
    <t>AllowanceGroup</t>
  </si>
  <si>
    <t>Зимние условия</t>
  </si>
  <si>
    <t>60+ км</t>
  </si>
  <si>
    <t>По рейсу</t>
  </si>
  <si>
    <t>Compatibility</t>
  </si>
  <si>
    <t>Overhead</t>
  </si>
  <si>
    <t>Руководитель</t>
  </si>
  <si>
    <t>Расчетная</t>
  </si>
  <si>
    <t>Внутренний</t>
  </si>
  <si>
    <t>Освещение</t>
  </si>
  <si>
    <t>Накладные</t>
  </si>
  <si>
    <t>компл</t>
  </si>
  <si>
    <t>фикс</t>
  </si>
  <si>
    <t>Прочее</t>
  </si>
  <si>
    <t>AddMaterial</t>
  </si>
  <si>
    <t>Рулонный газон / турф</t>
  </si>
  <si>
    <t>Бой/технологический запас</t>
  </si>
  <si>
    <t>пачка</t>
  </si>
  <si>
    <t>ProximityToBuildings</t>
  </si>
  <si>
    <t>Без округления</t>
  </si>
  <si>
    <t>Flag</t>
  </si>
  <si>
    <t>Service</t>
  </si>
  <si>
    <t>Земляные и планировочные работы</t>
  </si>
  <si>
    <t>Услуга</t>
  </si>
  <si>
    <t>смена</t>
  </si>
  <si>
    <t>%</t>
  </si>
  <si>
    <t>Пленка / мембрана</t>
  </si>
  <si>
    <t>Торцовка/раскрой</t>
  </si>
  <si>
    <t>Ступени / пандусы / бетонные элементы</t>
  </si>
  <si>
    <t>по запросу</t>
  </si>
  <si>
    <t>Погонаж / доска</t>
  </si>
  <si>
    <t>Технологический запас</t>
  </si>
  <si>
    <t>Закладные / коммуникации</t>
  </si>
  <si>
    <t>усл.</t>
  </si>
  <si>
    <t>Рулонный газон</t>
  </si>
  <si>
    <t>Линейный / штучный без существенной подрезки</t>
  </si>
  <si>
    <t>Демонтаж и расчистка</t>
  </si>
  <si>
    <t>м</t>
  </si>
  <si>
    <t>Посадки и уход</t>
  </si>
  <si>
    <t>т</t>
  </si>
  <si>
    <t>Полив</t>
  </si>
  <si>
    <t>кг</t>
  </si>
  <si>
    <t>Вывоз и утилизация</t>
  </si>
  <si>
    <t>Временные сооружения и обеспечение</t>
  </si>
  <si>
    <t>Логистика и снабжение</t>
  </si>
  <si>
    <t>Накладные / коэффициенты</t>
  </si>
  <si>
    <t>Сопровождение проекта / услуги</t>
  </si>
  <si>
    <t>WorkID</t>
  </si>
  <si>
    <t>CanonicalWork</t>
  </si>
  <si>
    <t>CommercialName</t>
  </si>
  <si>
    <t>Subsection</t>
  </si>
  <si>
    <t>PositionType</t>
  </si>
  <si>
    <t>Unit</t>
  </si>
  <si>
    <t>PricingModel</t>
  </si>
  <si>
    <t>BasePrice</t>
  </si>
  <si>
    <t>BaseMethod</t>
  </si>
  <si>
    <t>ClientDisplayMode</t>
  </si>
  <si>
    <t>Keywords</t>
  </si>
  <si>
    <t>BundleEligible</t>
  </si>
  <si>
    <t>IsActive</t>
  </si>
  <si>
    <t>TariffSensitive</t>
  </si>
  <si>
    <t>PriceSource</t>
  </si>
  <si>
    <t>PriceValidFrom</t>
  </si>
  <si>
    <t>PriceValidTo</t>
  </si>
  <si>
    <t>TaxMode</t>
  </si>
  <si>
    <t>CrewType</t>
  </si>
  <si>
    <t>MinCrewDays</t>
  </si>
  <si>
    <t>WORK-0001</t>
  </si>
  <si>
    <t>Выборка ложа</t>
  </si>
  <si>
    <t>Подготовка ложа</t>
  </si>
  <si>
    <t>Подготовка основания</t>
  </si>
  <si>
    <t>выборка, ложе, основание</t>
  </si>
  <si>
    <t>Пример канонической работы</t>
  </si>
  <si>
    <t>Бригада мощения</t>
  </si>
  <si>
    <t>WORK-0002</t>
  </si>
  <si>
    <t>Устройство газонного ложа</t>
  </si>
  <si>
    <t>Устройство газонного основания</t>
  </si>
  <si>
    <t>газонное ложе, основание газона</t>
  </si>
  <si>
    <t>Пример для работы с вариантами метода</t>
  </si>
  <si>
    <t>WORK-0003</t>
  </si>
  <si>
    <t>Копка траншеи</t>
  </si>
  <si>
    <t>Разработка траншеи</t>
  </si>
  <si>
    <t>Траншеи</t>
  </si>
  <si>
    <t>траншея, кабель, копка</t>
  </si>
  <si>
    <t>Базовую цену заполнить</t>
  </si>
  <si>
    <t>WORK-0004</t>
  </si>
  <si>
    <t>Монтаж бордюра бетонного</t>
  </si>
  <si>
    <t>Монтаж бордюра</t>
  </si>
  <si>
    <t>Бордюры</t>
  </si>
  <si>
    <t>бордюр, монтаж</t>
  </si>
  <si>
    <t>VariantID</t>
  </si>
  <si>
    <t>ExecutionMethod</t>
  </si>
  <si>
    <t>ConditionTag</t>
  </si>
  <si>
    <t>MethodCoeff</t>
  </si>
  <si>
    <t>ConditionCoeff</t>
  </si>
  <si>
    <t>ManualOverridePrice</t>
  </si>
  <si>
    <t>EffectiveUnitPrice</t>
  </si>
  <si>
    <t>IsDefault</t>
  </si>
  <si>
    <t>WV-0001</t>
  </si>
  <si>
    <t>Пример: коэффициент только для демонстрации</t>
  </si>
  <si>
    <t>WV-0002</t>
  </si>
  <si>
    <t>WV-0003</t>
  </si>
  <si>
    <t>WV-0004</t>
  </si>
  <si>
    <t>Пример, который нужно калибровать</t>
  </si>
  <si>
    <t>WV-0005</t>
  </si>
  <si>
    <t>WV-0006</t>
  </si>
  <si>
    <t>Стесненные условия</t>
  </si>
  <si>
    <t>Пример 2-го слоя коэффициентов</t>
  </si>
  <si>
    <t>CanonicalMaterial</t>
  </si>
  <si>
    <t>CommercialBaseName</t>
  </si>
  <si>
    <t>BaseUnit</t>
  </si>
  <si>
    <t>LengthMM</t>
  </si>
  <si>
    <t>WidthMM</t>
  </si>
  <si>
    <t>DefaultClientDisplayMode</t>
  </si>
  <si>
    <t>BaseReserveCoeff</t>
  </si>
  <si>
    <t>AllowanceCalcMode</t>
  </si>
  <si>
    <t>MAT-0001</t>
  </si>
  <si>
    <t>Брусчатка бетонная</t>
  </si>
  <si>
    <t>Брусчатка бетонная 200x100</t>
  </si>
  <si>
    <t>Одна сущность, а толщина/цвет/фаска идут в варианты</t>
  </si>
  <si>
    <t>MAT-0002</t>
  </si>
  <si>
    <t>Бордюр бетонный</t>
  </si>
  <si>
    <t>Бордюр бетонный 1000x200x80</t>
  </si>
  <si>
    <t>Размеры можно хранить по бизнес-логике</t>
  </si>
  <si>
    <t>MAT-0003</t>
  </si>
  <si>
    <t>Геотекстиль</t>
  </si>
  <si>
    <t>Геотекстиль 200 г/м2</t>
  </si>
  <si>
    <t>Разделительный слой</t>
  </si>
  <si>
    <t>Базовый пример рулонного материала с нахлестом и подрезкой</t>
  </si>
  <si>
    <t>MAT-0004</t>
  </si>
  <si>
    <t>Газон рулонный</t>
  </si>
  <si>
    <t>Газон рулонный стандарт</t>
  </si>
  <si>
    <t>Запас нужен на подрезку и подгонку по геометрии</t>
  </si>
  <si>
    <t>MAT-0005</t>
  </si>
  <si>
    <t>Пленка / мембрана защитная</t>
  </si>
  <si>
    <t>Изоляция</t>
  </si>
  <si>
    <t>Обычно есть нахлест и подрезка</t>
  </si>
  <si>
    <t>MAT-0006</t>
  </si>
  <si>
    <t>Террасная доска</t>
  </si>
  <si>
    <t>Террасная доска стандарт</t>
  </si>
  <si>
    <t>Деревянные покрытия</t>
  </si>
  <si>
    <t>Нужен запас на торцовку и раскрой</t>
  </si>
  <si>
    <t>MAT-0007</t>
  </si>
  <si>
    <t>Щебень фр. 20-40</t>
  </si>
  <si>
    <t>Щебень</t>
  </si>
  <si>
    <t>Основание</t>
  </si>
  <si>
    <t>От проектного уплотненного объема к закупке через коэффициент</t>
  </si>
  <si>
    <t>ThicknessMM</t>
  </si>
  <si>
    <t>Color</t>
  </si>
  <si>
    <t>Manufacturer</t>
  </si>
  <si>
    <t>PricePerUnit</t>
  </si>
  <si>
    <t>ClientName</t>
  </si>
  <si>
    <t>PurchaseUnit</t>
  </si>
  <si>
    <t>CoveragePerPurchaseUnit</t>
  </si>
  <si>
    <t>CoverageUnit</t>
  </si>
  <si>
    <t>Supplier</t>
  </si>
  <si>
    <t>LeadTimeDays</t>
  </si>
  <si>
    <t>MOQ</t>
  </si>
  <si>
    <t>OrderStepQty</t>
  </si>
  <si>
    <t>MV-0001</t>
  </si>
  <si>
    <t>Брусчатка бетонная 200x100x40 мм</t>
  </si>
  <si>
    <t>Пример варианта; цену заполнить</t>
  </si>
  <si>
    <t>Поставщик A</t>
  </si>
  <si>
    <t>MV-0002</t>
  </si>
  <si>
    <t>Брусчатка бетонная 200x100x60 мм</t>
  </si>
  <si>
    <t>Базовый вариант для частного участка</t>
  </si>
  <si>
    <t>MV-0003</t>
  </si>
  <si>
    <t>Брусчатка бетонная 200x100x80 мм</t>
  </si>
  <si>
    <t>MV-0004</t>
  </si>
  <si>
    <t>Площадь рулона заполни по поставщику</t>
  </si>
  <si>
    <t>MV-0005</t>
  </si>
  <si>
    <t>Размер рулона заполни по поставщику</t>
  </si>
  <si>
    <t>MV-0006</t>
  </si>
  <si>
    <t>Ширину рулона и покрытие укажи по поставщику</t>
  </si>
  <si>
    <t>MV-0007</t>
  </si>
  <si>
    <t>Укажи покрытие одной пачки или одной доски</t>
  </si>
  <si>
    <t>MV-0008</t>
  </si>
  <si>
    <t>Закупка обычно в м3 или т; приведи к своей схеме</t>
  </si>
  <si>
    <t>SourceRowID</t>
  </si>
  <si>
    <t>RawName</t>
  </si>
  <si>
    <t>SourceSheet</t>
  </si>
  <si>
    <t>SourceRowNumber</t>
  </si>
  <si>
    <t>SourceSection</t>
  </si>
  <si>
    <t>EntityType</t>
  </si>
  <si>
    <t>MasterID</t>
  </si>
  <si>
    <t>NeedsReview</t>
  </si>
  <si>
    <t>SRC-0001</t>
  </si>
  <si>
    <t>PRICE_MASTER</t>
  </si>
  <si>
    <t>Прямое сопоставление</t>
  </si>
  <si>
    <t>SRC-0002</t>
  </si>
  <si>
    <t>SRC-0003</t>
  </si>
  <si>
    <t>Брусчатка 200*100*60 серая</t>
  </si>
  <si>
    <t>Материал связан и с Master, и с Variant</t>
  </si>
  <si>
    <t>RuleID</t>
  </si>
  <si>
    <t>Scope</t>
  </si>
  <si>
    <t>RuleType</t>
  </si>
  <si>
    <t>FieldName</t>
  </si>
  <si>
    <t>Condition</t>
  </si>
  <si>
    <t>UserMessage</t>
  </si>
  <si>
    <t>SuggestedFix</t>
  </si>
  <si>
    <t>VR-0001</t>
  </si>
  <si>
    <t>OBJECT</t>
  </si>
  <si>
    <t>SelectedTariff</t>
  </si>
  <si>
    <t>Всегда</t>
  </si>
  <si>
    <t>Не выбран тариф объекта</t>
  </si>
  <si>
    <t>Заполнить SelectedTariff в OBJECT_CONDITIONS</t>
  </si>
  <si>
    <t>VR-0002</t>
  </si>
  <si>
    <t>Не указан налоговый режим</t>
  </si>
  <si>
    <t>Выбрать TaxMode</t>
  </si>
  <si>
    <t>VR-0003</t>
  </si>
  <si>
    <t>Когда есть логистика/доставка</t>
  </si>
  <si>
    <t>Не указан класс расстояния</t>
  </si>
  <si>
    <t>Заполнить DistanceClass</t>
  </si>
  <si>
    <t>VR-0004</t>
  </si>
  <si>
    <t>WORK</t>
  </si>
  <si>
    <t>У работы отрицательная или пустая базовая цена</t>
  </si>
  <si>
    <t>Заполнить BasePrice &gt;= 0</t>
  </si>
  <si>
    <t>VR-0005</t>
  </si>
  <si>
    <t>MATERIAL</t>
  </si>
  <si>
    <t>PurchaseUnit vs CoveragePerPurchaseUnit</t>
  </si>
  <si>
    <t>Если материал активен</t>
  </si>
  <si>
    <t>Не заполнены единицы закупки/покрытия</t>
  </si>
  <si>
    <t>Заполнить PurchaseUnit и CoveragePerPurchaseUnit</t>
  </si>
  <si>
    <t>VR-0006</t>
  </si>
  <si>
    <t>AllowanceGroup vs ProcurementRule</t>
  </si>
  <si>
    <t>Нет правила закупки для AllowanceGroup</t>
  </si>
  <si>
    <t>Добавить PROCUREMENT_RULES</t>
  </si>
  <si>
    <t>VR-0007</t>
  </si>
  <si>
    <t>QUOTE</t>
  </si>
  <si>
    <t>MinQuoteValue</t>
  </si>
  <si>
    <t>Если итог &lt; порога</t>
  </si>
  <si>
    <t>Итог ниже минимальной коммерческой планки</t>
  </si>
  <si>
    <t>Применить floor/mobilization</t>
  </si>
  <si>
    <t>ObjectID</t>
  </si>
  <si>
    <t>QuoteTariff</t>
  </si>
  <si>
    <t>CheckName</t>
  </si>
  <si>
    <t>IsTriggered</t>
  </si>
  <si>
    <t>CheckValue</t>
  </si>
  <si>
    <t>ThresholdOrRule</t>
  </si>
  <si>
    <t>Comment</t>
  </si>
  <si>
    <t>OBJ-0001</t>
  </si>
  <si>
    <t>Тариф выбран</t>
  </si>
  <si>
    <t>SelectedTariff not blank</t>
  </si>
  <si>
    <t>Должен быть выбран тариф объекта</t>
  </si>
  <si>
    <t>Налоговый режим выбран</t>
  </si>
  <si>
    <t>TaxMode not blank</t>
  </si>
  <si>
    <t>Должен быть указан налоговый режим</t>
  </si>
  <si>
    <t>Класс расстояния заполнен</t>
  </si>
  <si>
    <t>DistanceClass not blank</t>
  </si>
  <si>
    <t>Для логистики нужен класс расстояния</t>
  </si>
  <si>
    <t>Итог КП &gt;= min quote floor</t>
  </si>
  <si>
    <t>Итог ниже минимальной планки</t>
  </si>
  <si>
    <t>ObjectName</t>
  </si>
  <si>
    <t>SoilCoeff</t>
  </si>
  <si>
    <t>MoistureCoeff</t>
  </si>
  <si>
    <t>DebrisCoeff</t>
  </si>
  <si>
    <t>SlopeCoeff</t>
  </si>
  <si>
    <t>UnevennessCoeff</t>
  </si>
  <si>
    <t>AccessCoeff</t>
  </si>
  <si>
    <t>TurnSpaceCoeff</t>
  </si>
  <si>
    <t>ProximityCoeff</t>
  </si>
  <si>
    <t>MachineryCoeff</t>
  </si>
  <si>
    <t>GeometryCoeff</t>
  </si>
  <si>
    <t>TariffWorkCoeff</t>
  </si>
  <si>
    <t>TariffMaterialCoeff</t>
  </si>
  <si>
    <t>TariffLogisticsCoeff</t>
  </si>
  <si>
    <t>TariffOverheadCoeff</t>
  </si>
  <si>
    <t>TariffReserveBiasCoeff</t>
  </si>
  <si>
    <t>TariffNotes</t>
  </si>
  <si>
    <t>DistanceFromBaseKM</t>
  </si>
  <si>
    <t>DistanceCoeff</t>
  </si>
  <si>
    <t>SeasonCoeff</t>
  </si>
  <si>
    <t>UrgencyCoeff</t>
  </si>
  <si>
    <t>VATRate</t>
  </si>
  <si>
    <t>LogisticsTrips</t>
  </si>
  <si>
    <t>DisposalDistanceKM</t>
  </si>
  <si>
    <t>Частный участок — базовый сложный кейс</t>
  </si>
  <si>
    <t>Пример объекта для проверки формул</t>
  </si>
  <si>
    <t>OBJ-0002</t>
  </si>
  <si>
    <t>Частный участок — лёгкие условия</t>
  </si>
  <si>
    <t>Ровный участок с нормальным доступом</t>
  </si>
  <si>
    <t>FactorType</t>
  </si>
  <si>
    <t>FactorClass</t>
  </si>
  <si>
    <t>Coefficient</t>
  </si>
  <si>
    <t>UseCase</t>
  </si>
  <si>
    <t>Песок, лёгкая супесь</t>
  </si>
  <si>
    <t>Стартовая гипотеза; обычно работать легче</t>
  </si>
  <si>
    <t>Супесь / суглинок средней плотности</t>
  </si>
  <si>
    <t>Базовый класс участка</t>
  </si>
  <si>
    <t>Тяжёлый суглинок / глина</t>
  </si>
  <si>
    <t>Ожидаемое снижение производительности</t>
  </si>
  <si>
    <t>Плотная глина, смешанный грунт, камни</t>
  </si>
  <si>
    <t>Требует ручной доработки и/или спецтехники</t>
  </si>
  <si>
    <t>Подсушенный грунт</t>
  </si>
  <si>
    <t>Часто работать чуть легче</t>
  </si>
  <si>
    <t>Нормальные условия</t>
  </si>
  <si>
    <t>Базовый класс</t>
  </si>
  <si>
    <t>Повышенная влажность</t>
  </si>
  <si>
    <t>Риск замедления и налипания</t>
  </si>
  <si>
    <t>Очень мокрый грунт</t>
  </si>
  <si>
    <t>Часто меняет и цену, и состав решения</t>
  </si>
  <si>
    <t>Чистый грунт</t>
  </si>
  <si>
    <t>Местами корни, мусор, камни</t>
  </si>
  <si>
    <t>Умеренное усложнение разработки</t>
  </si>
  <si>
    <t>Строительный мусор, много корней, камни</t>
  </si>
  <si>
    <t>Сильное удорожание ручных операций</t>
  </si>
  <si>
    <t>Почти ровно</t>
  </si>
  <si>
    <t>Умеренный уклон</t>
  </si>
  <si>
    <t>Частичное снижение темпа</t>
  </si>
  <si>
    <t>Сложный уклон</t>
  </si>
  <si>
    <t>Нужна точная планировка и контроль геометрии</t>
  </si>
  <si>
    <t>Крутой уклон</t>
  </si>
  <si>
    <t>Риск ручной доработки и удерживающих решений</t>
  </si>
  <si>
    <t>Почти ровная поверхность</t>
  </si>
  <si>
    <t>Заметные неровности</t>
  </si>
  <si>
    <t>Потери на выравнивание и геометрию</t>
  </si>
  <si>
    <t>Сильные перепады</t>
  </si>
  <si>
    <t>Часто требует доп. планировки</t>
  </si>
  <si>
    <t>Нормальный подъезд и манёвр</t>
  </si>
  <si>
    <t>Частично стеснённый доступ</t>
  </si>
  <si>
    <t>Потери времени на подачу и развороты</t>
  </si>
  <si>
    <t>Проходы узкие, техника ограничена</t>
  </si>
  <si>
    <t>Часть операций становится ручной</t>
  </si>
  <si>
    <t>Есть место для разворота</t>
  </si>
  <si>
    <t>Разворот затруднён</t>
  </si>
  <si>
    <t>Доп. потери времени</t>
  </si>
  <si>
    <t>Разворот почти невозможен</t>
  </si>
  <si>
    <t>Риск мелкой техники и ручной логистики</t>
  </si>
  <si>
    <t>Постройки не мешают</t>
  </si>
  <si>
    <t>Работа рядом со строениями</t>
  </si>
  <si>
    <t>Требуется аккуратная подработка</t>
  </si>
  <si>
    <t>Деликатная зона рядом с фундаментом/отделкой</t>
  </si>
  <si>
    <t>Часто нужна ручная доработка и защита</t>
  </si>
  <si>
    <t>Техника допустима</t>
  </si>
  <si>
    <t>Техника допустима не везде</t>
  </si>
  <si>
    <t>Смешанный сценарий работ</t>
  </si>
  <si>
    <t>Механизация невозможна</t>
  </si>
  <si>
    <t>Сильный сдвиг в сторону ручного труда</t>
  </si>
  <si>
    <t>Прямые и простые контуры</t>
  </si>
  <si>
    <t>Базовый класс для материалов с подрезкой</t>
  </si>
  <si>
    <t>Есть отдельные подрезки и повороты</t>
  </si>
  <si>
    <t>Умеренный рост запаса</t>
  </si>
  <si>
    <t>Много примыканий, радиусов и подрезок</t>
  </si>
  <si>
    <t>Запас по рулонным и штучным материалам заметно растёт</t>
  </si>
  <si>
    <t>Ломаная геометрия, много обходов и узлов</t>
  </si>
  <si>
    <t>Высокий риск перерасхода на подгонку</t>
  </si>
  <si>
    <t>AppliesTo</t>
  </si>
  <si>
    <t>Логистика/выезд</t>
  </si>
  <si>
    <t>Базовая зона</t>
  </si>
  <si>
    <t>Умеренное плечо</t>
  </si>
  <si>
    <t>Дальняя доставка</t>
  </si>
  <si>
    <t>Очень дальняя зона</t>
  </si>
  <si>
    <t>Работы</t>
  </si>
  <si>
    <t>Типовой период</t>
  </si>
  <si>
    <t>Стимулирующий период</t>
  </si>
  <si>
    <t>Пиковая загрузка</t>
  </si>
  <si>
    <t>Сложность производства</t>
  </si>
  <si>
    <t>Работы/логистика</t>
  </si>
  <si>
    <t>Нормальное планирование</t>
  </si>
  <si>
    <t>Сжатые сроки</t>
  </si>
  <si>
    <t>Срочная мобилизация</t>
  </si>
  <si>
    <t>PricePresentation</t>
  </si>
  <si>
    <t>Цена без НДС = цена для клиента</t>
  </si>
  <si>
    <t>УСН/без НДС</t>
  </si>
  <si>
    <t>Показывать цену с НДС 20%</t>
  </si>
  <si>
    <t>Стандартный режим</t>
  </si>
  <si>
    <t>Показывать цену с НДС 10%</t>
  </si>
  <si>
    <t>Редкий кейс для отдельных товаров/услуг</t>
  </si>
  <si>
    <t>SoilWeight</t>
  </si>
  <si>
    <t>MoistureWeight</t>
  </si>
  <si>
    <t>DebrisWeight</t>
  </si>
  <si>
    <t>SlopeWeight</t>
  </si>
  <si>
    <t>UnevennessWeight</t>
  </si>
  <si>
    <t>AccessWeight</t>
  </si>
  <si>
    <t>TurnSpaceWeight</t>
  </si>
  <si>
    <t>ProximityWeight</t>
  </si>
  <si>
    <t>MachineryWeight</t>
  </si>
  <si>
    <t>PriceRuleEnabled</t>
  </si>
  <si>
    <t>CompositionRuleEnabled</t>
  </si>
  <si>
    <t>SampleObjectID</t>
  </si>
  <si>
    <t>SiteCoeffExample</t>
  </si>
  <si>
    <t>Высокая чувствительность к грунту и механизации</t>
  </si>
  <si>
    <t>Сильнее реагирует на грунт и рельеф, чем на близость построек</t>
  </si>
  <si>
    <t>Очень чувствительна к доступу, грунту и близости построек</t>
  </si>
  <si>
    <t>Больше зависит от геометрии и рельефа, чем от типа грунта</t>
  </si>
  <si>
    <t>ScopeType</t>
  </si>
  <si>
    <t>ScopeValue</t>
  </si>
  <si>
    <t>ConditionField1</t>
  </si>
  <si>
    <t>ConditionValue1</t>
  </si>
  <si>
    <t>ConditionField2</t>
  </si>
  <si>
    <t>ConditionValue2</t>
  </si>
  <si>
    <t>ActionType</t>
  </si>
  <si>
    <t>ActionValue</t>
  </si>
  <si>
    <t>TargetEntityType</t>
  </si>
  <si>
    <t>TargetID</t>
  </si>
  <si>
    <t>CR-0001</t>
  </si>
  <si>
    <t>Если механизация невозможна, вариант принудительно становится ручным</t>
  </si>
  <si>
    <t>CR-0002</t>
  </si>
  <si>
    <t>При хорошем доступе механизированный способ предпочтителен</t>
  </si>
  <si>
    <t>CR-0003</t>
  </si>
  <si>
    <t>Проверить усиление основания, геотекстиль и дренаж</t>
  </si>
  <si>
    <t>Не только цена, но и состав решения требуют пересмотра</t>
  </si>
  <si>
    <t>CR-0004</t>
  </si>
  <si>
    <t>Проверить ручную подработку, удержание кромки и геометрию покрытия</t>
  </si>
  <si>
    <t>Уклон выше стандартного часто меняет трудоёмкость</t>
  </si>
  <si>
    <t>CR-0005</t>
  </si>
  <si>
    <t>Уточнить деликатную разработку и ручные подрезки вдоль построек</t>
  </si>
  <si>
    <t>Близость построек повышает риск повреждений и снижает темп</t>
  </si>
  <si>
    <t>TriggerType</t>
  </si>
  <si>
    <t>TriggerID</t>
  </si>
  <si>
    <t>ConditionField</t>
  </si>
  <si>
    <t>ConditionValue</t>
  </si>
  <si>
    <t>TargetType</t>
  </si>
  <si>
    <t>QtyLogic</t>
  </si>
  <si>
    <t>DR-0001</t>
  </si>
  <si>
    <t>1:1</t>
  </si>
  <si>
    <t>Если механизация невозможна, ручной способ обязателен</t>
  </si>
  <si>
    <t>DR-0002</t>
  </si>
  <si>
    <t>PreferVariant</t>
  </si>
  <si>
    <t>Премиум чаще тянет лучший вариант покрытия</t>
  </si>
  <si>
    <t>DR-0003</t>
  </si>
  <si>
    <t>FlagIfBelow</t>
  </si>
  <si>
    <t>Thickness&gt;=60</t>
  </si>
  <si>
    <t>-</t>
  </si>
  <si>
    <t>Не позволять пешеходный вариант на въезде</t>
  </si>
  <si>
    <t>DR-0004</t>
  </si>
  <si>
    <t>0.15 x area</t>
  </si>
  <si>
    <t>При уклоне усиливаем подготовку</t>
  </si>
  <si>
    <t>DR-0005</t>
  </si>
  <si>
    <t>0.03 x area</t>
  </si>
  <si>
    <t>Пример добавления вспомогательного материала</t>
  </si>
  <si>
    <t>AllowanceType</t>
  </si>
  <si>
    <t>ComponentCoeff</t>
  </si>
  <si>
    <t>IncludedInBaseCoeff</t>
  </si>
  <si>
    <t>ExampleUse</t>
  </si>
  <si>
    <t>MA-0001</t>
  </si>
  <si>
    <t>Щебень, песок, отсев от проектного уплотненного объема</t>
  </si>
  <si>
    <t>Коэффициент уже включает переход от проектного объема к закупке</t>
  </si>
  <si>
    <t>MA-0002</t>
  </si>
  <si>
    <t>Брусчатка и схожие штучные покрытия</t>
  </si>
  <si>
    <t>Стартовая гипотеза; для сложной геометрии доп. запас даёт SiteReserveCoeff</t>
  </si>
  <si>
    <t>MA-0003</t>
  </si>
  <si>
    <t>Геотекстиль, геосетка</t>
  </si>
  <si>
    <t>Отдельный компонент базового коэффициента</t>
  </si>
  <si>
    <t>MA-0004</t>
  </si>
  <si>
    <t>В сумме с нахлестом даёт базовый коэффициент 1.133</t>
  </si>
  <si>
    <t>MA-0005</t>
  </si>
  <si>
    <t>Рулонный газон / turf</t>
  </si>
  <si>
    <t>Обычно зависит от геометрии участка и примыканий</t>
  </si>
  <si>
    <t>MA-0006</t>
  </si>
  <si>
    <t>Пленки, мембраны, изоляция</t>
  </si>
  <si>
    <t>Ширина нахлеста зависит от материала и производителя</t>
  </si>
  <si>
    <t>MA-0007</t>
  </si>
  <si>
    <t>В сумме с нахлестом даёт базовый коэффициент 1.154</t>
  </si>
  <si>
    <t>MA-0008</t>
  </si>
  <si>
    <t>Террасная доска, доска настила</t>
  </si>
  <si>
    <t>На узких и ломаных зонах запас растёт</t>
  </si>
  <si>
    <t>MA-0009</t>
  </si>
  <si>
    <t>Бордюр, некоторые линейные элементы</t>
  </si>
  <si>
    <t>Минимальный запас на бой/добор</t>
  </si>
  <si>
    <t>RoundMode</t>
  </si>
  <si>
    <t>RoundBasis</t>
  </si>
  <si>
    <t>PackSize</t>
  </si>
  <si>
    <t>MinOrderQty</t>
  </si>
  <si>
    <t>PalletQty</t>
  </si>
  <si>
    <t>ReserveAppliedBeforeRounding</t>
  </si>
  <si>
    <t>FreeSpareCoeff</t>
  </si>
  <si>
    <t>PR-0001</t>
  </si>
  <si>
    <t>Сыпучие / с разрыхлением</t>
  </si>
  <si>
    <t>Закупка по м3 с округлением вверх до 0,1 м3</t>
  </si>
  <si>
    <t>PR-0002</t>
  </si>
  <si>
    <t>Рулон / лист / нахлест</t>
  </si>
  <si>
    <t>Сначала площадь с запасом, потом округление в целые рулоны</t>
  </si>
  <si>
    <t>PR-0003</t>
  </si>
  <si>
    <t>Штучный материал / подрезка</t>
  </si>
  <si>
    <t>Подрезка + технологический запас + округление к паллете</t>
  </si>
  <si>
    <t>PR-0004</t>
  </si>
  <si>
    <t>Погонаж / доска / раскрой</t>
  </si>
  <si>
    <t>Запас на раскрой и торцовку</t>
  </si>
  <si>
    <t>PR-0005</t>
  </si>
  <si>
    <t>Пример точечного правила на конкретный вариант</t>
  </si>
  <si>
    <t>GeometryWeight</t>
  </si>
  <si>
    <t>ExampleObjectID</t>
  </si>
  <si>
    <t>SiteReserveCoeffExample</t>
  </si>
  <si>
    <t>Подрезка зависит в первую очередь от геометрии рисунка и контуров</t>
  </si>
  <si>
    <t>Небольшой рост запаса на ломаных контурах и доборах</t>
  </si>
  <si>
    <t>Сильная зависимость от геометрии, нахлестов и неровностей</t>
  </si>
  <si>
    <t>Сложные контуры и уклон заметно увеличивают подрезку</t>
  </si>
  <si>
    <t>Рост нахлестов и подрезки на сложных зонах</t>
  </si>
  <si>
    <t>Торцовка и доборы сильнее зависят от контуров, чем от уклона</t>
  </si>
  <si>
    <t>Для сыпучих важнее уклон, потери на подачу и условия разгрузки</t>
  </si>
  <si>
    <t>CalcID</t>
  </si>
  <si>
    <t>NetQty</t>
  </si>
  <si>
    <t>NetUnit</t>
  </si>
  <si>
    <t>SiteReserveCoeff</t>
  </si>
  <si>
    <t>ManualAdjCoeff</t>
  </si>
  <si>
    <t>FinalReserveCoeff</t>
  </si>
  <si>
    <t>FinalQty</t>
  </si>
  <si>
    <t>MC-0001</t>
  </si>
  <si>
    <t>Геотекстиль на сложном участке</t>
  </si>
  <si>
    <t>MC-0002</t>
  </si>
  <si>
    <t>Рулонный газон на сложном участке</t>
  </si>
  <si>
    <t>MC-0003</t>
  </si>
  <si>
    <t>Брусчатка с подрезкой по контурам</t>
  </si>
  <si>
    <t>MC-0004</t>
  </si>
  <si>
    <t>Щебень от проектного уплотненного объема</t>
  </si>
  <si>
    <t>Tariff</t>
  </si>
  <si>
    <t>ClientLabel</t>
  </si>
  <si>
    <t>Description</t>
  </si>
  <si>
    <t>WorkSellCoeff</t>
  </si>
  <si>
    <t>MaterialSellCoeff</t>
  </si>
  <si>
    <t>LogisticsSellCoeff</t>
  </si>
  <si>
    <t>OverheadCoeff</t>
  </si>
  <si>
    <t>ReserveBiasCoeff</t>
  </si>
  <si>
    <t>PreferredQualityIntent</t>
  </si>
  <si>
    <t>DefaultDisplayMode</t>
  </si>
  <si>
    <t>Минимально достаточная комплектация без излишеств; упор на цену и укрупнение показа</t>
  </si>
  <si>
    <t>Не считать это автоматической скидкой на всё подряд; состав и замены задаются в правилах</t>
  </si>
  <si>
    <t>Базовый рекомендуемый уровень для большинства частных объектов</t>
  </si>
  <si>
    <t>Отправная точка модели</t>
  </si>
  <si>
    <t>Улучшенные материалы, больше прозрачности в КП, выше допуски по запасам и качеству</t>
  </si>
  <si>
    <t>Премиум меняет не только цену, но и набор/качество материалов</t>
  </si>
  <si>
    <t>MinQuoteValueExVAT</t>
  </si>
  <si>
    <t>MinCrewDayChargeExVAT</t>
  </si>
  <si>
    <t>MobilizationChargeExVAT</t>
  </si>
  <si>
    <t>SiteVisitChargeExVAT</t>
  </si>
  <si>
    <t>SmallJobFloorCoeff</t>
  </si>
  <si>
    <t>DefaultDiscountCap</t>
  </si>
  <si>
    <t>PriceValidityDays</t>
  </si>
  <si>
    <t>DefaultWarrantyMonths</t>
  </si>
  <si>
    <t>DefaultPaymentTerms</t>
  </si>
  <si>
    <t>70% аванс / 30% по факту</t>
  </si>
  <si>
    <t>Сильнее укрупнять и следить за floor для малых объектов</t>
  </si>
  <si>
    <t>50% аванс / 40% по этапу / 10% закрытие</t>
  </si>
  <si>
    <t>Базовая коммерческая политика</t>
  </si>
  <si>
    <t>50% аванс / 50% по этапам</t>
  </si>
  <si>
    <t>Больше точности, качества и гарантий</t>
  </si>
  <si>
    <t>IsIncluded</t>
  </si>
  <si>
    <t>PreferredExecutionMethod</t>
  </si>
  <si>
    <t>WorkSellCoeffOverride</t>
  </si>
  <si>
    <t>CommercialNameOverride</t>
  </si>
  <si>
    <t>DisplayModeOverride</t>
  </si>
  <si>
    <t>BundleMode</t>
  </si>
  <si>
    <t>Для эконома чаще укрупнять и предпочитать механизацию при доступе</t>
  </si>
  <si>
    <t>1.08</t>
  </si>
  <si>
    <t>Точная подготовка ложа</t>
  </si>
  <si>
    <t>Ручная доработка и более деликатное исполнение при сложной геометрии</t>
  </si>
  <si>
    <t>1.10</t>
  </si>
  <si>
    <t>Подготовка премиального газонного основания</t>
  </si>
  <si>
    <t>1.05</t>
  </si>
  <si>
    <t>Точный монтаж бордюра</t>
  </si>
  <si>
    <t>Более аккуратная геометрия и контроль</t>
  </si>
  <si>
    <t>PreferredVariantID</t>
  </si>
  <si>
    <t>MaterialSellCoeffOverride</t>
  </si>
  <si>
    <t>ReserveBiasOverride</t>
  </si>
  <si>
    <t>ClientNameOverride</t>
  </si>
  <si>
    <t>QualityIntent</t>
  </si>
  <si>
    <t>0.98</t>
  </si>
  <si>
    <t>Пешеходный вариант</t>
  </si>
  <si>
    <t>1.00</t>
  </si>
  <si>
    <t>Базовый частный участок</t>
  </si>
  <si>
    <t>1.02</t>
  </si>
  <si>
    <t>Если по задаче уместно усиленное решение</t>
  </si>
  <si>
    <t>0.97</t>
  </si>
  <si>
    <t>0.99</t>
  </si>
  <si>
    <t>Без премиальной селекции</t>
  </si>
  <si>
    <t>Газон рулонный премиального отбора</t>
  </si>
  <si>
    <t>Нужен отдельный прайс поставщика</t>
  </si>
  <si>
    <t>1.03</t>
  </si>
  <si>
    <t>1.01</t>
  </si>
  <si>
    <t>Можно раскрывать материал в клиентской версии</t>
  </si>
  <si>
    <t>Action</t>
  </si>
  <si>
    <t>ReplacementID</t>
  </si>
  <si>
    <t>ClientImpact</t>
  </si>
  <si>
    <t>Снизить толщину/класс материала, если позволяет нагрузка</t>
  </si>
  <si>
    <t>Проверять по реальной зоне применения</t>
  </si>
  <si>
    <t>Базовый вариант</t>
  </si>
  <si>
    <t>Усиленный или визуально более качественный вариант</t>
  </si>
  <si>
    <t>Не применять автоматически без проверки нагрузки</t>
  </si>
  <si>
    <t>Удешевление за счёт механизации при доступе</t>
  </si>
  <si>
    <t>Более аккуратная доводка сложных зон</t>
  </si>
  <si>
    <t>DisplayMode</t>
  </si>
  <si>
    <t>Меньше детализации в КП</t>
  </si>
  <si>
    <t>Больше прозрачности в составе решения</t>
  </si>
  <si>
    <t>SortOrder</t>
  </si>
  <si>
    <t>ClientSectionName</t>
  </si>
  <si>
    <t>ShowSectionSubtotal</t>
  </si>
  <si>
    <t>DefaultBundleMode</t>
  </si>
  <si>
    <t>ShowMaterials</t>
  </si>
  <si>
    <t>ShowLogistics</t>
  </si>
  <si>
    <t>ShowOverheads</t>
  </si>
  <si>
    <t>ShowAssumptionsBlock</t>
  </si>
  <si>
    <t>ShowExclusionsBlock</t>
  </si>
  <si>
    <t>Свернуть</t>
  </si>
  <si>
    <t>Скрыть</t>
  </si>
  <si>
    <t>Эконом сильнее укрупняет логистику и накладные</t>
  </si>
  <si>
    <t>Показать</t>
  </si>
  <si>
    <t>Базовый клиентский вывод</t>
  </si>
  <si>
    <t>Премиальное мощение</t>
  </si>
  <si>
    <t>Более подробное описание состава</t>
  </si>
  <si>
    <t>Внутренняя версия сметы</t>
  </si>
  <si>
    <t>ClientText</t>
  </si>
  <si>
    <t>DefaultForClient</t>
  </si>
  <si>
    <t>Общие</t>
  </si>
  <si>
    <t>Геология, скрытые инженерные сети и непредвиденные подземные препятствия не включены</t>
  </si>
  <si>
    <t>Классическая защита от скрытых факторов</t>
  </si>
  <si>
    <t>Стоимость рассчитана при доступе техники и складировании материалов в пределах участка</t>
  </si>
  <si>
    <t>Связь с условиями объекта</t>
  </si>
  <si>
    <t>Включено более точное сопряжение покрытий, геометрии и финишного контроля</t>
  </si>
  <si>
    <t>Подчеркивает отличие премиума</t>
  </si>
  <si>
    <t>Подсев/восстановление после эксплуатации третьими лицами не входит в гарантию</t>
  </si>
  <si>
    <t>Уточнение гарантийного контура</t>
  </si>
  <si>
    <t>Основание и нагрузки приняты по исходным данным заказчика, без статического расчета</t>
  </si>
  <si>
    <t>LineType</t>
  </si>
  <si>
    <t>RefID</t>
  </si>
  <si>
    <t>BaseUnitPrice</t>
  </si>
  <si>
    <t>TariffCoeff</t>
  </si>
  <si>
    <t>FinalUnitPrice</t>
  </si>
  <si>
    <t>LineTotal</t>
  </si>
  <si>
    <t>Comments</t>
  </si>
  <si>
    <t>BaseUnitPriceExVAT</t>
  </si>
  <si>
    <t>MethodOrVariantCoeff</t>
  </si>
  <si>
    <t>RoundedPurchaseQty</t>
  </si>
  <si>
    <t>CommercialFloorAdj</t>
  </si>
  <si>
    <t>LineTotalExVAT</t>
  </si>
  <si>
    <t>LineTotalIncVAT</t>
  </si>
  <si>
    <t>CalcComment</t>
  </si>
  <si>
    <t>LOG-BASE</t>
  </si>
  <si>
    <t>Metric</t>
  </si>
  <si>
    <t>Value</t>
  </si>
  <si>
    <t>Rows in PRICE_MASTER</t>
  </si>
  <si>
    <t>Все строки источника</t>
  </si>
  <si>
    <t>Imported non-material master rows</t>
  </si>
  <si>
    <t>Работы, техника, логистика, накладные, услуги</t>
  </si>
  <si>
    <t>Imported material master rows</t>
  </si>
  <si>
    <t>Материалы</t>
  </si>
  <si>
    <t>Imported material variants</t>
  </si>
  <si>
    <t>Пока 1:1 на каждую material row</t>
  </si>
  <si>
    <t>Raw rows needing review</t>
  </si>
  <si>
    <t>Средняя уверенность или накладные</t>
  </si>
  <si>
    <t>Unique sections</t>
  </si>
  <si>
    <t>После нормализации столбца 6</t>
  </si>
  <si>
    <t>Unique position types</t>
  </si>
  <si>
    <t>Работа/Материал/Техника/Логистика/Накладные/Услуга</t>
  </si>
  <si>
    <t>Potential normalization groups</t>
  </si>
  <si>
    <t>См. лист REAL_NORMALIZATION_REVIEW</t>
  </si>
  <si>
    <t>RawUnit</t>
  </si>
  <si>
    <t>RawPriceRaw</t>
  </si>
  <si>
    <t>RawPriceNum</t>
  </si>
  <si>
    <t>SourceFile</t>
  </si>
  <si>
    <t>LegacySectionName</t>
  </si>
  <si>
    <t>LegacyRowNumber</t>
  </si>
  <si>
    <t>LegacyRawCode</t>
  </si>
  <si>
    <t>RecommendedSection</t>
  </si>
  <si>
    <t>KPBlock</t>
  </si>
  <si>
    <t>ImportedMasterID</t>
  </si>
  <si>
    <t>ImportedVariantID</t>
  </si>
  <si>
    <t>ImportComment</t>
  </si>
  <si>
    <t>Авторское сопровождение</t>
  </si>
  <si>
    <t>0.03</t>
  </si>
  <si>
    <t>Услуги и сопровождение</t>
  </si>
  <si>
    <t>RWORK-0001</t>
  </si>
  <si>
    <t>Это продаваемая услуга, можно показывать отдельной строкой</t>
  </si>
  <si>
    <t>Амфиболит колотый 50*100*100мм</t>
  </si>
  <si>
    <t>3480</t>
  </si>
  <si>
    <t>материалы</t>
  </si>
  <si>
    <t>RMAT-0001</t>
  </si>
  <si>
    <t>Нормализовано под генератор КП</t>
  </si>
  <si>
    <t>Анкер крепящий для ландшафтного бордюра (количество для установки по дуге 5шт. на 1м.п.)</t>
  </si>
  <si>
    <t>48</t>
  </si>
  <si>
    <t>Устройство газона</t>
  </si>
  <si>
    <t>газон</t>
  </si>
  <si>
    <t>Бордюры и ограничения</t>
  </si>
  <si>
    <t>RMAT-0002</t>
  </si>
  <si>
    <t>SRC-0004</t>
  </si>
  <si>
    <t>Антисептик Pinotex Base</t>
  </si>
  <si>
    <t>л</t>
  </si>
  <si>
    <t>580</t>
  </si>
  <si>
    <t>2 мощ-е - подг-ка осн-я</t>
  </si>
  <si>
    <t>Конструкции и отделка</t>
  </si>
  <si>
    <t>RMAT-0003</t>
  </si>
  <si>
    <t>SRC-0005</t>
  </si>
  <si>
    <t>Антисептирование пиломатериалов с обеих сторон</t>
  </si>
  <si>
    <t>250</t>
  </si>
  <si>
    <t>работа</t>
  </si>
  <si>
    <t>Прочее по мощению</t>
  </si>
  <si>
    <t>Основные работы</t>
  </si>
  <si>
    <t>RWORK-0002</t>
  </si>
  <si>
    <t>SRC-0006</t>
  </si>
  <si>
    <t>Аренда вагончика</t>
  </si>
  <si>
    <t>мес.</t>
  </si>
  <si>
    <t>8000</t>
  </si>
  <si>
    <t>вагончик</t>
  </si>
  <si>
    <t>Бытовые условия стройплощадки</t>
  </si>
  <si>
    <t>Логистика и обеспечение</t>
  </si>
  <si>
    <t>RWORK-0003</t>
  </si>
  <si>
    <t>Для клиентского КП лучше сворачивать в раздел "Организация стройплощадки"</t>
  </si>
  <si>
    <t>SRC-0007</t>
  </si>
  <si>
    <t>Аренда виброплиты 140кг</t>
  </si>
  <si>
    <t>сут.</t>
  </si>
  <si>
    <t>2300</t>
  </si>
  <si>
    <t>техника</t>
  </si>
  <si>
    <t>Покрытия</t>
  </si>
  <si>
    <t>Техника и механизмы</t>
  </si>
  <si>
    <t>RWORK-0004</t>
  </si>
  <si>
    <t>Из отдельного столбца 6 это нужно убирать: для КП это тип позиции, а не раздел</t>
  </si>
  <si>
    <t>SRC-0008</t>
  </si>
  <si>
    <t>Аренда виброплиты 70кг</t>
  </si>
  <si>
    <t>800</t>
  </si>
  <si>
    <t>дренаж</t>
  </si>
  <si>
    <t>RWORK-0005</t>
  </si>
  <si>
    <t>SRC-0009</t>
  </si>
  <si>
    <t>Аренда мотобура</t>
  </si>
  <si>
    <t>5500</t>
  </si>
  <si>
    <t>RWORK-0006</t>
  </si>
  <si>
    <t>SRC-0010</t>
  </si>
  <si>
    <t>Аренда обслуживание (2 раза в месяц) туалетной кабины</t>
  </si>
  <si>
    <t>11700</t>
  </si>
  <si>
    <t>туалет</t>
  </si>
  <si>
    <t>RWORK-0007</t>
  </si>
  <si>
    <t>SRC-0011</t>
  </si>
  <si>
    <t>Аренда торцовочной пилы</t>
  </si>
  <si>
    <t>770</t>
  </si>
  <si>
    <t>RWORK-0008</t>
  </si>
  <si>
    <t>SRC-0012</t>
  </si>
  <si>
    <t>арматура рифленая, 10мм</t>
  </si>
  <si>
    <t>м.пог.</t>
  </si>
  <si>
    <t>63</t>
  </si>
  <si>
    <t>RMAT-0004</t>
  </si>
  <si>
    <t>SRC-0013</t>
  </si>
  <si>
    <t>Арматура рифленая, 12мм</t>
  </si>
  <si>
    <t>85</t>
  </si>
  <si>
    <t>RMAT-0005</t>
  </si>
  <si>
    <t>SRC-0014</t>
  </si>
  <si>
    <t>Армирование</t>
  </si>
  <si>
    <t>350</t>
  </si>
  <si>
    <t>Бетон и конструктив</t>
  </si>
  <si>
    <t>RWORK-0009</t>
  </si>
  <si>
    <t>SRC-0015</t>
  </si>
  <si>
    <t>Бетон, миксер</t>
  </si>
  <si>
    <t>15000</t>
  </si>
  <si>
    <t>Ступени-пандусы из бетона</t>
  </si>
  <si>
    <t>ступени</t>
  </si>
  <si>
    <t>Бетон и армирование</t>
  </si>
  <si>
    <t>RMAT-0006</t>
  </si>
  <si>
    <t>SRC-0016</t>
  </si>
  <si>
    <t>Бетононасос</t>
  </si>
  <si>
    <t>маш./смена</t>
  </si>
  <si>
    <t>24000</t>
  </si>
  <si>
    <t>RWORK-0010</t>
  </si>
  <si>
    <t>SRC-0017</t>
  </si>
  <si>
    <t>Блок питания 100Вт</t>
  </si>
  <si>
    <t>6000</t>
  </si>
  <si>
    <t>Оборудование и комплектующие</t>
  </si>
  <si>
    <t>RMAT-0007</t>
  </si>
  <si>
    <t>SRC-0018</t>
  </si>
  <si>
    <t>Бордюр металлический</t>
  </si>
  <si>
    <t>0</t>
  </si>
  <si>
    <t>1. Подготовка основания для пешеходных дорожек и площадок под мощение тротуарной плиткой.</t>
  </si>
  <si>
    <t>RMAT-0008</t>
  </si>
  <si>
    <t>SRC-0019</t>
  </si>
  <si>
    <t>Бордюр пластиковый Plastbort с крепежом</t>
  </si>
  <si>
    <t>320</t>
  </si>
  <si>
    <t>RMAT-0009</t>
  </si>
  <si>
    <t>MV-0009</t>
  </si>
  <si>
    <t>SRC-0020</t>
  </si>
  <si>
    <t>Бордюр пластиковый, 100х8х4.5см</t>
  </si>
  <si>
    <t>430</t>
  </si>
  <si>
    <t>RMAT-0010</t>
  </si>
  <si>
    <t>MV-0010</t>
  </si>
  <si>
    <t>SRC-0021</t>
  </si>
  <si>
    <t>Брус 50х50х3000мм</t>
  </si>
  <si>
    <t>280</t>
  </si>
  <si>
    <t>Прочее по бетонным элементам</t>
  </si>
  <si>
    <t>RMAT-0011</t>
  </si>
  <si>
    <t>MV-0011</t>
  </si>
  <si>
    <t>SRC-0022</t>
  </si>
  <si>
    <t>Брусок сухой сосна 30х45х3000 мм сорт АВ</t>
  </si>
  <si>
    <t>245</t>
  </si>
  <si>
    <t>RMAT-0012</t>
  </si>
  <si>
    <t>MV-0012</t>
  </si>
  <si>
    <t>SRC-0023</t>
  </si>
  <si>
    <t>Брусчатка гранитная, 100х100х100мм</t>
  </si>
  <si>
    <t>2500</t>
  </si>
  <si>
    <t>RMAT-0013</t>
  </si>
  <si>
    <t>MV-0013</t>
  </si>
  <si>
    <t>SRC-0024</t>
  </si>
  <si>
    <t>Брусчатка гранитная, 100х100х50мм</t>
  </si>
  <si>
    <t>RMAT-0014</t>
  </si>
  <si>
    <t>MV-0014</t>
  </si>
  <si>
    <t>SRC-0025</t>
  </si>
  <si>
    <t>Брусчатка пиленная, шунгитный сланец</t>
  </si>
  <si>
    <t>4730</t>
  </si>
  <si>
    <t>RMAT-0015</t>
  </si>
  <si>
    <t>MV-0015</t>
  </si>
  <si>
    <t>SRC-0026</t>
  </si>
  <si>
    <t>Брусчатка пилено-колотая, гранит 100х100х50мм</t>
  </si>
  <si>
    <t>4630</t>
  </si>
  <si>
    <t>RMAT-0016</t>
  </si>
  <si>
    <t>MV-0016</t>
  </si>
  <si>
    <t>SRC-0027</t>
  </si>
  <si>
    <t>Брусчатка ТБП (простая), 60мм</t>
  </si>
  <si>
    <t>840</t>
  </si>
  <si>
    <t>RMAT-0017</t>
  </si>
  <si>
    <t>MV-0017</t>
  </si>
  <si>
    <t>SRC-0028</t>
  </si>
  <si>
    <t>Брусчатка ТБП Антик, 197x97x60мм</t>
  </si>
  <si>
    <t>1100</t>
  </si>
  <si>
    <t>RMAT-0018</t>
  </si>
  <si>
    <t>MV-0018</t>
  </si>
  <si>
    <t>SRC-0029</t>
  </si>
  <si>
    <t>Брусчатка ТБП Классико Б.3.КО.6</t>
  </si>
  <si>
    <t>3025</t>
  </si>
  <si>
    <t>RMAT-0019</t>
  </si>
  <si>
    <t>MV-0019</t>
  </si>
  <si>
    <t>SRC-0030</t>
  </si>
  <si>
    <t>Вертикальная планировка (геопластика)</t>
  </si>
  <si>
    <t>360</t>
  </si>
  <si>
    <t>Планировочные работы.</t>
  </si>
  <si>
    <t>Планировка и подготовка грунта</t>
  </si>
  <si>
    <t>RWORK-0011</t>
  </si>
  <si>
    <t>SRC-0031</t>
  </si>
  <si>
    <t>Вертикальная планировка, выемка и подсыпка</t>
  </si>
  <si>
    <t>Земельные работы</t>
  </si>
  <si>
    <t>RWORK-0012</t>
  </si>
  <si>
    <t>SRC-0032</t>
  </si>
  <si>
    <t>Восстановление бетонной отмостки</t>
  </si>
  <si>
    <t>6500</t>
  </si>
  <si>
    <t>RWORK-0013</t>
  </si>
  <si>
    <t>SRC-0033</t>
  </si>
  <si>
    <t>Восстановление дернины после устройства дренажа</t>
  </si>
  <si>
    <t>260</t>
  </si>
  <si>
    <t>Земляные и восстановительные работы</t>
  </si>
  <si>
    <t>RWORK-0014</t>
  </si>
  <si>
    <t>SRC-0034</t>
  </si>
  <si>
    <t>Временные бытовые условия (+ спецодежда, связь, ТО туал.кабины)</t>
  </si>
  <si>
    <t>0.015</t>
  </si>
  <si>
    <t>Накладные и скрытые расходы</t>
  </si>
  <si>
    <t>RWORK-0015</t>
  </si>
  <si>
    <t>Лучше включать коэффициентом или свернутым разделом</t>
  </si>
  <si>
    <t>SRC-0035</t>
  </si>
  <si>
    <t>Выборка ложа от чистовой отметки (вручную)</t>
  </si>
  <si>
    <t>2000</t>
  </si>
  <si>
    <t>RWORK-0016</t>
  </si>
  <si>
    <t>SRC-0036</t>
  </si>
  <si>
    <t>Выборка ложа от чистовой отметки в отвал (механическая)</t>
  </si>
  <si>
    <t>850</t>
  </si>
  <si>
    <t>RWORK-0017</t>
  </si>
  <si>
    <t>SRC-0037</t>
  </si>
  <si>
    <t>Вывоз мусора (грунт)</t>
  </si>
  <si>
    <t>1200</t>
  </si>
  <si>
    <t>вывоз мусора</t>
  </si>
  <si>
    <t>Вывоз и погрузка</t>
  </si>
  <si>
    <t>RWORK-0018</t>
  </si>
  <si>
    <t>Для генератора КП лучше собирать в отдельный логистический блок</t>
  </si>
  <si>
    <t>SRC-0038</t>
  </si>
  <si>
    <t>Вывоз мусора (пухто 27м.куб.)</t>
  </si>
  <si>
    <t>кол-во раз</t>
  </si>
  <si>
    <t>32000</t>
  </si>
  <si>
    <t>Вывоз мусора (по факту)</t>
  </si>
  <si>
    <t>RWORK-0019</t>
  </si>
  <si>
    <t>SRC-0039</t>
  </si>
  <si>
    <t>Выезд электрика для подключения в вагончике</t>
  </si>
  <si>
    <t>5000</t>
  </si>
  <si>
    <t>RWORK-0020</t>
  </si>
  <si>
    <t>SRC-0040</t>
  </si>
  <si>
    <t>Выемка грунта (вручную)</t>
  </si>
  <si>
    <t>Подготовка и демонтаж</t>
  </si>
  <si>
    <t>RWORK-0021</t>
  </si>
  <si>
    <t>SRC-0041</t>
  </si>
  <si>
    <t>Выемка грунта (механическая)</t>
  </si>
  <si>
    <t>RWORK-0022</t>
  </si>
  <si>
    <t>SRC-0042</t>
  </si>
  <si>
    <t>Выемка кирпича и бетона (с наружной стороны забора) с упаковкой в мешки</t>
  </si>
  <si>
    <t>Дополнительные работы.</t>
  </si>
  <si>
    <t>Демонтаж</t>
  </si>
  <si>
    <t>RWORK-0023</t>
  </si>
  <si>
    <t>Перенесено из мусорной категории "Дополнительные работы."</t>
  </si>
  <si>
    <t>SRC-0043</t>
  </si>
  <si>
    <t>Выемка строительного мусора из почвы</t>
  </si>
  <si>
    <t>3500</t>
  </si>
  <si>
    <t>RWORK-0024</t>
  </si>
  <si>
    <t>SRC-0044</t>
  </si>
  <si>
    <t>Выкопка елей 1-1,5м</t>
  </si>
  <si>
    <t>1800</t>
  </si>
  <si>
    <t>Пересадка / удаление растений</t>
  </si>
  <si>
    <t>RWORK-0025</t>
  </si>
  <si>
    <t>Лучше держать вместе с работами по растениям</t>
  </si>
  <si>
    <t>SRC-0045</t>
  </si>
  <si>
    <t>Выкопка шиповника</t>
  </si>
  <si>
    <t>950</t>
  </si>
  <si>
    <t>Удаление кустарников</t>
  </si>
  <si>
    <t>RWORK-0026</t>
  </si>
  <si>
    <t>Можно перенести в "Посадки и уход", если в КП это уход за участком</t>
  </si>
  <si>
    <t>SRC-0046</t>
  </si>
  <si>
    <t>Вынос проекта с корректировкой по месту</t>
  </si>
  <si>
    <t>40</t>
  </si>
  <si>
    <t>Геодезия и разбивка</t>
  </si>
  <si>
    <t>RWORK-0027</t>
  </si>
  <si>
    <t>SRC-0047</t>
  </si>
  <si>
    <t>Габбро-диабаз 100*80*50мм</t>
  </si>
  <si>
    <t>3850</t>
  </si>
  <si>
    <t>RMAT-0020</t>
  </si>
  <si>
    <t>MV-0020</t>
  </si>
  <si>
    <t>SRC-0048</t>
  </si>
  <si>
    <t>Габбро-диабаз 80*80*80мм</t>
  </si>
  <si>
    <t>4620</t>
  </si>
  <si>
    <t>RMAT-0021</t>
  </si>
  <si>
    <t>MV-0021</t>
  </si>
  <si>
    <t>SRC-0049</t>
  </si>
  <si>
    <t>Газон рулонный "Универсальный", 0.8м.кв.</t>
  </si>
  <si>
    <t>рул.</t>
  </si>
  <si>
    <t>330</t>
  </si>
  <si>
    <t>Газон и укладка</t>
  </si>
  <si>
    <t>RMAT-0022</t>
  </si>
  <si>
    <t>MV-0022</t>
  </si>
  <si>
    <t>SRC-0050</t>
  </si>
  <si>
    <t>Газон рулонный бюджетный, 0.8м.кв.</t>
  </si>
  <si>
    <t>115</t>
  </si>
  <si>
    <t>RMAT-0023</t>
  </si>
  <si>
    <t>MV-0023</t>
  </si>
  <si>
    <t>SRC-0051</t>
  </si>
  <si>
    <t>Газон рулонный бюджетный, 1м.кв.</t>
  </si>
  <si>
    <t>145</t>
  </si>
  <si>
    <t>RMAT-0024</t>
  </si>
  <si>
    <t>MV-0024</t>
  </si>
  <si>
    <t>SRC-0052</t>
  </si>
  <si>
    <t>Геотекстиль, 200г/м2</t>
  </si>
  <si>
    <t>75</t>
  </si>
  <si>
    <t>RMAT-0025</t>
  </si>
  <si>
    <t>MV-0025</t>
  </si>
  <si>
    <t>SRC-0053</t>
  </si>
  <si>
    <t>Геотекстиль, 300г/м2</t>
  </si>
  <si>
    <t>105</t>
  </si>
  <si>
    <t>RMAT-0026</t>
  </si>
  <si>
    <t>MV-0026</t>
  </si>
  <si>
    <t>SRC-0054</t>
  </si>
  <si>
    <t>Герметик</t>
  </si>
  <si>
    <t>650</t>
  </si>
  <si>
    <t>Материалы и комплектующие</t>
  </si>
  <si>
    <t>RMAT-0027</t>
  </si>
  <si>
    <t>MV-0027</t>
  </si>
  <si>
    <t>SRC-0055</t>
  </si>
  <si>
    <t>Гидроизоляция гряд и стенок фундамента теплицы</t>
  </si>
  <si>
    <t>150</t>
  </si>
  <si>
    <t>RMAT-0028</t>
  </si>
  <si>
    <t>MV-0028</t>
  </si>
  <si>
    <t>SRC-0056</t>
  </si>
  <si>
    <t>Гравий (щебень гр. 20-40мм)</t>
  </si>
  <si>
    <t>1880</t>
  </si>
  <si>
    <t>RMAT-0029</t>
  </si>
  <si>
    <t>MV-0029</t>
  </si>
  <si>
    <t>SRC-0057</t>
  </si>
  <si>
    <t>Гравий карьерный 5-20мм</t>
  </si>
  <si>
    <t>RMAT-0030</t>
  </si>
  <si>
    <t>MV-0030</t>
  </si>
  <si>
    <t>SRC-0058</t>
  </si>
  <si>
    <t>Гравий колотый</t>
  </si>
  <si>
    <t>18700</t>
  </si>
  <si>
    <t>RMAT-0031</t>
  </si>
  <si>
    <t>MV-0031</t>
  </si>
  <si>
    <t>SRC-0059</t>
  </si>
  <si>
    <t>Грунт дерновый /просеивание местного грунта</t>
  </si>
  <si>
    <t>RMAT-0032</t>
  </si>
  <si>
    <t>MV-0032</t>
  </si>
  <si>
    <t>SRC-0060</t>
  </si>
  <si>
    <t>Грунт плодородный</t>
  </si>
  <si>
    <t>RMAT-0033</t>
  </si>
  <si>
    <t>MV-0033</t>
  </si>
  <si>
    <t>SRC-0061</t>
  </si>
  <si>
    <t>Грунтование бетонной отмостки в 2 слоя</t>
  </si>
  <si>
    <t>60</t>
  </si>
  <si>
    <t>RWORK-0028</t>
  </si>
  <si>
    <t>SRC-0062</t>
  </si>
  <si>
    <t>Грунтовка концентрат</t>
  </si>
  <si>
    <t>400</t>
  </si>
  <si>
    <t>RMAT-0034</t>
  </si>
  <si>
    <t>MV-0034</t>
  </si>
  <si>
    <t>SRC-0063</t>
  </si>
  <si>
    <t>Демонтаж бетона подпорных стенок</t>
  </si>
  <si>
    <t>3900</t>
  </si>
  <si>
    <t>RWORK-0029</t>
  </si>
  <si>
    <t>SRC-0064</t>
  </si>
  <si>
    <t>Демонтаж бетонной стяжки с упаковкой в мешки</t>
  </si>
  <si>
    <t>RWORK-0030</t>
  </si>
  <si>
    <t>SRC-0065</t>
  </si>
  <si>
    <t>Демонтаж гряд</t>
  </si>
  <si>
    <t>RWORK-0031</t>
  </si>
  <si>
    <t>SRC-0066</t>
  </si>
  <si>
    <t>Демонтаж дождеприемников</t>
  </si>
  <si>
    <t>1500</t>
  </si>
  <si>
    <t>Ливневая система</t>
  </si>
  <si>
    <t>ливневка</t>
  </si>
  <si>
    <t>RWORK-0032</t>
  </si>
  <si>
    <t>SRC-0067</t>
  </si>
  <si>
    <t>Диск алмазный по камню d=230ммхМ14 (гранит)</t>
  </si>
  <si>
    <t>5700</t>
  </si>
  <si>
    <t>RMAT-0035</t>
  </si>
  <si>
    <t>MV-0035</t>
  </si>
  <si>
    <t>SRC-0068</t>
  </si>
  <si>
    <t>Диск по металлу</t>
  </si>
  <si>
    <t>72</t>
  </si>
  <si>
    <t>RMAT-0036</t>
  </si>
  <si>
    <t>MV-0036</t>
  </si>
  <si>
    <t>SRC-0069</t>
  </si>
  <si>
    <t>Дождеприемник ДП–30.30-ПП с комплектующими и чугунной решеткой, фасонные элементы</t>
  </si>
  <si>
    <t>3300</t>
  </si>
  <si>
    <t>Приемные и линейные элементы</t>
  </si>
  <si>
    <t>RMAT-0037</t>
  </si>
  <si>
    <t>MV-0037</t>
  </si>
  <si>
    <t>SRC-0070</t>
  </si>
  <si>
    <t>Дождеприемник пластик. 300х300х300 мм в сборе с решеткой чугунной</t>
  </si>
  <si>
    <t>1400</t>
  </si>
  <si>
    <t>Водоотвод в зоне мощения</t>
  </si>
  <si>
    <t>RMAT-0038</t>
  </si>
  <si>
    <t>MV-0038</t>
  </si>
  <si>
    <t>В текущем прайсе позиция сидит в мощении; для генератора можно оставить, если это локальный узел в зоне мощения</t>
  </si>
  <si>
    <t>SRC-0071</t>
  </si>
  <si>
    <t>доска для опалубки, 25*100*3000мм</t>
  </si>
  <si>
    <t>70</t>
  </si>
  <si>
    <t>RMAT-0039</t>
  </si>
  <si>
    <t>MV-0039</t>
  </si>
  <si>
    <t>SRC-0072</t>
  </si>
  <si>
    <t>Доска импрегнированная 45*145*6000мм, строганая</t>
  </si>
  <si>
    <t>1680</t>
  </si>
  <si>
    <t>RMAT-0040</t>
  </si>
  <si>
    <t>MV-0040</t>
  </si>
  <si>
    <t>SRC-0073</t>
  </si>
  <si>
    <t>Доска импрегнированная 50*100*6000мм, обрезная</t>
  </si>
  <si>
    <t>1025</t>
  </si>
  <si>
    <t>RMAT-0041</t>
  </si>
  <si>
    <t>MV-0041</t>
  </si>
  <si>
    <t>SRC-0074</t>
  </si>
  <si>
    <t>Доска обрезн., сосна, 20х125х3000мм</t>
  </si>
  <si>
    <t>410</t>
  </si>
  <si>
    <t>RMAT-0042</t>
  </si>
  <si>
    <t>MV-0042</t>
  </si>
  <si>
    <t>SRC-0075</t>
  </si>
  <si>
    <t>Доска обрезн., сосна, 20х145х3000мм</t>
  </si>
  <si>
    <t>560</t>
  </si>
  <si>
    <t>RMAT-0043</t>
  </si>
  <si>
    <t>MV-0043</t>
  </si>
  <si>
    <t>SRC-0076</t>
  </si>
  <si>
    <t>Доска террасная негофрированная, термообработанная сосна 145*28*6000мм</t>
  </si>
  <si>
    <t>1465</t>
  </si>
  <si>
    <t>RMAT-0044</t>
  </si>
  <si>
    <t>MV-0044</t>
  </si>
  <si>
    <t>SRC-0077</t>
  </si>
  <si>
    <t>Доска хвойная сырая, нестроганая 150*25*6000мм (для опалубки)</t>
  </si>
  <si>
    <t>570</t>
  </si>
  <si>
    <t>RMAT-0045</t>
  </si>
  <si>
    <t>MV-0045</t>
  </si>
  <si>
    <t>SRC-0078</t>
  </si>
  <si>
    <t>Доставка/вывоз туалетной кабины</t>
  </si>
  <si>
    <t>3600</t>
  </si>
  <si>
    <t>RWORK-0033</t>
  </si>
  <si>
    <t>SRC-0079</t>
  </si>
  <si>
    <t>Доставки материалов и оборудования, погрузочно-разгрузочные работы</t>
  </si>
  <si>
    <t>0.056</t>
  </si>
  <si>
    <t>Доставка и ПРР</t>
  </si>
  <si>
    <t>RWORK-0034</t>
  </si>
  <si>
    <t>Для генератора лучше сворачивать в логистический блок</t>
  </si>
  <si>
    <t>SRC-0080</t>
  </si>
  <si>
    <t>Дюбель-гвоздь 8x100мм</t>
  </si>
  <si>
    <t>уп.</t>
  </si>
  <si>
    <t>RMAT-0046</t>
  </si>
  <si>
    <t>MV-0046</t>
  </si>
  <si>
    <t>SRC-0081</t>
  </si>
  <si>
    <t>Завоз-вывоз вагончика</t>
  </si>
  <si>
    <t>17900</t>
  </si>
  <si>
    <t>RWORK-0035</t>
  </si>
  <si>
    <t>SRC-0082</t>
  </si>
  <si>
    <t>Заливка бетона</t>
  </si>
  <si>
    <t>9500</t>
  </si>
  <si>
    <t>RWORK-0036</t>
  </si>
  <si>
    <t>SRC-0083</t>
  </si>
  <si>
    <t>9900</t>
  </si>
  <si>
    <t>RWORK-0037</t>
  </si>
  <si>
    <t>SRC-0084</t>
  </si>
  <si>
    <t>Затирка для широких швов Camonica, 25кг</t>
  </si>
  <si>
    <t>1420</t>
  </si>
  <si>
    <t>RMAT-0047</t>
  </si>
  <si>
    <t>MV-0047</t>
  </si>
  <si>
    <t>SRC-0085</t>
  </si>
  <si>
    <t>Изготовление и монтаж грядок в теплице</t>
  </si>
  <si>
    <t>RWORK-0038</t>
  </si>
  <si>
    <t>SRC-0086</t>
  </si>
  <si>
    <t>Изготовление и монтаж уличных грядок</t>
  </si>
  <si>
    <t>RWORK-0039</t>
  </si>
  <si>
    <t>SRC-0087</t>
  </si>
  <si>
    <t>Кабель силовой ВБШв нг(А)LS 3*1,5 0,66кВ броня</t>
  </si>
  <si>
    <t>170</t>
  </si>
  <si>
    <t>Кабельная инфраструктура</t>
  </si>
  <si>
    <t>RMAT-0048</t>
  </si>
  <si>
    <t>MV-0048</t>
  </si>
  <si>
    <t>SRC-0088</t>
  </si>
  <si>
    <t>Кабель силовой ВБШв нг(А)LS 3*2,5 0,66кВ броня</t>
  </si>
  <si>
    <t>190</t>
  </si>
  <si>
    <t>RMAT-0049</t>
  </si>
  <si>
    <t>MV-0049</t>
  </si>
  <si>
    <t>SRC-0089</t>
  </si>
  <si>
    <t>Клей по дереву, 0,5л</t>
  </si>
  <si>
    <t>340</t>
  </si>
  <si>
    <t>RMAT-0050</t>
  </si>
  <si>
    <t>MV-0050</t>
  </si>
  <si>
    <t>SRC-0090</t>
  </si>
  <si>
    <t>Колодец дренажный смотровой 315/276х1000 с дном и крышкой</t>
  </si>
  <si>
    <t>1520</t>
  </si>
  <si>
    <t>Колодцы</t>
  </si>
  <si>
    <t>RMAT-0051</t>
  </si>
  <si>
    <t>MV-0051</t>
  </si>
  <si>
    <t>SRC-0091</t>
  </si>
  <si>
    <t>Колодец дренажный смотровой 315/276х1500 с дном и крышкой</t>
  </si>
  <si>
    <t>2070</t>
  </si>
  <si>
    <t>RMAT-0052</t>
  </si>
  <si>
    <t>MV-0052</t>
  </si>
  <si>
    <t>SRC-0092</t>
  </si>
  <si>
    <t>Колодец дренажный смотровой 460/400х2000мм с дном и крышкой</t>
  </si>
  <si>
    <t>5400</t>
  </si>
  <si>
    <t>RMAT-0053</t>
  </si>
  <si>
    <t>MV-0053</t>
  </si>
  <si>
    <t>SRC-0093</t>
  </si>
  <si>
    <t>Кольцо железобетонное паз/гребень КС10.9 d1000мм</t>
  </si>
  <si>
    <t>5566</t>
  </si>
  <si>
    <t>Колодцы и перекрытия</t>
  </si>
  <si>
    <t>RMAT-0054</t>
  </si>
  <si>
    <t>MV-0054</t>
  </si>
  <si>
    <t>SRC-0094</t>
  </si>
  <si>
    <t>Кольцо железобетонное регулировочное КО-6 d840мм</t>
  </si>
  <si>
    <t>810</t>
  </si>
  <si>
    <t>RMAT-0055</t>
  </si>
  <si>
    <t>MV-0055</t>
  </si>
  <si>
    <t>SRC-0095</t>
  </si>
  <si>
    <t>Кольцо железобетонное с днищем ДК-10.9 d1000мм</t>
  </si>
  <si>
    <t>8165</t>
  </si>
  <si>
    <t>RMAT-0056</t>
  </si>
  <si>
    <t>MV-0056</t>
  </si>
  <si>
    <t>SRC-0096</t>
  </si>
  <si>
    <t>Консервация системы полива на зиму</t>
  </si>
  <si>
    <t>36000</t>
  </si>
  <si>
    <t>Консервация / сервис</t>
  </si>
  <si>
    <t>RWORK-0040</t>
  </si>
  <si>
    <t>SRC-0097</t>
  </si>
  <si>
    <t>Копка траншеи под кабель в песчаном грунте</t>
  </si>
  <si>
    <t>50</t>
  </si>
  <si>
    <t>Кабельная траншея</t>
  </si>
  <si>
    <t>RWORK-0041</t>
  </si>
  <si>
    <t>SRC-0098</t>
  </si>
  <si>
    <t>Короб метал. для подвода кабеля к щиту 100*100мм оцинк., неперфорированный, h=1,5м</t>
  </si>
  <si>
    <t>1000</t>
  </si>
  <si>
    <t>RMAT-0057</t>
  </si>
  <si>
    <t>MV-0057</t>
  </si>
  <si>
    <t>SRC-0099</t>
  </si>
  <si>
    <t>Корчевка поросли механическая и ручная очистка участка от выкорчеванной поросли</t>
  </si>
  <si>
    <t>300</t>
  </si>
  <si>
    <t>Корчевка и расчистка</t>
  </si>
  <si>
    <t>RWORK-0042</t>
  </si>
  <si>
    <t>SRC-0100</t>
  </si>
  <si>
    <t>Краска Pinotex Extreme One. Колеровка утренний туман 005</t>
  </si>
  <si>
    <t>1300</t>
  </si>
  <si>
    <t>RMAT-0058</t>
  </si>
  <si>
    <t>MV-0058</t>
  </si>
  <si>
    <t>SRC-0101</t>
  </si>
  <si>
    <t>Крышка для железобетонного кольца ПП10 d1000мм</t>
  </si>
  <si>
    <t>4115</t>
  </si>
  <si>
    <t>RMAT-0059</t>
  </si>
  <si>
    <t>MV-0059</t>
  </si>
  <si>
    <t>SRC-0102</t>
  </si>
  <si>
    <t>Лента диодная влагозащищенная, профиль</t>
  </si>
  <si>
    <t>10000</t>
  </si>
  <si>
    <t>RMAT-0060</t>
  </si>
  <si>
    <t>MV-0060</t>
  </si>
  <si>
    <t>SRC-0103</t>
  </si>
  <si>
    <t>Лента сигнальная 100м</t>
  </si>
  <si>
    <t>RMAT-0061</t>
  </si>
  <si>
    <t>MV-0061</t>
  </si>
  <si>
    <t>SRC-0104</t>
  </si>
  <si>
    <t>линия подвязки</t>
  </si>
  <si>
    <t>4000</t>
  </si>
  <si>
    <t>RMAT-0062</t>
  </si>
  <si>
    <t>MV-0062</t>
  </si>
  <si>
    <t>SRC-0105</t>
  </si>
  <si>
    <t>Лоток пластиковый ЛВ-10.16.12-ПП с решетками ячеистыми чугунными</t>
  </si>
  <si>
    <t>4010</t>
  </si>
  <si>
    <t>RMAT-0063</t>
  </si>
  <si>
    <t>MV-0063</t>
  </si>
  <si>
    <t>SRC-0106</t>
  </si>
  <si>
    <t>Люк садовый пластиковый черный «ДОМИК» d800мм</t>
  </si>
  <si>
    <t>3640</t>
  </si>
  <si>
    <t>RMAT-0064</t>
  </si>
  <si>
    <t>MV-0064</t>
  </si>
  <si>
    <t>SRC-0107</t>
  </si>
  <si>
    <t>Мастика битумная</t>
  </si>
  <si>
    <t>RMAT-0065</t>
  </si>
  <si>
    <t>MV-0065</t>
  </si>
  <si>
    <t>SRC-0108</t>
  </si>
  <si>
    <t>Мастика битумная, 20л</t>
  </si>
  <si>
    <t>3910</t>
  </si>
  <si>
    <t>RMAT-0066</t>
  </si>
  <si>
    <t>MV-0066</t>
  </si>
  <si>
    <t>SRC-0109</t>
  </si>
  <si>
    <t>Материалы для разметки</t>
  </si>
  <si>
    <t>9000</t>
  </si>
  <si>
    <t>RMAT-0067</t>
  </si>
  <si>
    <t>MV-0067</t>
  </si>
  <si>
    <t>SRC-0110</t>
  </si>
  <si>
    <t>Метизы</t>
  </si>
  <si>
    <t>RMAT-0068</t>
  </si>
  <si>
    <t>MV-0068</t>
  </si>
  <si>
    <t>SRC-0111</t>
  </si>
  <si>
    <t>Механическая планировка участка: выемка грунта</t>
  </si>
  <si>
    <t>500</t>
  </si>
  <si>
    <t>RWORK-0043</t>
  </si>
  <si>
    <t>SRC-0112</t>
  </si>
  <si>
    <t>Механическая планировка участка: снятие и подсыпка грунта</t>
  </si>
  <si>
    <t>RWORK-0044</t>
  </si>
  <si>
    <t>SRC-0113</t>
  </si>
  <si>
    <t>Мини-геопластика: создание рельефа в лесной зоне</t>
  </si>
  <si>
    <t>RWORK-0045</t>
  </si>
  <si>
    <t>SRC-0114</t>
  </si>
  <si>
    <t>монтаж алюминиевого каркаса с остеклением</t>
  </si>
  <si>
    <t>30000</t>
  </si>
  <si>
    <t>RWORK-0046</t>
  </si>
  <si>
    <t>SRC-0115</t>
  </si>
  <si>
    <t>Монтаж блоков питания</t>
  </si>
  <si>
    <t>Монтаж</t>
  </si>
  <si>
    <t>RWORK-0047</t>
  </si>
  <si>
    <t>SRC-0116</t>
  </si>
  <si>
    <t>Монтаж водоприемных колодцев 923мм с выемкой</t>
  </si>
  <si>
    <t>RWORK-0048</t>
  </si>
  <si>
    <t>SRC-0117</t>
  </si>
  <si>
    <t>Монтаж встроенных в настил светильников с устройством отверстий в облицовке</t>
  </si>
  <si>
    <t>RWORK-0049</t>
  </si>
  <si>
    <t>SRC-0118</t>
  </si>
  <si>
    <t>Монтаж грунтовых светильников</t>
  </si>
  <si>
    <t>RWORK-0050</t>
  </si>
  <si>
    <t>SRC-0119</t>
  </si>
  <si>
    <t>Монтаж диодной ленты подсветки</t>
  </si>
  <si>
    <t>3000</t>
  </si>
  <si>
    <t>RWORK-0051</t>
  </si>
  <si>
    <t>SRC-0120</t>
  </si>
  <si>
    <t>Монтаж дождеприемника</t>
  </si>
  <si>
    <t>RWORK-0052</t>
  </si>
  <si>
    <t>SRC-0121</t>
  </si>
  <si>
    <t>Монтаж дождеприемников со встройкой в террасный настил</t>
  </si>
  <si>
    <t>2200</t>
  </si>
  <si>
    <t>RWORK-0053</t>
  </si>
  <si>
    <t>SRC-0122</t>
  </si>
  <si>
    <t>Монтаж доски</t>
  </si>
  <si>
    <t>RWORK-0054</t>
  </si>
  <si>
    <t>SRC-0123</t>
  </si>
  <si>
    <t>Монтаж дренажного колодца h=1,7-2м</t>
  </si>
  <si>
    <t>Монтаж системы</t>
  </si>
  <si>
    <t>RWORK-0055</t>
  </si>
  <si>
    <t>SRC-0124</t>
  </si>
  <si>
    <t>Монтаж дренажного колодца h=1-1,5м</t>
  </si>
  <si>
    <t>3800</t>
  </si>
  <si>
    <t>RWORK-0056</t>
  </si>
  <si>
    <t>SRC-0125</t>
  </si>
  <si>
    <t>Монтаж и сборка щита</t>
  </si>
  <si>
    <t>20000</t>
  </si>
  <si>
    <t>RWORK-0057</t>
  </si>
  <si>
    <t>SRC-0126</t>
  </si>
  <si>
    <t>Монтаж каркаса на бетонную стенку</t>
  </si>
  <si>
    <t>450</t>
  </si>
  <si>
    <t>RWORK-0058</t>
  </si>
  <si>
    <t>SRC-0127</t>
  </si>
  <si>
    <t>Монтаж колодцев инспекционных d315мм</t>
  </si>
  <si>
    <t>RWORK-0059</t>
  </si>
  <si>
    <t>SRC-0128</t>
  </si>
  <si>
    <t>Монтаж лотков дождеприемных с решетками и отводами к ливневой канализации на раствор</t>
  </si>
  <si>
    <t>1350</t>
  </si>
  <si>
    <t>RWORK-0060</t>
  </si>
  <si>
    <t>SRC-0129</t>
  </si>
  <si>
    <t>Монтаж пескоуловителей на раствор</t>
  </si>
  <si>
    <t>RWORK-0061</t>
  </si>
  <si>
    <t>SRC-0130</t>
  </si>
  <si>
    <t>Монтаж светильников накладных на столбы - въездная зона</t>
  </si>
  <si>
    <t>RWORK-0062</t>
  </si>
  <si>
    <t>SRC-0131</t>
  </si>
  <si>
    <t>Монтаж светильников столбиков, розеток</t>
  </si>
  <si>
    <t>RWORK-0063</t>
  </si>
  <si>
    <t>SRC-0132</t>
  </si>
  <si>
    <t>Монтаж/демонтаж опалубки</t>
  </si>
  <si>
    <t>RWORK-0064</t>
  </si>
  <si>
    <t>SRC-0133</t>
  </si>
  <si>
    <t>990</t>
  </si>
  <si>
    <t>RWORK-0065</t>
  </si>
  <si>
    <t>SRC-0134</t>
  </si>
  <si>
    <t>Мощение брусчаткой габбро 100*80*50мм на отсев (пешеходная часть)</t>
  </si>
  <si>
    <t>3400</t>
  </si>
  <si>
    <t>RWORK-0066</t>
  </si>
  <si>
    <t>SRC-0135</t>
  </si>
  <si>
    <t>Мощение брусчаткой габбро 80*80*80мм на отсев (проезжая часть)</t>
  </si>
  <si>
    <t>3700</t>
  </si>
  <si>
    <t>RWORK-0067</t>
  </si>
  <si>
    <t>SRC-0136</t>
  </si>
  <si>
    <t>Мощение брусчаткой пиленной из шунгитного сланца на отсев</t>
  </si>
  <si>
    <t>2700</t>
  </si>
  <si>
    <t>RWORK-0068</t>
  </si>
  <si>
    <t>SRC-0137</t>
  </si>
  <si>
    <t>Мощение гранитной брусчаткой (без рисунка)</t>
  </si>
  <si>
    <t>RWORK-0069</t>
  </si>
  <si>
    <t>SRC-0138</t>
  </si>
  <si>
    <t>Мощение колотым амфиболитом</t>
  </si>
  <si>
    <t>RWORK-0070</t>
  </si>
  <si>
    <t>SRC-0139</t>
  </si>
  <si>
    <t>Мощение пилено-колотрой гранитной брусчаткой 100х100х50мм</t>
  </si>
  <si>
    <t>1980</t>
  </si>
  <si>
    <t>RWORK-0071</t>
  </si>
  <si>
    <t>SRC-0140</t>
  </si>
  <si>
    <t>Мощение плитами</t>
  </si>
  <si>
    <t>RWORK-0072</t>
  </si>
  <si>
    <t>SRC-0141</t>
  </si>
  <si>
    <t>Мощение плитами согласно схеме раскладки</t>
  </si>
  <si>
    <t>2900</t>
  </si>
  <si>
    <t>RWORK-0073</t>
  </si>
  <si>
    <t>SRC-0142</t>
  </si>
  <si>
    <t>Мощение ТБП</t>
  </si>
  <si>
    <t>1600</t>
  </si>
  <si>
    <t>RWORK-0074</t>
  </si>
  <si>
    <t>SRC-0143</t>
  </si>
  <si>
    <t>SRC-0144</t>
  </si>
  <si>
    <t>Мощение ТБП 60мм</t>
  </si>
  <si>
    <t>RWORK-0075</t>
  </si>
  <si>
    <t>SRC-0145</t>
  </si>
  <si>
    <t>Мощение шунгитным сланцем, рваным</t>
  </si>
  <si>
    <t>RWORK-0076</t>
  </si>
  <si>
    <t>SRC-0146</t>
  </si>
  <si>
    <t>Муфта d110мм для врезки в колодец</t>
  </si>
  <si>
    <t>630</t>
  </si>
  <si>
    <t>RMAT-0069</t>
  </si>
  <si>
    <t>MV-0069</t>
  </si>
  <si>
    <t>SRC-0147</t>
  </si>
  <si>
    <t>Муфта d160мм для врезки в колодец</t>
  </si>
  <si>
    <t>RMAT-0070</t>
  </si>
  <si>
    <t>MV-0070</t>
  </si>
  <si>
    <t>SRC-0148</t>
  </si>
  <si>
    <t>Накладные расходы (расходные материалы, комплектация заказов, зарплата АУП и пр.)</t>
  </si>
  <si>
    <t>0.05</t>
  </si>
  <si>
    <t>Накладные расходы</t>
  </si>
  <si>
    <t>RWORK-0077</t>
  </si>
  <si>
    <t>Для клиентской версии КП не выводить отдельной строкой</t>
  </si>
  <si>
    <t>SRC-0149</t>
  </si>
  <si>
    <t>Обратная засыпка грунта</t>
  </si>
  <si>
    <t>900</t>
  </si>
  <si>
    <t>Устройство закладных.</t>
  </si>
  <si>
    <t>Закладные</t>
  </si>
  <si>
    <t>Обратная засыпка</t>
  </si>
  <si>
    <t>RWORK-0078</t>
  </si>
  <si>
    <t>SRC-0150</t>
  </si>
  <si>
    <t>Обратная засыпка с послойной трамбовкой вручную</t>
  </si>
  <si>
    <t>RWORK-0079</t>
  </si>
  <si>
    <t>SRC-0151</t>
  </si>
  <si>
    <t>Обратная засыпка траншеи после прокладки кабеля</t>
  </si>
  <si>
    <t>RWORK-0080</t>
  </si>
  <si>
    <t>SRC-0152</t>
  </si>
  <si>
    <t>Обрезка краев газона криволинейная</t>
  </si>
  <si>
    <t>220</t>
  </si>
  <si>
    <t>RWORK-0081</t>
  </si>
  <si>
    <t>SRC-0153</t>
  </si>
  <si>
    <t>Обрезка плодовых деревьев (май и сентябрь)</t>
  </si>
  <si>
    <t>Уход и посадка</t>
  </si>
  <si>
    <t>RWORK-0082</t>
  </si>
  <si>
    <t>SRC-0154</t>
  </si>
  <si>
    <t>окраска в цвет по RAL</t>
  </si>
  <si>
    <t>26400</t>
  </si>
  <si>
    <t>RWORK-0083</t>
  </si>
  <si>
    <t>SRC-0155</t>
  </si>
  <si>
    <t>Окраска доски в один слой с фасадной стороны и торцов</t>
  </si>
  <si>
    <t>RWORK-0084</t>
  </si>
  <si>
    <t>SRC-0156</t>
  </si>
  <si>
    <t>Опора ландшафтная для установки светильников в бетон</t>
  </si>
  <si>
    <t>2150</t>
  </si>
  <si>
    <t>RMAT-0071</t>
  </si>
  <si>
    <t>MV-0071</t>
  </si>
  <si>
    <t>SRC-0157</t>
  </si>
  <si>
    <t>Отсев гранитный</t>
  </si>
  <si>
    <t>3100</t>
  </si>
  <si>
    <t>RMAT-0072</t>
  </si>
  <si>
    <t>MV-0072</t>
  </si>
  <si>
    <t>SRC-0158</t>
  </si>
  <si>
    <t>Отсев гранитный 2-5мм</t>
  </si>
  <si>
    <t>RMAT-0073</t>
  </si>
  <si>
    <t>MV-0073</t>
  </si>
  <si>
    <t>SRC-0159</t>
  </si>
  <si>
    <t>Отсев розовый 0-5мм, 50кг</t>
  </si>
  <si>
    <t>RMAT-0074</t>
  </si>
  <si>
    <t>MV-0074</t>
  </si>
  <si>
    <t>SRC-0160</t>
  </si>
  <si>
    <t>Перекопка верхнего слоя почвы с выбором корневищ и мусора, внесением грунта и песка</t>
  </si>
  <si>
    <t>RWORK-0085</t>
  </si>
  <si>
    <t>SRC-0161</t>
  </si>
  <si>
    <t>Перекопка с внесением крупного песка и с дальнейшим выравниванием, выведением уклонов и уплотнением</t>
  </si>
  <si>
    <t>470</t>
  </si>
  <si>
    <t>RWORK-0086</t>
  </si>
  <si>
    <t>SRC-0162</t>
  </si>
  <si>
    <t>Перемещение камня по участку</t>
  </si>
  <si>
    <t>RWORK-0087</t>
  </si>
  <si>
    <t>SRC-0163</t>
  </si>
  <si>
    <t>Перемещение песка по участку</t>
  </si>
  <si>
    <t>600</t>
  </si>
  <si>
    <t>RWORK-0088</t>
  </si>
  <si>
    <t>SRC-0164</t>
  </si>
  <si>
    <t>Перемещение щебня по участку</t>
  </si>
  <si>
    <t>RWORK-0089</t>
  </si>
  <si>
    <t>SRC-0165</t>
  </si>
  <si>
    <t>Пескоуловители пластиковые 500х160х420мм с решетками ячеистыми чугунными</t>
  </si>
  <si>
    <t>RMAT-0075</t>
  </si>
  <si>
    <t>MV-0075</t>
  </si>
  <si>
    <t>SRC-0166</t>
  </si>
  <si>
    <t>Песок крупнозернистый намывной</t>
  </si>
  <si>
    <t>2600</t>
  </si>
  <si>
    <t>RMAT-0076</t>
  </si>
  <si>
    <t>MV-0076</t>
  </si>
  <si>
    <t>SRC-0167</t>
  </si>
  <si>
    <t>Песок мелкий сеяный для швов, 50кг</t>
  </si>
  <si>
    <t>399</t>
  </si>
  <si>
    <t>RMAT-0077</t>
  </si>
  <si>
    <t>MV-0077</t>
  </si>
  <si>
    <t>SRC-0168</t>
  </si>
  <si>
    <t>Песок строительный, 50кг</t>
  </si>
  <si>
    <t>RMAT-0078</t>
  </si>
  <si>
    <t>MV-0078</t>
  </si>
  <si>
    <t>SRC-0169</t>
  </si>
  <si>
    <t>пленка техническая 150мк</t>
  </si>
  <si>
    <t>30</t>
  </si>
  <si>
    <t>RMAT-0079</t>
  </si>
  <si>
    <t>MV-0079</t>
  </si>
  <si>
    <t>SRC-0170</t>
  </si>
  <si>
    <t>Плита бетонная, 40мм</t>
  </si>
  <si>
    <t>RMAT-0080</t>
  </si>
  <si>
    <t>MV-0080</t>
  </si>
  <si>
    <t>SRC-0171</t>
  </si>
  <si>
    <t>Плита бетонная: толщина 50мм, ширина 0,36м, длина от 1 до 1,8м</t>
  </si>
  <si>
    <t>8500</t>
  </si>
  <si>
    <t>RMAT-0081</t>
  </si>
  <si>
    <t>MV-0081</t>
  </si>
  <si>
    <t>SRC-0172</t>
  </si>
  <si>
    <t>Погрузка мусора (механическая)</t>
  </si>
  <si>
    <t>RWORK-0090</t>
  </si>
  <si>
    <t>SRC-0173</t>
  </si>
  <si>
    <t>Подготовка оснований лестниц и пандусов</t>
  </si>
  <si>
    <t>RWORK-0091</t>
  </si>
  <si>
    <t>SRC-0174</t>
  </si>
  <si>
    <t>Подпиливание бетона подпорных стенок</t>
  </si>
  <si>
    <t>RWORK-0092</t>
  </si>
  <si>
    <t>SRC-0175</t>
  </si>
  <si>
    <t>Подрезка плитки</t>
  </si>
  <si>
    <t>700</t>
  </si>
  <si>
    <t>RWORK-0093</t>
  </si>
  <si>
    <t>SRC-0176</t>
  </si>
  <si>
    <t>Покраска щита и коробов в цвет дома</t>
  </si>
  <si>
    <t>RWORK-0094</t>
  </si>
  <si>
    <t>SRC-0177</t>
  </si>
  <si>
    <t>Покрытие спортивное (однослойное ударопоглощающее резиновое на однокомпонентном полиуретановом связующем толщиной 15мм )</t>
  </si>
  <si>
    <t>RMAT-0082</t>
  </si>
  <si>
    <t>MV-0082</t>
  </si>
  <si>
    <t>SRC-0178</t>
  </si>
  <si>
    <t>Портландцемент М400, 50кг</t>
  </si>
  <si>
    <t>605</t>
  </si>
  <si>
    <t>RMAT-0083</t>
  </si>
  <si>
    <t>MV-0083</t>
  </si>
  <si>
    <t>SRC-0179</t>
  </si>
  <si>
    <t>Посадка розы</t>
  </si>
  <si>
    <t>RWORK-0095</t>
  </si>
  <si>
    <t>SRC-0180</t>
  </si>
  <si>
    <t>Проволока вязальная</t>
  </si>
  <si>
    <t>RMAT-0084</t>
  </si>
  <si>
    <t>MV-0084</t>
  </si>
  <si>
    <t>SRC-0181</t>
  </si>
  <si>
    <t>Прометание мощения отсевом/ песком</t>
  </si>
  <si>
    <t>RWORK-0096</t>
  </si>
  <si>
    <t>SRC-0182</t>
  </si>
  <si>
    <t>Просеивание местного грунта</t>
  </si>
  <si>
    <t>1700</t>
  </si>
  <si>
    <t>RMAT-0085</t>
  </si>
  <si>
    <t>MV-0085</t>
  </si>
  <si>
    <t>SRC-0183</t>
  </si>
  <si>
    <t>Профиль алюминиевый</t>
  </si>
  <si>
    <t>131400</t>
  </si>
  <si>
    <t>RMAT-0086</t>
  </si>
  <si>
    <t>MV-0086</t>
  </si>
  <si>
    <t>SRC-0184</t>
  </si>
  <si>
    <t>Работа трактора</t>
  </si>
  <si>
    <t>26000</t>
  </si>
  <si>
    <t>RWORK-0097</t>
  </si>
  <si>
    <t>SRC-0185</t>
  </si>
  <si>
    <t>Работы по проверке цепей, параметрированию и настройке оборудования</t>
  </si>
  <si>
    <t>Пусконаладка</t>
  </si>
  <si>
    <t>RWORK-0098</t>
  </si>
  <si>
    <t>SRC-0186</t>
  </si>
  <si>
    <t>Разборка существующего покрытия</t>
  </si>
  <si>
    <t>RWORK-0099</t>
  </si>
  <si>
    <t>SRC-0187</t>
  </si>
  <si>
    <t>Разметка и нивелировка площадей, задание вертикальных уровней и уклона (геодезическая разбивка)</t>
  </si>
  <si>
    <t>RWORK-0100</t>
  </si>
  <si>
    <t>SRC-0188</t>
  </si>
  <si>
    <t>Расходные материалы</t>
  </si>
  <si>
    <t>RMAT-0087</t>
  </si>
  <si>
    <t>MV-0087</t>
  </si>
  <si>
    <t>Расходники лучше не показывать клиенту отдельной строкой</t>
  </si>
  <si>
    <t>SRC-0189</t>
  </si>
  <si>
    <t>Ровнитель для бетона Plitonit, 25кг</t>
  </si>
  <si>
    <t>645</t>
  </si>
  <si>
    <t>RMAT-0088</t>
  </si>
  <si>
    <t>MV-0088</t>
  </si>
  <si>
    <t>SRC-0190</t>
  </si>
  <si>
    <t>Розетка двойная наружная с заземлением с крышкой ФОРС IP54 ERS22-K03-16-54-DC IEK</t>
  </si>
  <si>
    <t>RMAT-0089</t>
  </si>
  <si>
    <t>MV-0089</t>
  </si>
  <si>
    <t>SRC-0191</t>
  </si>
  <si>
    <t>Розетка садовая Paulmann Rio 94657, столб с двумя розетками</t>
  </si>
  <si>
    <t>7900</t>
  </si>
  <si>
    <t>RMAT-0090</t>
  </si>
  <si>
    <t>MV-0090</t>
  </si>
  <si>
    <t>SRC-0192</t>
  </si>
  <si>
    <t>Ручная перекопка участка с удалением корней и корневищ</t>
  </si>
  <si>
    <t>Подготовка грунта</t>
  </si>
  <si>
    <t>RWORK-0101</t>
  </si>
  <si>
    <t>SRC-0193</t>
  </si>
  <si>
    <t>Саморезы нержавеющие, 5см (1500шт.)</t>
  </si>
  <si>
    <t>1470</t>
  </si>
  <si>
    <t>RMAT-0091</t>
  </si>
  <si>
    <t>MV-0091</t>
  </si>
  <si>
    <t>SRC-0194</t>
  </si>
  <si>
    <t>Саморезы по дереву</t>
  </si>
  <si>
    <t>680</t>
  </si>
  <si>
    <t>RMAT-0092</t>
  </si>
  <si>
    <t>MV-0092</t>
  </si>
  <si>
    <t>SRC-0195</t>
  </si>
  <si>
    <t>Сверло по дереву 8*100мм</t>
  </si>
  <si>
    <t>540</t>
  </si>
  <si>
    <t>RMAT-0093</t>
  </si>
  <si>
    <t>MV-0093</t>
  </si>
  <si>
    <t>SRC-0196</t>
  </si>
  <si>
    <t>Светильник</t>
  </si>
  <si>
    <t>12000</t>
  </si>
  <si>
    <t>RMAT-0094</t>
  </si>
  <si>
    <t>MV-0094</t>
  </si>
  <si>
    <t>SRC-0197</t>
  </si>
  <si>
    <t>Светильник h=1000</t>
  </si>
  <si>
    <t>RMAT-0095</t>
  </si>
  <si>
    <t>MV-0095</t>
  </si>
  <si>
    <t>SRC-0198</t>
  </si>
  <si>
    <t>Светильник h=600</t>
  </si>
  <si>
    <t>18000</t>
  </si>
  <si>
    <t>RMAT-0096</t>
  </si>
  <si>
    <t>MV-0096</t>
  </si>
  <si>
    <t>SRC-0199</t>
  </si>
  <si>
    <t>Сетка кладочная яч. 50х50мм d3,5-3,8мм, 0,51х2м</t>
  </si>
  <si>
    <t>225</t>
  </si>
  <si>
    <t>RMAT-0097</t>
  </si>
  <si>
    <t>MV-0097</t>
  </si>
  <si>
    <t>SRC-0200</t>
  </si>
  <si>
    <t>Сланец шунгитный (рваный), 40мм</t>
  </si>
  <si>
    <t>RMAT-0098</t>
  </si>
  <si>
    <t>MV-0098</t>
  </si>
  <si>
    <t>SRC-0201</t>
  </si>
  <si>
    <t>Снятие дернины</t>
  </si>
  <si>
    <t>RWORK-0102</t>
  </si>
  <si>
    <t>SRC-0202</t>
  </si>
  <si>
    <t>Снятие утрамбованного щебня (бывшая дорожка перед баней)</t>
  </si>
  <si>
    <t>3650</t>
  </si>
  <si>
    <t>RWORK-0103</t>
  </si>
  <si>
    <t>SRC-0203</t>
  </si>
  <si>
    <t>Соединитель CON T3 PIN IP68</t>
  </si>
  <si>
    <t>RMAT-0099</t>
  </si>
  <si>
    <t>MV-0099</t>
  </si>
  <si>
    <t>SRC-0204</t>
  </si>
  <si>
    <t>Спил березы</t>
  </si>
  <si>
    <t>Удаление деревьев</t>
  </si>
  <si>
    <t>RWORK-0104</t>
  </si>
  <si>
    <t>SRC-0205</t>
  </si>
  <si>
    <t>Торф нейтрализованный, 300л</t>
  </si>
  <si>
    <t>кипа</t>
  </si>
  <si>
    <t>RMAT-0100</t>
  </si>
  <si>
    <t>MV-0100</t>
  </si>
  <si>
    <t>SRC-0206</t>
  </si>
  <si>
    <t>Торфогрунт питательный, 300л</t>
  </si>
  <si>
    <t>RMAT-0101</t>
  </si>
  <si>
    <t>MV-0101</t>
  </si>
  <si>
    <t>SRC-0207</t>
  </si>
  <si>
    <t>Транспортные расходы</t>
  </si>
  <si>
    <t>0.01</t>
  </si>
  <si>
    <t>Транспорт</t>
  </si>
  <si>
    <t>RWORK-0105</t>
  </si>
  <si>
    <t>Лучше прятать в коэффициент или логистический пакет</t>
  </si>
  <si>
    <t>SRC-0208</t>
  </si>
  <si>
    <t>Труба двустенная гофрированная d=110мм SN8</t>
  </si>
  <si>
    <t>480</t>
  </si>
  <si>
    <t>Трубопровод и фасонные части</t>
  </si>
  <si>
    <t>RMAT-0102</t>
  </si>
  <si>
    <t>MV-0102</t>
  </si>
  <si>
    <t>SRC-0209</t>
  </si>
  <si>
    <t>Труба дренажная d110 SN6</t>
  </si>
  <si>
    <t>185</t>
  </si>
  <si>
    <t>Трубопровод</t>
  </si>
  <si>
    <t>RMAT-0103</t>
  </si>
  <si>
    <t>MV-0103</t>
  </si>
  <si>
    <t>SRC-0210</t>
  </si>
  <si>
    <t>Труба наружной канализации d110мм SN4</t>
  </si>
  <si>
    <t>305</t>
  </si>
  <si>
    <t>RMAT-0104</t>
  </si>
  <si>
    <t>MV-0104</t>
  </si>
  <si>
    <t>SRC-0211</t>
  </si>
  <si>
    <t>Труба наружной канализации d110мм SN8</t>
  </si>
  <si>
    <t>710</t>
  </si>
  <si>
    <t>RMAT-0105</t>
  </si>
  <si>
    <t>MV-0105</t>
  </si>
  <si>
    <t>SRC-0212</t>
  </si>
  <si>
    <t>Уголок металл., 50*50*5мм</t>
  </si>
  <si>
    <t>460</t>
  </si>
  <si>
    <t>RMAT-0106</t>
  </si>
  <si>
    <t>MV-0106</t>
  </si>
  <si>
    <t>SRC-0213</t>
  </si>
  <si>
    <t>Удобрение минеральное длительного действия</t>
  </si>
  <si>
    <t>615</t>
  </si>
  <si>
    <t>RMAT-0107</t>
  </si>
  <si>
    <t>MV-0107</t>
  </si>
  <si>
    <t>SRC-0214</t>
  </si>
  <si>
    <t>Удобрение универсальн., газонное</t>
  </si>
  <si>
    <t>RMAT-0108</t>
  </si>
  <si>
    <t>MV-0108</t>
  </si>
  <si>
    <t>SRC-0215</t>
  </si>
  <si>
    <t>Укладка силового бронированного кабеля с сигнальной лентой</t>
  </si>
  <si>
    <t>RWORK-0106</t>
  </si>
  <si>
    <t>SRC-0216</t>
  </si>
  <si>
    <t>Укладка геотекстиля</t>
  </si>
  <si>
    <t>RWORK-0107</t>
  </si>
  <si>
    <t>SRC-0217</t>
  </si>
  <si>
    <t>Укладка кабеля с креплением - под настилом, для освещения подпорных стенок, в стойках ограждения</t>
  </si>
  <si>
    <t>180</t>
  </si>
  <si>
    <t>RWORK-0108</t>
  </si>
  <si>
    <t>SRC-0218</t>
  </si>
  <si>
    <t>Укрепление крайнего ряда мощения</t>
  </si>
  <si>
    <t>RWORK-0109</t>
  </si>
  <si>
    <t>SRC-0219</t>
  </si>
  <si>
    <t>Уплотнение основания виброплитой</t>
  </si>
  <si>
    <t>80</t>
  </si>
  <si>
    <t>RWORK-0110</t>
  </si>
  <si>
    <t>SRC-0220</t>
  </si>
  <si>
    <t>Установка бордюра (криволинейная)</t>
  </si>
  <si>
    <t>240</t>
  </si>
  <si>
    <t>RMAT-0109</t>
  </si>
  <si>
    <t>MV-0109</t>
  </si>
  <si>
    <t>SRC-0221</t>
  </si>
  <si>
    <t>Установка бордюра металлического</t>
  </si>
  <si>
    <t>RMAT-0110</t>
  </si>
  <si>
    <t>MV-0110</t>
  </si>
  <si>
    <t>SRC-0222</t>
  </si>
  <si>
    <t>Установка бордюра ограничивающего (доска, брусок)</t>
  </si>
  <si>
    <t>RMAT-0111</t>
  </si>
  <si>
    <t>MV-0111</t>
  </si>
  <si>
    <t>SRC-0223</t>
  </si>
  <si>
    <t>Установка бордюра пластикового</t>
  </si>
  <si>
    <t>120</t>
  </si>
  <si>
    <t>RMAT-0112</t>
  </si>
  <si>
    <t>MV-0112</t>
  </si>
  <si>
    <t>SRC-0224</t>
  </si>
  <si>
    <t>Устройство армокаркасов</t>
  </si>
  <si>
    <t>RWORK-0111</t>
  </si>
  <si>
    <t>SRC-0225</t>
  </si>
  <si>
    <t>Устройство бесшовного покрытия отмостки из резиновой крошки, 10мм (с материалами)</t>
  </si>
  <si>
    <t>1150</t>
  </si>
  <si>
    <t>RWORK-0112</t>
  </si>
  <si>
    <t>SRC-0226</t>
  </si>
  <si>
    <t>Устройство бордюра из габбро-диабаза в два ряда на бетон 80*80*80мм</t>
  </si>
  <si>
    <t>1900</t>
  </si>
  <si>
    <t>RWORK-0113</t>
  </si>
  <si>
    <t>SRC-0227</t>
  </si>
  <si>
    <t>Устройство бордюра из габбро-диабаза в один ряд на бетон 80*80*80мм</t>
  </si>
  <si>
    <t>RWORK-0114</t>
  </si>
  <si>
    <t>SRC-0228</t>
  </si>
  <si>
    <t>Устройство врезок в бетонный колодец d110мм</t>
  </si>
  <si>
    <t>RWORK-0115</t>
  </si>
  <si>
    <t>SRC-0229</t>
  </si>
  <si>
    <t>Устройство врезок в бетонный колодец d160мм</t>
  </si>
  <si>
    <t>RWORK-0116</t>
  </si>
  <si>
    <t>SRC-0230</t>
  </si>
  <si>
    <t>Устройство врезок в колодец</t>
  </si>
  <si>
    <t>RWORK-0117</t>
  </si>
  <si>
    <t>SRC-0231</t>
  </si>
  <si>
    <t>Устройство временной съемной опалубки</t>
  </si>
  <si>
    <t>100</t>
  </si>
  <si>
    <t>RWORK-0118</t>
  </si>
  <si>
    <t>SRC-0232</t>
  </si>
  <si>
    <t>Устройство выравнивающего слоя (5-20мм)</t>
  </si>
  <si>
    <t>RWORK-0119</t>
  </si>
  <si>
    <t>SRC-0233</t>
  </si>
  <si>
    <t>RWORK-0120</t>
  </si>
  <si>
    <t>SRC-0234</t>
  </si>
  <si>
    <t>Устройство газонного ложа для обыкновенного газона: грунт плодородный (торфогрунт:песок:дерновая земля - 1:2:3), 150мм</t>
  </si>
  <si>
    <t>195</t>
  </si>
  <si>
    <t>RWORK-0121</t>
  </si>
  <si>
    <t>SRC-0235</t>
  </si>
  <si>
    <t>Устройство газонного ложа для обыкновенного газона: грунт плодородный (торфогрунт:песок:дерновая земля - 1:2:3), 160мм</t>
  </si>
  <si>
    <t>208</t>
  </si>
  <si>
    <t>RWORK-0122</t>
  </si>
  <si>
    <t>SRC-0236</t>
  </si>
  <si>
    <t>Устройство гравийного покрытия</t>
  </si>
  <si>
    <t>RWORK-0123</t>
  </si>
  <si>
    <t>SRC-0237</t>
  </si>
  <si>
    <t>Устройство декинга</t>
  </si>
  <si>
    <t>RWORK-0124</t>
  </si>
  <si>
    <t>SRC-0238</t>
  </si>
  <si>
    <t>Устройство деревянной опалубки</t>
  </si>
  <si>
    <t>Прочее по дренажу</t>
  </si>
  <si>
    <t>RWORK-0125</t>
  </si>
  <si>
    <t>SRC-0239</t>
  </si>
  <si>
    <t>Устройство дорожных одежд в парковочной зоне с расклинцовкой, трамбовкой и проливом водой</t>
  </si>
  <si>
    <t>860</t>
  </si>
  <si>
    <t>RWORK-0126</t>
  </si>
  <si>
    <t>SRC-0240</t>
  </si>
  <si>
    <t>Устройство дорожных одежд в пешеходной зоне с расклинцовкой, трамбовкой и проливом водой</t>
  </si>
  <si>
    <t>640</t>
  </si>
  <si>
    <t>RWORK-0127</t>
  </si>
  <si>
    <t>SRC-0241</t>
  </si>
  <si>
    <t>Устройство дренажа на глубине 80-130см</t>
  </si>
  <si>
    <t>920</t>
  </si>
  <si>
    <t>RWORK-0128</t>
  </si>
  <si>
    <t>SRC-0242</t>
  </si>
  <si>
    <t>Устройство закладных из 3-х труб d=110 мм</t>
  </si>
  <si>
    <t>Закладные и проходки</t>
  </si>
  <si>
    <t>RWORK-0129</t>
  </si>
  <si>
    <t>SRC-0243</t>
  </si>
  <si>
    <t>Устройство закладных из 3-х труб d=110мм</t>
  </si>
  <si>
    <t>RWORK-0130</t>
  </si>
  <si>
    <t>SRC-0244</t>
  </si>
  <si>
    <t>Устройство закладных под мощением</t>
  </si>
  <si>
    <t>750</t>
  </si>
  <si>
    <t>RWORK-0131</t>
  </si>
  <si>
    <t>SRC-0245</t>
  </si>
  <si>
    <t>Устройство ливневой системы (монтаж трубы d110мм с уклоном, средняя глубина 700мм), копка и обратная засыпка траншеи</t>
  </si>
  <si>
    <t>RWORK-0132</t>
  </si>
  <si>
    <t>SRC-0246</t>
  </si>
  <si>
    <t>Устройство ливневой системы водоотвода (глубина 700мм)</t>
  </si>
  <si>
    <t>RWORK-0133</t>
  </si>
  <si>
    <t>SRC-0247</t>
  </si>
  <si>
    <t>Устройство монтажного слоя из отсева (4см)</t>
  </si>
  <si>
    <t>RWORK-0134</t>
  </si>
  <si>
    <t>SRC-0248</t>
  </si>
  <si>
    <t>Устройство монтажного слоя из отсева (70мм)</t>
  </si>
  <si>
    <t>230</t>
  </si>
  <si>
    <t>RWORK-0135</t>
  </si>
  <si>
    <t>SRC-0249</t>
  </si>
  <si>
    <t>Устройство монтажного слоя из отсева с добавлением цемента (40мм)</t>
  </si>
  <si>
    <t>RWORK-0136</t>
  </si>
  <si>
    <t>SRC-0250</t>
  </si>
  <si>
    <t>Устройство набивного финишного покрытия из гравия (40мм) с мытьем</t>
  </si>
  <si>
    <t>200</t>
  </si>
  <si>
    <t>RWORK-0137</t>
  </si>
  <si>
    <t>SRC-0251</t>
  </si>
  <si>
    <t>Устройство набивного финишного покрытия из отсева (40мм)</t>
  </si>
  <si>
    <t>130</t>
  </si>
  <si>
    <t>RWORK-0138</t>
  </si>
  <si>
    <t>SRC-0252</t>
  </si>
  <si>
    <t>Устройство несущего щебнистого слоя (120мм) из щебня 20-40мм с проливом водой и трамбовкой с расклинцовкой щебнем 5-20мм</t>
  </si>
  <si>
    <t>289</t>
  </si>
  <si>
    <t>RWORK-0139</t>
  </si>
  <si>
    <t>SRC-0253</t>
  </si>
  <si>
    <t>Устройство несущего щебнистого слоя (150мм) из щебня 20-40мм с проливом водой и трамбовкой с расклинцовкой щебнем 5-20мм</t>
  </si>
  <si>
    <t>RWORK-0140</t>
  </si>
  <si>
    <t>SRC-0254</t>
  </si>
  <si>
    <t>Устройство несущего щебнистого слоя (150мм) из щебня 20-40мм с проливом водой и трамбовкой с расклинцовкой щебнем 5-20мм (пешеходная зона)</t>
  </si>
  <si>
    <t>RWORK-0141</t>
  </si>
  <si>
    <t>SRC-0255</t>
  </si>
  <si>
    <t>Устройство несущего щебнистого слоя (250мм) под пешеходное мощение из щебня 20-40мм с проливом водой и трамбовкой с расклинцовкой щебнем 5-20мм</t>
  </si>
  <si>
    <t>510</t>
  </si>
  <si>
    <t>RWORK-0142</t>
  </si>
  <si>
    <t>SRC-0256</t>
  </si>
  <si>
    <t>Устройство ограничительного бордюра из металлического уголка 50*50мм</t>
  </si>
  <si>
    <t>RWORK-0143</t>
  </si>
  <si>
    <t>SRC-0257</t>
  </si>
  <si>
    <t>Устройство песчаного слоя (100мм)</t>
  </si>
  <si>
    <t>RWORK-0144</t>
  </si>
  <si>
    <t>SRC-0258</t>
  </si>
  <si>
    <t>Устройство песчаного слоя (150мм)</t>
  </si>
  <si>
    <t>165</t>
  </si>
  <si>
    <t>RWORK-0145</t>
  </si>
  <si>
    <t>SRC-0259</t>
  </si>
  <si>
    <t>Устройство песчаного слоя (180мм)</t>
  </si>
  <si>
    <t>198</t>
  </si>
  <si>
    <t>RWORK-0146</t>
  </si>
  <si>
    <t>SRC-0260</t>
  </si>
  <si>
    <t>Устройство песчаного слоя (230мм)</t>
  </si>
  <si>
    <t>253</t>
  </si>
  <si>
    <t>RWORK-0147</t>
  </si>
  <si>
    <t>SRC-0261</t>
  </si>
  <si>
    <t>Устройство песчаного слоя (250мм)</t>
  </si>
  <si>
    <t>275</t>
  </si>
  <si>
    <t>RWORK-0148</t>
  </si>
  <si>
    <t>SRC-0262</t>
  </si>
  <si>
    <t>Устройство песчаного слоя (300мм)</t>
  </si>
  <si>
    <t>RWORK-0149</t>
  </si>
  <si>
    <t>SRC-0263</t>
  </si>
  <si>
    <t>Устройство песчаного слоя (600мм)</t>
  </si>
  <si>
    <t>660</t>
  </si>
  <si>
    <t>RWORK-0150</t>
  </si>
  <si>
    <t>SRC-0264</t>
  </si>
  <si>
    <t>Устройство поверхностного дренажного слоя из песка с прикаткой, 2см</t>
  </si>
  <si>
    <t>RWORK-0151</t>
  </si>
  <si>
    <t>SRC-0265</t>
  </si>
  <si>
    <t>Устройство рулонного газона на подготовленном основании</t>
  </si>
  <si>
    <t>RWORK-0152</t>
  </si>
  <si>
    <t>SRC-0266</t>
  </si>
  <si>
    <t>Устройство спортивного ударопоглощающего покрытия из резиновой крошки</t>
  </si>
  <si>
    <t>2550</t>
  </si>
  <si>
    <t>RWORK-0153</t>
  </si>
  <si>
    <t>SRC-0267</t>
  </si>
  <si>
    <t>Устройство траншеи 0,7м с песчаным основанием для кабеля</t>
  </si>
  <si>
    <t>RWORK-0154</t>
  </si>
  <si>
    <t>SRC-0268</t>
  </si>
  <si>
    <t>Устройство фундаментов светильников столбиков, розеток</t>
  </si>
  <si>
    <t>RWORK-0155</t>
  </si>
  <si>
    <t>SRC-0269</t>
  </si>
  <si>
    <t>фанера 12х1220*2440мм (для опалубки)</t>
  </si>
  <si>
    <t>2880</t>
  </si>
  <si>
    <t>RMAT-0113</t>
  </si>
  <si>
    <t>MV-0113</t>
  </si>
  <si>
    <t>SRC-0270</t>
  </si>
  <si>
    <t>Фасонные элементы - тройники, соединения, заглушки</t>
  </si>
  <si>
    <t>RMAT-0114</t>
  </si>
  <si>
    <t>MV-0114</t>
  </si>
  <si>
    <t>SRC-0271</t>
  </si>
  <si>
    <t>Цемент М400, 50кг</t>
  </si>
  <si>
    <t>RMAT-0115</t>
  </si>
  <si>
    <t>MV-0115</t>
  </si>
  <si>
    <t>SRC-0272</t>
  </si>
  <si>
    <t>ЦПС М300, 25кг</t>
  </si>
  <si>
    <t>265</t>
  </si>
  <si>
    <t>Основания и расходники</t>
  </si>
  <si>
    <t>RMAT-0116</t>
  </si>
  <si>
    <t>MV-0116</t>
  </si>
  <si>
    <t>SRC-0273</t>
  </si>
  <si>
    <t>Частичный демонтаж мощения</t>
  </si>
  <si>
    <t>RWORK-0156</t>
  </si>
  <si>
    <t>SRC-0274</t>
  </si>
  <si>
    <t>Чистка бетонной отмостки</t>
  </si>
  <si>
    <t>RWORK-0157</t>
  </si>
  <si>
    <t>SRC-0275</t>
  </si>
  <si>
    <t>Щебень гранитный фр. 20-40мм</t>
  </si>
  <si>
    <t>2060</t>
  </si>
  <si>
    <t>RMAT-0117</t>
  </si>
  <si>
    <t>MV-0117</t>
  </si>
  <si>
    <t>SRC-0276</t>
  </si>
  <si>
    <t>Щебень гранитный фр. 5-20мм</t>
  </si>
  <si>
    <t>2840</t>
  </si>
  <si>
    <t>RMAT-0118</t>
  </si>
  <si>
    <t>MV-0118</t>
  </si>
  <si>
    <t>SRC-0277</t>
  </si>
  <si>
    <t>Щебень гранитный фр. 5-20мм, 50кг</t>
  </si>
  <si>
    <t>RMAT-0119</t>
  </si>
  <si>
    <t>MV-0119</t>
  </si>
  <si>
    <t>SRC-0278</t>
  </si>
  <si>
    <t>Щит управления ландшафтным освещением (щит DKC 500*600*200мм IP65, кол-во модулей 72 элементы на базе ИЕК, 3 фазы 32А, 8 выходов под защитой УЗО)</t>
  </si>
  <si>
    <t>35000</t>
  </si>
  <si>
    <t>RMAT-0120</t>
  </si>
  <si>
    <t>MV-0120</t>
  </si>
  <si>
    <t>SRC-0279</t>
  </si>
  <si>
    <t>Электроды</t>
  </si>
  <si>
    <t>690</t>
  </si>
  <si>
    <t>RMAT-0121</t>
  </si>
  <si>
    <t>MV-0121</t>
  </si>
  <si>
    <t>SourceRowsCount</t>
  </si>
  <si>
    <t>ExampleSourceRowID</t>
  </si>
  <si>
    <t>авторское, сопровождение</t>
  </si>
  <si>
    <t>Импортировано из PRICE_MASTER; строк-источников: 1</t>
  </si>
  <si>
    <t>Импорт из PRICE_MASTER</t>
  </si>
  <si>
    <t>антисептирование, пиломатериалов, обеих, сторон</t>
  </si>
  <si>
    <t>за ед.</t>
  </si>
  <si>
    <t>аренда, вагончика</t>
  </si>
  <si>
    <t>аренда, виброплиты, 140кг</t>
  </si>
  <si>
    <t>аренда, виброплиты, 70кг</t>
  </si>
  <si>
    <t>аренда, мотобура</t>
  </si>
  <si>
    <t>аренда, обслуживание, раза, месяц, туалетной, кабины</t>
  </si>
  <si>
    <t>аренда, торцовочной, пилы</t>
  </si>
  <si>
    <t>армирование</t>
  </si>
  <si>
    <t>бетононасос</t>
  </si>
  <si>
    <t>вертикальная, планировка, геопластика</t>
  </si>
  <si>
    <t>вертикальная, планировка, выемка, подсыпка</t>
  </si>
  <si>
    <t>восстановление, бетонной, отмостки</t>
  </si>
  <si>
    <t>восстановление, дернины, после, устройства, дренажа</t>
  </si>
  <si>
    <t>временные, бытовые, условия, спецодежда, связь, туал, кабины</t>
  </si>
  <si>
    <t>выборка, ложа, чистовой, отметки, вручную</t>
  </si>
  <si>
    <t>выборка, ложа, чистовой, отметки, отвал, механическая</t>
  </si>
  <si>
    <t>вывоз, мусора, грунт</t>
  </si>
  <si>
    <t>вывоз, мусора, пухто, 27м, куб</t>
  </si>
  <si>
    <t>выезд, электрика, подключения, вагончике</t>
  </si>
  <si>
    <t>выемка, грунта, вручную</t>
  </si>
  <si>
    <t>выемка, грунта, механическая</t>
  </si>
  <si>
    <t>выемка, кирпича, бетона, наружной, стороны, забора, упаковкой, мешки</t>
  </si>
  <si>
    <t>выемка, строительного, мусора, почвы</t>
  </si>
  <si>
    <t>выкопка, елей</t>
  </si>
  <si>
    <t>выкопка, шиповника</t>
  </si>
  <si>
    <t>вынос, проекта, корректировкой, месту</t>
  </si>
  <si>
    <t>грунтование, бетонной, отмостки</t>
  </si>
  <si>
    <t>демонтаж, бетона, подпорных, стенок</t>
  </si>
  <si>
    <t>демонтаж, бетонной, стяжки, упаковкой, мешки</t>
  </si>
  <si>
    <t>демонтаж, гряд</t>
  </si>
  <si>
    <t>демонтаж, дождеприемников</t>
  </si>
  <si>
    <t>доставка, вывоз, туалетной, кабины</t>
  </si>
  <si>
    <t>доставки, оборудования, погрузочно, разгрузочные, работы</t>
  </si>
  <si>
    <t>завоз, вывоз, вагончика</t>
  </si>
  <si>
    <t>заливка, бетона</t>
  </si>
  <si>
    <t>изготовление, грядок, теплице</t>
  </si>
  <si>
    <t>изготовление, уличных, грядок</t>
  </si>
  <si>
    <t>за компл</t>
  </si>
  <si>
    <t>консервация, полива, зиму</t>
  </si>
  <si>
    <t>копка, траншеи, кабель, песчаном, грунте</t>
  </si>
  <si>
    <t>корчевка, поросли, механическая, ручная, очистка, участка, выкорчеванной</t>
  </si>
  <si>
    <t>механическая, планировка, участка, выемка, грунта</t>
  </si>
  <si>
    <t>механическая, планировка, участка, снятие, подсыпка, грунта</t>
  </si>
  <si>
    <t>мини, геопластика, создание, рельефа, лесной, зоне</t>
  </si>
  <si>
    <t>алюминиевого, каркаса, остеклением</t>
  </si>
  <si>
    <t>блоков, питания</t>
  </si>
  <si>
    <t>водоприемных, колодцев, 923мм, выемкой</t>
  </si>
  <si>
    <t>встроенных, настил, светильников, устройством, отверстий, облицовке</t>
  </si>
  <si>
    <t>грунтовых, светильников</t>
  </si>
  <si>
    <t>диодной, ленты, подсветки</t>
  </si>
  <si>
    <t>дождеприемника</t>
  </si>
  <si>
    <t>дождеприемников, встройкой, террасный, настил</t>
  </si>
  <si>
    <t>доски</t>
  </si>
  <si>
    <t>дренажного, колодца</t>
  </si>
  <si>
    <t>сборка, щита</t>
  </si>
  <si>
    <t>каркаса, бетонную, стенку</t>
  </si>
  <si>
    <t>колодцев, инспекционных, d315мм</t>
  </si>
  <si>
    <t>лотков, дождеприемных, решетками, отводами, ливневой, канализации, раствор</t>
  </si>
  <si>
    <t>пескоуловителей, раствор</t>
  </si>
  <si>
    <t>светильников, накладных, столбы, въездная, зона</t>
  </si>
  <si>
    <t>светильников, столбиков, розеток</t>
  </si>
  <si>
    <t>демонтаж, опалубки</t>
  </si>
  <si>
    <t>мощение, брусчаткой, габбро, 100, 50мм, отсев, пешеходная, часть</t>
  </si>
  <si>
    <t>мощение, брусчаткой, габбро, 80мм, отсев, проезжая, часть</t>
  </si>
  <si>
    <t>мощение, брусчаткой, пиленной, шунгитного, сланца, отсев</t>
  </si>
  <si>
    <t>мощение, гранитной, брусчаткой, рисунка</t>
  </si>
  <si>
    <t>мощение, колотым, амфиболитом</t>
  </si>
  <si>
    <t>мощение, пилено, колотрой, гранитной, брусчаткой, 100х100х50мм</t>
  </si>
  <si>
    <t>мощение, плитами</t>
  </si>
  <si>
    <t>мощение, плитами, согласно, схеме, раскладки</t>
  </si>
  <si>
    <t>мощение, тбп</t>
  </si>
  <si>
    <t>Импортировано из PRICE_MASTER; строк-источников: 2</t>
  </si>
  <si>
    <t>мощение, тбп, 60мм</t>
  </si>
  <si>
    <t>мощение, шунгитным, сланцем, рваным</t>
  </si>
  <si>
    <t>накладные, расходы, расходные, материалы, комплектация, заказов, зарплата, ауп</t>
  </si>
  <si>
    <t>обратная, засыпка, грунта</t>
  </si>
  <si>
    <t>обратная, засыпка, послойной, трамбовкой, вручную</t>
  </si>
  <si>
    <t>обратная, засыпка, траншеи, после, прокладки, кабеля</t>
  </si>
  <si>
    <t>обрезка, краев, газона, криволинейная</t>
  </si>
  <si>
    <t>обрезка, плодовых, деревьев, май, сентябрь</t>
  </si>
  <si>
    <t>окраска, цвет, ral</t>
  </si>
  <si>
    <t>окраска, доски, один, фасадной, стороны, торцов</t>
  </si>
  <si>
    <t>перекопка, верхнего, почвы, выбором, корневищ, мусора, внесением, грунта</t>
  </si>
  <si>
    <t>перекопка, внесением, крупного, песка, дальнейшим, выравниванием, выведением, уклонов</t>
  </si>
  <si>
    <t>перемещение, камня, участку</t>
  </si>
  <si>
    <t>перемещение, песка, участку</t>
  </si>
  <si>
    <t>перемещение, щебня, участку</t>
  </si>
  <si>
    <t>погрузка, мусора, механическая</t>
  </si>
  <si>
    <t>оснований, лестниц, пандусов</t>
  </si>
  <si>
    <t>подпиливание, бетона, подпорных, стенок</t>
  </si>
  <si>
    <t>подрезка, плитки</t>
  </si>
  <si>
    <t>покраска, щита, коробов, цвет, дома</t>
  </si>
  <si>
    <t>посадка, розы</t>
  </si>
  <si>
    <t>прометание, мощения, отсевом, песком</t>
  </si>
  <si>
    <t>трактора</t>
  </si>
  <si>
    <t>работы, проверке, цепей, параметрированию, настройке, оборудования</t>
  </si>
  <si>
    <t>разборка, существующего, покрытия</t>
  </si>
  <si>
    <t>разметка, нивелировка, площадей, задание, вертикальных, уровней, уклона, геодезическая</t>
  </si>
  <si>
    <t>ручная, перекопка, участка, удалением, корней, корневищ</t>
  </si>
  <si>
    <t>снятие, дернины</t>
  </si>
  <si>
    <t>снятие, утрамбованного, щебня, бывшая, дорожка, перед, баней</t>
  </si>
  <si>
    <t>спил, березы</t>
  </si>
  <si>
    <t>транспортные, расходы</t>
  </si>
  <si>
    <t>силового, бронированного, кабеля, сигнальной, лентой</t>
  </si>
  <si>
    <t>геотекстиля</t>
  </si>
  <si>
    <t>кабеля, креплением, настилом, освещения, подпорных, стенок, стойках, ограждения</t>
  </si>
  <si>
    <t>укрепление, крайнего, ряда, мощения</t>
  </si>
  <si>
    <t>уплотнение, основания, виброплитой</t>
  </si>
  <si>
    <t>армокаркасов</t>
  </si>
  <si>
    <t>бесшовного, покрытия, отмостки, резиновой, крошки, 10мм, материалами</t>
  </si>
  <si>
    <t>бордюра, габбро, диабаза, два, ряда, бетон, 80мм</t>
  </si>
  <si>
    <t>бордюра, габбро, диабаза, один, ряд, бетон, 80мм</t>
  </si>
  <si>
    <t>врезок, бетонный, колодец, d110мм</t>
  </si>
  <si>
    <t>врезок, бетонный, колодец, d160мм</t>
  </si>
  <si>
    <t>врезок, колодец</t>
  </si>
  <si>
    <t>временной, съемной, опалубки</t>
  </si>
  <si>
    <t>выравнивающего, 20мм</t>
  </si>
  <si>
    <t>газонного, ложа</t>
  </si>
  <si>
    <t>газонного, ложа, обыкновенного, газона, грунт, плодородный, торфогрунт, песок</t>
  </si>
  <si>
    <t>гравийного, покрытия</t>
  </si>
  <si>
    <t>декинга</t>
  </si>
  <si>
    <t>деревянной, опалубки</t>
  </si>
  <si>
    <t>дорожных, одежд, парковочной, зоне, расклинцовкой, трамбовкой, проливом, водой</t>
  </si>
  <si>
    <t>дорожных, одежд, пешеходной, зоне, расклинцовкой, трамбовкой, проливом, водой</t>
  </si>
  <si>
    <t>дренажа, глубине, 130см</t>
  </si>
  <si>
    <t>закладных, труб, 110</t>
  </si>
  <si>
    <t>закладных, труб, 110мм</t>
  </si>
  <si>
    <t>закладных, мощением</t>
  </si>
  <si>
    <t>ливневой, трубы, d110мм, уклоном, средняя, глубина, 700мм, копка</t>
  </si>
  <si>
    <t>ливневой, водоотвода, глубина, 700мм</t>
  </si>
  <si>
    <t>монтажного, отсева, 4см</t>
  </si>
  <si>
    <t>монтажного, отсева, 70мм</t>
  </si>
  <si>
    <t>монтажного, отсева, добавлением, цемента, 40мм</t>
  </si>
  <si>
    <t>набивного, финишного, покрытия, гравия, 40мм, мытьем</t>
  </si>
  <si>
    <t>набивного, финишного, покрытия, отсева, 40мм</t>
  </si>
  <si>
    <t>несущего, щебнистого, 120мм, щебня, 40мм, проливом, водой, трамбовкой</t>
  </si>
  <si>
    <t>несущего, щебнистого, 150мм, щебня, 40мм, проливом, водой, трамбовкой</t>
  </si>
  <si>
    <t>несущего, щебнистого, 250мм, пешеходное, мощение, щебня, 40мм, проливом</t>
  </si>
  <si>
    <t>ограничительного, бордюра, металлического, уголка, 50мм</t>
  </si>
  <si>
    <t>песчаного, 100мм</t>
  </si>
  <si>
    <t>песчаного, 150мм</t>
  </si>
  <si>
    <t>песчаного, 180мм</t>
  </si>
  <si>
    <t>песчаного, 230мм</t>
  </si>
  <si>
    <t>песчаного, 250мм</t>
  </si>
  <si>
    <t>песчаного, 300мм</t>
  </si>
  <si>
    <t>песчаного, 600мм</t>
  </si>
  <si>
    <t>поверхностного, дренажного, песка, прикаткой, 2см</t>
  </si>
  <si>
    <t>рулонного, газона, подготовленном, основании</t>
  </si>
  <si>
    <t>спортивного, ударопоглощающего, покрытия, резиновой, крошки</t>
  </si>
  <si>
    <t>траншеи, песчаным, основанием, кабеля</t>
  </si>
  <si>
    <t>фундаментов, светильников, столбиков, розеток</t>
  </si>
  <si>
    <t>частичный, демонтаж, мощения</t>
  </si>
  <si>
    <t>чистка, бетонной, отмостки</t>
  </si>
  <si>
    <t>Автосозданный базовый вариант из реального прайса</t>
  </si>
  <si>
    <t>WV-0007</t>
  </si>
  <si>
    <t>WV-0008</t>
  </si>
  <si>
    <t>WV-0009</t>
  </si>
  <si>
    <t>WV-0010</t>
  </si>
  <si>
    <t>WV-0011</t>
  </si>
  <si>
    <t>WV-0012</t>
  </si>
  <si>
    <t>WV-0013</t>
  </si>
  <si>
    <t>WV-0014</t>
  </si>
  <si>
    <t>WV-0015</t>
  </si>
  <si>
    <t>WV-0016</t>
  </si>
  <si>
    <t>WV-0017</t>
  </si>
  <si>
    <t>WV-0018</t>
  </si>
  <si>
    <t>WV-0019</t>
  </si>
  <si>
    <t>WV-0020</t>
  </si>
  <si>
    <t>WV-0021</t>
  </si>
  <si>
    <t>WV-0022</t>
  </si>
  <si>
    <t>WV-0023</t>
  </si>
  <si>
    <t>WV-0024</t>
  </si>
  <si>
    <t>WV-0025</t>
  </si>
  <si>
    <t>WV-0026</t>
  </si>
  <si>
    <t>WV-0027</t>
  </si>
  <si>
    <t>WV-0028</t>
  </si>
  <si>
    <t>WV-0029</t>
  </si>
  <si>
    <t>WV-0030</t>
  </si>
  <si>
    <t>WV-0031</t>
  </si>
  <si>
    <t>WV-0032</t>
  </si>
  <si>
    <t>WV-0033</t>
  </si>
  <si>
    <t>WV-0034</t>
  </si>
  <si>
    <t>WV-0035</t>
  </si>
  <si>
    <t>WV-0036</t>
  </si>
  <si>
    <t>WV-0037</t>
  </si>
  <si>
    <t>WV-0038</t>
  </si>
  <si>
    <t>WV-0039</t>
  </si>
  <si>
    <t>WV-0040</t>
  </si>
  <si>
    <t>WV-0041</t>
  </si>
  <si>
    <t>WV-0042</t>
  </si>
  <si>
    <t>WV-0043</t>
  </si>
  <si>
    <t>WV-0044</t>
  </si>
  <si>
    <t>WV-0045</t>
  </si>
  <si>
    <t>WV-0046</t>
  </si>
  <si>
    <t>WV-0047</t>
  </si>
  <si>
    <t>WV-0048</t>
  </si>
  <si>
    <t>WV-0049</t>
  </si>
  <si>
    <t>WV-0050</t>
  </si>
  <si>
    <t>WV-0051</t>
  </si>
  <si>
    <t>WV-0052</t>
  </si>
  <si>
    <t>WV-0053</t>
  </si>
  <si>
    <t>WV-0054</t>
  </si>
  <si>
    <t>WV-0055</t>
  </si>
  <si>
    <t>WV-0056</t>
  </si>
  <si>
    <t>WV-0057</t>
  </si>
  <si>
    <t>WV-0058</t>
  </si>
  <si>
    <t>WV-0059</t>
  </si>
  <si>
    <t>WV-0060</t>
  </si>
  <si>
    <t>WV-0061</t>
  </si>
  <si>
    <t>WV-0062</t>
  </si>
  <si>
    <t>WV-0063</t>
  </si>
  <si>
    <t>WV-0064</t>
  </si>
  <si>
    <t>WV-0065</t>
  </si>
  <si>
    <t>WV-0066</t>
  </si>
  <si>
    <t>WV-0067</t>
  </si>
  <si>
    <t>WV-0068</t>
  </si>
  <si>
    <t>WV-0069</t>
  </si>
  <si>
    <t>WV-0070</t>
  </si>
  <si>
    <t>WV-0071</t>
  </si>
  <si>
    <t>WV-0072</t>
  </si>
  <si>
    <t>WV-0073</t>
  </si>
  <si>
    <t>WV-0074</t>
  </si>
  <si>
    <t>WV-0075</t>
  </si>
  <si>
    <t>WV-0076</t>
  </si>
  <si>
    <t>WV-0077</t>
  </si>
  <si>
    <t>WV-0078</t>
  </si>
  <si>
    <t>WV-0079</t>
  </si>
  <si>
    <t>WV-0080</t>
  </si>
  <si>
    <t>WV-0081</t>
  </si>
  <si>
    <t>WV-0082</t>
  </si>
  <si>
    <t>WV-0083</t>
  </si>
  <si>
    <t>WV-0084</t>
  </si>
  <si>
    <t>WV-0085</t>
  </si>
  <si>
    <t>WV-0086</t>
  </si>
  <si>
    <t>WV-0087</t>
  </si>
  <si>
    <t>WV-0088</t>
  </si>
  <si>
    <t>WV-0089</t>
  </si>
  <si>
    <t>WV-0090</t>
  </si>
  <si>
    <t>WV-0091</t>
  </si>
  <si>
    <t>WV-0092</t>
  </si>
  <si>
    <t>WV-0093</t>
  </si>
  <si>
    <t>WV-0094</t>
  </si>
  <si>
    <t>WV-0095</t>
  </si>
  <si>
    <t>WV-0096</t>
  </si>
  <si>
    <t>WV-0097</t>
  </si>
  <si>
    <t>WV-0098</t>
  </si>
  <si>
    <t>WV-0099</t>
  </si>
  <si>
    <t>WV-0100</t>
  </si>
  <si>
    <t>WV-0101</t>
  </si>
  <si>
    <t>WV-0102</t>
  </si>
  <si>
    <t>WV-0103</t>
  </si>
  <si>
    <t>WV-0104</t>
  </si>
  <si>
    <t>WV-0105</t>
  </si>
  <si>
    <t>WV-0106</t>
  </si>
  <si>
    <t>WV-0107</t>
  </si>
  <si>
    <t>WV-0108</t>
  </si>
  <si>
    <t>WV-0109</t>
  </si>
  <si>
    <t>WV-0110</t>
  </si>
  <si>
    <t>WV-0111</t>
  </si>
  <si>
    <t>WV-0112</t>
  </si>
  <si>
    <t>WV-0113</t>
  </si>
  <si>
    <t>WV-0114</t>
  </si>
  <si>
    <t>WV-0115</t>
  </si>
  <si>
    <t>WV-0116</t>
  </si>
  <si>
    <t>WV-0117</t>
  </si>
  <si>
    <t>WV-0118</t>
  </si>
  <si>
    <t>WV-0119</t>
  </si>
  <si>
    <t>WV-0120</t>
  </si>
  <si>
    <t>WV-0121</t>
  </si>
  <si>
    <t>WV-0122</t>
  </si>
  <si>
    <t>WV-0123</t>
  </si>
  <si>
    <t>WV-0124</t>
  </si>
  <si>
    <t>WV-0125</t>
  </si>
  <si>
    <t>WV-0126</t>
  </si>
  <si>
    <t>WV-0127</t>
  </si>
  <si>
    <t>WV-0128</t>
  </si>
  <si>
    <t>WV-0129</t>
  </si>
  <si>
    <t>WV-0130</t>
  </si>
  <si>
    <t>WV-0131</t>
  </si>
  <si>
    <t>WV-0132</t>
  </si>
  <si>
    <t>WV-0133</t>
  </si>
  <si>
    <t>WV-0134</t>
  </si>
  <si>
    <t>WV-0135</t>
  </si>
  <si>
    <t>WV-0136</t>
  </si>
  <si>
    <t>WV-0137</t>
  </si>
  <si>
    <t>WV-0138</t>
  </si>
  <si>
    <t>WV-0139</t>
  </si>
  <si>
    <t>WV-0140</t>
  </si>
  <si>
    <t>WV-0141</t>
  </si>
  <si>
    <t>WV-0142</t>
  </si>
  <si>
    <t>WV-0143</t>
  </si>
  <si>
    <t>WV-0144</t>
  </si>
  <si>
    <t>WV-0145</t>
  </si>
  <si>
    <t>WV-0146</t>
  </si>
  <si>
    <t>WV-0147</t>
  </si>
  <si>
    <t>WV-0148</t>
  </si>
  <si>
    <t>WV-0149</t>
  </si>
  <si>
    <t>WV-0150</t>
  </si>
  <si>
    <t>WV-0151</t>
  </si>
  <si>
    <t>WV-0152</t>
  </si>
  <si>
    <t>WV-0153</t>
  </si>
  <si>
    <t>WV-0154</t>
  </si>
  <si>
    <t>WV-0155</t>
  </si>
  <si>
    <t>WV-0156</t>
  </si>
  <si>
    <t>WV-0157</t>
  </si>
  <si>
    <t>амфиболит колотый мм</t>
  </si>
  <si>
    <t>Импортировано из PRICE_MASTER</t>
  </si>
  <si>
    <t>Штучные / покрытия</t>
  </si>
  <si>
    <t>NetArea/Length x reserve coeff</t>
  </si>
  <si>
    <t>анкер крепящий для ландшафтного бордюра количество для установки по дуге на п</t>
  </si>
  <si>
    <t>Погонаж / доски / борта</t>
  </si>
  <si>
    <t>антисептик pinotex base</t>
  </si>
  <si>
    <t>Прочий материал</t>
  </si>
  <si>
    <t>Без доп. запаса</t>
  </si>
  <si>
    <t>Direct</t>
  </si>
  <si>
    <t>арматура рифленая</t>
  </si>
  <si>
    <t>бетон миксер</t>
  </si>
  <si>
    <t>Сыпучий / объёмный</t>
  </si>
  <si>
    <t>Сыпучие / объёмные</t>
  </si>
  <si>
    <t>NetQty x reserve coeff</t>
  </si>
  <si>
    <t>блок питания 100вт</t>
  </si>
  <si>
    <t>Штучный материал</t>
  </si>
  <si>
    <t>бордюр металлический</t>
  </si>
  <si>
    <t>бордюр пластиковый plastbort с крепежом</t>
  </si>
  <si>
    <t>бордюр пластиковый</t>
  </si>
  <si>
    <t>брус мм</t>
  </si>
  <si>
    <t>Погонаж / дерево</t>
  </si>
  <si>
    <t>брусок сухой сосна мм сорт ав</t>
  </si>
  <si>
    <t>брусчатка гранитная мм</t>
  </si>
  <si>
    <t>брусчатка пиленная шунгитный сланец</t>
  </si>
  <si>
    <t>брусчатка пилено колотая гранит мм</t>
  </si>
  <si>
    <t>брусчатка тбп простая</t>
  </si>
  <si>
    <t>брусчатка тбп антик мм</t>
  </si>
  <si>
    <t>брусчатка тбп классико б 3 ко 6</t>
  </si>
  <si>
    <t>габбро диабаз мм</t>
  </si>
  <si>
    <t>газон рулонный универсальный кв</t>
  </si>
  <si>
    <t>Рулонный материал</t>
  </si>
  <si>
    <t>Рулонные / листовые</t>
  </si>
  <si>
    <t>газон рулонный бюджетный кв</t>
  </si>
  <si>
    <t>геотекстиль</t>
  </si>
  <si>
    <t>герметик</t>
  </si>
  <si>
    <t>гидроизоляция гряд и стенок фундамента теплицы</t>
  </si>
  <si>
    <t>гравий щебень гр 20</t>
  </si>
  <si>
    <t>гравий карьерный 5</t>
  </si>
  <si>
    <t>гравий колотый</t>
  </si>
  <si>
    <t>грунт дерновый просеивание местного грунта</t>
  </si>
  <si>
    <t>грунт плодородный</t>
  </si>
  <si>
    <t>грунтовка концентрат</t>
  </si>
  <si>
    <t>диск алмазный по камню d 230ммхм14 гранит</t>
  </si>
  <si>
    <t>диск по металлу</t>
  </si>
  <si>
    <t>дождеприемник дп 30 30 пп с комплектующими и чугунной решеткой фасонные элементы</t>
  </si>
  <si>
    <t>Инженерный материал</t>
  </si>
  <si>
    <t>дождеприемник пластик мм в сборе с решеткой чугунной</t>
  </si>
  <si>
    <t>доска для опалубки мм</t>
  </si>
  <si>
    <t>доска импрегнированная мм строганая</t>
  </si>
  <si>
    <t>доска импрегнированная мм обрезная</t>
  </si>
  <si>
    <t>доска обрезн сосна мм</t>
  </si>
  <si>
    <t>доска террасная негофрированная термообработанная сосна мм</t>
  </si>
  <si>
    <t>доска хвойная сырая нестроганая мм для опалубки</t>
  </si>
  <si>
    <t>дюбель гвоздь мм</t>
  </si>
  <si>
    <t>затирка для широких швов camonica</t>
  </si>
  <si>
    <t>кабель силовой вбшв нг а ls 5 0 66кв броня</t>
  </si>
  <si>
    <t>клей по дереву</t>
  </si>
  <si>
    <t>колодец дренажный смотровой 315 с дном и крышкой</t>
  </si>
  <si>
    <t>колодец дренажный смотровой 460 мм с дном и крышкой</t>
  </si>
  <si>
    <t>кольцо железобетонное паз гребень кс10 9 d1000мм</t>
  </si>
  <si>
    <t>кольцо железобетонное регулировочное ко 6 d840мм</t>
  </si>
  <si>
    <t>кольцо железобетонное с днищем дк 10 9 d1000мм</t>
  </si>
  <si>
    <t>короб метал для подвода кабеля к щиту мм оцинк неперфорированный h</t>
  </si>
  <si>
    <t>краска pinotex extreme one колеровка утренний туман 005</t>
  </si>
  <si>
    <t>крышка для железобетонного кольца пп10 d1000мм</t>
  </si>
  <si>
    <t>лента диодная влагозащищенная профиль</t>
  </si>
  <si>
    <t>лента сигнальная</t>
  </si>
  <si>
    <t>лоток пластиковый лв 10 16 12 пп с решетками ячеистыми чугунными</t>
  </si>
  <si>
    <t>люк садовый пластиковый домик d800мм</t>
  </si>
  <si>
    <t>мастика битумная</t>
  </si>
  <si>
    <t>материалы для разметки</t>
  </si>
  <si>
    <t>метизы</t>
  </si>
  <si>
    <t>муфта d110мм для врезки в колодец</t>
  </si>
  <si>
    <t>муфта d160мм для врезки в колодец</t>
  </si>
  <si>
    <t>опора ландшафтная для установки светильников в бетон</t>
  </si>
  <si>
    <t>отсев гранитный</t>
  </si>
  <si>
    <t>отсев гранитный 2</t>
  </si>
  <si>
    <t>отсев розовый 0</t>
  </si>
  <si>
    <t>пескоуловители пластиковые мм с решетками ячеистыми чугунными</t>
  </si>
  <si>
    <t>песок крупнозернистый намывной</t>
  </si>
  <si>
    <t>песок мелкий сеяный для швов</t>
  </si>
  <si>
    <t>песок строительный</t>
  </si>
  <si>
    <t>плита бетонная</t>
  </si>
  <si>
    <t>плита бетонная толщина ширина длина от 1 до</t>
  </si>
  <si>
    <t>покрытие спортивное однослойное ударопоглощающее резиновое на однокомпонентном полиуретановом связующем толщиной</t>
  </si>
  <si>
    <t>портландцемент м400</t>
  </si>
  <si>
    <t>проволока вязальная</t>
  </si>
  <si>
    <t>просеивание местного грунта</t>
  </si>
  <si>
    <t>профиль алюминиевый</t>
  </si>
  <si>
    <t>расходные материалы</t>
  </si>
  <si>
    <t>ровнитель для бетона plitonit</t>
  </si>
  <si>
    <t>розетка двойная наружная с заземлением с крышкой форс ip54 ers22 k03 16 54 dc iek</t>
  </si>
  <si>
    <t>розетка садовая paulmann rio 94657 столб с двумя розетками</t>
  </si>
  <si>
    <t>саморезы нержавеющие</t>
  </si>
  <si>
    <t>саморезы по дереву</t>
  </si>
  <si>
    <t>сверло по дереву мм</t>
  </si>
  <si>
    <t>светильник</t>
  </si>
  <si>
    <t>светильник h 1000</t>
  </si>
  <si>
    <t>светильник h 600</t>
  </si>
  <si>
    <t>сетка кладочная яч мм d3 5 0 м</t>
  </si>
  <si>
    <t>сланец шунгитный рваный</t>
  </si>
  <si>
    <t>соединитель con t3 pin ip68</t>
  </si>
  <si>
    <t>торф нейтрализованный</t>
  </si>
  <si>
    <t>торфогрунт питательный</t>
  </si>
  <si>
    <t>труба двустенная гофрированная d sn8</t>
  </si>
  <si>
    <t>труба дренажная d110 sn6</t>
  </si>
  <si>
    <t>труба наружной канализации d110мм sn4</t>
  </si>
  <si>
    <t>труба наружной канализации d110мм sn8</t>
  </si>
  <si>
    <t>уголок металл мм</t>
  </si>
  <si>
    <t>удобрение минеральное длительного действия</t>
  </si>
  <si>
    <t>удобрение универсальн газонное</t>
  </si>
  <si>
    <t>установка бордюра криволинейная</t>
  </si>
  <si>
    <t>установка бордюра металлического</t>
  </si>
  <si>
    <t>установка бордюра ограничивающего доска брусок</t>
  </si>
  <si>
    <t>установка бордюра пластикового</t>
  </si>
  <si>
    <t>фанера мм для опалубки</t>
  </si>
  <si>
    <t>фасонные элементы тройники соединения заглушки</t>
  </si>
  <si>
    <t>цемент м400</t>
  </si>
  <si>
    <t>цпс м300</t>
  </si>
  <si>
    <t>щебень гранитный фр 20</t>
  </si>
  <si>
    <t>щебень гранитный фр 5</t>
  </si>
  <si>
    <t>щит управления ландшафтным освещением щит dkc мм ip65 кол во модулей 72 элементы на базе иек 3 фазы 32а 8 выходов под защитой узо</t>
  </si>
  <si>
    <t>электроды</t>
  </si>
  <si>
    <t>Автосозданный вариант 1:1 из реального прайса</t>
  </si>
  <si>
    <t>PRICE_MASTER/RAW_LINES</t>
  </si>
  <si>
    <t>Imported</t>
  </si>
  <si>
    <t>Автогенерация из реального прайса; проверить вручную</t>
  </si>
  <si>
    <t>Автогенерация 1:1; тарифные различия ещё не настроены</t>
  </si>
  <si>
    <t>NormalizedRoot</t>
  </si>
  <si>
    <t>CandidatesCount</t>
  </si>
  <si>
    <t>CandidateIDs</t>
  </si>
  <si>
    <t>ExampleNames</t>
  </si>
  <si>
    <t>SuggestedAction</t>
  </si>
  <si>
    <t>RiskComment</t>
  </si>
  <si>
    <t>аренда виброплиты</t>
  </si>
  <si>
    <t>RWORK-0004, RWORK-0005</t>
  </si>
  <si>
    <t>Аренда виброплиты 140кг | Аренда виброплиты 70кг</t>
  </si>
  <si>
    <t>Проверить на объединение в одну каноническую сущность / семейство</t>
  </si>
  <si>
    <t>Автоимпорт оставил строки раздельно, чтобы не потерять смысл и цену</t>
  </si>
  <si>
    <t>устройство газонного ложа для обыкновенного газона грунт плодородный торфогрунт песок дерновая земля 1 2 3</t>
  </si>
  <si>
    <t>RWORK-0121, RWORK-0122</t>
  </si>
  <si>
    <t>Устройство газонного ложа для обыкновенного газона: грунт плодородный (торфогрунт:песок:дерновая земля - 1:2:3), 150мм | Устройство газонного ложа для обыкновенного газона: грунт плодородный (торфогрунт:песок:дерновая земля - 1:2:3), 160мм</t>
  </si>
  <si>
    <t>устройство закладных из 3 х труб d</t>
  </si>
  <si>
    <t>RWORK-0129, RWORK-0130</t>
  </si>
  <si>
    <t>Устройство закладных из 3-х труб d=110 мм | Устройство закладных из 3-х труб d=110мм</t>
  </si>
  <si>
    <t>устройство монтажного слоя из отсева</t>
  </si>
  <si>
    <t>RWORK-0134, RWORK-0135</t>
  </si>
  <si>
    <t>Устройство монтажного слоя из отсева (4см) | Устройство монтажного слоя из отсева (70мм)</t>
  </si>
  <si>
    <t>устройство несущего щебнистого слоя из щебня 20 с проливом водой и трамбовкой с расклинцовкой щебнем 5</t>
  </si>
  <si>
    <t>RWORK-0139, RWORK-0140</t>
  </si>
  <si>
    <t>Устройство несущего щебнистого слоя (120мм) из щебня 20-40мм с проливом водой и трамбовкой с расклинцовкой щебнем 5-20мм | Устройство несущего щебнистого слоя (150мм) из щебня 20-40мм с проливом водой и трамбовкой с расклинцовкой щебнем 5-20мм</t>
  </si>
  <si>
    <t>устройство песчаного слоя</t>
  </si>
  <si>
    <t>RWORK-0144, RWORK-0145, RWORK-0146, RWORK-0147, RWORK-0148, RWORK-0149, RWORK-0150</t>
  </si>
  <si>
    <t>Устройство песчаного слоя (100мм) | Устройство песчаного слоя (150мм) | Устройство песчаного слоя (180мм) | Устройство песчаного слоя (230мм) | Устройство песчаного слоя (250мм)</t>
  </si>
  <si>
    <t>RMAT-0004, RMAT-0005</t>
  </si>
  <si>
    <t>арматура рифленая, 10мм | Арматура рифленая, 12мм</t>
  </si>
  <si>
    <t>RMAT-0013, RMAT-0014</t>
  </si>
  <si>
    <t>Брусчатка гранитная, 100х100х100мм | Брусчатка гранитная, 100х100х50мм</t>
  </si>
  <si>
    <t>RMAT-0020, RMAT-0021</t>
  </si>
  <si>
    <t>Габбро-диабаз 100*80*50мм | Габбро-диабаз 80*80*80мм</t>
  </si>
  <si>
    <t>RMAT-0023, RMAT-0024</t>
  </si>
  <si>
    <t>Газон рулонный бюджетный, 0.8м.кв. | Газон рулонный бюджетный, 1м.кв.</t>
  </si>
  <si>
    <t>RMAT-0025, RMAT-0026</t>
  </si>
  <si>
    <t>Геотекстиль, 200г/м2 | Геотекстиль, 300г/м2</t>
  </si>
  <si>
    <t>RMAT-0042, RMAT-0043</t>
  </si>
  <si>
    <t>Доска обрезн., сосна, 20х125х3000мм | Доска обрезн., сосна, 20х145х3000мм</t>
  </si>
  <si>
    <t>RMAT-0048, RMAT-0049</t>
  </si>
  <si>
    <t>Кабель силовой ВБШв нг(А)LS 3*1,5 0,66кВ броня | Кабель силовой ВБШв нг(А)LS 3*2,5 0,66кВ броня</t>
  </si>
  <si>
    <t>RMAT-0051, RMAT-0052</t>
  </si>
  <si>
    <t>Колодец дренажный смотровой 315/276х1000 с дном и крышкой | Колодец дренажный смотровой 315/276х1500 с дном и крышкой</t>
  </si>
  <si>
    <t>RMAT-0118, RMAT-0119</t>
  </si>
  <si>
    <t>Щебень гранитный фр. 5-20мм | Щебень гранитный фр. 5-20мм, 50кг</t>
  </si>
  <si>
    <t>RowReview</t>
  </si>
  <si>
    <t>Проверить вручную классификацию/объединение</t>
  </si>
  <si>
    <t>WhyReview</t>
  </si>
  <si>
    <t>процент/коммерческая логика</t>
  </si>
  <si>
    <t>накладная строка; процент/коммерческая логика</t>
  </si>
  <si>
    <t>средняя уверенность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</si>
</sst>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dd\.mm\.yyyy"/>
    <numFmt numFmtId="167" formatCode="0.0%"/>
  </numFmts>
  <fonts count="10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sz val="11"/>
      <color rgb="FF0000FF"/>
      <name val="Calibri"/>
    </font>
    <font>
      <sz val="11"/>
      <color rgb="FF000000"/>
      <name val="Calibri"/>
    </font>
    <font>
      <b/>
      <sz val="12"/>
      <name val="Calibri"/>
    </font>
    <font>
      <sz val="11"/>
      <color rgb="FF666666"/>
      <name val="Calibri"/>
    </font>
    <font>
      <sz val="11"/>
      <color rgb="FF008000"/>
      <name val="Calibri"/>
    </font>
    <font>
      <b/>
      <sz val="11"/>
      <color rgb="FFC00000"/>
      <name val="Calibri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7FBFF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E1F2"/>
      </bottom>
      <diagonal/>
    </border>
  </borders>
  <cellStyleXfs count="2">
    <xf numFmtId="0" fontId="0" fillId="0" borderId="0"/>
    <xf numFmtId="0" fontId="9" fillId="0" borderId="0"/>
  </cellStyleXfs>
  <cellXfs count="57">
    <xf numFmtId="0" fontId="0" fillId="0" borderId="0" xfId="0"/>
    <xf numFmtId="0" fontId="0" fillId="0" borderId="0" xfId="1" applyFont="1" applyAlignment="1">
      <alignment horizontal="left" vertical="top" wrapText="1"/>
    </xf>
    <xf numFmtId="0" fontId="2" fillId="2" borderId="0" xfId="1" applyFont="1" applyFill="1"/>
    <xf numFmtId="0" fontId="2" fillId="2" borderId="1" xfId="1" applyFont="1" applyFill="1" applyBorder="1" applyAlignment="1">
      <alignment horizontal="center" vertical="center" wrapText="1"/>
    </xf>
    <xf numFmtId="0" fontId="0" fillId="3" borderId="0" xfId="1" applyFont="1" applyFill="1" applyAlignment="1">
      <alignment horizontal="left" vertical="top" wrapText="1"/>
    </xf>
    <xf numFmtId="0" fontId="3" fillId="3" borderId="0" xfId="1" applyFont="1" applyFill="1" applyAlignment="1">
      <alignment horizontal="left" vertical="top" wrapText="1"/>
    </xf>
    <xf numFmtId="4" fontId="3" fillId="3" borderId="0" xfId="1" applyNumberFormat="1" applyFont="1" applyFill="1" applyAlignment="1">
      <alignment horizontal="left" vertical="top" wrapText="1"/>
    </xf>
    <xf numFmtId="4" fontId="0" fillId="0" borderId="0" xfId="1" applyNumberFormat="1" applyFont="1" applyAlignment="1">
      <alignment horizontal="left" vertical="top" wrapText="1"/>
    </xf>
    <xf numFmtId="2" fontId="3" fillId="3" borderId="0" xfId="1" applyNumberFormat="1" applyFont="1" applyFill="1" applyAlignment="1">
      <alignment horizontal="left" vertical="top" wrapText="1"/>
    </xf>
    <xf numFmtId="4" fontId="4" fillId="3" borderId="0" xfId="1" applyNumberFormat="1" applyFont="1" applyFill="1" applyAlignment="1">
      <alignment horizontal="left" vertical="top" wrapText="1"/>
    </xf>
    <xf numFmtId="2" fontId="0" fillId="0" borderId="0" xfId="1" applyNumberFormat="1" applyFont="1" applyAlignment="1">
      <alignment horizontal="left" vertical="top" wrapText="1"/>
    </xf>
    <xf numFmtId="1" fontId="3" fillId="3" borderId="0" xfId="1" applyNumberFormat="1" applyFont="1" applyFill="1" applyAlignment="1">
      <alignment horizontal="left" vertical="top" wrapText="1"/>
    </xf>
    <xf numFmtId="1" fontId="0" fillId="0" borderId="0" xfId="1" applyNumberFormat="1" applyFont="1" applyAlignment="1">
      <alignment horizontal="left" vertical="top" wrapText="1"/>
    </xf>
    <xf numFmtId="0" fontId="0" fillId="3" borderId="0" xfId="1" applyFont="1" applyFill="1" applyAlignment="1">
      <alignment vertical="center" wrapText="1"/>
    </xf>
    <xf numFmtId="2" fontId="0" fillId="3" borderId="0" xfId="1" applyNumberFormat="1" applyFont="1" applyFill="1" applyAlignment="1">
      <alignment vertical="center" wrapText="1"/>
    </xf>
    <xf numFmtId="164" fontId="0" fillId="3" borderId="0" xfId="1" applyNumberFormat="1" applyFont="1" applyFill="1" applyAlignment="1">
      <alignment vertical="center" wrapText="1"/>
    </xf>
    <xf numFmtId="0" fontId="1" fillId="0" borderId="0" xfId="1" applyFont="1" applyAlignment="1">
      <alignment vertical="top" wrapText="1"/>
    </xf>
    <xf numFmtId="0" fontId="0" fillId="0" borderId="0" xfId="1" applyFont="1" applyAlignment="1">
      <alignment vertical="top" wrapText="1"/>
    </xf>
    <xf numFmtId="0" fontId="2" fillId="2" borderId="1" xfId="1" applyFont="1" applyFill="1" applyBorder="1" applyAlignment="1">
      <alignment vertical="top" wrapText="1"/>
    </xf>
    <xf numFmtId="0" fontId="0" fillId="3" borderId="0" xfId="1" applyFont="1" applyFill="1" applyAlignment="1">
      <alignment vertical="top" wrapText="1"/>
    </xf>
    <xf numFmtId="165" fontId="3" fillId="3" borderId="0" xfId="1" applyNumberFormat="1" applyFont="1" applyFill="1" applyAlignment="1">
      <alignment horizontal="left" vertical="top" wrapText="1"/>
    </xf>
    <xf numFmtId="165" fontId="0" fillId="3" borderId="0" xfId="1" applyNumberFormat="1" applyFont="1" applyFill="1" applyAlignment="1">
      <alignment vertical="center" wrapText="1"/>
    </xf>
    <xf numFmtId="165" fontId="0" fillId="3" borderId="0" xfId="1" applyNumberFormat="1" applyFont="1" applyFill="1" applyAlignment="1">
      <alignment horizontal="left" vertical="top" wrapText="1"/>
    </xf>
    <xf numFmtId="0" fontId="5" fillId="0" borderId="0" xfId="1" applyFont="1"/>
    <xf numFmtId="0" fontId="3" fillId="3" borderId="0" xfId="1" applyFont="1" applyFill="1" applyAlignment="1">
      <alignment vertical="top" wrapText="1"/>
    </xf>
    <xf numFmtId="4" fontId="3" fillId="3" borderId="0" xfId="1" applyNumberFormat="1" applyFont="1" applyFill="1" applyAlignment="1">
      <alignment vertical="top" wrapText="1"/>
    </xf>
    <xf numFmtId="166" fontId="0" fillId="0" borderId="0" xfId="1" applyNumberFormat="1" applyFont="1" applyAlignment="1">
      <alignment vertical="top" wrapText="1"/>
    </xf>
    <xf numFmtId="4" fontId="0" fillId="0" borderId="0" xfId="1" applyNumberFormat="1" applyFont="1" applyAlignment="1">
      <alignment vertical="top" wrapText="1"/>
    </xf>
    <xf numFmtId="1" fontId="3" fillId="3" borderId="0" xfId="1" applyNumberFormat="1" applyFont="1" applyFill="1" applyAlignment="1">
      <alignment vertical="top" wrapText="1"/>
    </xf>
    <xf numFmtId="1" fontId="0" fillId="0" borderId="0" xfId="1" applyNumberFormat="1" applyFont="1" applyAlignment="1">
      <alignment vertical="top" wrapText="1"/>
    </xf>
    <xf numFmtId="165" fontId="0" fillId="3" borderId="0" xfId="1" applyNumberFormat="1" applyFont="1" applyFill="1" applyAlignment="1">
      <alignment vertical="top" wrapText="1"/>
    </xf>
    <xf numFmtId="2" fontId="0" fillId="0" borderId="0" xfId="1" applyNumberFormat="1" applyFont="1" applyAlignment="1">
      <alignment vertical="top" wrapText="1"/>
    </xf>
    <xf numFmtId="167" fontId="0" fillId="0" borderId="0" xfId="1" applyNumberFormat="1" applyFont="1" applyAlignment="1">
      <alignment vertical="top" wrapText="1"/>
    </xf>
    <xf numFmtId="3" fontId="0" fillId="0" borderId="0" xfId="1" applyNumberFormat="1" applyFont="1" applyAlignment="1">
      <alignment vertical="top" wrapText="1"/>
    </xf>
    <xf numFmtId="0" fontId="8" fillId="0" borderId="0" xfId="1" applyFont="1" applyAlignment="1">
      <alignment vertical="top" wrapText="1"/>
    </xf>
    <xf numFmtId="0" fontId="4" fillId="0" borderId="0" xfId="1" applyFont="1" applyAlignment="1">
      <alignment vertical="top" wrapText="1"/>
    </xf>
    <xf numFmtId="0" fontId="2" fillId="2" borderId="2" xfId="1" applyFont="1" applyFill="1" applyBorder="1" applyAlignment="1">
      <alignment horizontal="center" vertical="center" wrapText="1"/>
    </xf>
    <xf numFmtId="0" fontId="0" fillId="4" borderId="2" xfId="1" applyFont="1" applyFill="1" applyBorder="1" applyAlignment="1">
      <alignment vertical="top" wrapText="1"/>
    </xf>
    <xf numFmtId="0" fontId="0" fillId="0" borderId="2" xfId="1" applyFont="1" applyBorder="1" applyAlignment="1">
      <alignment vertical="top" wrapText="1"/>
    </xf>
    <xf numFmtId="4" fontId="3" fillId="4" borderId="2" xfId="1" applyNumberFormat="1" applyFont="1" applyFill="1" applyBorder="1" applyAlignment="1">
      <alignment vertical="top" wrapText="1"/>
    </xf>
    <xf numFmtId="0" fontId="7" fillId="4" borderId="2" xfId="1" applyFont="1" applyFill="1" applyBorder="1" applyAlignment="1">
      <alignment vertical="top" wrapText="1"/>
    </xf>
    <xf numFmtId="0" fontId="6" fillId="4" borderId="2" xfId="1" applyFont="1" applyFill="1" applyBorder="1" applyAlignment="1">
      <alignment vertical="top" wrapText="1"/>
    </xf>
    <xf numFmtId="4" fontId="3" fillId="0" borderId="2" xfId="1" applyNumberFormat="1" applyFont="1" applyBorder="1" applyAlignment="1">
      <alignment vertical="top" wrapText="1"/>
    </xf>
    <xf numFmtId="0" fontId="7" fillId="0" borderId="2" xfId="1" applyFont="1" applyBorder="1" applyAlignment="1">
      <alignment vertical="top" wrapText="1"/>
    </xf>
    <xf numFmtId="0" fontId="6" fillId="0" borderId="2" xfId="1" applyFont="1" applyBorder="1" applyAlignment="1">
      <alignment vertical="top" wrapText="1"/>
    </xf>
    <xf numFmtId="0" fontId="0" fillId="5" borderId="2" xfId="1" applyFont="1" applyFill="1" applyBorder="1" applyAlignment="1">
      <alignment vertical="top" wrapText="1"/>
    </xf>
    <xf numFmtId="4" fontId="3" fillId="5" borderId="2" xfId="1" applyNumberFormat="1" applyFont="1" applyFill="1" applyBorder="1" applyAlignment="1">
      <alignment vertical="top" wrapText="1"/>
    </xf>
    <xf numFmtId="0" fontId="7" fillId="5" borderId="2" xfId="1" applyFont="1" applyFill="1" applyBorder="1" applyAlignment="1">
      <alignment vertical="top" wrapText="1"/>
    </xf>
    <xf numFmtId="0" fontId="6" fillId="5" borderId="2" xfId="1" applyFont="1" applyFill="1" applyBorder="1" applyAlignment="1">
      <alignment vertical="top" wrapText="1"/>
    </xf>
    <xf numFmtId="2" fontId="3" fillId="4" borderId="2" xfId="1" applyNumberFormat="1" applyFont="1" applyFill="1" applyBorder="1" applyAlignment="1">
      <alignment vertical="top" wrapText="1"/>
    </xf>
    <xf numFmtId="4" fontId="0" fillId="4" borderId="2" xfId="1" applyNumberFormat="1" applyFont="1" applyFill="1" applyBorder="1" applyAlignment="1">
      <alignment vertical="top" wrapText="1"/>
    </xf>
    <xf numFmtId="2" fontId="3" fillId="0" borderId="2" xfId="1" applyNumberFormat="1" applyFont="1" applyBorder="1" applyAlignment="1">
      <alignment vertical="top" wrapText="1"/>
    </xf>
    <xf numFmtId="4" fontId="0" fillId="0" borderId="2" xfId="1" applyNumberFormat="1" applyFont="1" applyBorder="1" applyAlignment="1">
      <alignment vertical="top" wrapText="1"/>
    </xf>
    <xf numFmtId="1" fontId="0" fillId="4" borderId="2" xfId="1" applyNumberFormat="1" applyFont="1" applyFill="1" applyBorder="1" applyAlignment="1">
      <alignment vertical="top" wrapText="1"/>
    </xf>
    <xf numFmtId="1" fontId="0" fillId="0" borderId="2" xfId="1" applyNumberFormat="1" applyFont="1" applyBorder="1" applyAlignment="1">
      <alignment vertical="top" wrapText="1"/>
    </xf>
    <xf numFmtId="2" fontId="0" fillId="4" borderId="2" xfId="1" applyNumberFormat="1" applyFont="1" applyFill="1" applyBorder="1" applyAlignment="1">
      <alignment vertical="top" wrapText="1"/>
    </xf>
    <xf numFmtId="2" fontId="0" fillId="0" borderId="2" xfId="1" applyNumberFormat="1" applyFont="1" applyBorder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2"/>
  <sheetViews>
    <sheetView workbookViewId="0"/>
  </sheetViews>
  <sheetFormatPr defaultRowHeight="14.4" x14ac:dyDescent="0.3"/>
  <cols>
    <col min="1" max="1" width="140" customWidth="1"/>
  </cols>
  <sheetData>
    <row r="1" spans="1:1" ht="18" x14ac:dyDescent="0.3">
      <c r="A1" s="16" t="s">
        <v>0</v>
      </c>
    </row>
    <row r="2" spans="1:1" x14ac:dyDescent="0.3">
      <c r="A2" s="34" t="s">
        <v>1</v>
      </c>
    </row>
    <row r="3" spans="1:1" x14ac:dyDescent="0.3">
      <c r="A3" s="35" t="s">
        <v>2</v>
      </c>
    </row>
    <row r="4" spans="1:1" x14ac:dyDescent="0.3">
      <c r="A4" s="35" t="s">
        <v>3</v>
      </c>
    </row>
    <row r="5" spans="1:1" x14ac:dyDescent="0.3">
      <c r="A5" s="35" t="s">
        <v>4</v>
      </c>
    </row>
    <row r="6" spans="1:1" x14ac:dyDescent="0.3">
      <c r="A6" s="17" t="s">
        <v>5</v>
      </c>
    </row>
    <row r="7" spans="1:1" x14ac:dyDescent="0.3">
      <c r="A7" s="17" t="s">
        <v>6</v>
      </c>
    </row>
    <row r="8" spans="1:1" x14ac:dyDescent="0.3">
      <c r="A8" s="17" t="s">
        <v>7</v>
      </c>
    </row>
    <row r="9" spans="1:1" x14ac:dyDescent="0.3">
      <c r="A9" s="17"/>
    </row>
    <row r="10" spans="1:1" x14ac:dyDescent="0.3">
      <c r="A10" s="17" t="s">
        <v>8</v>
      </c>
    </row>
    <row r="11" spans="1:1" x14ac:dyDescent="0.3">
      <c r="A11" s="17" t="s">
        <v>9</v>
      </c>
    </row>
    <row r="12" spans="1:1" x14ac:dyDescent="0.3">
      <c r="A12" s="17" t="s">
        <v>10</v>
      </c>
    </row>
    <row r="13" spans="1:1" x14ac:dyDescent="0.3">
      <c r="A13" s="17" t="s">
        <v>11</v>
      </c>
    </row>
    <row r="14" spans="1:1" x14ac:dyDescent="0.3">
      <c r="A14" s="17" t="s">
        <v>12</v>
      </c>
    </row>
    <row r="15" spans="1:1" x14ac:dyDescent="0.3">
      <c r="A15" s="17" t="s">
        <v>13</v>
      </c>
    </row>
    <row r="16" spans="1:1" x14ac:dyDescent="0.3">
      <c r="A16" s="17"/>
    </row>
    <row r="17" spans="1:1" x14ac:dyDescent="0.3">
      <c r="A17" s="17" t="s">
        <v>14</v>
      </c>
    </row>
    <row r="18" spans="1:1" x14ac:dyDescent="0.3">
      <c r="A18" s="17" t="s">
        <v>15</v>
      </c>
    </row>
    <row r="19" spans="1:1" x14ac:dyDescent="0.3">
      <c r="A19" s="17" t="s">
        <v>16</v>
      </c>
    </row>
    <row r="20" spans="1:1" x14ac:dyDescent="0.3">
      <c r="A20" s="17" t="s">
        <v>17</v>
      </c>
    </row>
    <row r="21" spans="1:1" x14ac:dyDescent="0.3">
      <c r="A21" s="17" t="s">
        <v>18</v>
      </c>
    </row>
    <row r="22" spans="1:1" x14ac:dyDescent="0.3">
      <c r="A22" s="17"/>
    </row>
    <row r="23" spans="1:1" x14ac:dyDescent="0.3">
      <c r="A23" s="17" t="s">
        <v>19</v>
      </c>
    </row>
    <row r="24" spans="1:1" x14ac:dyDescent="0.3">
      <c r="A24" s="17" t="s">
        <v>20</v>
      </c>
    </row>
    <row r="25" spans="1:1" x14ac:dyDescent="0.3">
      <c r="A25" s="17" t="s">
        <v>21</v>
      </c>
    </row>
    <row r="26" spans="1:1" x14ac:dyDescent="0.3">
      <c r="A26" s="18" t="s">
        <v>22</v>
      </c>
    </row>
    <row r="27" spans="1:1" ht="28.8" x14ac:dyDescent="0.3">
      <c r="A27" s="19" t="s">
        <v>23</v>
      </c>
    </row>
    <row r="28" spans="1:1" ht="28.8" x14ac:dyDescent="0.3">
      <c r="A28" s="19" t="s">
        <v>24</v>
      </c>
    </row>
    <row r="29" spans="1:1" ht="28.8" x14ac:dyDescent="0.3">
      <c r="A29" s="19" t="s">
        <v>25</v>
      </c>
    </row>
    <row r="30" spans="1:1" x14ac:dyDescent="0.3">
      <c r="A30" s="19" t="s">
        <v>26</v>
      </c>
    </row>
    <row r="31" spans="1:1" x14ac:dyDescent="0.3">
      <c r="A31" s="19" t="s">
        <v>27</v>
      </c>
    </row>
    <row r="32" spans="1:1" x14ac:dyDescent="0.3">
      <c r="A32" s="19" t="s">
        <v>28</v>
      </c>
    </row>
    <row r="33" spans="1:1" x14ac:dyDescent="0.3">
      <c r="A33" s="19" t="s">
        <v>29</v>
      </c>
    </row>
    <row r="34" spans="1:1" x14ac:dyDescent="0.3">
      <c r="A34" s="19" t="s">
        <v>30</v>
      </c>
    </row>
    <row r="35" spans="1:1" x14ac:dyDescent="0.3">
      <c r="A35" s="19" t="s">
        <v>31</v>
      </c>
    </row>
    <row r="36" spans="1:1" ht="19.95" customHeight="1" x14ac:dyDescent="0.3">
      <c r="A36" s="17" t="s">
        <v>32</v>
      </c>
    </row>
    <row r="37" spans="1:1" ht="19.95" customHeight="1" x14ac:dyDescent="0.3">
      <c r="A37" s="17" t="s">
        <v>33</v>
      </c>
    </row>
    <row r="38" spans="1:1" ht="19.95" customHeight="1" x14ac:dyDescent="0.3">
      <c r="A38" s="17" t="s">
        <v>34</v>
      </c>
    </row>
    <row r="39" spans="1:1" ht="19.95" customHeight="1" x14ac:dyDescent="0.3">
      <c r="A39" s="17" t="s">
        <v>35</v>
      </c>
    </row>
    <row r="40" spans="1:1" ht="19.95" customHeight="1" x14ac:dyDescent="0.3">
      <c r="A40" s="17" t="s">
        <v>36</v>
      </c>
    </row>
    <row r="41" spans="1:1" ht="19.95" customHeight="1" x14ac:dyDescent="0.3">
      <c r="A41" s="17" t="s">
        <v>37</v>
      </c>
    </row>
    <row r="42" spans="1:1" ht="19.95" customHeight="1" x14ac:dyDescent="0.3">
      <c r="A42" s="17" t="s">
        <v>38</v>
      </c>
    </row>
    <row r="43" spans="1:1" ht="19.95" customHeight="1" x14ac:dyDescent="0.3">
      <c r="A43" s="17" t="s">
        <v>39</v>
      </c>
    </row>
    <row r="44" spans="1:1" x14ac:dyDescent="0.3">
      <c r="A44" s="17"/>
    </row>
    <row r="45" spans="1:1" x14ac:dyDescent="0.3">
      <c r="A45" s="17"/>
    </row>
    <row r="46" spans="1:1" x14ac:dyDescent="0.3">
      <c r="A46" s="17"/>
    </row>
    <row r="47" spans="1:1" x14ac:dyDescent="0.3">
      <c r="A47" s="17"/>
    </row>
    <row r="48" spans="1:1" x14ac:dyDescent="0.3">
      <c r="A48" s="17"/>
    </row>
    <row r="49" spans="1:1" x14ac:dyDescent="0.3">
      <c r="A49" s="17"/>
    </row>
    <row r="51" spans="1:1" ht="18" x14ac:dyDescent="0.3">
      <c r="A51" s="16" t="s">
        <v>40</v>
      </c>
    </row>
    <row r="52" spans="1:1" x14ac:dyDescent="0.3">
      <c r="A52" s="17" t="s">
        <v>41</v>
      </c>
    </row>
    <row r="53" spans="1:1" x14ac:dyDescent="0.3">
      <c r="A53" s="17" t="s">
        <v>42</v>
      </c>
    </row>
    <row r="54" spans="1:1" x14ac:dyDescent="0.3">
      <c r="A54" s="17" t="s">
        <v>43</v>
      </c>
    </row>
    <row r="55" spans="1:1" x14ac:dyDescent="0.3">
      <c r="A55" s="17" t="s">
        <v>44</v>
      </c>
    </row>
    <row r="56" spans="1:1" x14ac:dyDescent="0.3">
      <c r="A56" s="17" t="s">
        <v>45</v>
      </c>
    </row>
    <row r="57" spans="1:1" x14ac:dyDescent="0.3">
      <c r="A57" s="17" t="s">
        <v>46</v>
      </c>
    </row>
    <row r="59" spans="1:1" ht="15.6" x14ac:dyDescent="0.3">
      <c r="A59" s="23" t="s">
        <v>47</v>
      </c>
    </row>
    <row r="60" spans="1:1" x14ac:dyDescent="0.3">
      <c r="A60" t="s">
        <v>48</v>
      </c>
    </row>
    <row r="61" spans="1:1" x14ac:dyDescent="0.3">
      <c r="A61" t="s">
        <v>49</v>
      </c>
    </row>
    <row r="62" spans="1:1" x14ac:dyDescent="0.3">
      <c r="A62" t="s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2" customWidth="1"/>
    <col min="2" max="2" width="34" customWidth="1"/>
    <col min="3" max="3" width="38" customWidth="1"/>
    <col min="4" max="4" width="42" customWidth="1"/>
    <col min="5" max="6" width="10" customWidth="1"/>
  </cols>
  <sheetData>
    <row r="1" spans="1:6" x14ac:dyDescent="0.3">
      <c r="A1" s="3" t="s">
        <v>51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</row>
    <row r="2" spans="1:6" ht="43.2" x14ac:dyDescent="0.3">
      <c r="A2" s="17" t="s">
        <v>57</v>
      </c>
      <c r="B2" s="17" t="s">
        <v>58</v>
      </c>
      <c r="C2" s="17" t="s">
        <v>59</v>
      </c>
      <c r="D2" s="17" t="s">
        <v>60</v>
      </c>
      <c r="E2" s="19" t="s">
        <v>61</v>
      </c>
      <c r="F2" s="17" t="s">
        <v>62</v>
      </c>
    </row>
    <row r="3" spans="1:6" ht="43.2" x14ac:dyDescent="0.3">
      <c r="A3" s="17" t="s">
        <v>63</v>
      </c>
      <c r="B3" s="17" t="s">
        <v>64</v>
      </c>
      <c r="C3" s="17" t="s">
        <v>65</v>
      </c>
      <c r="D3" s="17" t="s">
        <v>66</v>
      </c>
      <c r="E3" s="19" t="s">
        <v>61</v>
      </c>
      <c r="F3" s="17" t="s">
        <v>62</v>
      </c>
    </row>
    <row r="4" spans="1:6" ht="43.2" x14ac:dyDescent="0.3">
      <c r="A4" s="17" t="s">
        <v>67</v>
      </c>
      <c r="B4" s="17" t="s">
        <v>68</v>
      </c>
      <c r="C4" s="17" t="s">
        <v>69</v>
      </c>
      <c r="D4" s="17" t="s">
        <v>70</v>
      </c>
      <c r="E4" s="19" t="s">
        <v>71</v>
      </c>
      <c r="F4" s="17" t="s">
        <v>62</v>
      </c>
    </row>
    <row r="5" spans="1:6" ht="43.2" x14ac:dyDescent="0.3">
      <c r="A5" s="17" t="s">
        <v>72</v>
      </c>
      <c r="B5" s="17" t="s">
        <v>73</v>
      </c>
      <c r="C5" s="17" t="s">
        <v>74</v>
      </c>
      <c r="D5" s="17" t="s">
        <v>75</v>
      </c>
      <c r="E5" s="19" t="s">
        <v>61</v>
      </c>
      <c r="F5" s="17" t="s">
        <v>62</v>
      </c>
    </row>
    <row r="6" spans="1:6" ht="43.2" x14ac:dyDescent="0.3">
      <c r="A6" s="17" t="s">
        <v>76</v>
      </c>
      <c r="B6" s="17" t="s">
        <v>77</v>
      </c>
      <c r="C6" s="17" t="s">
        <v>78</v>
      </c>
      <c r="D6" s="17" t="s">
        <v>79</v>
      </c>
      <c r="E6" s="19" t="s">
        <v>61</v>
      </c>
      <c r="F6" s="17" t="s">
        <v>62</v>
      </c>
    </row>
    <row r="7" spans="1:6" ht="28.8" x14ac:dyDescent="0.3">
      <c r="A7" s="17" t="s">
        <v>80</v>
      </c>
      <c r="B7" s="17" t="s">
        <v>81</v>
      </c>
      <c r="C7" s="17" t="s">
        <v>82</v>
      </c>
      <c r="D7" s="17" t="s">
        <v>83</v>
      </c>
      <c r="E7" s="19" t="s">
        <v>71</v>
      </c>
      <c r="F7" s="17" t="s">
        <v>62</v>
      </c>
    </row>
    <row r="8" spans="1:6" ht="28.8" x14ac:dyDescent="0.3">
      <c r="A8" s="17" t="s">
        <v>84</v>
      </c>
      <c r="B8" s="17" t="s">
        <v>85</v>
      </c>
      <c r="C8" s="17" t="s">
        <v>86</v>
      </c>
      <c r="D8" s="17" t="s">
        <v>87</v>
      </c>
      <c r="E8" s="19" t="s">
        <v>88</v>
      </c>
      <c r="F8" s="17" t="s">
        <v>62</v>
      </c>
    </row>
    <row r="9" spans="1:6" ht="28.8" x14ac:dyDescent="0.3">
      <c r="A9" s="17" t="s">
        <v>89</v>
      </c>
      <c r="B9" s="17" t="s">
        <v>90</v>
      </c>
      <c r="C9" s="17" t="s">
        <v>91</v>
      </c>
      <c r="D9" s="17" t="s">
        <v>92</v>
      </c>
      <c r="E9" s="19" t="s">
        <v>61</v>
      </c>
      <c r="F9" s="17" t="s">
        <v>62</v>
      </c>
    </row>
    <row r="10" spans="1:6" ht="43.2" x14ac:dyDescent="0.3">
      <c r="A10" s="17" t="s">
        <v>93</v>
      </c>
      <c r="B10" s="17" t="s">
        <v>94</v>
      </c>
      <c r="C10" s="17" t="s">
        <v>95</v>
      </c>
      <c r="D10" s="17" t="s">
        <v>96</v>
      </c>
      <c r="E10" s="19" t="s">
        <v>71</v>
      </c>
      <c r="F10" s="17" t="s">
        <v>62</v>
      </c>
    </row>
    <row r="11" spans="1:6" ht="28.8" x14ac:dyDescent="0.3">
      <c r="A11" s="17" t="s">
        <v>97</v>
      </c>
      <c r="B11" s="17" t="s">
        <v>98</v>
      </c>
      <c r="C11" s="17" t="s">
        <v>99</v>
      </c>
      <c r="D11" s="17" t="s">
        <v>100</v>
      </c>
      <c r="E11" s="19" t="s">
        <v>71</v>
      </c>
      <c r="F11" s="17" t="s">
        <v>62</v>
      </c>
    </row>
    <row r="12" spans="1:6" ht="28.8" x14ac:dyDescent="0.3">
      <c r="A12" s="17" t="s">
        <v>101</v>
      </c>
      <c r="B12" s="17" t="s">
        <v>102</v>
      </c>
      <c r="C12" s="17" t="s">
        <v>103</v>
      </c>
      <c r="D12" s="17" t="s">
        <v>104</v>
      </c>
      <c r="E12" s="19" t="s">
        <v>71</v>
      </c>
      <c r="F12" s="17" t="s">
        <v>62</v>
      </c>
    </row>
    <row r="13" spans="1:6" ht="28.8" x14ac:dyDescent="0.3">
      <c r="A13" s="17" t="s">
        <v>105</v>
      </c>
      <c r="B13" s="17" t="s">
        <v>106</v>
      </c>
      <c r="C13" s="17" t="s">
        <v>107</v>
      </c>
      <c r="D13" s="17" t="s">
        <v>108</v>
      </c>
      <c r="E13" s="19" t="s">
        <v>61</v>
      </c>
      <c r="F13" s="17" t="s">
        <v>62</v>
      </c>
    </row>
  </sheetData>
  <autoFilter ref="A1:F13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9" customWidth="1"/>
    <col min="2" max="2" width="18" customWidth="1"/>
    <col min="3" max="3" width="24" customWidth="1"/>
    <col min="4" max="4" width="28" customWidth="1"/>
    <col min="5" max="5" width="18" customWidth="1"/>
    <col min="6" max="6" width="22" customWidth="1"/>
    <col min="7" max="7" width="28" customWidth="1"/>
    <col min="8" max="8" width="24" customWidth="1"/>
    <col min="9" max="9" width="20" customWidth="1"/>
  </cols>
  <sheetData>
    <row r="1" spans="1:9" x14ac:dyDescent="0.3">
      <c r="A1" s="3" t="s">
        <v>109</v>
      </c>
      <c r="B1" s="3" t="s">
        <v>51</v>
      </c>
      <c r="C1" s="3" t="s">
        <v>110</v>
      </c>
      <c r="D1" s="3" t="s">
        <v>111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</row>
    <row r="2" spans="1:9" ht="57.6" x14ac:dyDescent="0.3">
      <c r="A2" s="17">
        <v>1</v>
      </c>
      <c r="B2" s="17" t="s">
        <v>117</v>
      </c>
      <c r="C2" s="17" t="s">
        <v>118</v>
      </c>
      <c r="D2" s="17" t="s">
        <v>119</v>
      </c>
      <c r="E2" s="17" t="s">
        <v>120</v>
      </c>
      <c r="F2" s="17" t="s">
        <v>121</v>
      </c>
      <c r="G2" s="17" t="s">
        <v>122</v>
      </c>
      <c r="H2" s="17" t="s">
        <v>123</v>
      </c>
      <c r="I2" s="17" t="s">
        <v>124</v>
      </c>
    </row>
    <row r="3" spans="1:9" ht="43.2" x14ac:dyDescent="0.3">
      <c r="A3" s="17">
        <v>2</v>
      </c>
      <c r="B3" s="17" t="s">
        <v>125</v>
      </c>
      <c r="C3" s="17" t="s">
        <v>126</v>
      </c>
      <c r="D3" s="17" t="s">
        <v>127</v>
      </c>
      <c r="E3" s="17" t="s">
        <v>128</v>
      </c>
      <c r="F3" s="17" t="s">
        <v>129</v>
      </c>
      <c r="G3" s="17" t="s">
        <v>130</v>
      </c>
      <c r="H3" s="17" t="s">
        <v>131</v>
      </c>
      <c r="I3" s="17"/>
    </row>
    <row r="4" spans="1:9" ht="57.6" x14ac:dyDescent="0.3">
      <c r="A4" s="17">
        <v>3</v>
      </c>
      <c r="B4" s="17" t="s">
        <v>132</v>
      </c>
      <c r="C4" s="17" t="s">
        <v>133</v>
      </c>
      <c r="D4" s="17" t="s">
        <v>134</v>
      </c>
      <c r="E4" s="17" t="s">
        <v>135</v>
      </c>
      <c r="F4" s="17" t="s">
        <v>136</v>
      </c>
      <c r="G4" s="17" t="s">
        <v>137</v>
      </c>
      <c r="H4" s="17" t="s">
        <v>138</v>
      </c>
      <c r="I4" s="17"/>
    </row>
    <row r="5" spans="1:9" ht="57.6" x14ac:dyDescent="0.3">
      <c r="A5" s="17">
        <v>4</v>
      </c>
      <c r="B5" s="17" t="s">
        <v>139</v>
      </c>
      <c r="C5" s="17" t="s">
        <v>140</v>
      </c>
      <c r="D5" s="17" t="s">
        <v>141</v>
      </c>
      <c r="E5" s="17" t="s">
        <v>142</v>
      </c>
      <c r="F5" s="17" t="s">
        <v>143</v>
      </c>
      <c r="G5" s="17" t="s">
        <v>144</v>
      </c>
      <c r="H5" s="17" t="s">
        <v>145</v>
      </c>
      <c r="I5" s="17"/>
    </row>
    <row r="6" spans="1:9" ht="28.8" x14ac:dyDescent="0.3">
      <c r="A6" s="17">
        <v>5</v>
      </c>
      <c r="B6" s="17" t="s">
        <v>146</v>
      </c>
      <c r="C6" s="17" t="s">
        <v>147</v>
      </c>
      <c r="D6" s="17" t="s">
        <v>148</v>
      </c>
      <c r="E6" s="17" t="s">
        <v>149</v>
      </c>
      <c r="F6" s="17" t="s">
        <v>150</v>
      </c>
      <c r="G6" s="17" t="s">
        <v>151</v>
      </c>
      <c r="H6" s="17" t="s">
        <v>152</v>
      </c>
      <c r="I6" s="17"/>
    </row>
    <row r="7" spans="1:9" ht="43.2" x14ac:dyDescent="0.3">
      <c r="A7" s="17">
        <v>6</v>
      </c>
      <c r="B7" s="17" t="s">
        <v>153</v>
      </c>
      <c r="C7" s="17" t="s">
        <v>154</v>
      </c>
      <c r="D7" s="17" t="s">
        <v>155</v>
      </c>
      <c r="E7" s="17" t="s">
        <v>156</v>
      </c>
      <c r="F7" s="17" t="s">
        <v>157</v>
      </c>
      <c r="G7" s="17" t="s">
        <v>158</v>
      </c>
      <c r="H7" s="17" t="s">
        <v>159</v>
      </c>
      <c r="I7" s="17"/>
    </row>
    <row r="8" spans="1:9" ht="28.8" x14ac:dyDescent="0.3">
      <c r="A8" s="17">
        <v>7</v>
      </c>
      <c r="B8" s="17" t="s">
        <v>160</v>
      </c>
      <c r="C8" s="17" t="s">
        <v>161</v>
      </c>
      <c r="D8" s="17" t="s">
        <v>162</v>
      </c>
      <c r="E8" s="17" t="s">
        <v>163</v>
      </c>
      <c r="F8" s="17" t="s">
        <v>164</v>
      </c>
      <c r="G8" s="17" t="s">
        <v>165</v>
      </c>
      <c r="H8" s="17" t="s">
        <v>166</v>
      </c>
      <c r="I8" s="17"/>
    </row>
    <row r="9" spans="1:9" ht="28.8" x14ac:dyDescent="0.3">
      <c r="A9" s="17">
        <v>8</v>
      </c>
      <c r="B9" s="17" t="s">
        <v>167</v>
      </c>
      <c r="C9" s="17" t="s">
        <v>168</v>
      </c>
      <c r="D9" s="17" t="s">
        <v>169</v>
      </c>
      <c r="E9" s="17" t="s">
        <v>170</v>
      </c>
      <c r="F9" s="17" t="s">
        <v>171</v>
      </c>
      <c r="G9" s="17" t="s">
        <v>172</v>
      </c>
      <c r="H9" s="17" t="s">
        <v>173</v>
      </c>
      <c r="I9" s="17"/>
    </row>
    <row r="10" spans="1:9" ht="28.8" x14ac:dyDescent="0.3">
      <c r="A10" s="17">
        <v>9</v>
      </c>
      <c r="B10" s="17" t="s">
        <v>174</v>
      </c>
      <c r="C10" s="17" t="s">
        <v>175</v>
      </c>
      <c r="D10" s="17" t="s">
        <v>176</v>
      </c>
      <c r="E10" s="17" t="s">
        <v>177</v>
      </c>
      <c r="F10" s="17" t="s">
        <v>178</v>
      </c>
      <c r="G10" s="17" t="s">
        <v>179</v>
      </c>
      <c r="H10" s="17" t="s">
        <v>180</v>
      </c>
      <c r="I10" s="17"/>
    </row>
    <row r="11" spans="1:9" ht="28.8" x14ac:dyDescent="0.3">
      <c r="A11" s="17">
        <v>10</v>
      </c>
      <c r="B11" s="17" t="s">
        <v>181</v>
      </c>
      <c r="C11" s="17" t="s">
        <v>182</v>
      </c>
      <c r="D11" s="17" t="s">
        <v>183</v>
      </c>
      <c r="E11" s="17" t="s">
        <v>184</v>
      </c>
      <c r="F11" s="17" t="s">
        <v>185</v>
      </c>
      <c r="G11" s="17" t="s">
        <v>186</v>
      </c>
      <c r="H11" s="17" t="s">
        <v>187</v>
      </c>
      <c r="I11" s="17"/>
    </row>
  </sheetData>
  <autoFilter ref="A1:I1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17"/>
  <sheetViews>
    <sheetView workbookViewId="0"/>
  </sheetViews>
  <sheetFormatPr defaultRowHeight="14.4" x14ac:dyDescent="0.3"/>
  <cols>
    <col min="1" max="26" width="28" customWidth="1"/>
    <col min="28" max="28" width="22" customWidth="1"/>
    <col min="29" max="30" width="18" customWidth="1"/>
    <col min="31" max="31" width="19" customWidth="1"/>
    <col min="32" max="32" width="20" customWidth="1"/>
    <col min="33" max="33" width="18" customWidth="1"/>
    <col min="34" max="34" width="19" customWidth="1"/>
    <col min="35" max="35" width="25" customWidth="1"/>
    <col min="36" max="38" width="18" customWidth="1"/>
  </cols>
  <sheetData>
    <row r="1" spans="1:52" x14ac:dyDescent="0.3">
      <c r="A1" s="2" t="s">
        <v>188</v>
      </c>
      <c r="B1" s="2" t="s">
        <v>189</v>
      </c>
      <c r="C1" s="2" t="s">
        <v>190</v>
      </c>
      <c r="D1" s="2" t="s">
        <v>191</v>
      </c>
      <c r="E1" s="2" t="s">
        <v>192</v>
      </c>
      <c r="F1" s="2" t="s">
        <v>193</v>
      </c>
      <c r="G1" s="2" t="s">
        <v>194</v>
      </c>
      <c r="H1" s="2" t="s">
        <v>195</v>
      </c>
      <c r="I1" s="2" t="s">
        <v>196</v>
      </c>
      <c r="J1" s="2" t="s">
        <v>197</v>
      </c>
      <c r="K1" s="2" t="s">
        <v>198</v>
      </c>
      <c r="L1" s="2" t="s">
        <v>199</v>
      </c>
      <c r="M1" s="2" t="s">
        <v>200</v>
      </c>
      <c r="N1" s="2" t="s">
        <v>201</v>
      </c>
      <c r="O1" s="2" t="s">
        <v>202</v>
      </c>
      <c r="P1" s="3" t="s">
        <v>203</v>
      </c>
      <c r="Q1" s="3" t="s">
        <v>204</v>
      </c>
      <c r="R1" s="3" t="s">
        <v>205</v>
      </c>
      <c r="S1" s="3" t="s">
        <v>206</v>
      </c>
      <c r="T1" s="3" t="s">
        <v>207</v>
      </c>
      <c r="U1" s="3" t="s">
        <v>208</v>
      </c>
      <c r="V1" s="3" t="s">
        <v>209</v>
      </c>
      <c r="W1" s="3" t="s">
        <v>210</v>
      </c>
      <c r="X1" s="3" t="s">
        <v>211</v>
      </c>
      <c r="Y1" s="3" t="s">
        <v>212</v>
      </c>
      <c r="Z1" s="3" t="s">
        <v>213</v>
      </c>
      <c r="AB1" s="3" t="s">
        <v>214</v>
      </c>
      <c r="AC1" s="2" t="s">
        <v>215</v>
      </c>
      <c r="AD1" s="2" t="s">
        <v>216</v>
      </c>
      <c r="AE1" s="2" t="s">
        <v>217</v>
      </c>
      <c r="AF1" s="2" t="s">
        <v>218</v>
      </c>
      <c r="AG1" s="2" t="s">
        <v>219</v>
      </c>
      <c r="AH1" s="2" t="s">
        <v>220</v>
      </c>
      <c r="AI1" s="2" t="s">
        <v>221</v>
      </c>
      <c r="AJ1" s="2" t="s">
        <v>222</v>
      </c>
      <c r="AK1" s="2" t="s">
        <v>223</v>
      </c>
      <c r="AL1" s="2" t="s">
        <v>224</v>
      </c>
      <c r="AM1" t="s">
        <v>225</v>
      </c>
      <c r="AN1" t="s">
        <v>226</v>
      </c>
      <c r="AO1" t="s">
        <v>227</v>
      </c>
      <c r="AP1" t="s">
        <v>228</v>
      </c>
      <c r="AQ1" t="s">
        <v>229</v>
      </c>
      <c r="AR1" t="s">
        <v>230</v>
      </c>
      <c r="AS1" t="s">
        <v>231</v>
      </c>
      <c r="AT1" t="s">
        <v>232</v>
      </c>
      <c r="AU1" t="s">
        <v>233</v>
      </c>
      <c r="AV1" t="s">
        <v>234</v>
      </c>
      <c r="AW1" t="s">
        <v>235</v>
      </c>
      <c r="AX1" t="s">
        <v>236</v>
      </c>
      <c r="AY1" t="s">
        <v>237</v>
      </c>
      <c r="AZ1" t="s">
        <v>238</v>
      </c>
    </row>
    <row r="2" spans="1:52" x14ac:dyDescent="0.3">
      <c r="A2" t="s">
        <v>239</v>
      </c>
      <c r="B2" t="s">
        <v>240</v>
      </c>
      <c r="C2" t="s">
        <v>241</v>
      </c>
      <c r="D2" t="s">
        <v>242</v>
      </c>
      <c r="E2" t="s">
        <v>243</v>
      </c>
      <c r="F2" t="s">
        <v>244</v>
      </c>
      <c r="G2" t="s">
        <v>245</v>
      </c>
      <c r="H2" t="s">
        <v>246</v>
      </c>
      <c r="I2" t="s">
        <v>71</v>
      </c>
      <c r="J2" t="s">
        <v>247</v>
      </c>
      <c r="K2" t="s">
        <v>248</v>
      </c>
      <c r="L2" t="s">
        <v>249</v>
      </c>
      <c r="M2" t="s">
        <v>250</v>
      </c>
      <c r="N2" t="s">
        <v>251</v>
      </c>
      <c r="O2" t="s">
        <v>252</v>
      </c>
      <c r="P2" s="4" t="s">
        <v>253</v>
      </c>
      <c r="Q2" s="4" t="s">
        <v>254</v>
      </c>
      <c r="R2" s="4" t="s">
        <v>255</v>
      </c>
      <c r="S2" s="4" t="s">
        <v>256</v>
      </c>
      <c r="T2" s="4" t="s">
        <v>257</v>
      </c>
      <c r="U2" s="4" t="s">
        <v>258</v>
      </c>
      <c r="V2" s="4" t="s">
        <v>259</v>
      </c>
      <c r="W2" s="4" t="s">
        <v>260</v>
      </c>
      <c r="X2" s="4" t="s">
        <v>245</v>
      </c>
      <c r="Y2" s="4" t="s">
        <v>261</v>
      </c>
      <c r="Z2" s="4" t="s">
        <v>246</v>
      </c>
      <c r="AB2" s="4" t="s">
        <v>203</v>
      </c>
      <c r="AC2" t="s">
        <v>262</v>
      </c>
      <c r="AD2" t="s">
        <v>263</v>
      </c>
      <c r="AE2" t="s">
        <v>264</v>
      </c>
      <c r="AF2" t="s">
        <v>265</v>
      </c>
      <c r="AG2" t="s">
        <v>241</v>
      </c>
      <c r="AH2" t="s">
        <v>266</v>
      </c>
      <c r="AI2" t="s">
        <v>218</v>
      </c>
      <c r="AJ2" t="s">
        <v>267</v>
      </c>
      <c r="AK2" t="s">
        <v>246</v>
      </c>
      <c r="AL2" t="s">
        <v>268</v>
      </c>
      <c r="AM2" t="s">
        <v>269</v>
      </c>
      <c r="AN2" t="s">
        <v>270</v>
      </c>
      <c r="AO2" t="s">
        <v>271</v>
      </c>
      <c r="AP2" t="s">
        <v>272</v>
      </c>
      <c r="AQ2" t="s">
        <v>273</v>
      </c>
      <c r="AR2" t="s">
        <v>274</v>
      </c>
      <c r="AS2" t="s">
        <v>275</v>
      </c>
      <c r="AT2" t="s">
        <v>276</v>
      </c>
      <c r="AU2" t="s">
        <v>246</v>
      </c>
      <c r="AV2" t="s">
        <v>277</v>
      </c>
      <c r="AW2" t="s">
        <v>278</v>
      </c>
      <c r="AX2" t="s">
        <v>279</v>
      </c>
      <c r="AY2" t="s">
        <v>280</v>
      </c>
      <c r="AZ2" t="s">
        <v>267</v>
      </c>
    </row>
    <row r="3" spans="1:52" x14ac:dyDescent="0.3">
      <c r="A3" t="s">
        <v>281</v>
      </c>
      <c r="B3" t="s">
        <v>282</v>
      </c>
      <c r="C3" t="s">
        <v>283</v>
      </c>
      <c r="D3" t="s">
        <v>268</v>
      </c>
      <c r="E3" t="s">
        <v>284</v>
      </c>
      <c r="F3" t="s">
        <v>285</v>
      </c>
      <c r="G3" t="s">
        <v>255</v>
      </c>
      <c r="H3" t="s">
        <v>286</v>
      </c>
      <c r="I3" t="s">
        <v>88</v>
      </c>
      <c r="J3" t="s">
        <v>287</v>
      </c>
      <c r="K3" t="s">
        <v>288</v>
      </c>
      <c r="L3" t="s">
        <v>289</v>
      </c>
      <c r="M3" t="s">
        <v>290</v>
      </c>
      <c r="N3" t="s">
        <v>291</v>
      </c>
      <c r="O3" t="s">
        <v>292</v>
      </c>
      <c r="P3" s="4" t="s">
        <v>293</v>
      </c>
      <c r="Q3" s="4" t="s">
        <v>294</v>
      </c>
      <c r="R3" s="4" t="s">
        <v>295</v>
      </c>
      <c r="S3" s="4" t="s">
        <v>296</v>
      </c>
      <c r="T3" s="4" t="s">
        <v>293</v>
      </c>
      <c r="U3" s="4" t="s">
        <v>297</v>
      </c>
      <c r="V3" s="4" t="s">
        <v>298</v>
      </c>
      <c r="W3" s="4" t="s">
        <v>299</v>
      </c>
      <c r="X3" s="4" t="s">
        <v>300</v>
      </c>
      <c r="Y3" s="4" t="s">
        <v>301</v>
      </c>
      <c r="Z3" s="4" t="s">
        <v>302</v>
      </c>
      <c r="AB3" s="4" t="s">
        <v>204</v>
      </c>
      <c r="AC3" t="s">
        <v>303</v>
      </c>
      <c r="AD3" t="s">
        <v>304</v>
      </c>
      <c r="AE3" t="s">
        <v>305</v>
      </c>
      <c r="AF3" t="s">
        <v>293</v>
      </c>
      <c r="AG3" t="s">
        <v>306</v>
      </c>
      <c r="AH3" t="s">
        <v>307</v>
      </c>
      <c r="AI3" t="s">
        <v>206</v>
      </c>
      <c r="AJ3" t="s">
        <v>243</v>
      </c>
      <c r="AK3" t="s">
        <v>286</v>
      </c>
      <c r="AL3" t="s">
        <v>242</v>
      </c>
      <c r="AM3" t="s">
        <v>308</v>
      </c>
      <c r="AN3" t="s">
        <v>309</v>
      </c>
      <c r="AO3" t="s">
        <v>310</v>
      </c>
      <c r="AP3" t="s">
        <v>311</v>
      </c>
      <c r="AQ3" t="s">
        <v>312</v>
      </c>
      <c r="AR3" t="s">
        <v>313</v>
      </c>
      <c r="AS3" t="s">
        <v>314</v>
      </c>
      <c r="AT3" t="s">
        <v>315</v>
      </c>
      <c r="AU3" t="s">
        <v>286</v>
      </c>
      <c r="AV3" t="s">
        <v>316</v>
      </c>
      <c r="AW3" t="s">
        <v>317</v>
      </c>
      <c r="AX3" t="s">
        <v>318</v>
      </c>
      <c r="AY3" t="s">
        <v>319</v>
      </c>
      <c r="AZ3" t="s">
        <v>243</v>
      </c>
    </row>
    <row r="4" spans="1:52" x14ac:dyDescent="0.3">
      <c r="A4" t="s">
        <v>320</v>
      </c>
      <c r="B4" t="s">
        <v>321</v>
      </c>
      <c r="C4" t="s">
        <v>306</v>
      </c>
      <c r="D4" t="s">
        <v>322</v>
      </c>
      <c r="E4" t="s">
        <v>323</v>
      </c>
      <c r="F4" t="s">
        <v>324</v>
      </c>
      <c r="I4" t="s">
        <v>325</v>
      </c>
      <c r="J4" t="s">
        <v>326</v>
      </c>
      <c r="K4" t="s">
        <v>327</v>
      </c>
      <c r="L4" t="s">
        <v>328</v>
      </c>
      <c r="M4" t="s">
        <v>328</v>
      </c>
      <c r="N4" t="s">
        <v>329</v>
      </c>
      <c r="O4" t="s">
        <v>330</v>
      </c>
      <c r="P4" s="4" t="s">
        <v>331</v>
      </c>
      <c r="Q4" s="4" t="s">
        <v>332</v>
      </c>
      <c r="R4" s="4" t="s">
        <v>333</v>
      </c>
      <c r="S4" s="4" t="s">
        <v>334</v>
      </c>
      <c r="T4" s="4" t="s">
        <v>335</v>
      </c>
      <c r="U4" s="4" t="s">
        <v>336</v>
      </c>
      <c r="V4" s="4" t="s">
        <v>255</v>
      </c>
      <c r="W4" s="4" t="s">
        <v>337</v>
      </c>
      <c r="X4" s="4" t="s">
        <v>255</v>
      </c>
      <c r="Y4" s="4" t="s">
        <v>338</v>
      </c>
      <c r="Z4" s="4" t="s">
        <v>286</v>
      </c>
      <c r="AB4" s="4" t="s">
        <v>205</v>
      </c>
      <c r="AC4" t="s">
        <v>339</v>
      </c>
      <c r="AD4" t="s">
        <v>340</v>
      </c>
      <c r="AE4" t="s">
        <v>341</v>
      </c>
      <c r="AF4" t="s">
        <v>342</v>
      </c>
      <c r="AG4" t="s">
        <v>343</v>
      </c>
      <c r="AH4" t="s">
        <v>344</v>
      </c>
      <c r="AI4" t="s">
        <v>345</v>
      </c>
      <c r="AJ4" t="s">
        <v>346</v>
      </c>
      <c r="AK4" t="s">
        <v>302</v>
      </c>
      <c r="AL4" t="s">
        <v>242</v>
      </c>
      <c r="AM4" t="s">
        <v>347</v>
      </c>
      <c r="AN4" t="s">
        <v>348</v>
      </c>
      <c r="AO4" t="s">
        <v>349</v>
      </c>
      <c r="AP4" t="s">
        <v>350</v>
      </c>
      <c r="AQ4" t="s">
        <v>351</v>
      </c>
      <c r="AR4" t="s">
        <v>352</v>
      </c>
      <c r="AS4" t="s">
        <v>353</v>
      </c>
      <c r="AT4" t="s">
        <v>354</v>
      </c>
      <c r="AU4" t="s">
        <v>355</v>
      </c>
      <c r="AV4" t="s">
        <v>356</v>
      </c>
      <c r="AW4" t="s">
        <v>357</v>
      </c>
      <c r="AX4" t="s">
        <v>358</v>
      </c>
      <c r="AY4" t="s">
        <v>359</v>
      </c>
      <c r="AZ4" t="s">
        <v>346</v>
      </c>
    </row>
    <row r="5" spans="1:52" x14ac:dyDescent="0.3">
      <c r="A5" t="s">
        <v>360</v>
      </c>
      <c r="B5" t="s">
        <v>361</v>
      </c>
      <c r="C5" t="s">
        <v>362</v>
      </c>
      <c r="E5" t="s">
        <v>363</v>
      </c>
      <c r="F5" t="s">
        <v>364</v>
      </c>
      <c r="K5" t="s">
        <v>365</v>
      </c>
      <c r="N5" t="s">
        <v>366</v>
      </c>
      <c r="O5" t="s">
        <v>367</v>
      </c>
      <c r="P5" s="4" t="s">
        <v>368</v>
      </c>
      <c r="Q5" s="4" t="s">
        <v>369</v>
      </c>
      <c r="S5" s="4" t="s">
        <v>370</v>
      </c>
      <c r="Y5" s="4" t="s">
        <v>371</v>
      </c>
      <c r="AB5" s="4" t="s">
        <v>206</v>
      </c>
      <c r="AC5" t="s">
        <v>372</v>
      </c>
      <c r="AD5" t="s">
        <v>373</v>
      </c>
      <c r="AE5" t="s">
        <v>374</v>
      </c>
      <c r="AF5" t="s">
        <v>375</v>
      </c>
      <c r="AG5" t="s">
        <v>376</v>
      </c>
      <c r="AH5" t="s">
        <v>377</v>
      </c>
      <c r="AI5" t="s">
        <v>208</v>
      </c>
      <c r="AM5" t="s">
        <v>378</v>
      </c>
      <c r="AO5" t="s">
        <v>379</v>
      </c>
      <c r="AR5" t="s">
        <v>380</v>
      </c>
      <c r="AT5" t="s">
        <v>381</v>
      </c>
      <c r="AU5" t="s">
        <v>382</v>
      </c>
      <c r="AX5" t="s">
        <v>383</v>
      </c>
      <c r="AY5" t="s">
        <v>384</v>
      </c>
      <c r="AZ5" t="s">
        <v>385</v>
      </c>
    </row>
    <row r="6" spans="1:52" x14ac:dyDescent="0.3">
      <c r="A6" t="s">
        <v>386</v>
      </c>
      <c r="B6" t="s">
        <v>387</v>
      </c>
      <c r="C6" t="s">
        <v>388</v>
      </c>
      <c r="F6" t="s">
        <v>389</v>
      </c>
      <c r="N6" t="s">
        <v>328</v>
      </c>
      <c r="O6" t="s">
        <v>390</v>
      </c>
      <c r="Y6" s="4" t="s">
        <v>391</v>
      </c>
      <c r="AB6" s="4" t="s">
        <v>345</v>
      </c>
      <c r="AC6" t="s">
        <v>392</v>
      </c>
      <c r="AD6" t="s">
        <v>393</v>
      </c>
      <c r="AG6" t="s">
        <v>394</v>
      </c>
      <c r="AI6" t="s">
        <v>395</v>
      </c>
      <c r="AR6" t="s">
        <v>396</v>
      </c>
      <c r="AT6" t="s">
        <v>397</v>
      </c>
      <c r="AU6" t="s">
        <v>398</v>
      </c>
    </row>
    <row r="7" spans="1:52" x14ac:dyDescent="0.3">
      <c r="A7" t="s">
        <v>399</v>
      </c>
      <c r="B7" t="s">
        <v>400</v>
      </c>
      <c r="C7" t="s">
        <v>401</v>
      </c>
      <c r="F7" t="s">
        <v>402</v>
      </c>
      <c r="O7" t="s">
        <v>403</v>
      </c>
      <c r="AB7" s="4" t="s">
        <v>208</v>
      </c>
      <c r="AC7" t="s">
        <v>403</v>
      </c>
      <c r="AD7" t="s">
        <v>404</v>
      </c>
      <c r="AG7" t="s">
        <v>362</v>
      </c>
    </row>
    <row r="8" spans="1:52" x14ac:dyDescent="0.3">
      <c r="A8" t="s">
        <v>405</v>
      </c>
      <c r="C8" t="s">
        <v>402</v>
      </c>
      <c r="F8" t="s">
        <v>406</v>
      </c>
      <c r="O8" t="s">
        <v>407</v>
      </c>
      <c r="AB8" s="4" t="s">
        <v>209</v>
      </c>
      <c r="AC8" t="s">
        <v>407</v>
      </c>
      <c r="AD8" t="s">
        <v>408</v>
      </c>
      <c r="AG8" t="s">
        <v>283</v>
      </c>
    </row>
    <row r="9" spans="1:52" x14ac:dyDescent="0.3">
      <c r="A9" t="s">
        <v>409</v>
      </c>
      <c r="C9" t="s">
        <v>410</v>
      </c>
      <c r="O9" t="s">
        <v>411</v>
      </c>
      <c r="AB9" s="4" t="s">
        <v>395</v>
      </c>
      <c r="AC9" t="s">
        <v>412</v>
      </c>
    </row>
    <row r="10" spans="1:52" x14ac:dyDescent="0.3">
      <c r="A10" t="s">
        <v>413</v>
      </c>
      <c r="C10" t="s">
        <v>414</v>
      </c>
      <c r="AB10" s="4" t="s">
        <v>211</v>
      </c>
    </row>
    <row r="11" spans="1:52" x14ac:dyDescent="0.3">
      <c r="A11" t="s">
        <v>415</v>
      </c>
      <c r="C11" t="s">
        <v>416</v>
      </c>
    </row>
    <row r="12" spans="1:52" x14ac:dyDescent="0.3">
      <c r="A12" t="s">
        <v>417</v>
      </c>
      <c r="C12" t="s">
        <v>418</v>
      </c>
    </row>
    <row r="13" spans="1:52" x14ac:dyDescent="0.3">
      <c r="A13" t="s">
        <v>419</v>
      </c>
      <c r="C13" t="s">
        <v>343</v>
      </c>
    </row>
    <row r="14" spans="1:52" x14ac:dyDescent="0.3">
      <c r="A14" t="s">
        <v>420</v>
      </c>
      <c r="C14" t="s">
        <v>376</v>
      </c>
    </row>
    <row r="15" spans="1:52" x14ac:dyDescent="0.3">
      <c r="A15" t="s">
        <v>421</v>
      </c>
      <c r="C15" t="s">
        <v>394</v>
      </c>
    </row>
    <row r="16" spans="1:52" x14ac:dyDescent="0.3">
      <c r="A16" t="s">
        <v>422</v>
      </c>
    </row>
    <row r="17" spans="1:1" x14ac:dyDescent="0.3">
      <c r="A17" t="s">
        <v>423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000"/>
  <sheetViews>
    <sheetView workbookViewId="0"/>
  </sheetViews>
  <sheetFormatPr defaultRowHeight="14.4" x14ac:dyDescent="0.3"/>
  <cols>
    <col min="1" max="1" width="16" customWidth="1"/>
    <col min="2" max="2" width="28" customWidth="1"/>
    <col min="3" max="3" width="30" customWidth="1"/>
    <col min="4" max="4" width="28" customWidth="1"/>
    <col min="5" max="5" width="24" customWidth="1"/>
    <col min="6" max="6" width="16" customWidth="1"/>
    <col min="7" max="7" width="10" customWidth="1"/>
    <col min="8" max="8" width="14" customWidth="1"/>
    <col min="9" max="9" width="12" customWidth="1"/>
    <col min="10" max="10" width="16" customWidth="1"/>
    <col min="11" max="11" width="24" customWidth="1"/>
    <col min="12" max="12" width="28" customWidth="1"/>
    <col min="13" max="13" width="16" customWidth="1"/>
    <col min="14" max="14" width="10" customWidth="1"/>
    <col min="15" max="15" width="30" customWidth="1"/>
    <col min="16" max="16" width="14" customWidth="1"/>
    <col min="17" max="17" width="16" customWidth="1"/>
    <col min="18" max="19" width="14" customWidth="1"/>
    <col min="20" max="20" width="12" customWidth="1"/>
    <col min="21" max="21" width="14" customWidth="1"/>
    <col min="22" max="22" width="12" customWidth="1"/>
  </cols>
  <sheetData>
    <row r="1" spans="1:22" ht="28.8" x14ac:dyDescent="0.3">
      <c r="A1" s="3" t="s">
        <v>424</v>
      </c>
      <c r="B1" s="3" t="s">
        <v>425</v>
      </c>
      <c r="C1" s="3" t="s">
        <v>426</v>
      </c>
      <c r="D1" s="3" t="s">
        <v>302</v>
      </c>
      <c r="E1" s="3" t="s">
        <v>427</v>
      </c>
      <c r="F1" s="3" t="s">
        <v>428</v>
      </c>
      <c r="G1" s="3" t="s">
        <v>429</v>
      </c>
      <c r="H1" s="3" t="s">
        <v>430</v>
      </c>
      <c r="I1" s="3" t="s">
        <v>431</v>
      </c>
      <c r="J1" s="3" t="s">
        <v>432</v>
      </c>
      <c r="K1" s="3" t="s">
        <v>433</v>
      </c>
      <c r="L1" s="3" t="s">
        <v>434</v>
      </c>
      <c r="M1" s="3" t="s">
        <v>435</v>
      </c>
      <c r="N1" s="3" t="s">
        <v>436</v>
      </c>
      <c r="O1" s="3" t="s">
        <v>116</v>
      </c>
      <c r="P1" s="3" t="s">
        <v>437</v>
      </c>
      <c r="Q1" s="3" t="s">
        <v>438</v>
      </c>
      <c r="R1" s="3" t="s">
        <v>439</v>
      </c>
      <c r="S1" s="3" t="s">
        <v>440</v>
      </c>
      <c r="T1" s="3" t="s">
        <v>441</v>
      </c>
      <c r="U1" s="3" t="s">
        <v>442</v>
      </c>
      <c r="V1" s="3" t="s">
        <v>443</v>
      </c>
    </row>
    <row r="2" spans="1:22" ht="28.8" x14ac:dyDescent="0.3">
      <c r="A2" s="19" t="s">
        <v>444</v>
      </c>
      <c r="B2" s="24" t="s">
        <v>445</v>
      </c>
      <c r="C2" s="24" t="s">
        <v>446</v>
      </c>
      <c r="D2" s="24" t="s">
        <v>239</v>
      </c>
      <c r="E2" s="24" t="s">
        <v>447</v>
      </c>
      <c r="F2" s="24" t="s">
        <v>240</v>
      </c>
      <c r="G2" s="24" t="s">
        <v>241</v>
      </c>
      <c r="H2" s="24" t="s">
        <v>244</v>
      </c>
      <c r="I2" s="25">
        <v>350</v>
      </c>
      <c r="J2" s="24" t="s">
        <v>243</v>
      </c>
      <c r="K2" s="24" t="s">
        <v>242</v>
      </c>
      <c r="L2" s="24" t="s">
        <v>448</v>
      </c>
      <c r="M2" s="24" t="s">
        <v>245</v>
      </c>
      <c r="N2" s="24" t="s">
        <v>245</v>
      </c>
      <c r="O2" s="24" t="s">
        <v>449</v>
      </c>
      <c r="P2" s="19" t="s">
        <v>245</v>
      </c>
      <c r="Q2" s="17" t="s">
        <v>319</v>
      </c>
      <c r="R2" s="26">
        <v>46023</v>
      </c>
      <c r="S2" s="26">
        <v>46387</v>
      </c>
      <c r="T2" s="17" t="s">
        <v>272</v>
      </c>
      <c r="U2" s="17" t="s">
        <v>450</v>
      </c>
      <c r="V2" s="17">
        <v>1</v>
      </c>
    </row>
    <row r="3" spans="1:22" ht="28.8" x14ac:dyDescent="0.3">
      <c r="A3" s="19" t="s">
        <v>451</v>
      </c>
      <c r="B3" s="24" t="s">
        <v>452</v>
      </c>
      <c r="C3" s="24" t="s">
        <v>453</v>
      </c>
      <c r="D3" s="24" t="s">
        <v>281</v>
      </c>
      <c r="E3" s="24" t="s">
        <v>447</v>
      </c>
      <c r="F3" s="24" t="s">
        <v>240</v>
      </c>
      <c r="G3" s="24" t="s">
        <v>241</v>
      </c>
      <c r="H3" s="24" t="s">
        <v>244</v>
      </c>
      <c r="I3" s="25">
        <v>320</v>
      </c>
      <c r="J3" s="24" t="s">
        <v>243</v>
      </c>
      <c r="K3" s="24" t="s">
        <v>242</v>
      </c>
      <c r="L3" s="24" t="s">
        <v>454</v>
      </c>
      <c r="M3" s="24" t="s">
        <v>245</v>
      </c>
      <c r="N3" s="24" t="s">
        <v>245</v>
      </c>
      <c r="O3" s="24" t="s">
        <v>455</v>
      </c>
      <c r="P3" s="19" t="s">
        <v>245</v>
      </c>
      <c r="Q3" s="17"/>
      <c r="R3" s="26"/>
      <c r="S3" s="26"/>
      <c r="T3" s="17"/>
      <c r="U3" s="17"/>
      <c r="V3" s="17"/>
    </row>
    <row r="4" spans="1:22" x14ac:dyDescent="0.3">
      <c r="A4" s="19" t="s">
        <v>456</v>
      </c>
      <c r="B4" s="24" t="s">
        <v>457</v>
      </c>
      <c r="C4" s="24" t="s">
        <v>458</v>
      </c>
      <c r="D4" s="24" t="s">
        <v>409</v>
      </c>
      <c r="E4" s="24" t="s">
        <v>459</v>
      </c>
      <c r="F4" s="24" t="s">
        <v>240</v>
      </c>
      <c r="G4" s="24" t="s">
        <v>283</v>
      </c>
      <c r="H4" s="24" t="s">
        <v>285</v>
      </c>
      <c r="I4" s="25">
        <v>0</v>
      </c>
      <c r="J4" s="24" t="s">
        <v>243</v>
      </c>
      <c r="K4" s="24" t="s">
        <v>242</v>
      </c>
      <c r="L4" s="24" t="s">
        <v>460</v>
      </c>
      <c r="M4" s="24" t="s">
        <v>245</v>
      </c>
      <c r="N4" s="24" t="s">
        <v>245</v>
      </c>
      <c r="O4" s="24" t="s">
        <v>461</v>
      </c>
      <c r="P4" s="19" t="s">
        <v>245</v>
      </c>
      <c r="Q4" s="17"/>
      <c r="R4" s="26"/>
      <c r="S4" s="26"/>
      <c r="T4" s="17"/>
      <c r="U4" s="17"/>
      <c r="V4" s="17"/>
    </row>
    <row r="5" spans="1:22" x14ac:dyDescent="0.3">
      <c r="A5" s="19" t="s">
        <v>462</v>
      </c>
      <c r="B5" s="24" t="s">
        <v>463</v>
      </c>
      <c r="C5" s="24" t="s">
        <v>464</v>
      </c>
      <c r="D5" s="24" t="s">
        <v>239</v>
      </c>
      <c r="E5" s="24" t="s">
        <v>465</v>
      </c>
      <c r="F5" s="24" t="s">
        <v>240</v>
      </c>
      <c r="G5" s="24" t="s">
        <v>283</v>
      </c>
      <c r="H5" s="24" t="s">
        <v>285</v>
      </c>
      <c r="I5" s="25">
        <v>0</v>
      </c>
      <c r="J5" s="24" t="s">
        <v>243</v>
      </c>
      <c r="K5" s="24" t="s">
        <v>242</v>
      </c>
      <c r="L5" s="24" t="s">
        <v>466</v>
      </c>
      <c r="M5" s="24" t="s">
        <v>245</v>
      </c>
      <c r="N5" s="24" t="s">
        <v>245</v>
      </c>
      <c r="O5" s="24"/>
      <c r="P5" s="19" t="s">
        <v>245</v>
      </c>
      <c r="Q5" s="17"/>
      <c r="R5" s="26"/>
      <c r="S5" s="26"/>
      <c r="T5" s="17"/>
      <c r="U5" s="17"/>
      <c r="V5" s="17"/>
    </row>
    <row r="6" spans="1:22" x14ac:dyDescent="0.3">
      <c r="A6" s="17"/>
      <c r="B6" s="17"/>
      <c r="C6" s="17"/>
      <c r="D6" s="17"/>
      <c r="E6" s="17"/>
      <c r="F6" s="17"/>
      <c r="G6" s="17"/>
      <c r="H6" s="17"/>
      <c r="I6" s="27"/>
      <c r="J6" s="17"/>
      <c r="K6" s="17"/>
      <c r="L6" s="17"/>
      <c r="M6" s="17"/>
      <c r="N6" s="17"/>
      <c r="O6" s="17"/>
      <c r="P6" s="19"/>
      <c r="Q6" s="17"/>
      <c r="R6" s="26"/>
      <c r="S6" s="26"/>
      <c r="T6" s="17"/>
      <c r="U6" s="17"/>
      <c r="V6" s="17"/>
    </row>
    <row r="7" spans="1:22" x14ac:dyDescent="0.3">
      <c r="A7" s="17"/>
      <c r="B7" s="17"/>
      <c r="C7" s="17"/>
      <c r="D7" s="17"/>
      <c r="E7" s="17"/>
      <c r="F7" s="17"/>
      <c r="G7" s="17"/>
      <c r="H7" s="17"/>
      <c r="I7" s="27"/>
      <c r="J7" s="17"/>
      <c r="K7" s="17"/>
      <c r="L7" s="17"/>
      <c r="M7" s="17"/>
      <c r="N7" s="17"/>
      <c r="O7" s="17"/>
      <c r="P7" s="19"/>
      <c r="Q7" s="17"/>
      <c r="R7" s="26"/>
      <c r="S7" s="26"/>
      <c r="T7" s="17"/>
      <c r="U7" s="17"/>
      <c r="V7" s="17"/>
    </row>
    <row r="8" spans="1:22" x14ac:dyDescent="0.3">
      <c r="A8" s="17"/>
      <c r="B8" s="17"/>
      <c r="C8" s="17"/>
      <c r="D8" s="17"/>
      <c r="E8" s="17"/>
      <c r="F8" s="17"/>
      <c r="G8" s="17"/>
      <c r="H8" s="17"/>
      <c r="I8" s="27"/>
      <c r="J8" s="17"/>
      <c r="K8" s="17"/>
      <c r="L8" s="17"/>
      <c r="M8" s="17"/>
      <c r="N8" s="17"/>
      <c r="O8" s="17"/>
      <c r="P8" s="19"/>
      <c r="Q8" s="17"/>
      <c r="R8" s="26"/>
      <c r="S8" s="26"/>
      <c r="T8" s="17"/>
      <c r="U8" s="17"/>
      <c r="V8" s="17"/>
    </row>
    <row r="9" spans="1:22" x14ac:dyDescent="0.3">
      <c r="A9" s="17"/>
      <c r="B9" s="17"/>
      <c r="C9" s="17"/>
      <c r="D9" s="17"/>
      <c r="E9" s="17"/>
      <c r="F9" s="17"/>
      <c r="G9" s="17"/>
      <c r="H9" s="17"/>
      <c r="I9" s="27"/>
      <c r="J9" s="17"/>
      <c r="K9" s="17"/>
      <c r="L9" s="17"/>
      <c r="M9" s="17"/>
      <c r="N9" s="17"/>
      <c r="O9" s="17"/>
      <c r="P9" s="19"/>
      <c r="Q9" s="17"/>
      <c r="R9" s="26"/>
      <c r="S9" s="26"/>
      <c r="T9" s="17"/>
      <c r="U9" s="17"/>
      <c r="V9" s="17"/>
    </row>
    <row r="10" spans="1:22" x14ac:dyDescent="0.3">
      <c r="A10" s="17"/>
      <c r="B10" s="17"/>
      <c r="C10" s="17"/>
      <c r="D10" s="17"/>
      <c r="E10" s="17"/>
      <c r="F10" s="17"/>
      <c r="G10" s="17"/>
      <c r="H10" s="17"/>
      <c r="I10" s="27"/>
      <c r="J10" s="17"/>
      <c r="K10" s="17"/>
      <c r="L10" s="17"/>
      <c r="M10" s="17"/>
      <c r="N10" s="17"/>
      <c r="O10" s="17"/>
      <c r="P10" s="19"/>
      <c r="Q10" s="17"/>
      <c r="R10" s="17"/>
      <c r="S10" s="17"/>
      <c r="T10" s="17"/>
      <c r="U10" s="17"/>
      <c r="V10" s="17"/>
    </row>
    <row r="11" spans="1:22" x14ac:dyDescent="0.3">
      <c r="A11" s="17"/>
      <c r="B11" s="17"/>
      <c r="C11" s="17"/>
      <c r="D11" s="17"/>
      <c r="E11" s="17"/>
      <c r="F11" s="17"/>
      <c r="G11" s="17"/>
      <c r="H11" s="17"/>
      <c r="I11" s="27"/>
      <c r="J11" s="17"/>
      <c r="K11" s="17"/>
      <c r="L11" s="17"/>
      <c r="M11" s="17"/>
      <c r="N11" s="17"/>
      <c r="O11" s="17"/>
      <c r="P11" s="19"/>
      <c r="Q11" s="17"/>
      <c r="R11" s="17"/>
      <c r="S11" s="17"/>
      <c r="T11" s="17"/>
      <c r="U11" s="17"/>
      <c r="V11" s="17"/>
    </row>
    <row r="12" spans="1:22" x14ac:dyDescent="0.3">
      <c r="A12" s="17"/>
      <c r="B12" s="17"/>
      <c r="C12" s="17"/>
      <c r="D12" s="17"/>
      <c r="E12" s="17"/>
      <c r="F12" s="17"/>
      <c r="G12" s="17"/>
      <c r="H12" s="17"/>
      <c r="I12" s="27"/>
      <c r="J12" s="17"/>
      <c r="K12" s="17"/>
      <c r="L12" s="17"/>
      <c r="M12" s="17"/>
      <c r="N12" s="17"/>
      <c r="O12" s="17"/>
      <c r="P12" s="19"/>
      <c r="Q12" s="17"/>
      <c r="R12" s="17"/>
      <c r="S12" s="17"/>
      <c r="T12" s="17"/>
      <c r="U12" s="17"/>
      <c r="V12" s="17"/>
    </row>
    <row r="13" spans="1:22" x14ac:dyDescent="0.3">
      <c r="A13" s="17"/>
      <c r="B13" s="17"/>
      <c r="C13" s="17"/>
      <c r="D13" s="17"/>
      <c r="E13" s="17"/>
      <c r="F13" s="17"/>
      <c r="G13" s="17"/>
      <c r="H13" s="17"/>
      <c r="I13" s="27"/>
      <c r="J13" s="17"/>
      <c r="K13" s="17"/>
      <c r="L13" s="17"/>
      <c r="M13" s="17"/>
      <c r="N13" s="17"/>
      <c r="O13" s="17"/>
      <c r="P13" s="19"/>
      <c r="Q13" s="17"/>
      <c r="R13" s="17"/>
      <c r="S13" s="17"/>
      <c r="T13" s="17"/>
      <c r="U13" s="17"/>
      <c r="V13" s="17"/>
    </row>
    <row r="14" spans="1:22" x14ac:dyDescent="0.3">
      <c r="A14" s="17"/>
      <c r="B14" s="17"/>
      <c r="C14" s="17"/>
      <c r="D14" s="17"/>
      <c r="E14" s="17"/>
      <c r="F14" s="17"/>
      <c r="G14" s="17"/>
      <c r="H14" s="17"/>
      <c r="I14" s="27"/>
      <c r="J14" s="17"/>
      <c r="K14" s="17"/>
      <c r="L14" s="17"/>
      <c r="M14" s="17"/>
      <c r="N14" s="17"/>
      <c r="O14" s="17"/>
      <c r="P14" s="19"/>
      <c r="Q14" s="17"/>
      <c r="R14" s="17"/>
      <c r="S14" s="17"/>
      <c r="T14" s="17"/>
      <c r="U14" s="17"/>
      <c r="V14" s="17"/>
    </row>
    <row r="15" spans="1:22" x14ac:dyDescent="0.3">
      <c r="A15" s="17"/>
      <c r="B15" s="17"/>
      <c r="C15" s="17"/>
      <c r="D15" s="17"/>
      <c r="E15" s="17"/>
      <c r="F15" s="17"/>
      <c r="G15" s="17"/>
      <c r="H15" s="17"/>
      <c r="I15" s="27"/>
      <c r="J15" s="17"/>
      <c r="K15" s="17"/>
      <c r="L15" s="17"/>
      <c r="M15" s="17"/>
      <c r="N15" s="17"/>
      <c r="O15" s="17"/>
      <c r="P15" s="19"/>
      <c r="Q15" s="17"/>
      <c r="R15" s="17"/>
      <c r="S15" s="17"/>
      <c r="T15" s="17"/>
      <c r="U15" s="17"/>
      <c r="V15" s="17"/>
    </row>
    <row r="16" spans="1:22" x14ac:dyDescent="0.3">
      <c r="A16" s="17"/>
      <c r="B16" s="17"/>
      <c r="C16" s="17"/>
      <c r="D16" s="17"/>
      <c r="E16" s="17"/>
      <c r="F16" s="17"/>
      <c r="G16" s="17"/>
      <c r="H16" s="17"/>
      <c r="I16" s="27"/>
      <c r="J16" s="17"/>
      <c r="K16" s="17"/>
      <c r="L16" s="17"/>
      <c r="M16" s="17"/>
      <c r="N16" s="17"/>
      <c r="O16" s="17"/>
      <c r="P16" s="19"/>
      <c r="Q16" s="17"/>
      <c r="R16" s="17"/>
      <c r="S16" s="17"/>
      <c r="T16" s="17"/>
      <c r="U16" s="17"/>
      <c r="V16" s="17"/>
    </row>
    <row r="17" spans="1:22" x14ac:dyDescent="0.3">
      <c r="A17" s="17"/>
      <c r="B17" s="17"/>
      <c r="C17" s="17"/>
      <c r="D17" s="17"/>
      <c r="E17" s="17"/>
      <c r="F17" s="17"/>
      <c r="G17" s="17"/>
      <c r="H17" s="17"/>
      <c r="I17" s="27"/>
      <c r="J17" s="17"/>
      <c r="K17" s="17"/>
      <c r="L17" s="17"/>
      <c r="M17" s="17"/>
      <c r="N17" s="17"/>
      <c r="O17" s="17"/>
      <c r="P17" s="19"/>
      <c r="Q17" s="17"/>
      <c r="R17" s="17"/>
      <c r="S17" s="17"/>
      <c r="T17" s="17"/>
      <c r="U17" s="17"/>
      <c r="V17" s="17"/>
    </row>
    <row r="18" spans="1:22" x14ac:dyDescent="0.3">
      <c r="A18" s="17"/>
      <c r="B18" s="17"/>
      <c r="C18" s="17"/>
      <c r="D18" s="17"/>
      <c r="E18" s="17"/>
      <c r="F18" s="17"/>
      <c r="G18" s="17"/>
      <c r="H18" s="17"/>
      <c r="I18" s="27"/>
      <c r="J18" s="17"/>
      <c r="K18" s="17"/>
      <c r="L18" s="17"/>
      <c r="M18" s="17"/>
      <c r="N18" s="17"/>
      <c r="O18" s="17"/>
      <c r="P18" s="19"/>
      <c r="Q18" s="17"/>
      <c r="R18" s="17"/>
      <c r="S18" s="17"/>
      <c r="T18" s="17"/>
      <c r="U18" s="17"/>
      <c r="V18" s="17"/>
    </row>
    <row r="19" spans="1:22" x14ac:dyDescent="0.3">
      <c r="A19" s="17"/>
      <c r="B19" s="17"/>
      <c r="C19" s="17"/>
      <c r="D19" s="17"/>
      <c r="E19" s="17"/>
      <c r="F19" s="17"/>
      <c r="G19" s="17"/>
      <c r="H19" s="17"/>
      <c r="I19" s="27"/>
      <c r="J19" s="17"/>
      <c r="K19" s="17"/>
      <c r="L19" s="17"/>
      <c r="M19" s="17"/>
      <c r="N19" s="17"/>
      <c r="O19" s="17"/>
      <c r="P19" s="19"/>
      <c r="Q19" s="17"/>
      <c r="R19" s="17"/>
      <c r="S19" s="17"/>
      <c r="T19" s="17"/>
      <c r="U19" s="17"/>
      <c r="V19" s="17"/>
    </row>
    <row r="20" spans="1:22" x14ac:dyDescent="0.3">
      <c r="A20" s="17"/>
      <c r="B20" s="17"/>
      <c r="C20" s="17"/>
      <c r="D20" s="17"/>
      <c r="E20" s="17"/>
      <c r="F20" s="17"/>
      <c r="G20" s="17"/>
      <c r="H20" s="17"/>
      <c r="I20" s="27"/>
      <c r="J20" s="17"/>
      <c r="K20" s="17"/>
      <c r="L20" s="17"/>
      <c r="M20" s="17"/>
      <c r="N20" s="17"/>
      <c r="O20" s="17"/>
      <c r="P20" s="19"/>
      <c r="Q20" s="17"/>
      <c r="R20" s="17"/>
      <c r="S20" s="17"/>
      <c r="T20" s="17"/>
      <c r="U20" s="17"/>
      <c r="V20" s="17"/>
    </row>
    <row r="21" spans="1:22" x14ac:dyDescent="0.3">
      <c r="A21" s="17"/>
      <c r="B21" s="17"/>
      <c r="C21" s="17"/>
      <c r="D21" s="17"/>
      <c r="E21" s="17"/>
      <c r="F21" s="17"/>
      <c r="G21" s="17"/>
      <c r="H21" s="17"/>
      <c r="I21" s="27"/>
      <c r="J21" s="17"/>
      <c r="K21" s="17"/>
      <c r="L21" s="17"/>
      <c r="M21" s="17"/>
      <c r="N21" s="17"/>
      <c r="O21" s="17"/>
      <c r="P21" s="19"/>
      <c r="Q21" s="17"/>
      <c r="R21" s="17"/>
      <c r="S21" s="17"/>
      <c r="T21" s="17"/>
      <c r="U21" s="17"/>
      <c r="V21" s="17"/>
    </row>
    <row r="22" spans="1:22" x14ac:dyDescent="0.3">
      <c r="A22" s="17"/>
      <c r="B22" s="17"/>
      <c r="C22" s="17"/>
      <c r="D22" s="17"/>
      <c r="E22" s="17"/>
      <c r="F22" s="17"/>
      <c r="G22" s="17"/>
      <c r="H22" s="17"/>
      <c r="I22" s="27"/>
      <c r="J22" s="17"/>
      <c r="K22" s="17"/>
      <c r="L22" s="17"/>
      <c r="M22" s="17"/>
      <c r="N22" s="17"/>
      <c r="O22" s="17"/>
      <c r="P22" s="19"/>
      <c r="Q22" s="17"/>
      <c r="R22" s="17"/>
      <c r="S22" s="17"/>
      <c r="T22" s="17"/>
      <c r="U22" s="17"/>
      <c r="V22" s="17"/>
    </row>
    <row r="23" spans="1:22" x14ac:dyDescent="0.3">
      <c r="A23" s="17"/>
      <c r="B23" s="17"/>
      <c r="C23" s="17"/>
      <c r="D23" s="17"/>
      <c r="E23" s="17"/>
      <c r="F23" s="17"/>
      <c r="G23" s="17"/>
      <c r="H23" s="17"/>
      <c r="I23" s="27"/>
      <c r="J23" s="17"/>
      <c r="K23" s="17"/>
      <c r="L23" s="17"/>
      <c r="M23" s="17"/>
      <c r="N23" s="17"/>
      <c r="O23" s="17"/>
      <c r="P23" s="19"/>
      <c r="Q23" s="17"/>
      <c r="R23" s="17"/>
      <c r="S23" s="17"/>
      <c r="T23" s="17"/>
      <c r="U23" s="17"/>
      <c r="V23" s="17"/>
    </row>
    <row r="24" spans="1:22" x14ac:dyDescent="0.3">
      <c r="A24" s="17"/>
      <c r="B24" s="17"/>
      <c r="C24" s="17"/>
      <c r="D24" s="17"/>
      <c r="E24" s="17"/>
      <c r="F24" s="17"/>
      <c r="G24" s="17"/>
      <c r="H24" s="17"/>
      <c r="I24" s="27"/>
      <c r="J24" s="17"/>
      <c r="K24" s="17"/>
      <c r="L24" s="17"/>
      <c r="M24" s="17"/>
      <c r="N24" s="17"/>
      <c r="O24" s="17"/>
      <c r="P24" s="19"/>
      <c r="Q24" s="17"/>
      <c r="R24" s="17"/>
      <c r="S24" s="17"/>
      <c r="T24" s="17"/>
      <c r="U24" s="17"/>
      <c r="V24" s="17"/>
    </row>
    <row r="25" spans="1:22" x14ac:dyDescent="0.3">
      <c r="A25" s="17"/>
      <c r="B25" s="17"/>
      <c r="C25" s="17"/>
      <c r="D25" s="17"/>
      <c r="E25" s="17"/>
      <c r="F25" s="17"/>
      <c r="G25" s="17"/>
      <c r="H25" s="17"/>
      <c r="I25" s="27"/>
      <c r="J25" s="17"/>
      <c r="K25" s="17"/>
      <c r="L25" s="17"/>
      <c r="M25" s="17"/>
      <c r="N25" s="17"/>
      <c r="O25" s="17"/>
      <c r="P25" s="19"/>
      <c r="Q25" s="17"/>
      <c r="R25" s="17"/>
      <c r="S25" s="17"/>
      <c r="T25" s="17"/>
      <c r="U25" s="17"/>
      <c r="V25" s="17"/>
    </row>
    <row r="26" spans="1:22" x14ac:dyDescent="0.3">
      <c r="A26" s="17"/>
      <c r="B26" s="17"/>
      <c r="C26" s="17"/>
      <c r="D26" s="17"/>
      <c r="E26" s="17"/>
      <c r="F26" s="17"/>
      <c r="G26" s="17"/>
      <c r="H26" s="17"/>
      <c r="I26" s="27"/>
      <c r="J26" s="17"/>
      <c r="K26" s="17"/>
      <c r="L26" s="17"/>
      <c r="M26" s="17"/>
      <c r="N26" s="17"/>
      <c r="O26" s="17"/>
      <c r="P26" s="19"/>
      <c r="Q26" s="17"/>
      <c r="R26" s="17"/>
      <c r="S26" s="17"/>
      <c r="T26" s="17"/>
      <c r="U26" s="17"/>
      <c r="V26" s="17"/>
    </row>
    <row r="27" spans="1:22" x14ac:dyDescent="0.3">
      <c r="A27" s="17"/>
      <c r="B27" s="17"/>
      <c r="C27" s="17"/>
      <c r="D27" s="17"/>
      <c r="E27" s="17"/>
      <c r="F27" s="17"/>
      <c r="G27" s="17"/>
      <c r="H27" s="17"/>
      <c r="I27" s="27"/>
      <c r="J27" s="17"/>
      <c r="K27" s="17"/>
      <c r="L27" s="17"/>
      <c r="M27" s="17"/>
      <c r="N27" s="17"/>
      <c r="O27" s="17"/>
      <c r="P27" s="19"/>
      <c r="Q27" s="17"/>
      <c r="R27" s="17"/>
      <c r="S27" s="17"/>
      <c r="T27" s="17"/>
      <c r="U27" s="17"/>
      <c r="V27" s="17"/>
    </row>
    <row r="28" spans="1:22" x14ac:dyDescent="0.3">
      <c r="A28" s="17"/>
      <c r="B28" s="17"/>
      <c r="C28" s="17"/>
      <c r="D28" s="17"/>
      <c r="E28" s="17"/>
      <c r="F28" s="17"/>
      <c r="G28" s="17"/>
      <c r="H28" s="17"/>
      <c r="I28" s="27"/>
      <c r="J28" s="17"/>
      <c r="K28" s="17"/>
      <c r="L28" s="17"/>
      <c r="M28" s="17"/>
      <c r="N28" s="17"/>
      <c r="O28" s="17"/>
      <c r="P28" s="19"/>
      <c r="Q28" s="17"/>
      <c r="R28" s="17"/>
      <c r="S28" s="17"/>
      <c r="T28" s="17"/>
      <c r="U28" s="17"/>
      <c r="V28" s="17"/>
    </row>
    <row r="29" spans="1:22" x14ac:dyDescent="0.3">
      <c r="A29" s="17"/>
      <c r="B29" s="17"/>
      <c r="C29" s="17"/>
      <c r="D29" s="17"/>
      <c r="E29" s="17"/>
      <c r="F29" s="17"/>
      <c r="G29" s="17"/>
      <c r="H29" s="17"/>
      <c r="I29" s="27"/>
      <c r="J29" s="17"/>
      <c r="K29" s="17"/>
      <c r="L29" s="17"/>
      <c r="M29" s="17"/>
      <c r="N29" s="17"/>
      <c r="O29" s="17"/>
      <c r="P29" s="19"/>
      <c r="Q29" s="17"/>
      <c r="R29" s="17"/>
      <c r="S29" s="17"/>
      <c r="T29" s="17"/>
      <c r="U29" s="17"/>
      <c r="V29" s="17"/>
    </row>
    <row r="30" spans="1:22" x14ac:dyDescent="0.3">
      <c r="A30" s="17"/>
      <c r="B30" s="17"/>
      <c r="C30" s="17"/>
      <c r="D30" s="17"/>
      <c r="E30" s="17"/>
      <c r="F30" s="17"/>
      <c r="G30" s="17"/>
      <c r="H30" s="17"/>
      <c r="I30" s="27"/>
      <c r="J30" s="17"/>
      <c r="K30" s="17"/>
      <c r="L30" s="17"/>
      <c r="M30" s="17"/>
      <c r="N30" s="17"/>
      <c r="O30" s="17"/>
      <c r="P30" s="19"/>
      <c r="Q30" s="17"/>
      <c r="R30" s="17"/>
      <c r="S30" s="17"/>
      <c r="T30" s="17"/>
      <c r="U30" s="17"/>
      <c r="V30" s="17"/>
    </row>
    <row r="31" spans="1:22" x14ac:dyDescent="0.3">
      <c r="A31" s="17"/>
      <c r="B31" s="17"/>
      <c r="C31" s="17"/>
      <c r="D31" s="17"/>
      <c r="E31" s="17"/>
      <c r="F31" s="17"/>
      <c r="G31" s="17"/>
      <c r="H31" s="17"/>
      <c r="I31" s="27"/>
      <c r="J31" s="17"/>
      <c r="K31" s="17"/>
      <c r="L31" s="17"/>
      <c r="M31" s="17"/>
      <c r="N31" s="17"/>
      <c r="O31" s="17"/>
      <c r="P31" s="19"/>
      <c r="Q31" s="17"/>
      <c r="R31" s="17"/>
      <c r="S31" s="17"/>
      <c r="T31" s="17"/>
      <c r="U31" s="17"/>
      <c r="V31" s="17"/>
    </row>
    <row r="32" spans="1:22" x14ac:dyDescent="0.3">
      <c r="A32" s="17"/>
      <c r="B32" s="17"/>
      <c r="C32" s="17"/>
      <c r="D32" s="17"/>
      <c r="E32" s="17"/>
      <c r="F32" s="17"/>
      <c r="G32" s="17"/>
      <c r="H32" s="17"/>
      <c r="I32" s="27"/>
      <c r="J32" s="17"/>
      <c r="K32" s="17"/>
      <c r="L32" s="17"/>
      <c r="M32" s="17"/>
      <c r="N32" s="17"/>
      <c r="O32" s="17"/>
      <c r="P32" s="19"/>
      <c r="Q32" s="17"/>
      <c r="R32" s="17"/>
      <c r="S32" s="17"/>
      <c r="T32" s="17"/>
      <c r="U32" s="17"/>
      <c r="V32" s="17"/>
    </row>
    <row r="33" spans="1:22" x14ac:dyDescent="0.3">
      <c r="A33" s="17"/>
      <c r="B33" s="17"/>
      <c r="C33" s="17"/>
      <c r="D33" s="17"/>
      <c r="E33" s="17"/>
      <c r="F33" s="17"/>
      <c r="G33" s="17"/>
      <c r="H33" s="17"/>
      <c r="I33" s="27"/>
      <c r="J33" s="17"/>
      <c r="K33" s="17"/>
      <c r="L33" s="17"/>
      <c r="M33" s="17"/>
      <c r="N33" s="17"/>
      <c r="O33" s="17"/>
      <c r="P33" s="19"/>
      <c r="Q33" s="17"/>
      <c r="R33" s="17"/>
      <c r="S33" s="17"/>
      <c r="T33" s="17"/>
      <c r="U33" s="17"/>
      <c r="V33" s="17"/>
    </row>
    <row r="34" spans="1:22" x14ac:dyDescent="0.3">
      <c r="A34" s="17"/>
      <c r="B34" s="17"/>
      <c r="C34" s="17"/>
      <c r="D34" s="17"/>
      <c r="E34" s="17"/>
      <c r="F34" s="17"/>
      <c r="G34" s="17"/>
      <c r="H34" s="17"/>
      <c r="I34" s="27"/>
      <c r="J34" s="17"/>
      <c r="K34" s="17"/>
      <c r="L34" s="17"/>
      <c r="M34" s="17"/>
      <c r="N34" s="17"/>
      <c r="O34" s="17"/>
      <c r="P34" s="19"/>
      <c r="Q34" s="17"/>
      <c r="R34" s="17"/>
      <c r="S34" s="17"/>
      <c r="T34" s="17"/>
      <c r="U34" s="17"/>
      <c r="V34" s="17"/>
    </row>
    <row r="35" spans="1:22" x14ac:dyDescent="0.3">
      <c r="A35" s="17"/>
      <c r="B35" s="17"/>
      <c r="C35" s="17"/>
      <c r="D35" s="17"/>
      <c r="E35" s="17"/>
      <c r="F35" s="17"/>
      <c r="G35" s="17"/>
      <c r="H35" s="17"/>
      <c r="I35" s="27"/>
      <c r="J35" s="17"/>
      <c r="K35" s="17"/>
      <c r="L35" s="17"/>
      <c r="M35" s="17"/>
      <c r="N35" s="17"/>
      <c r="O35" s="17"/>
      <c r="P35" s="19"/>
      <c r="Q35" s="17"/>
      <c r="R35" s="17"/>
      <c r="S35" s="17"/>
      <c r="T35" s="17"/>
      <c r="U35" s="17"/>
      <c r="V35" s="17"/>
    </row>
    <row r="36" spans="1:22" x14ac:dyDescent="0.3">
      <c r="A36" s="17"/>
      <c r="B36" s="17"/>
      <c r="C36" s="17"/>
      <c r="D36" s="17"/>
      <c r="E36" s="17"/>
      <c r="F36" s="17"/>
      <c r="G36" s="17"/>
      <c r="H36" s="17"/>
      <c r="I36" s="27"/>
      <c r="J36" s="17"/>
      <c r="K36" s="17"/>
      <c r="L36" s="17"/>
      <c r="M36" s="17"/>
      <c r="N36" s="17"/>
      <c r="O36" s="17"/>
      <c r="P36" s="19"/>
      <c r="Q36" s="17"/>
      <c r="R36" s="17"/>
      <c r="S36" s="17"/>
      <c r="T36" s="17"/>
      <c r="U36" s="17"/>
      <c r="V36" s="17"/>
    </row>
    <row r="37" spans="1:22" x14ac:dyDescent="0.3">
      <c r="A37" s="17"/>
      <c r="B37" s="17"/>
      <c r="C37" s="17"/>
      <c r="D37" s="17"/>
      <c r="E37" s="17"/>
      <c r="F37" s="17"/>
      <c r="G37" s="17"/>
      <c r="H37" s="17"/>
      <c r="I37" s="27"/>
      <c r="J37" s="17"/>
      <c r="K37" s="17"/>
      <c r="L37" s="17"/>
      <c r="M37" s="17"/>
      <c r="N37" s="17"/>
      <c r="O37" s="17"/>
      <c r="P37" s="19"/>
      <c r="Q37" s="17"/>
      <c r="R37" s="17"/>
      <c r="S37" s="17"/>
      <c r="T37" s="17"/>
      <c r="U37" s="17"/>
      <c r="V37" s="17"/>
    </row>
    <row r="38" spans="1:22" x14ac:dyDescent="0.3">
      <c r="A38" s="17"/>
      <c r="B38" s="17"/>
      <c r="C38" s="17"/>
      <c r="D38" s="17"/>
      <c r="E38" s="17"/>
      <c r="F38" s="17"/>
      <c r="G38" s="17"/>
      <c r="H38" s="17"/>
      <c r="I38" s="27"/>
      <c r="J38" s="17"/>
      <c r="K38" s="17"/>
      <c r="L38" s="17"/>
      <c r="M38" s="17"/>
      <c r="N38" s="17"/>
      <c r="O38" s="17"/>
      <c r="P38" s="19"/>
      <c r="Q38" s="17"/>
      <c r="R38" s="17"/>
      <c r="S38" s="17"/>
      <c r="T38" s="17"/>
      <c r="U38" s="17"/>
      <c r="V38" s="17"/>
    </row>
    <row r="39" spans="1:22" x14ac:dyDescent="0.3">
      <c r="A39" s="17"/>
      <c r="B39" s="17"/>
      <c r="C39" s="17"/>
      <c r="D39" s="17"/>
      <c r="E39" s="17"/>
      <c r="F39" s="17"/>
      <c r="G39" s="17"/>
      <c r="H39" s="17"/>
      <c r="I39" s="27"/>
      <c r="J39" s="17"/>
      <c r="K39" s="17"/>
      <c r="L39" s="17"/>
      <c r="M39" s="17"/>
      <c r="N39" s="17"/>
      <c r="O39" s="17"/>
      <c r="P39" s="19"/>
      <c r="Q39" s="17"/>
      <c r="R39" s="17"/>
      <c r="S39" s="17"/>
      <c r="T39" s="17"/>
      <c r="U39" s="17"/>
      <c r="V39" s="17"/>
    </row>
    <row r="40" spans="1:22" x14ac:dyDescent="0.3">
      <c r="A40" s="17"/>
      <c r="B40" s="17"/>
      <c r="C40" s="17"/>
      <c r="D40" s="17"/>
      <c r="E40" s="17"/>
      <c r="F40" s="17"/>
      <c r="G40" s="17"/>
      <c r="H40" s="17"/>
      <c r="I40" s="27"/>
      <c r="J40" s="17"/>
      <c r="K40" s="17"/>
      <c r="L40" s="17"/>
      <c r="M40" s="17"/>
      <c r="N40" s="17"/>
      <c r="O40" s="17"/>
      <c r="P40" s="19"/>
      <c r="Q40" s="17"/>
      <c r="R40" s="17"/>
      <c r="S40" s="17"/>
      <c r="T40" s="17"/>
      <c r="U40" s="17"/>
      <c r="V40" s="17"/>
    </row>
    <row r="41" spans="1:22" x14ac:dyDescent="0.3">
      <c r="A41" s="17"/>
      <c r="B41" s="17"/>
      <c r="C41" s="17"/>
      <c r="D41" s="17"/>
      <c r="E41" s="17"/>
      <c r="F41" s="17"/>
      <c r="G41" s="17"/>
      <c r="H41" s="17"/>
      <c r="I41" s="27"/>
      <c r="J41" s="17"/>
      <c r="K41" s="17"/>
      <c r="L41" s="17"/>
      <c r="M41" s="17"/>
      <c r="N41" s="17"/>
      <c r="O41" s="17"/>
      <c r="P41" s="19"/>
      <c r="Q41" s="17"/>
      <c r="R41" s="17"/>
      <c r="S41" s="17"/>
      <c r="T41" s="17"/>
      <c r="U41" s="17"/>
      <c r="V41" s="17"/>
    </row>
    <row r="42" spans="1:22" x14ac:dyDescent="0.3">
      <c r="A42" s="17"/>
      <c r="B42" s="17"/>
      <c r="C42" s="17"/>
      <c r="D42" s="17"/>
      <c r="E42" s="17"/>
      <c r="F42" s="17"/>
      <c r="G42" s="17"/>
      <c r="H42" s="17"/>
      <c r="I42" s="27"/>
      <c r="J42" s="17"/>
      <c r="K42" s="17"/>
      <c r="L42" s="17"/>
      <c r="M42" s="17"/>
      <c r="N42" s="17"/>
      <c r="O42" s="17"/>
      <c r="P42" s="19"/>
      <c r="Q42" s="17"/>
      <c r="R42" s="17"/>
      <c r="S42" s="17"/>
      <c r="T42" s="17"/>
      <c r="U42" s="17"/>
      <c r="V42" s="17"/>
    </row>
    <row r="43" spans="1:22" x14ac:dyDescent="0.3">
      <c r="A43" s="17"/>
      <c r="B43" s="17"/>
      <c r="C43" s="17"/>
      <c r="D43" s="17"/>
      <c r="E43" s="17"/>
      <c r="F43" s="17"/>
      <c r="G43" s="17"/>
      <c r="H43" s="17"/>
      <c r="I43" s="27"/>
      <c r="J43" s="17"/>
      <c r="K43" s="17"/>
      <c r="L43" s="17"/>
      <c r="M43" s="17"/>
      <c r="N43" s="17"/>
      <c r="O43" s="17"/>
      <c r="P43" s="19"/>
      <c r="Q43" s="17"/>
      <c r="R43" s="17"/>
      <c r="S43" s="17"/>
      <c r="T43" s="17"/>
      <c r="U43" s="17"/>
      <c r="V43" s="17"/>
    </row>
    <row r="44" spans="1:22" x14ac:dyDescent="0.3">
      <c r="A44" s="17"/>
      <c r="B44" s="17"/>
      <c r="C44" s="17"/>
      <c r="D44" s="17"/>
      <c r="E44" s="17"/>
      <c r="F44" s="17"/>
      <c r="G44" s="17"/>
      <c r="H44" s="17"/>
      <c r="I44" s="27"/>
      <c r="J44" s="17"/>
      <c r="K44" s="17"/>
      <c r="L44" s="17"/>
      <c r="M44" s="17"/>
      <c r="N44" s="17"/>
      <c r="O44" s="17"/>
      <c r="P44" s="19"/>
      <c r="Q44" s="17"/>
      <c r="R44" s="17"/>
      <c r="S44" s="17"/>
      <c r="T44" s="17"/>
      <c r="U44" s="17"/>
      <c r="V44" s="17"/>
    </row>
    <row r="45" spans="1:22" x14ac:dyDescent="0.3">
      <c r="A45" s="17"/>
      <c r="B45" s="17"/>
      <c r="C45" s="17"/>
      <c r="D45" s="17"/>
      <c r="E45" s="17"/>
      <c r="F45" s="17"/>
      <c r="G45" s="17"/>
      <c r="H45" s="17"/>
      <c r="I45" s="27"/>
      <c r="J45" s="17"/>
      <c r="K45" s="17"/>
      <c r="L45" s="17"/>
      <c r="M45" s="17"/>
      <c r="N45" s="17"/>
      <c r="O45" s="17"/>
      <c r="P45" s="19"/>
      <c r="Q45" s="17"/>
      <c r="R45" s="17"/>
      <c r="S45" s="17"/>
      <c r="T45" s="17"/>
      <c r="U45" s="17"/>
      <c r="V45" s="17"/>
    </row>
    <row r="46" spans="1:22" x14ac:dyDescent="0.3">
      <c r="A46" s="17"/>
      <c r="B46" s="17"/>
      <c r="C46" s="17"/>
      <c r="D46" s="17"/>
      <c r="E46" s="17"/>
      <c r="F46" s="17"/>
      <c r="G46" s="17"/>
      <c r="H46" s="17"/>
      <c r="I46" s="27"/>
      <c r="J46" s="17"/>
      <c r="K46" s="17"/>
      <c r="L46" s="17"/>
      <c r="M46" s="17"/>
      <c r="N46" s="17"/>
      <c r="O46" s="17"/>
      <c r="P46" s="19"/>
      <c r="Q46" s="17"/>
      <c r="R46" s="17"/>
      <c r="S46" s="17"/>
      <c r="T46" s="17"/>
      <c r="U46" s="17"/>
      <c r="V46" s="17"/>
    </row>
    <row r="47" spans="1:22" x14ac:dyDescent="0.3">
      <c r="A47" s="17"/>
      <c r="B47" s="17"/>
      <c r="C47" s="17"/>
      <c r="D47" s="17"/>
      <c r="E47" s="17"/>
      <c r="F47" s="17"/>
      <c r="G47" s="17"/>
      <c r="H47" s="17"/>
      <c r="I47" s="2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</row>
    <row r="48" spans="1:22" x14ac:dyDescent="0.3">
      <c r="A48" s="17"/>
      <c r="B48" s="17"/>
      <c r="C48" s="17"/>
      <c r="D48" s="17"/>
      <c r="E48" s="17"/>
      <c r="F48" s="17"/>
      <c r="G48" s="17"/>
      <c r="H48" s="17"/>
      <c r="I48" s="27"/>
      <c r="J48" s="17"/>
      <c r="K48" s="17"/>
      <c r="L48" s="17"/>
      <c r="M48" s="17"/>
      <c r="N48" s="17"/>
      <c r="O48" s="17"/>
      <c r="P48" s="19"/>
      <c r="Q48" s="17"/>
      <c r="R48" s="17"/>
      <c r="S48" s="17"/>
      <c r="T48" s="17"/>
      <c r="U48" s="17"/>
      <c r="V48" s="17"/>
    </row>
    <row r="49" spans="1:22" x14ac:dyDescent="0.3">
      <c r="A49" s="17"/>
      <c r="B49" s="17"/>
      <c r="C49" s="17"/>
      <c r="D49" s="17"/>
      <c r="E49" s="17"/>
      <c r="F49" s="17"/>
      <c r="G49" s="17"/>
      <c r="H49" s="17"/>
      <c r="I49" s="27"/>
      <c r="J49" s="17"/>
      <c r="K49" s="17"/>
      <c r="L49" s="17"/>
      <c r="M49" s="17"/>
      <c r="N49" s="17"/>
      <c r="O49" s="17"/>
      <c r="P49" s="19"/>
      <c r="Q49" s="17"/>
      <c r="R49" s="17"/>
      <c r="S49" s="17"/>
      <c r="T49" s="17"/>
      <c r="U49" s="17"/>
      <c r="V49" s="17"/>
    </row>
    <row r="50" spans="1:22" x14ac:dyDescent="0.3">
      <c r="A50" s="17"/>
      <c r="B50" s="17"/>
      <c r="C50" s="17"/>
      <c r="D50" s="17"/>
      <c r="E50" s="17"/>
      <c r="F50" s="17"/>
      <c r="G50" s="17"/>
      <c r="H50" s="17"/>
      <c r="I50" s="2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</row>
    <row r="51" spans="1:22" x14ac:dyDescent="0.3">
      <c r="A51" s="17"/>
      <c r="B51" s="17"/>
      <c r="C51" s="17"/>
      <c r="D51" s="17"/>
      <c r="E51" s="17"/>
      <c r="F51" s="17"/>
      <c r="G51" s="17"/>
      <c r="H51" s="17"/>
      <c r="I51" s="27"/>
      <c r="J51" s="17"/>
      <c r="K51" s="17"/>
      <c r="L51" s="17"/>
      <c r="M51" s="17"/>
      <c r="N51" s="17"/>
      <c r="O51" s="17"/>
      <c r="P51" s="19"/>
      <c r="Q51" s="17"/>
      <c r="R51" s="17"/>
      <c r="S51" s="17"/>
      <c r="T51" s="17"/>
      <c r="U51" s="17"/>
      <c r="V51" s="17"/>
    </row>
    <row r="52" spans="1:22" x14ac:dyDescent="0.3">
      <c r="A52" s="17"/>
      <c r="B52" s="17"/>
      <c r="C52" s="17"/>
      <c r="D52" s="17"/>
      <c r="E52" s="17"/>
      <c r="F52" s="17"/>
      <c r="G52" s="17"/>
      <c r="H52" s="17"/>
      <c r="I52" s="27"/>
      <c r="J52" s="17"/>
      <c r="K52" s="17"/>
      <c r="L52" s="17"/>
      <c r="M52" s="17"/>
      <c r="N52" s="17"/>
      <c r="O52" s="17"/>
      <c r="P52" s="19"/>
      <c r="Q52" s="17"/>
      <c r="R52" s="17"/>
      <c r="S52" s="17"/>
      <c r="T52" s="17"/>
      <c r="U52" s="17"/>
      <c r="V52" s="17"/>
    </row>
    <row r="53" spans="1:22" x14ac:dyDescent="0.3">
      <c r="A53" s="17"/>
      <c r="B53" s="17"/>
      <c r="C53" s="17"/>
      <c r="D53" s="17"/>
      <c r="E53" s="17"/>
      <c r="F53" s="17"/>
      <c r="G53" s="17"/>
      <c r="H53" s="17"/>
      <c r="I53" s="27"/>
      <c r="J53" s="17"/>
      <c r="K53" s="17"/>
      <c r="L53" s="17"/>
      <c r="M53" s="17"/>
      <c r="N53" s="17"/>
      <c r="O53" s="17"/>
      <c r="P53" s="19"/>
      <c r="Q53" s="17"/>
      <c r="R53" s="17"/>
      <c r="S53" s="17"/>
      <c r="T53" s="17"/>
      <c r="U53" s="17"/>
      <c r="V53" s="17"/>
    </row>
    <row r="54" spans="1:22" x14ac:dyDescent="0.3">
      <c r="A54" s="17"/>
      <c r="B54" s="17"/>
      <c r="C54" s="17"/>
      <c r="D54" s="17"/>
      <c r="E54" s="17"/>
      <c r="F54" s="17"/>
      <c r="G54" s="17"/>
      <c r="H54" s="17"/>
      <c r="I54" s="27"/>
      <c r="J54" s="17"/>
      <c r="K54" s="17"/>
      <c r="L54" s="17"/>
      <c r="M54" s="17"/>
      <c r="N54" s="17"/>
      <c r="O54" s="17"/>
      <c r="P54" s="19"/>
      <c r="Q54" s="17"/>
      <c r="R54" s="17"/>
      <c r="S54" s="17"/>
      <c r="T54" s="17"/>
      <c r="U54" s="17"/>
      <c r="V54" s="17"/>
    </row>
    <row r="55" spans="1:22" x14ac:dyDescent="0.3">
      <c r="A55" s="17"/>
      <c r="B55" s="17"/>
      <c r="C55" s="17"/>
      <c r="D55" s="17"/>
      <c r="E55" s="17"/>
      <c r="F55" s="17"/>
      <c r="G55" s="17"/>
      <c r="H55" s="17"/>
      <c r="I55" s="27"/>
      <c r="J55" s="17"/>
      <c r="K55" s="17"/>
      <c r="L55" s="17"/>
      <c r="M55" s="17"/>
      <c r="N55" s="17"/>
      <c r="O55" s="17"/>
      <c r="P55" s="19"/>
      <c r="Q55" s="17"/>
      <c r="R55" s="17"/>
      <c r="S55" s="17"/>
      <c r="T55" s="17"/>
      <c r="U55" s="17"/>
      <c r="V55" s="17"/>
    </row>
    <row r="56" spans="1:22" x14ac:dyDescent="0.3">
      <c r="A56" s="17"/>
      <c r="B56" s="17"/>
      <c r="C56" s="17"/>
      <c r="D56" s="17"/>
      <c r="E56" s="17"/>
      <c r="F56" s="17"/>
      <c r="G56" s="17"/>
      <c r="H56" s="17"/>
      <c r="I56" s="27"/>
      <c r="J56" s="17"/>
      <c r="K56" s="17"/>
      <c r="L56" s="17"/>
      <c r="M56" s="17"/>
      <c r="N56" s="17"/>
      <c r="O56" s="17"/>
      <c r="P56" s="19"/>
      <c r="Q56" s="17"/>
      <c r="R56" s="17"/>
      <c r="S56" s="17"/>
      <c r="T56" s="17"/>
      <c r="U56" s="17"/>
      <c r="V56" s="17"/>
    </row>
    <row r="57" spans="1:22" x14ac:dyDescent="0.3">
      <c r="A57" s="17"/>
      <c r="B57" s="17"/>
      <c r="C57" s="17"/>
      <c r="D57" s="17"/>
      <c r="E57" s="17"/>
      <c r="F57" s="17"/>
      <c r="G57" s="17"/>
      <c r="H57" s="17"/>
      <c r="I57" s="27"/>
      <c r="J57" s="17"/>
      <c r="K57" s="17"/>
      <c r="L57" s="17"/>
      <c r="M57" s="17"/>
      <c r="N57" s="17"/>
      <c r="O57" s="17"/>
      <c r="P57" s="19"/>
      <c r="Q57" s="17"/>
      <c r="R57" s="17"/>
      <c r="S57" s="17"/>
      <c r="T57" s="17"/>
      <c r="U57" s="17"/>
      <c r="V57" s="17"/>
    </row>
    <row r="58" spans="1:22" x14ac:dyDescent="0.3">
      <c r="A58" s="17"/>
      <c r="B58" s="17"/>
      <c r="C58" s="17"/>
      <c r="D58" s="17"/>
      <c r="E58" s="17"/>
      <c r="F58" s="17"/>
      <c r="G58" s="17"/>
      <c r="H58" s="17"/>
      <c r="I58" s="27"/>
      <c r="J58" s="17"/>
      <c r="K58" s="17"/>
      <c r="L58" s="17"/>
      <c r="M58" s="17"/>
      <c r="N58" s="17"/>
      <c r="O58" s="17"/>
      <c r="P58" s="19"/>
      <c r="Q58" s="17"/>
      <c r="R58" s="17"/>
      <c r="S58" s="17"/>
      <c r="T58" s="17"/>
      <c r="U58" s="17"/>
      <c r="V58" s="17"/>
    </row>
    <row r="59" spans="1:22" x14ac:dyDescent="0.3">
      <c r="A59" s="17"/>
      <c r="B59" s="17"/>
      <c r="C59" s="17"/>
      <c r="D59" s="17"/>
      <c r="E59" s="17"/>
      <c r="F59" s="17"/>
      <c r="G59" s="17"/>
      <c r="H59" s="17"/>
      <c r="I59" s="27"/>
      <c r="J59" s="17"/>
      <c r="K59" s="17"/>
      <c r="L59" s="17"/>
      <c r="M59" s="17"/>
      <c r="N59" s="17"/>
      <c r="O59" s="17"/>
      <c r="P59" s="19"/>
      <c r="Q59" s="17"/>
      <c r="R59" s="17"/>
      <c r="S59" s="17"/>
      <c r="T59" s="17"/>
      <c r="U59" s="17"/>
      <c r="V59" s="17"/>
    </row>
    <row r="60" spans="1:22" x14ac:dyDescent="0.3">
      <c r="A60" s="17"/>
      <c r="B60" s="17"/>
      <c r="C60" s="17"/>
      <c r="D60" s="17"/>
      <c r="E60" s="17"/>
      <c r="F60" s="17"/>
      <c r="G60" s="17"/>
      <c r="H60" s="17"/>
      <c r="I60" s="27"/>
      <c r="J60" s="17"/>
      <c r="K60" s="17"/>
      <c r="L60" s="17"/>
      <c r="M60" s="17"/>
      <c r="N60" s="17"/>
      <c r="O60" s="17"/>
      <c r="P60" s="19"/>
      <c r="Q60" s="17"/>
      <c r="R60" s="17"/>
      <c r="S60" s="17"/>
      <c r="T60" s="17"/>
      <c r="U60" s="17"/>
      <c r="V60" s="17"/>
    </row>
    <row r="61" spans="1:22" x14ac:dyDescent="0.3">
      <c r="A61" s="1"/>
      <c r="B61" s="1"/>
      <c r="C61" s="1"/>
      <c r="D61" s="1"/>
      <c r="E61" s="1"/>
      <c r="F61" s="1"/>
      <c r="G61" s="1"/>
      <c r="H61" s="1"/>
      <c r="I61" s="7"/>
      <c r="J61" s="1"/>
      <c r="K61" s="1"/>
      <c r="L61" s="1"/>
      <c r="M61" s="1"/>
      <c r="N61" s="1"/>
      <c r="O61" s="1"/>
      <c r="P61" s="4"/>
    </row>
    <row r="62" spans="1:22" x14ac:dyDescent="0.3">
      <c r="A62" s="1"/>
      <c r="B62" s="1"/>
      <c r="C62" s="1"/>
      <c r="D62" s="1"/>
      <c r="E62" s="1"/>
      <c r="F62" s="1"/>
      <c r="G62" s="1"/>
      <c r="H62" s="1"/>
      <c r="I62" s="7"/>
      <c r="J62" s="1"/>
      <c r="K62" s="1"/>
      <c r="L62" s="1"/>
      <c r="M62" s="1"/>
      <c r="N62" s="1"/>
      <c r="O62" s="1"/>
      <c r="P62" s="4"/>
    </row>
    <row r="63" spans="1:22" x14ac:dyDescent="0.3">
      <c r="A63" s="1"/>
      <c r="B63" s="1"/>
      <c r="C63" s="1"/>
      <c r="D63" s="1"/>
      <c r="E63" s="1"/>
      <c r="F63" s="1"/>
      <c r="G63" s="1"/>
      <c r="H63" s="1"/>
      <c r="I63" s="7"/>
      <c r="J63" s="1"/>
      <c r="K63" s="1"/>
      <c r="L63" s="1"/>
      <c r="M63" s="1"/>
      <c r="N63" s="1"/>
      <c r="O63" s="1"/>
      <c r="P63" s="4"/>
    </row>
    <row r="64" spans="1:22" x14ac:dyDescent="0.3">
      <c r="A64" s="1"/>
      <c r="B64" s="1"/>
      <c r="C64" s="1"/>
      <c r="D64" s="1"/>
      <c r="E64" s="1"/>
      <c r="F64" s="1"/>
      <c r="G64" s="1"/>
      <c r="H64" s="1"/>
      <c r="I64" s="7"/>
      <c r="J64" s="1"/>
      <c r="K64" s="1"/>
      <c r="L64" s="1"/>
      <c r="M64" s="1"/>
      <c r="N64" s="1"/>
      <c r="O64" s="1"/>
      <c r="P64" s="4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7"/>
      <c r="J65" s="1"/>
      <c r="K65" s="1"/>
      <c r="L65" s="1"/>
      <c r="M65" s="1"/>
      <c r="N65" s="1"/>
      <c r="O65" s="1"/>
      <c r="P65" s="4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7"/>
      <c r="J66" s="1"/>
      <c r="K66" s="1"/>
      <c r="L66" s="1"/>
      <c r="M66" s="1"/>
      <c r="N66" s="1"/>
      <c r="O66" s="1"/>
      <c r="P66" s="4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7"/>
      <c r="J67" s="1"/>
      <c r="K67" s="1"/>
      <c r="L67" s="1"/>
      <c r="M67" s="1"/>
      <c r="N67" s="1"/>
      <c r="O67" s="1"/>
      <c r="P67" s="4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7"/>
      <c r="J68" s="1"/>
      <c r="K68" s="1"/>
      <c r="L68" s="1"/>
      <c r="M68" s="1"/>
      <c r="N68" s="1"/>
      <c r="O68" s="1"/>
      <c r="P68" s="4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7"/>
      <c r="J69" s="1"/>
      <c r="K69" s="1"/>
      <c r="L69" s="1"/>
      <c r="M69" s="1"/>
      <c r="N69" s="1"/>
      <c r="O69" s="1"/>
      <c r="P69" s="4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7"/>
      <c r="J70" s="1"/>
      <c r="K70" s="1"/>
      <c r="L70" s="1"/>
      <c r="M70" s="1"/>
      <c r="N70" s="1"/>
      <c r="O70" s="1"/>
      <c r="P70" s="4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7"/>
      <c r="J71" s="1"/>
      <c r="K71" s="1"/>
      <c r="L71" s="1"/>
      <c r="M71" s="1"/>
      <c r="N71" s="1"/>
      <c r="O71" s="1"/>
      <c r="P71" s="4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7"/>
      <c r="J72" s="1"/>
      <c r="K72" s="1"/>
      <c r="L72" s="1"/>
      <c r="M72" s="1"/>
      <c r="N72" s="1"/>
      <c r="O72" s="1"/>
      <c r="P72" s="4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7"/>
      <c r="J73" s="1"/>
      <c r="K73" s="1"/>
      <c r="L73" s="1"/>
      <c r="M73" s="1"/>
      <c r="N73" s="1"/>
      <c r="O73" s="1"/>
      <c r="P73" s="4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7"/>
      <c r="J74" s="1"/>
      <c r="K74" s="1"/>
      <c r="L74" s="1"/>
      <c r="M74" s="1"/>
      <c r="N74" s="1"/>
      <c r="O74" s="1"/>
      <c r="P74" s="4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7"/>
      <c r="J75" s="1"/>
      <c r="K75" s="1"/>
      <c r="L75" s="1"/>
      <c r="M75" s="1"/>
      <c r="N75" s="1"/>
      <c r="O75" s="1"/>
      <c r="P75" s="4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7"/>
      <c r="J76" s="1"/>
      <c r="K76" s="1"/>
      <c r="L76" s="1"/>
      <c r="M76" s="1"/>
      <c r="N76" s="1"/>
      <c r="O76" s="1"/>
      <c r="P76" s="4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7"/>
      <c r="J77" s="1"/>
      <c r="K77" s="1"/>
      <c r="L77" s="1"/>
      <c r="M77" s="1"/>
      <c r="N77" s="1"/>
      <c r="O77" s="1"/>
      <c r="P77" s="4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7"/>
      <c r="J78" s="1"/>
      <c r="K78" s="1"/>
      <c r="L78" s="1"/>
      <c r="M78" s="1"/>
      <c r="N78" s="1"/>
      <c r="O78" s="1"/>
      <c r="P78" s="4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7"/>
      <c r="J79" s="1"/>
      <c r="K79" s="1"/>
      <c r="L79" s="1"/>
      <c r="M79" s="1"/>
      <c r="N79" s="1"/>
      <c r="O79" s="1"/>
      <c r="P79" s="4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7"/>
      <c r="J80" s="1"/>
      <c r="K80" s="1"/>
      <c r="L80" s="1"/>
      <c r="M80" s="1"/>
      <c r="N80" s="1"/>
      <c r="O80" s="1"/>
      <c r="P80" s="4"/>
    </row>
    <row r="81" spans="1:16" x14ac:dyDescent="0.3">
      <c r="A81" s="1"/>
      <c r="B81" s="1"/>
      <c r="C81" s="1"/>
      <c r="D81" s="1"/>
      <c r="E81" s="1"/>
      <c r="F81" s="1"/>
      <c r="G81" s="1"/>
      <c r="H81" s="1"/>
      <c r="I81" s="7"/>
      <c r="J81" s="1"/>
      <c r="K81" s="1"/>
      <c r="L81" s="1"/>
      <c r="M81" s="1"/>
      <c r="N81" s="1"/>
      <c r="O81" s="1"/>
      <c r="P81" s="4"/>
    </row>
    <row r="82" spans="1:16" x14ac:dyDescent="0.3">
      <c r="A82" s="1"/>
      <c r="B82" s="1"/>
      <c r="C82" s="1"/>
      <c r="D82" s="1"/>
      <c r="E82" s="1"/>
      <c r="F82" s="1"/>
      <c r="G82" s="1"/>
      <c r="H82" s="1"/>
      <c r="I82" s="7"/>
      <c r="J82" s="1"/>
      <c r="K82" s="1"/>
      <c r="L82" s="1"/>
      <c r="M82" s="1"/>
      <c r="N82" s="1"/>
      <c r="O82" s="1"/>
      <c r="P82" s="4"/>
    </row>
    <row r="83" spans="1:16" x14ac:dyDescent="0.3">
      <c r="A83" s="1"/>
      <c r="B83" s="1"/>
      <c r="C83" s="1"/>
      <c r="D83" s="1"/>
      <c r="E83" s="1"/>
      <c r="F83" s="1"/>
      <c r="G83" s="1"/>
      <c r="H83" s="1"/>
      <c r="I83" s="7"/>
      <c r="J83" s="1"/>
      <c r="K83" s="1"/>
      <c r="L83" s="1"/>
      <c r="M83" s="1"/>
      <c r="N83" s="1"/>
      <c r="O83" s="1"/>
      <c r="P83" s="4"/>
    </row>
    <row r="84" spans="1:16" x14ac:dyDescent="0.3">
      <c r="A84" s="1"/>
      <c r="B84" s="1"/>
      <c r="C84" s="1"/>
      <c r="D84" s="1"/>
      <c r="E84" s="1"/>
      <c r="F84" s="1"/>
      <c r="G84" s="1"/>
      <c r="H84" s="1"/>
      <c r="I84" s="7"/>
      <c r="J84" s="1"/>
      <c r="K84" s="1"/>
      <c r="L84" s="1"/>
      <c r="M84" s="1"/>
      <c r="N84" s="1"/>
      <c r="O84" s="1"/>
      <c r="P84" s="4"/>
    </row>
    <row r="85" spans="1:16" x14ac:dyDescent="0.3">
      <c r="A85" s="1"/>
      <c r="B85" s="1"/>
      <c r="C85" s="1"/>
      <c r="D85" s="1"/>
      <c r="E85" s="1"/>
      <c r="F85" s="1"/>
      <c r="G85" s="1"/>
      <c r="H85" s="1"/>
      <c r="I85" s="7"/>
      <c r="J85" s="1"/>
      <c r="K85" s="1"/>
      <c r="L85" s="1"/>
      <c r="M85" s="1"/>
      <c r="N85" s="1"/>
      <c r="O85" s="1"/>
      <c r="P85" s="4"/>
    </row>
    <row r="86" spans="1:16" x14ac:dyDescent="0.3">
      <c r="A86" s="1"/>
      <c r="B86" s="1"/>
      <c r="C86" s="1"/>
      <c r="D86" s="1"/>
      <c r="E86" s="1"/>
      <c r="F86" s="1"/>
      <c r="G86" s="1"/>
      <c r="H86" s="1"/>
      <c r="I86" s="7"/>
      <c r="J86" s="1"/>
      <c r="K86" s="1"/>
      <c r="L86" s="1"/>
      <c r="M86" s="1"/>
      <c r="N86" s="1"/>
      <c r="O86" s="1"/>
      <c r="P86" s="4"/>
    </row>
    <row r="87" spans="1:16" x14ac:dyDescent="0.3">
      <c r="A87" s="1"/>
      <c r="B87" s="1"/>
      <c r="C87" s="1"/>
      <c r="D87" s="1"/>
      <c r="E87" s="1"/>
      <c r="F87" s="1"/>
      <c r="G87" s="1"/>
      <c r="H87" s="1"/>
      <c r="I87" s="7"/>
      <c r="J87" s="1"/>
      <c r="K87" s="1"/>
      <c r="L87" s="1"/>
      <c r="M87" s="1"/>
      <c r="N87" s="1"/>
      <c r="O87" s="1"/>
      <c r="P87" s="4"/>
    </row>
    <row r="88" spans="1:16" x14ac:dyDescent="0.3">
      <c r="A88" s="1"/>
      <c r="B88" s="1"/>
      <c r="C88" s="1"/>
      <c r="D88" s="1"/>
      <c r="E88" s="1"/>
      <c r="F88" s="1"/>
      <c r="G88" s="1"/>
      <c r="H88" s="1"/>
      <c r="I88" s="7"/>
      <c r="J88" s="1"/>
      <c r="K88" s="1"/>
      <c r="L88" s="1"/>
      <c r="M88" s="1"/>
      <c r="N88" s="1"/>
      <c r="O88" s="1"/>
      <c r="P88" s="4"/>
    </row>
    <row r="89" spans="1:16" x14ac:dyDescent="0.3">
      <c r="A89" s="1"/>
      <c r="B89" s="1"/>
      <c r="C89" s="1"/>
      <c r="D89" s="1"/>
      <c r="E89" s="1"/>
      <c r="F89" s="1"/>
      <c r="G89" s="1"/>
      <c r="H89" s="1"/>
      <c r="I89" s="7"/>
      <c r="J89" s="1"/>
      <c r="K89" s="1"/>
      <c r="L89" s="1"/>
      <c r="M89" s="1"/>
      <c r="N89" s="1"/>
      <c r="O89" s="1"/>
      <c r="P89" s="4"/>
    </row>
    <row r="90" spans="1:16" x14ac:dyDescent="0.3">
      <c r="A90" s="1"/>
      <c r="B90" s="1"/>
      <c r="C90" s="1"/>
      <c r="D90" s="1"/>
      <c r="E90" s="1"/>
      <c r="F90" s="1"/>
      <c r="G90" s="1"/>
      <c r="H90" s="1"/>
      <c r="I90" s="7"/>
      <c r="J90" s="1"/>
      <c r="K90" s="1"/>
      <c r="L90" s="1"/>
      <c r="M90" s="1"/>
      <c r="N90" s="1"/>
      <c r="O90" s="1"/>
      <c r="P90" s="4"/>
    </row>
    <row r="91" spans="1:16" x14ac:dyDescent="0.3">
      <c r="A91" s="1"/>
      <c r="B91" s="1"/>
      <c r="C91" s="1"/>
      <c r="D91" s="1"/>
      <c r="E91" s="1"/>
      <c r="F91" s="1"/>
      <c r="G91" s="1"/>
      <c r="H91" s="1"/>
      <c r="I91" s="7"/>
      <c r="J91" s="1"/>
      <c r="K91" s="1"/>
      <c r="L91" s="1"/>
      <c r="M91" s="1"/>
      <c r="N91" s="1"/>
      <c r="O91" s="1"/>
      <c r="P91" s="4"/>
    </row>
    <row r="92" spans="1:16" x14ac:dyDescent="0.3">
      <c r="A92" s="1"/>
      <c r="B92" s="1"/>
      <c r="C92" s="1"/>
      <c r="D92" s="1"/>
      <c r="E92" s="1"/>
      <c r="F92" s="1"/>
      <c r="G92" s="1"/>
      <c r="H92" s="1"/>
      <c r="I92" s="7"/>
      <c r="J92" s="1"/>
      <c r="K92" s="1"/>
      <c r="L92" s="1"/>
      <c r="M92" s="1"/>
      <c r="N92" s="1"/>
      <c r="O92" s="1"/>
      <c r="P92" s="4"/>
    </row>
    <row r="93" spans="1:16" x14ac:dyDescent="0.3">
      <c r="A93" s="1"/>
      <c r="B93" s="1"/>
      <c r="C93" s="1"/>
      <c r="D93" s="1"/>
      <c r="E93" s="1"/>
      <c r="F93" s="1"/>
      <c r="G93" s="1"/>
      <c r="H93" s="1"/>
      <c r="I93" s="7"/>
      <c r="J93" s="1"/>
      <c r="K93" s="1"/>
      <c r="L93" s="1"/>
      <c r="M93" s="1"/>
      <c r="N93" s="1"/>
      <c r="O93" s="1"/>
      <c r="P93" s="4"/>
    </row>
    <row r="94" spans="1:16" x14ac:dyDescent="0.3">
      <c r="A94" s="1"/>
      <c r="B94" s="1"/>
      <c r="C94" s="1"/>
      <c r="D94" s="1"/>
      <c r="E94" s="1"/>
      <c r="F94" s="1"/>
      <c r="G94" s="1"/>
      <c r="H94" s="1"/>
      <c r="I94" s="7"/>
      <c r="J94" s="1"/>
      <c r="K94" s="1"/>
      <c r="L94" s="1"/>
      <c r="M94" s="1"/>
      <c r="N94" s="1"/>
      <c r="O94" s="1"/>
      <c r="P94" s="4"/>
    </row>
    <row r="95" spans="1:16" x14ac:dyDescent="0.3">
      <c r="A95" s="1"/>
      <c r="B95" s="1"/>
      <c r="C95" s="1"/>
      <c r="D95" s="1"/>
      <c r="E95" s="1"/>
      <c r="F95" s="1"/>
      <c r="G95" s="1"/>
      <c r="H95" s="1"/>
      <c r="I95" s="7"/>
      <c r="J95" s="1"/>
      <c r="K95" s="1"/>
      <c r="L95" s="1"/>
      <c r="M95" s="1"/>
      <c r="N95" s="1"/>
      <c r="O95" s="1"/>
      <c r="P95" s="4"/>
    </row>
    <row r="96" spans="1:16" x14ac:dyDescent="0.3">
      <c r="A96" s="1"/>
      <c r="B96" s="1"/>
      <c r="C96" s="1"/>
      <c r="D96" s="1"/>
      <c r="E96" s="1"/>
      <c r="F96" s="1"/>
      <c r="G96" s="1"/>
      <c r="H96" s="1"/>
      <c r="I96" s="7"/>
      <c r="J96" s="1"/>
      <c r="K96" s="1"/>
      <c r="L96" s="1"/>
      <c r="M96" s="1"/>
      <c r="N96" s="1"/>
      <c r="O96" s="1"/>
      <c r="P96" s="4"/>
    </row>
    <row r="97" spans="1:16" x14ac:dyDescent="0.3">
      <c r="A97" s="1"/>
      <c r="B97" s="1"/>
      <c r="C97" s="1"/>
      <c r="D97" s="1"/>
      <c r="E97" s="1"/>
      <c r="F97" s="1"/>
      <c r="G97" s="1"/>
      <c r="H97" s="1"/>
      <c r="I97" s="7"/>
      <c r="J97" s="1"/>
      <c r="K97" s="1"/>
      <c r="L97" s="1"/>
      <c r="M97" s="1"/>
      <c r="N97" s="1"/>
      <c r="O97" s="1"/>
      <c r="P97" s="4"/>
    </row>
    <row r="98" spans="1:16" x14ac:dyDescent="0.3">
      <c r="A98" s="1"/>
      <c r="B98" s="1"/>
      <c r="C98" s="1"/>
      <c r="D98" s="1"/>
      <c r="E98" s="1"/>
      <c r="F98" s="1"/>
      <c r="G98" s="1"/>
      <c r="H98" s="1"/>
      <c r="I98" s="7"/>
      <c r="J98" s="1"/>
      <c r="K98" s="1"/>
      <c r="L98" s="1"/>
      <c r="M98" s="1"/>
      <c r="N98" s="1"/>
      <c r="O98" s="1"/>
      <c r="P98" s="4"/>
    </row>
    <row r="99" spans="1:16" x14ac:dyDescent="0.3">
      <c r="A99" s="1"/>
      <c r="B99" s="1"/>
      <c r="C99" s="1"/>
      <c r="D99" s="1"/>
      <c r="E99" s="1"/>
      <c r="F99" s="1"/>
      <c r="G99" s="1"/>
      <c r="H99" s="1"/>
      <c r="I99" s="7"/>
      <c r="J99" s="1"/>
      <c r="K99" s="1"/>
      <c r="L99" s="1"/>
      <c r="M99" s="1"/>
      <c r="N99" s="1"/>
      <c r="O99" s="1"/>
      <c r="P99" s="4"/>
    </row>
    <row r="100" spans="1:16" x14ac:dyDescent="0.3">
      <c r="A100" s="1"/>
      <c r="B100" s="1"/>
      <c r="C100" s="1"/>
      <c r="D100" s="1"/>
      <c r="E100" s="1"/>
      <c r="F100" s="1"/>
      <c r="G100" s="1"/>
      <c r="H100" s="1"/>
      <c r="I100" s="7"/>
      <c r="J100" s="1"/>
      <c r="K100" s="1"/>
      <c r="L100" s="1"/>
      <c r="M100" s="1"/>
      <c r="N100" s="1"/>
      <c r="O100" s="1"/>
      <c r="P100" s="4"/>
    </row>
    <row r="101" spans="1:16" x14ac:dyDescent="0.3">
      <c r="A101" s="1"/>
      <c r="B101" s="1"/>
      <c r="C101" s="1"/>
      <c r="D101" s="1"/>
      <c r="E101" s="1"/>
      <c r="F101" s="1"/>
      <c r="G101" s="1"/>
      <c r="H101" s="1"/>
      <c r="I101" s="7"/>
      <c r="J101" s="1"/>
      <c r="K101" s="1"/>
      <c r="L101" s="1"/>
      <c r="M101" s="1"/>
      <c r="N101" s="1"/>
      <c r="O101" s="1"/>
      <c r="P101" s="4"/>
    </row>
    <row r="102" spans="1:16" x14ac:dyDescent="0.3">
      <c r="A102" s="1"/>
      <c r="B102" s="1"/>
      <c r="C102" s="1"/>
      <c r="D102" s="1"/>
      <c r="E102" s="1"/>
      <c r="F102" s="1"/>
      <c r="G102" s="1"/>
      <c r="H102" s="1"/>
      <c r="I102" s="7"/>
      <c r="J102" s="1"/>
      <c r="K102" s="1"/>
      <c r="L102" s="1"/>
      <c r="M102" s="1"/>
      <c r="N102" s="1"/>
      <c r="O102" s="1"/>
      <c r="P102" s="4"/>
    </row>
    <row r="103" spans="1:16" x14ac:dyDescent="0.3">
      <c r="A103" s="1"/>
      <c r="B103" s="1"/>
      <c r="C103" s="1"/>
      <c r="D103" s="1"/>
      <c r="E103" s="1"/>
      <c r="F103" s="1"/>
      <c r="G103" s="1"/>
      <c r="H103" s="1"/>
      <c r="I103" s="7"/>
      <c r="J103" s="1"/>
      <c r="K103" s="1"/>
      <c r="L103" s="1"/>
      <c r="M103" s="1"/>
      <c r="N103" s="1"/>
      <c r="O103" s="1"/>
      <c r="P103" s="4"/>
    </row>
    <row r="104" spans="1:16" x14ac:dyDescent="0.3">
      <c r="A104" s="1"/>
      <c r="B104" s="1"/>
      <c r="C104" s="1"/>
      <c r="D104" s="1"/>
      <c r="E104" s="1"/>
      <c r="F104" s="1"/>
      <c r="G104" s="1"/>
      <c r="H104" s="1"/>
      <c r="I104" s="7"/>
      <c r="J104" s="1"/>
      <c r="K104" s="1"/>
      <c r="L104" s="1"/>
      <c r="M104" s="1"/>
      <c r="N104" s="1"/>
      <c r="O104" s="1"/>
      <c r="P104" s="4"/>
    </row>
    <row r="105" spans="1:16" x14ac:dyDescent="0.3">
      <c r="A105" s="1"/>
      <c r="B105" s="1"/>
      <c r="C105" s="1"/>
      <c r="D105" s="1"/>
      <c r="E105" s="1"/>
      <c r="F105" s="1"/>
      <c r="G105" s="1"/>
      <c r="H105" s="1"/>
      <c r="I105" s="7"/>
      <c r="J105" s="1"/>
      <c r="K105" s="1"/>
      <c r="L105" s="1"/>
      <c r="M105" s="1"/>
      <c r="N105" s="1"/>
      <c r="O105" s="1"/>
      <c r="P105" s="4"/>
    </row>
    <row r="106" spans="1:16" x14ac:dyDescent="0.3">
      <c r="A106" s="1"/>
      <c r="B106" s="1"/>
      <c r="C106" s="1"/>
      <c r="D106" s="1"/>
      <c r="E106" s="1"/>
      <c r="F106" s="1"/>
      <c r="G106" s="1"/>
      <c r="H106" s="1"/>
      <c r="I106" s="7"/>
      <c r="J106" s="1"/>
      <c r="K106" s="1"/>
      <c r="L106" s="1"/>
      <c r="M106" s="1"/>
      <c r="N106" s="1"/>
      <c r="O106" s="1"/>
      <c r="P106" s="4"/>
    </row>
    <row r="107" spans="1:16" x14ac:dyDescent="0.3">
      <c r="A107" s="1"/>
      <c r="B107" s="1"/>
      <c r="C107" s="1"/>
      <c r="D107" s="1"/>
      <c r="E107" s="1"/>
      <c r="F107" s="1"/>
      <c r="G107" s="1"/>
      <c r="H107" s="1"/>
      <c r="I107" s="7"/>
      <c r="J107" s="1"/>
      <c r="K107" s="1"/>
      <c r="L107" s="1"/>
      <c r="M107" s="1"/>
      <c r="N107" s="1"/>
      <c r="O107" s="1"/>
      <c r="P107" s="4"/>
    </row>
    <row r="108" spans="1:16" x14ac:dyDescent="0.3">
      <c r="A108" s="1"/>
      <c r="B108" s="1"/>
      <c r="C108" s="1"/>
      <c r="D108" s="1"/>
      <c r="E108" s="1"/>
      <c r="F108" s="1"/>
      <c r="G108" s="1"/>
      <c r="H108" s="1"/>
      <c r="I108" s="7"/>
      <c r="J108" s="1"/>
      <c r="K108" s="1"/>
      <c r="L108" s="1"/>
      <c r="M108" s="1"/>
      <c r="N108" s="1"/>
      <c r="O108" s="1"/>
      <c r="P108" s="4"/>
    </row>
    <row r="109" spans="1:16" x14ac:dyDescent="0.3">
      <c r="A109" s="1"/>
      <c r="B109" s="1"/>
      <c r="C109" s="1"/>
      <c r="D109" s="1"/>
      <c r="E109" s="1"/>
      <c r="F109" s="1"/>
      <c r="G109" s="1"/>
      <c r="H109" s="1"/>
      <c r="I109" s="7"/>
      <c r="J109" s="1"/>
      <c r="K109" s="1"/>
      <c r="L109" s="1"/>
      <c r="M109" s="1"/>
      <c r="N109" s="1"/>
      <c r="O109" s="1"/>
      <c r="P109" s="4"/>
    </row>
    <row r="110" spans="1:16" x14ac:dyDescent="0.3">
      <c r="A110" s="1"/>
      <c r="B110" s="1"/>
      <c r="C110" s="1"/>
      <c r="D110" s="1"/>
      <c r="E110" s="1"/>
      <c r="F110" s="1"/>
      <c r="G110" s="1"/>
      <c r="H110" s="1"/>
      <c r="I110" s="7"/>
      <c r="J110" s="1"/>
      <c r="K110" s="1"/>
      <c r="L110" s="1"/>
      <c r="M110" s="1"/>
      <c r="N110" s="1"/>
      <c r="O110" s="1"/>
      <c r="P110" s="4"/>
    </row>
    <row r="111" spans="1:16" x14ac:dyDescent="0.3">
      <c r="A111" s="1"/>
      <c r="B111" s="1"/>
      <c r="C111" s="1"/>
      <c r="D111" s="1"/>
      <c r="E111" s="1"/>
      <c r="F111" s="1"/>
      <c r="G111" s="1"/>
      <c r="H111" s="1"/>
      <c r="I111" s="7"/>
      <c r="J111" s="1"/>
      <c r="K111" s="1"/>
      <c r="L111" s="1"/>
      <c r="M111" s="1"/>
      <c r="N111" s="1"/>
      <c r="O111" s="1"/>
      <c r="P111" s="4"/>
    </row>
    <row r="112" spans="1:16" x14ac:dyDescent="0.3">
      <c r="A112" s="1"/>
      <c r="B112" s="1"/>
      <c r="C112" s="1"/>
      <c r="D112" s="1"/>
      <c r="E112" s="1"/>
      <c r="F112" s="1"/>
      <c r="G112" s="1"/>
      <c r="H112" s="1"/>
      <c r="I112" s="7"/>
      <c r="J112" s="1"/>
      <c r="K112" s="1"/>
      <c r="L112" s="1"/>
      <c r="M112" s="1"/>
      <c r="N112" s="1"/>
      <c r="O112" s="1"/>
      <c r="P112" s="4"/>
    </row>
    <row r="113" spans="1:16" x14ac:dyDescent="0.3">
      <c r="A113" s="1"/>
      <c r="B113" s="1"/>
      <c r="C113" s="1"/>
      <c r="D113" s="1"/>
      <c r="E113" s="1"/>
      <c r="F113" s="1"/>
      <c r="G113" s="1"/>
      <c r="H113" s="1"/>
      <c r="I113" s="7"/>
      <c r="J113" s="1"/>
      <c r="K113" s="1"/>
      <c r="L113" s="1"/>
      <c r="M113" s="1"/>
      <c r="N113" s="1"/>
      <c r="O113" s="1"/>
      <c r="P113" s="4"/>
    </row>
    <row r="114" spans="1:16" x14ac:dyDescent="0.3">
      <c r="A114" s="1"/>
      <c r="B114" s="1"/>
      <c r="C114" s="1"/>
      <c r="D114" s="1"/>
      <c r="E114" s="1"/>
      <c r="F114" s="1"/>
      <c r="G114" s="1"/>
      <c r="H114" s="1"/>
      <c r="I114" s="7"/>
      <c r="J114" s="1"/>
      <c r="K114" s="1"/>
      <c r="L114" s="1"/>
      <c r="M114" s="1"/>
      <c r="N114" s="1"/>
      <c r="O114" s="1"/>
      <c r="P114" s="4"/>
    </row>
    <row r="115" spans="1:16" x14ac:dyDescent="0.3">
      <c r="A115" s="1"/>
      <c r="B115" s="1"/>
      <c r="C115" s="1"/>
      <c r="D115" s="1"/>
      <c r="E115" s="1"/>
      <c r="F115" s="1"/>
      <c r="G115" s="1"/>
      <c r="H115" s="1"/>
      <c r="I115" s="7"/>
      <c r="J115" s="1"/>
      <c r="K115" s="1"/>
      <c r="L115" s="1"/>
      <c r="M115" s="1"/>
      <c r="N115" s="1"/>
      <c r="O115" s="1"/>
      <c r="P115" s="4"/>
    </row>
    <row r="116" spans="1:16" x14ac:dyDescent="0.3">
      <c r="A116" s="1"/>
      <c r="B116" s="1"/>
      <c r="C116" s="1"/>
      <c r="D116" s="1"/>
      <c r="E116" s="1"/>
      <c r="F116" s="1"/>
      <c r="G116" s="1"/>
      <c r="H116" s="1"/>
      <c r="I116" s="7"/>
      <c r="J116" s="1"/>
      <c r="K116" s="1"/>
      <c r="L116" s="1"/>
      <c r="M116" s="1"/>
      <c r="N116" s="1"/>
      <c r="O116" s="1"/>
      <c r="P116" s="4"/>
    </row>
    <row r="117" spans="1:16" x14ac:dyDescent="0.3">
      <c r="A117" s="1"/>
      <c r="B117" s="1"/>
      <c r="C117" s="1"/>
      <c r="D117" s="1"/>
      <c r="E117" s="1"/>
      <c r="F117" s="1"/>
      <c r="G117" s="1"/>
      <c r="H117" s="1"/>
      <c r="I117" s="7"/>
      <c r="J117" s="1"/>
      <c r="K117" s="1"/>
      <c r="L117" s="1"/>
      <c r="M117" s="1"/>
      <c r="N117" s="1"/>
      <c r="O117" s="1"/>
      <c r="P117" s="4"/>
    </row>
    <row r="118" spans="1:16" x14ac:dyDescent="0.3">
      <c r="A118" s="1"/>
      <c r="B118" s="1"/>
      <c r="C118" s="1"/>
      <c r="D118" s="1"/>
      <c r="E118" s="1"/>
      <c r="F118" s="1"/>
      <c r="G118" s="1"/>
      <c r="H118" s="1"/>
      <c r="I118" s="7"/>
      <c r="J118" s="1"/>
      <c r="K118" s="1"/>
      <c r="L118" s="1"/>
      <c r="M118" s="1"/>
      <c r="N118" s="1"/>
      <c r="O118" s="1"/>
      <c r="P118" s="4"/>
    </row>
    <row r="119" spans="1:16" x14ac:dyDescent="0.3">
      <c r="A119" s="1"/>
      <c r="B119" s="1"/>
      <c r="C119" s="1"/>
      <c r="D119" s="1"/>
      <c r="E119" s="1"/>
      <c r="F119" s="1"/>
      <c r="G119" s="1"/>
      <c r="H119" s="1"/>
      <c r="I119" s="7"/>
      <c r="J119" s="1"/>
      <c r="K119" s="1"/>
      <c r="L119" s="1"/>
      <c r="M119" s="1"/>
      <c r="N119" s="1"/>
      <c r="O119" s="1"/>
      <c r="P119" s="4"/>
    </row>
    <row r="120" spans="1:16" x14ac:dyDescent="0.3">
      <c r="A120" s="1"/>
      <c r="B120" s="1"/>
      <c r="C120" s="1"/>
      <c r="D120" s="1"/>
      <c r="E120" s="1"/>
      <c r="F120" s="1"/>
      <c r="G120" s="1"/>
      <c r="H120" s="1"/>
      <c r="I120" s="7"/>
      <c r="J120" s="1"/>
      <c r="K120" s="1"/>
      <c r="L120" s="1"/>
      <c r="M120" s="1"/>
      <c r="N120" s="1"/>
      <c r="O120" s="1"/>
      <c r="P120" s="4"/>
    </row>
    <row r="121" spans="1:16" x14ac:dyDescent="0.3">
      <c r="A121" s="1"/>
      <c r="B121" s="1"/>
      <c r="C121" s="1"/>
      <c r="D121" s="1"/>
      <c r="E121" s="1"/>
      <c r="F121" s="1"/>
      <c r="G121" s="1"/>
      <c r="H121" s="1"/>
      <c r="I121" s="7"/>
      <c r="J121" s="1"/>
      <c r="K121" s="1"/>
      <c r="L121" s="1"/>
      <c r="M121" s="1"/>
      <c r="N121" s="1"/>
      <c r="O121" s="1"/>
      <c r="P121" s="4"/>
    </row>
    <row r="122" spans="1:16" x14ac:dyDescent="0.3">
      <c r="A122" s="1"/>
      <c r="B122" s="1"/>
      <c r="C122" s="1"/>
      <c r="D122" s="1"/>
      <c r="E122" s="1"/>
      <c r="F122" s="1"/>
      <c r="G122" s="1"/>
      <c r="H122" s="1"/>
      <c r="I122" s="7"/>
      <c r="J122" s="1"/>
      <c r="K122" s="1"/>
      <c r="L122" s="1"/>
      <c r="M122" s="1"/>
      <c r="N122" s="1"/>
      <c r="O122" s="1"/>
      <c r="P122" s="4"/>
    </row>
    <row r="123" spans="1:16" x14ac:dyDescent="0.3">
      <c r="A123" s="1"/>
      <c r="B123" s="1"/>
      <c r="C123" s="1"/>
      <c r="D123" s="1"/>
      <c r="E123" s="1"/>
      <c r="F123" s="1"/>
      <c r="G123" s="1"/>
      <c r="H123" s="1"/>
      <c r="I123" s="7"/>
      <c r="J123" s="1"/>
      <c r="K123" s="1"/>
      <c r="L123" s="1"/>
      <c r="M123" s="1"/>
      <c r="N123" s="1"/>
      <c r="O123" s="1"/>
      <c r="P123" s="4"/>
    </row>
    <row r="124" spans="1:16" x14ac:dyDescent="0.3">
      <c r="A124" s="1"/>
      <c r="B124" s="1"/>
      <c r="C124" s="1"/>
      <c r="D124" s="1"/>
      <c r="E124" s="1"/>
      <c r="F124" s="1"/>
      <c r="G124" s="1"/>
      <c r="H124" s="1"/>
      <c r="I124" s="7"/>
      <c r="J124" s="1"/>
      <c r="K124" s="1"/>
      <c r="L124" s="1"/>
      <c r="M124" s="1"/>
      <c r="N124" s="1"/>
      <c r="O124" s="1"/>
      <c r="P124" s="4"/>
    </row>
    <row r="125" spans="1:16" x14ac:dyDescent="0.3">
      <c r="A125" s="1"/>
      <c r="B125" s="1"/>
      <c r="C125" s="1"/>
      <c r="D125" s="1"/>
      <c r="E125" s="1"/>
      <c r="F125" s="1"/>
      <c r="G125" s="1"/>
      <c r="H125" s="1"/>
      <c r="I125" s="7"/>
      <c r="J125" s="1"/>
      <c r="K125" s="1"/>
      <c r="L125" s="1"/>
      <c r="M125" s="1"/>
      <c r="N125" s="1"/>
      <c r="O125" s="1"/>
      <c r="P125" s="4"/>
    </row>
    <row r="126" spans="1:16" x14ac:dyDescent="0.3">
      <c r="A126" s="1"/>
      <c r="B126" s="1"/>
      <c r="C126" s="1"/>
      <c r="D126" s="1"/>
      <c r="E126" s="1"/>
      <c r="F126" s="1"/>
      <c r="G126" s="1"/>
      <c r="H126" s="1"/>
      <c r="I126" s="7"/>
      <c r="J126" s="1"/>
      <c r="K126" s="1"/>
      <c r="L126" s="1"/>
      <c r="M126" s="1"/>
      <c r="N126" s="1"/>
      <c r="O126" s="1"/>
      <c r="P126" s="4"/>
    </row>
    <row r="127" spans="1:16" x14ac:dyDescent="0.3">
      <c r="A127" s="1"/>
      <c r="B127" s="1"/>
      <c r="C127" s="1"/>
      <c r="D127" s="1"/>
      <c r="E127" s="1"/>
      <c r="F127" s="1"/>
      <c r="G127" s="1"/>
      <c r="H127" s="1"/>
      <c r="I127" s="7"/>
      <c r="J127" s="1"/>
      <c r="K127" s="1"/>
      <c r="L127" s="1"/>
      <c r="M127" s="1"/>
      <c r="N127" s="1"/>
      <c r="O127" s="1"/>
      <c r="P127" s="4"/>
    </row>
    <row r="128" spans="1:16" x14ac:dyDescent="0.3">
      <c r="A128" s="1"/>
      <c r="B128" s="1"/>
      <c r="C128" s="1"/>
      <c r="D128" s="1"/>
      <c r="E128" s="1"/>
      <c r="F128" s="1"/>
      <c r="G128" s="1"/>
      <c r="H128" s="1"/>
      <c r="I128" s="7"/>
      <c r="J128" s="1"/>
      <c r="K128" s="1"/>
      <c r="L128" s="1"/>
      <c r="M128" s="1"/>
      <c r="N128" s="1"/>
      <c r="O128" s="1"/>
      <c r="P128" s="4"/>
    </row>
    <row r="129" spans="1:16" x14ac:dyDescent="0.3">
      <c r="A129" s="1"/>
      <c r="B129" s="1"/>
      <c r="C129" s="1"/>
      <c r="D129" s="1"/>
      <c r="E129" s="1"/>
      <c r="F129" s="1"/>
      <c r="G129" s="1"/>
      <c r="H129" s="1"/>
      <c r="I129" s="7"/>
      <c r="J129" s="1"/>
      <c r="K129" s="1"/>
      <c r="L129" s="1"/>
      <c r="M129" s="1"/>
      <c r="N129" s="1"/>
      <c r="O129" s="1"/>
      <c r="P129" s="4"/>
    </row>
    <row r="130" spans="1:16" x14ac:dyDescent="0.3">
      <c r="A130" s="1"/>
      <c r="B130" s="1"/>
      <c r="C130" s="1"/>
      <c r="D130" s="1"/>
      <c r="E130" s="1"/>
      <c r="F130" s="1"/>
      <c r="G130" s="1"/>
      <c r="H130" s="1"/>
      <c r="I130" s="7"/>
      <c r="J130" s="1"/>
      <c r="K130" s="1"/>
      <c r="L130" s="1"/>
      <c r="M130" s="1"/>
      <c r="N130" s="1"/>
      <c r="O130" s="1"/>
      <c r="P130" s="4"/>
    </row>
    <row r="131" spans="1:16" x14ac:dyDescent="0.3">
      <c r="A131" s="1"/>
      <c r="B131" s="1"/>
      <c r="C131" s="1"/>
      <c r="D131" s="1"/>
      <c r="E131" s="1"/>
      <c r="F131" s="1"/>
      <c r="G131" s="1"/>
      <c r="H131" s="1"/>
      <c r="I131" s="7"/>
      <c r="J131" s="1"/>
      <c r="K131" s="1"/>
      <c r="L131" s="1"/>
      <c r="M131" s="1"/>
      <c r="N131" s="1"/>
      <c r="O131" s="1"/>
      <c r="P131" s="4"/>
    </row>
    <row r="132" spans="1:16" x14ac:dyDescent="0.3">
      <c r="A132" s="1"/>
      <c r="B132" s="1"/>
      <c r="C132" s="1"/>
      <c r="D132" s="1"/>
      <c r="E132" s="1"/>
      <c r="F132" s="1"/>
      <c r="G132" s="1"/>
      <c r="H132" s="1"/>
      <c r="I132" s="7"/>
      <c r="J132" s="1"/>
      <c r="K132" s="1"/>
      <c r="L132" s="1"/>
      <c r="M132" s="1"/>
      <c r="N132" s="1"/>
      <c r="O132" s="1"/>
      <c r="P132" s="4"/>
    </row>
    <row r="133" spans="1:16" x14ac:dyDescent="0.3">
      <c r="A133" s="1"/>
      <c r="B133" s="1"/>
      <c r="C133" s="1"/>
      <c r="D133" s="1"/>
      <c r="E133" s="1"/>
      <c r="F133" s="1"/>
      <c r="G133" s="1"/>
      <c r="H133" s="1"/>
      <c r="I133" s="7"/>
      <c r="J133" s="1"/>
      <c r="K133" s="1"/>
      <c r="L133" s="1"/>
      <c r="M133" s="1"/>
      <c r="N133" s="1"/>
      <c r="O133" s="1"/>
      <c r="P133" s="4"/>
    </row>
    <row r="134" spans="1:16" x14ac:dyDescent="0.3">
      <c r="A134" s="1"/>
      <c r="B134" s="1"/>
      <c r="C134" s="1"/>
      <c r="D134" s="1"/>
      <c r="E134" s="1"/>
      <c r="F134" s="1"/>
      <c r="G134" s="1"/>
      <c r="H134" s="1"/>
      <c r="I134" s="7"/>
      <c r="J134" s="1"/>
      <c r="K134" s="1"/>
      <c r="L134" s="1"/>
      <c r="M134" s="1"/>
      <c r="N134" s="1"/>
      <c r="O134" s="1"/>
      <c r="P134" s="4"/>
    </row>
    <row r="135" spans="1:16" x14ac:dyDescent="0.3">
      <c r="A135" s="1"/>
      <c r="B135" s="1"/>
      <c r="C135" s="1"/>
      <c r="D135" s="1"/>
      <c r="E135" s="1"/>
      <c r="F135" s="1"/>
      <c r="G135" s="1"/>
      <c r="H135" s="1"/>
      <c r="I135" s="7"/>
      <c r="J135" s="1"/>
      <c r="K135" s="1"/>
      <c r="L135" s="1"/>
      <c r="M135" s="1"/>
      <c r="N135" s="1"/>
      <c r="O135" s="1"/>
      <c r="P135" s="4"/>
    </row>
    <row r="136" spans="1:16" x14ac:dyDescent="0.3">
      <c r="A136" s="1"/>
      <c r="B136" s="1"/>
      <c r="C136" s="1"/>
      <c r="D136" s="1"/>
      <c r="E136" s="1"/>
      <c r="F136" s="1"/>
      <c r="G136" s="1"/>
      <c r="H136" s="1"/>
      <c r="I136" s="7"/>
      <c r="J136" s="1"/>
      <c r="K136" s="1"/>
      <c r="L136" s="1"/>
      <c r="M136" s="1"/>
      <c r="N136" s="1"/>
      <c r="O136" s="1"/>
      <c r="P136" s="4"/>
    </row>
    <row r="137" spans="1:16" x14ac:dyDescent="0.3">
      <c r="A137" s="1"/>
      <c r="B137" s="1"/>
      <c r="C137" s="1"/>
      <c r="D137" s="1"/>
      <c r="E137" s="1"/>
      <c r="F137" s="1"/>
      <c r="G137" s="1"/>
      <c r="H137" s="1"/>
      <c r="I137" s="7"/>
      <c r="J137" s="1"/>
      <c r="K137" s="1"/>
      <c r="L137" s="1"/>
      <c r="M137" s="1"/>
      <c r="N137" s="1"/>
      <c r="O137" s="1"/>
      <c r="P137" s="4"/>
    </row>
    <row r="138" spans="1:16" x14ac:dyDescent="0.3">
      <c r="A138" s="1"/>
      <c r="B138" s="1"/>
      <c r="C138" s="1"/>
      <c r="D138" s="1"/>
      <c r="E138" s="1"/>
      <c r="F138" s="1"/>
      <c r="G138" s="1"/>
      <c r="H138" s="1"/>
      <c r="I138" s="7"/>
      <c r="J138" s="1"/>
      <c r="K138" s="1"/>
      <c r="L138" s="1"/>
      <c r="M138" s="1"/>
      <c r="N138" s="1"/>
      <c r="O138" s="1"/>
      <c r="P138" s="4"/>
    </row>
    <row r="139" spans="1:16" x14ac:dyDescent="0.3">
      <c r="A139" s="1"/>
      <c r="B139" s="1"/>
      <c r="C139" s="1"/>
      <c r="D139" s="1"/>
      <c r="E139" s="1"/>
      <c r="F139" s="1"/>
      <c r="G139" s="1"/>
      <c r="H139" s="1"/>
      <c r="I139" s="7"/>
      <c r="J139" s="1"/>
      <c r="K139" s="1"/>
      <c r="L139" s="1"/>
      <c r="M139" s="1"/>
      <c r="N139" s="1"/>
      <c r="O139" s="1"/>
      <c r="P139" s="4"/>
    </row>
    <row r="140" spans="1:16" x14ac:dyDescent="0.3">
      <c r="A140" s="1"/>
      <c r="B140" s="1"/>
      <c r="C140" s="1"/>
      <c r="D140" s="1"/>
      <c r="E140" s="1"/>
      <c r="F140" s="1"/>
      <c r="G140" s="1"/>
      <c r="H140" s="1"/>
      <c r="I140" s="7"/>
      <c r="J140" s="1"/>
      <c r="K140" s="1"/>
      <c r="L140" s="1"/>
      <c r="M140" s="1"/>
      <c r="N140" s="1"/>
      <c r="O140" s="1"/>
      <c r="P140" s="4"/>
    </row>
    <row r="141" spans="1:16" x14ac:dyDescent="0.3">
      <c r="A141" s="1"/>
      <c r="B141" s="1"/>
      <c r="C141" s="1"/>
      <c r="D141" s="1"/>
      <c r="E141" s="1"/>
      <c r="F141" s="1"/>
      <c r="G141" s="1"/>
      <c r="H141" s="1"/>
      <c r="I141" s="7"/>
      <c r="J141" s="1"/>
      <c r="K141" s="1"/>
      <c r="L141" s="1"/>
      <c r="M141" s="1"/>
      <c r="N141" s="1"/>
      <c r="O141" s="1"/>
      <c r="P141" s="4"/>
    </row>
    <row r="142" spans="1:16" x14ac:dyDescent="0.3">
      <c r="A142" s="1"/>
      <c r="B142" s="1"/>
      <c r="C142" s="1"/>
      <c r="D142" s="1"/>
      <c r="E142" s="1"/>
      <c r="F142" s="1"/>
      <c r="G142" s="1"/>
      <c r="H142" s="1"/>
      <c r="I142" s="7"/>
      <c r="J142" s="1"/>
      <c r="K142" s="1"/>
      <c r="L142" s="1"/>
      <c r="M142" s="1"/>
      <c r="N142" s="1"/>
      <c r="O142" s="1"/>
      <c r="P142" s="4"/>
    </row>
    <row r="143" spans="1:16" x14ac:dyDescent="0.3">
      <c r="A143" s="1"/>
      <c r="B143" s="1"/>
      <c r="C143" s="1"/>
      <c r="D143" s="1"/>
      <c r="E143" s="1"/>
      <c r="F143" s="1"/>
      <c r="G143" s="1"/>
      <c r="H143" s="1"/>
      <c r="I143" s="7"/>
      <c r="J143" s="1"/>
      <c r="K143" s="1"/>
      <c r="L143" s="1"/>
      <c r="M143" s="1"/>
      <c r="N143" s="1"/>
      <c r="O143" s="1"/>
      <c r="P143" s="4"/>
    </row>
    <row r="144" spans="1:16" x14ac:dyDescent="0.3">
      <c r="A144" s="1"/>
      <c r="B144" s="1"/>
      <c r="C144" s="1"/>
      <c r="D144" s="1"/>
      <c r="E144" s="1"/>
      <c r="F144" s="1"/>
      <c r="G144" s="1"/>
      <c r="H144" s="1"/>
      <c r="I144" s="7"/>
      <c r="J144" s="1"/>
      <c r="K144" s="1"/>
      <c r="L144" s="1"/>
      <c r="M144" s="1"/>
      <c r="N144" s="1"/>
      <c r="O144" s="1"/>
      <c r="P144" s="4"/>
    </row>
    <row r="145" spans="1:16" x14ac:dyDescent="0.3">
      <c r="A145" s="1"/>
      <c r="B145" s="1"/>
      <c r="C145" s="1"/>
      <c r="D145" s="1"/>
      <c r="E145" s="1"/>
      <c r="F145" s="1"/>
      <c r="G145" s="1"/>
      <c r="H145" s="1"/>
      <c r="I145" s="7"/>
      <c r="J145" s="1"/>
      <c r="K145" s="1"/>
      <c r="L145" s="1"/>
      <c r="M145" s="1"/>
      <c r="N145" s="1"/>
      <c r="O145" s="1"/>
      <c r="P145" s="4"/>
    </row>
    <row r="146" spans="1:16" x14ac:dyDescent="0.3">
      <c r="A146" s="1"/>
      <c r="B146" s="1"/>
      <c r="C146" s="1"/>
      <c r="D146" s="1"/>
      <c r="E146" s="1"/>
      <c r="F146" s="1"/>
      <c r="G146" s="1"/>
      <c r="H146" s="1"/>
      <c r="I146" s="7"/>
      <c r="J146" s="1"/>
      <c r="K146" s="1"/>
      <c r="L146" s="1"/>
      <c r="M146" s="1"/>
      <c r="N146" s="1"/>
      <c r="O146" s="1"/>
      <c r="P146" s="4"/>
    </row>
    <row r="147" spans="1:16" x14ac:dyDescent="0.3">
      <c r="A147" s="1"/>
      <c r="B147" s="1"/>
      <c r="C147" s="1"/>
      <c r="D147" s="1"/>
      <c r="E147" s="1"/>
      <c r="F147" s="1"/>
      <c r="G147" s="1"/>
      <c r="H147" s="1"/>
      <c r="I147" s="7"/>
      <c r="J147" s="1"/>
      <c r="K147" s="1"/>
      <c r="L147" s="1"/>
      <c r="M147" s="1"/>
      <c r="N147" s="1"/>
      <c r="O147" s="1"/>
      <c r="P147" s="4"/>
    </row>
    <row r="148" spans="1:16" x14ac:dyDescent="0.3">
      <c r="A148" s="1"/>
      <c r="B148" s="1"/>
      <c r="C148" s="1"/>
      <c r="D148" s="1"/>
      <c r="E148" s="1"/>
      <c r="F148" s="1"/>
      <c r="G148" s="1"/>
      <c r="H148" s="1"/>
      <c r="I148" s="7"/>
      <c r="J148" s="1"/>
      <c r="K148" s="1"/>
      <c r="L148" s="1"/>
      <c r="M148" s="1"/>
      <c r="N148" s="1"/>
      <c r="O148" s="1"/>
      <c r="P148" s="4"/>
    </row>
    <row r="149" spans="1:16" x14ac:dyDescent="0.3">
      <c r="A149" s="1"/>
      <c r="B149" s="1"/>
      <c r="C149" s="1"/>
      <c r="D149" s="1"/>
      <c r="E149" s="1"/>
      <c r="F149" s="1"/>
      <c r="G149" s="1"/>
      <c r="H149" s="1"/>
      <c r="I149" s="7"/>
      <c r="J149" s="1"/>
      <c r="K149" s="1"/>
      <c r="L149" s="1"/>
      <c r="M149" s="1"/>
      <c r="N149" s="1"/>
      <c r="O149" s="1"/>
      <c r="P149" s="4"/>
    </row>
    <row r="150" spans="1:16" x14ac:dyDescent="0.3">
      <c r="A150" s="1"/>
      <c r="B150" s="1"/>
      <c r="C150" s="1"/>
      <c r="D150" s="1"/>
      <c r="E150" s="1"/>
      <c r="F150" s="1"/>
      <c r="G150" s="1"/>
      <c r="H150" s="1"/>
      <c r="I150" s="7"/>
      <c r="J150" s="1"/>
      <c r="K150" s="1"/>
      <c r="L150" s="1"/>
      <c r="M150" s="1"/>
      <c r="N150" s="1"/>
      <c r="O150" s="1"/>
      <c r="P150" s="4"/>
    </row>
    <row r="151" spans="1:16" x14ac:dyDescent="0.3">
      <c r="P151" s="4"/>
    </row>
    <row r="152" spans="1:16" x14ac:dyDescent="0.3">
      <c r="P152" s="4"/>
    </row>
    <row r="153" spans="1:16" x14ac:dyDescent="0.3">
      <c r="P153" s="4"/>
    </row>
    <row r="154" spans="1:16" x14ac:dyDescent="0.3">
      <c r="P154" s="4"/>
    </row>
    <row r="155" spans="1:16" x14ac:dyDescent="0.3">
      <c r="P155" s="4"/>
    </row>
    <row r="156" spans="1:16" x14ac:dyDescent="0.3">
      <c r="P156" s="4"/>
    </row>
    <row r="157" spans="1:16" x14ac:dyDescent="0.3">
      <c r="P157" s="4"/>
    </row>
    <row r="158" spans="1:16" x14ac:dyDescent="0.3">
      <c r="P158" s="4"/>
    </row>
    <row r="159" spans="1:16" x14ac:dyDescent="0.3">
      <c r="P159" s="4"/>
    </row>
    <row r="160" spans="1:16" x14ac:dyDescent="0.3">
      <c r="P160" s="4"/>
    </row>
    <row r="161" spans="16:16" x14ac:dyDescent="0.3">
      <c r="P161" s="4"/>
    </row>
    <row r="162" spans="16:16" x14ac:dyDescent="0.3">
      <c r="P162" s="4"/>
    </row>
    <row r="163" spans="16:16" x14ac:dyDescent="0.3">
      <c r="P163" s="4"/>
    </row>
    <row r="164" spans="16:16" x14ac:dyDescent="0.3">
      <c r="P164" s="4"/>
    </row>
    <row r="165" spans="16:16" x14ac:dyDescent="0.3">
      <c r="P165" s="4"/>
    </row>
    <row r="166" spans="16:16" x14ac:dyDescent="0.3">
      <c r="P166" s="4"/>
    </row>
    <row r="167" spans="16:16" x14ac:dyDescent="0.3">
      <c r="P167" s="4"/>
    </row>
    <row r="168" spans="16:16" x14ac:dyDescent="0.3">
      <c r="P168" s="4"/>
    </row>
    <row r="169" spans="16:16" x14ac:dyDescent="0.3">
      <c r="P169" s="4"/>
    </row>
    <row r="170" spans="16:16" x14ac:dyDescent="0.3">
      <c r="P170" s="4"/>
    </row>
    <row r="171" spans="16:16" x14ac:dyDescent="0.3">
      <c r="P171" s="4"/>
    </row>
    <row r="172" spans="16:16" x14ac:dyDescent="0.3">
      <c r="P172" s="4"/>
    </row>
    <row r="173" spans="16:16" x14ac:dyDescent="0.3">
      <c r="P173" s="4"/>
    </row>
    <row r="174" spans="16:16" x14ac:dyDescent="0.3">
      <c r="P174" s="4"/>
    </row>
    <row r="175" spans="16:16" x14ac:dyDescent="0.3">
      <c r="P175" s="4"/>
    </row>
    <row r="176" spans="16:16" x14ac:dyDescent="0.3">
      <c r="P176" s="4"/>
    </row>
    <row r="177" spans="16:16" x14ac:dyDescent="0.3">
      <c r="P177" s="4"/>
    </row>
    <row r="178" spans="16:16" x14ac:dyDescent="0.3">
      <c r="P178" s="4"/>
    </row>
    <row r="179" spans="16:16" x14ac:dyDescent="0.3">
      <c r="P179" s="4"/>
    </row>
    <row r="180" spans="16:16" x14ac:dyDescent="0.3">
      <c r="P180" s="4"/>
    </row>
    <row r="181" spans="16:16" x14ac:dyDescent="0.3">
      <c r="P181" s="4"/>
    </row>
    <row r="182" spans="16:16" x14ac:dyDescent="0.3">
      <c r="P182" s="4"/>
    </row>
    <row r="183" spans="16:16" x14ac:dyDescent="0.3">
      <c r="P183" s="4"/>
    </row>
    <row r="184" spans="16:16" x14ac:dyDescent="0.3">
      <c r="P184" s="4"/>
    </row>
    <row r="185" spans="16:16" x14ac:dyDescent="0.3">
      <c r="P185" s="4"/>
    </row>
    <row r="186" spans="16:16" x14ac:dyDescent="0.3">
      <c r="P186" s="4"/>
    </row>
    <row r="187" spans="16:16" x14ac:dyDescent="0.3">
      <c r="P187" s="4"/>
    </row>
    <row r="188" spans="16:16" x14ac:dyDescent="0.3">
      <c r="P188" s="4"/>
    </row>
    <row r="189" spans="16:16" x14ac:dyDescent="0.3">
      <c r="P189" s="4"/>
    </row>
    <row r="190" spans="16:16" x14ac:dyDescent="0.3">
      <c r="P190" s="4"/>
    </row>
    <row r="191" spans="16:16" x14ac:dyDescent="0.3">
      <c r="P191" s="4"/>
    </row>
    <row r="192" spans="16:16" x14ac:dyDescent="0.3">
      <c r="P192" s="4"/>
    </row>
    <row r="193" spans="16:16" x14ac:dyDescent="0.3">
      <c r="P193" s="4"/>
    </row>
    <row r="194" spans="16:16" x14ac:dyDescent="0.3">
      <c r="P194" s="4"/>
    </row>
    <row r="195" spans="16:16" x14ac:dyDescent="0.3">
      <c r="P195" s="4"/>
    </row>
    <row r="196" spans="16:16" x14ac:dyDescent="0.3">
      <c r="P196" s="4"/>
    </row>
    <row r="197" spans="16:16" x14ac:dyDescent="0.3">
      <c r="P197" s="4"/>
    </row>
    <row r="198" spans="16:16" x14ac:dyDescent="0.3">
      <c r="P198" s="4"/>
    </row>
    <row r="199" spans="16:16" x14ac:dyDescent="0.3">
      <c r="P199" s="4"/>
    </row>
    <row r="200" spans="16:16" x14ac:dyDescent="0.3">
      <c r="P200" s="4"/>
    </row>
    <row r="201" spans="16:16" x14ac:dyDescent="0.3">
      <c r="P201" s="4"/>
    </row>
    <row r="202" spans="16:16" x14ac:dyDescent="0.3">
      <c r="P202" s="4"/>
    </row>
    <row r="203" spans="16:16" x14ac:dyDescent="0.3">
      <c r="P203" s="4"/>
    </row>
    <row r="204" spans="16:16" x14ac:dyDescent="0.3">
      <c r="P204" s="4"/>
    </row>
    <row r="205" spans="16:16" x14ac:dyDescent="0.3">
      <c r="P205" s="4"/>
    </row>
    <row r="206" spans="16:16" x14ac:dyDescent="0.3">
      <c r="P206" s="4"/>
    </row>
    <row r="207" spans="16:16" x14ac:dyDescent="0.3">
      <c r="P207" s="4"/>
    </row>
    <row r="208" spans="16:16" x14ac:dyDescent="0.3">
      <c r="P208" s="4"/>
    </row>
    <row r="209" spans="16:16" x14ac:dyDescent="0.3">
      <c r="P209" s="4"/>
    </row>
    <row r="210" spans="16:16" x14ac:dyDescent="0.3">
      <c r="P210" s="4"/>
    </row>
    <row r="211" spans="16:16" x14ac:dyDescent="0.3">
      <c r="P211" s="4"/>
    </row>
    <row r="212" spans="16:16" x14ac:dyDescent="0.3">
      <c r="P212" s="4"/>
    </row>
    <row r="213" spans="16:16" x14ac:dyDescent="0.3">
      <c r="P213" s="4"/>
    </row>
    <row r="214" spans="16:16" x14ac:dyDescent="0.3">
      <c r="P214" s="4"/>
    </row>
    <row r="215" spans="16:16" x14ac:dyDescent="0.3">
      <c r="P215" s="4"/>
    </row>
    <row r="216" spans="16:16" x14ac:dyDescent="0.3">
      <c r="P216" s="4"/>
    </row>
    <row r="217" spans="16:16" x14ac:dyDescent="0.3">
      <c r="P217" s="4"/>
    </row>
    <row r="218" spans="16:16" x14ac:dyDescent="0.3">
      <c r="P218" s="4"/>
    </row>
    <row r="219" spans="16:16" x14ac:dyDescent="0.3">
      <c r="P219" s="4"/>
    </row>
    <row r="220" spans="16:16" x14ac:dyDescent="0.3">
      <c r="P220" s="4"/>
    </row>
    <row r="221" spans="16:16" x14ac:dyDescent="0.3">
      <c r="P221" s="4"/>
    </row>
    <row r="222" spans="16:16" x14ac:dyDescent="0.3">
      <c r="P222" s="4"/>
    </row>
    <row r="223" spans="16:16" x14ac:dyDescent="0.3">
      <c r="P223" s="4"/>
    </row>
    <row r="224" spans="16:16" x14ac:dyDescent="0.3">
      <c r="P224" s="4"/>
    </row>
    <row r="225" spans="16:16" x14ac:dyDescent="0.3">
      <c r="P225" s="4"/>
    </row>
    <row r="226" spans="16:16" x14ac:dyDescent="0.3">
      <c r="P226" s="4"/>
    </row>
    <row r="227" spans="16:16" x14ac:dyDescent="0.3">
      <c r="P227" s="4"/>
    </row>
    <row r="228" spans="16:16" x14ac:dyDescent="0.3">
      <c r="P228" s="4"/>
    </row>
    <row r="229" spans="16:16" x14ac:dyDescent="0.3">
      <c r="P229" s="4"/>
    </row>
    <row r="230" spans="16:16" x14ac:dyDescent="0.3">
      <c r="P230" s="4"/>
    </row>
    <row r="231" spans="16:16" x14ac:dyDescent="0.3">
      <c r="P231" s="4"/>
    </row>
    <row r="232" spans="16:16" x14ac:dyDescent="0.3">
      <c r="P232" s="4"/>
    </row>
    <row r="233" spans="16:16" x14ac:dyDescent="0.3">
      <c r="P233" s="4"/>
    </row>
    <row r="234" spans="16:16" x14ac:dyDescent="0.3">
      <c r="P234" s="4"/>
    </row>
    <row r="235" spans="16:16" x14ac:dyDescent="0.3">
      <c r="P235" s="4"/>
    </row>
    <row r="236" spans="16:16" x14ac:dyDescent="0.3">
      <c r="P236" s="4"/>
    </row>
    <row r="237" spans="16:16" x14ac:dyDescent="0.3">
      <c r="P237" s="4"/>
    </row>
    <row r="238" spans="16:16" x14ac:dyDescent="0.3">
      <c r="P238" s="4"/>
    </row>
    <row r="239" spans="16:16" x14ac:dyDescent="0.3">
      <c r="P239" s="4"/>
    </row>
    <row r="240" spans="16:16" x14ac:dyDescent="0.3">
      <c r="P240" s="4"/>
    </row>
    <row r="241" spans="16:16" x14ac:dyDescent="0.3">
      <c r="P241" s="4"/>
    </row>
    <row r="242" spans="16:16" x14ac:dyDescent="0.3">
      <c r="P242" s="4"/>
    </row>
    <row r="243" spans="16:16" x14ac:dyDescent="0.3">
      <c r="P243" s="4"/>
    </row>
    <row r="244" spans="16:16" x14ac:dyDescent="0.3">
      <c r="P244" s="4"/>
    </row>
    <row r="245" spans="16:16" x14ac:dyDescent="0.3">
      <c r="P245" s="4"/>
    </row>
    <row r="246" spans="16:16" x14ac:dyDescent="0.3">
      <c r="P246" s="4"/>
    </row>
    <row r="247" spans="16:16" x14ac:dyDescent="0.3">
      <c r="P247" s="4"/>
    </row>
    <row r="248" spans="16:16" x14ac:dyDescent="0.3">
      <c r="P248" s="4"/>
    </row>
    <row r="249" spans="16:16" x14ac:dyDescent="0.3">
      <c r="P249" s="4"/>
    </row>
    <row r="250" spans="16:16" x14ac:dyDescent="0.3">
      <c r="P250" s="4"/>
    </row>
    <row r="251" spans="16:16" x14ac:dyDescent="0.3">
      <c r="P251" s="4"/>
    </row>
    <row r="252" spans="16:16" x14ac:dyDescent="0.3">
      <c r="P252" s="4"/>
    </row>
    <row r="253" spans="16:16" x14ac:dyDescent="0.3">
      <c r="P253" s="4"/>
    </row>
    <row r="254" spans="16:16" x14ac:dyDescent="0.3">
      <c r="P254" s="4"/>
    </row>
    <row r="255" spans="16:16" x14ac:dyDescent="0.3">
      <c r="P255" s="4"/>
    </row>
    <row r="256" spans="16:16" x14ac:dyDescent="0.3">
      <c r="P256" s="4"/>
    </row>
    <row r="257" spans="16:16" x14ac:dyDescent="0.3">
      <c r="P257" s="4"/>
    </row>
    <row r="258" spans="16:16" x14ac:dyDescent="0.3">
      <c r="P258" s="4"/>
    </row>
    <row r="259" spans="16:16" x14ac:dyDescent="0.3">
      <c r="P259" s="4"/>
    </row>
    <row r="260" spans="16:16" x14ac:dyDescent="0.3">
      <c r="P260" s="4"/>
    </row>
    <row r="261" spans="16:16" x14ac:dyDescent="0.3">
      <c r="P261" s="4"/>
    </row>
    <row r="262" spans="16:16" x14ac:dyDescent="0.3">
      <c r="P262" s="4"/>
    </row>
    <row r="263" spans="16:16" x14ac:dyDescent="0.3">
      <c r="P263" s="4"/>
    </row>
    <row r="264" spans="16:16" x14ac:dyDescent="0.3">
      <c r="P264" s="4"/>
    </row>
    <row r="265" spans="16:16" x14ac:dyDescent="0.3">
      <c r="P265" s="4"/>
    </row>
    <row r="266" spans="16:16" x14ac:dyDescent="0.3">
      <c r="P266" s="4"/>
    </row>
    <row r="267" spans="16:16" x14ac:dyDescent="0.3">
      <c r="P267" s="4"/>
    </row>
    <row r="268" spans="16:16" x14ac:dyDescent="0.3">
      <c r="P268" s="4"/>
    </row>
    <row r="269" spans="16:16" x14ac:dyDescent="0.3">
      <c r="P269" s="4"/>
    </row>
    <row r="270" spans="16:16" x14ac:dyDescent="0.3">
      <c r="P270" s="4"/>
    </row>
    <row r="271" spans="16:16" x14ac:dyDescent="0.3">
      <c r="P271" s="4"/>
    </row>
    <row r="272" spans="16:16" x14ac:dyDescent="0.3">
      <c r="P272" s="4"/>
    </row>
    <row r="273" spans="16:16" x14ac:dyDescent="0.3">
      <c r="P273" s="4"/>
    </row>
    <row r="274" spans="16:16" x14ac:dyDescent="0.3">
      <c r="P274" s="4"/>
    </row>
    <row r="275" spans="16:16" x14ac:dyDescent="0.3">
      <c r="P275" s="4"/>
    </row>
    <row r="276" spans="16:16" x14ac:dyDescent="0.3">
      <c r="P276" s="4"/>
    </row>
    <row r="277" spans="16:16" x14ac:dyDescent="0.3">
      <c r="P277" s="4"/>
    </row>
    <row r="278" spans="16:16" x14ac:dyDescent="0.3">
      <c r="P278" s="4"/>
    </row>
    <row r="279" spans="16:16" x14ac:dyDescent="0.3">
      <c r="P279" s="4"/>
    </row>
    <row r="280" spans="16:16" x14ac:dyDescent="0.3">
      <c r="P280" s="4"/>
    </row>
    <row r="281" spans="16:16" x14ac:dyDescent="0.3">
      <c r="P281" s="4"/>
    </row>
    <row r="282" spans="16:16" x14ac:dyDescent="0.3">
      <c r="P282" s="4"/>
    </row>
    <row r="283" spans="16:16" x14ac:dyDescent="0.3">
      <c r="P283" s="4"/>
    </row>
    <row r="284" spans="16:16" x14ac:dyDescent="0.3">
      <c r="P284" s="4"/>
    </row>
    <row r="285" spans="16:16" x14ac:dyDescent="0.3">
      <c r="P285" s="4"/>
    </row>
    <row r="286" spans="16:16" x14ac:dyDescent="0.3">
      <c r="P286" s="4"/>
    </row>
    <row r="287" spans="16:16" x14ac:dyDescent="0.3">
      <c r="P287" s="4"/>
    </row>
    <row r="288" spans="16:16" x14ac:dyDescent="0.3">
      <c r="P288" s="4"/>
    </row>
    <row r="289" spans="16:16" x14ac:dyDescent="0.3">
      <c r="P289" s="4"/>
    </row>
    <row r="290" spans="16:16" x14ac:dyDescent="0.3">
      <c r="P290" s="4"/>
    </row>
    <row r="291" spans="16:16" x14ac:dyDescent="0.3">
      <c r="P291" s="4"/>
    </row>
    <row r="292" spans="16:16" x14ac:dyDescent="0.3">
      <c r="P292" s="4"/>
    </row>
    <row r="293" spans="16:16" x14ac:dyDescent="0.3">
      <c r="P293" s="4"/>
    </row>
    <row r="294" spans="16:16" x14ac:dyDescent="0.3">
      <c r="P294" s="4"/>
    </row>
    <row r="295" spans="16:16" x14ac:dyDescent="0.3">
      <c r="P295" s="4"/>
    </row>
    <row r="296" spans="16:16" x14ac:dyDescent="0.3">
      <c r="P296" s="4"/>
    </row>
    <row r="297" spans="16:16" x14ac:dyDescent="0.3">
      <c r="P297" s="4"/>
    </row>
    <row r="298" spans="16:16" x14ac:dyDescent="0.3">
      <c r="P298" s="4"/>
    </row>
    <row r="299" spans="16:16" x14ac:dyDescent="0.3">
      <c r="P299" s="4"/>
    </row>
    <row r="300" spans="16:16" x14ac:dyDescent="0.3">
      <c r="P300" s="4"/>
    </row>
    <row r="301" spans="16:16" x14ac:dyDescent="0.3">
      <c r="P301" s="4"/>
    </row>
    <row r="302" spans="16:16" x14ac:dyDescent="0.3">
      <c r="P302" s="4"/>
    </row>
    <row r="303" spans="16:16" x14ac:dyDescent="0.3">
      <c r="P303" s="4"/>
    </row>
    <row r="304" spans="16:16" x14ac:dyDescent="0.3">
      <c r="P304" s="4"/>
    </row>
    <row r="305" spans="16:16" x14ac:dyDescent="0.3">
      <c r="P305" s="4"/>
    </row>
    <row r="306" spans="16:16" x14ac:dyDescent="0.3">
      <c r="P306" s="4"/>
    </row>
    <row r="307" spans="16:16" x14ac:dyDescent="0.3">
      <c r="P307" s="4"/>
    </row>
    <row r="308" spans="16:16" x14ac:dyDescent="0.3">
      <c r="P308" s="4"/>
    </row>
    <row r="309" spans="16:16" x14ac:dyDescent="0.3">
      <c r="P309" s="4"/>
    </row>
    <row r="310" spans="16:16" x14ac:dyDescent="0.3">
      <c r="P310" s="4"/>
    </row>
    <row r="311" spans="16:16" x14ac:dyDescent="0.3">
      <c r="P311" s="4"/>
    </row>
    <row r="312" spans="16:16" x14ac:dyDescent="0.3">
      <c r="P312" s="4"/>
    </row>
    <row r="313" spans="16:16" x14ac:dyDescent="0.3">
      <c r="P313" s="4"/>
    </row>
    <row r="314" spans="16:16" x14ac:dyDescent="0.3">
      <c r="P314" s="4"/>
    </row>
    <row r="315" spans="16:16" x14ac:dyDescent="0.3">
      <c r="P315" s="4"/>
    </row>
    <row r="316" spans="16:16" x14ac:dyDescent="0.3">
      <c r="P316" s="4"/>
    </row>
    <row r="317" spans="16:16" x14ac:dyDescent="0.3">
      <c r="P317" s="4"/>
    </row>
    <row r="318" spans="16:16" x14ac:dyDescent="0.3">
      <c r="P318" s="4"/>
    </row>
    <row r="319" spans="16:16" x14ac:dyDescent="0.3">
      <c r="P319" s="4"/>
    </row>
    <row r="320" spans="16:16" x14ac:dyDescent="0.3">
      <c r="P320" s="4"/>
    </row>
    <row r="321" spans="16:16" x14ac:dyDescent="0.3">
      <c r="P321" s="4"/>
    </row>
    <row r="322" spans="16:16" x14ac:dyDescent="0.3">
      <c r="P322" s="4"/>
    </row>
    <row r="323" spans="16:16" x14ac:dyDescent="0.3">
      <c r="P323" s="4"/>
    </row>
    <row r="324" spans="16:16" x14ac:dyDescent="0.3">
      <c r="P324" s="4"/>
    </row>
    <row r="325" spans="16:16" x14ac:dyDescent="0.3">
      <c r="P325" s="4"/>
    </row>
    <row r="326" spans="16:16" x14ac:dyDescent="0.3">
      <c r="P326" s="4"/>
    </row>
    <row r="327" spans="16:16" x14ac:dyDescent="0.3">
      <c r="P327" s="4"/>
    </row>
    <row r="328" spans="16:16" x14ac:dyDescent="0.3">
      <c r="P328" s="4"/>
    </row>
    <row r="329" spans="16:16" x14ac:dyDescent="0.3">
      <c r="P329" s="4"/>
    </row>
    <row r="330" spans="16:16" x14ac:dyDescent="0.3">
      <c r="P330" s="4"/>
    </row>
    <row r="331" spans="16:16" x14ac:dyDescent="0.3">
      <c r="P331" s="4"/>
    </row>
    <row r="332" spans="16:16" x14ac:dyDescent="0.3">
      <c r="P332" s="4"/>
    </row>
    <row r="333" spans="16:16" x14ac:dyDescent="0.3">
      <c r="P333" s="4"/>
    </row>
    <row r="334" spans="16:16" x14ac:dyDescent="0.3">
      <c r="P334" s="4"/>
    </row>
    <row r="335" spans="16:16" x14ac:dyDescent="0.3">
      <c r="P335" s="4"/>
    </row>
    <row r="336" spans="16:16" x14ac:dyDescent="0.3">
      <c r="P336" s="4"/>
    </row>
    <row r="337" spans="16:16" x14ac:dyDescent="0.3">
      <c r="P337" s="4"/>
    </row>
    <row r="338" spans="16:16" x14ac:dyDescent="0.3">
      <c r="P338" s="4"/>
    </row>
    <row r="339" spans="16:16" x14ac:dyDescent="0.3">
      <c r="P339" s="4"/>
    </row>
    <row r="340" spans="16:16" x14ac:dyDescent="0.3">
      <c r="P340" s="4"/>
    </row>
    <row r="341" spans="16:16" x14ac:dyDescent="0.3">
      <c r="P341" s="4"/>
    </row>
    <row r="342" spans="16:16" x14ac:dyDescent="0.3">
      <c r="P342" s="4"/>
    </row>
    <row r="343" spans="16:16" x14ac:dyDescent="0.3">
      <c r="P343" s="4"/>
    </row>
    <row r="344" spans="16:16" x14ac:dyDescent="0.3">
      <c r="P344" s="4"/>
    </row>
    <row r="345" spans="16:16" x14ac:dyDescent="0.3">
      <c r="P345" s="4"/>
    </row>
    <row r="346" spans="16:16" x14ac:dyDescent="0.3">
      <c r="P346" s="4"/>
    </row>
    <row r="347" spans="16:16" x14ac:dyDescent="0.3">
      <c r="P347" s="4"/>
    </row>
    <row r="348" spans="16:16" x14ac:dyDescent="0.3">
      <c r="P348" s="4"/>
    </row>
    <row r="349" spans="16:16" x14ac:dyDescent="0.3">
      <c r="P349" s="4"/>
    </row>
    <row r="350" spans="16:16" x14ac:dyDescent="0.3">
      <c r="P350" s="4"/>
    </row>
    <row r="351" spans="16:16" x14ac:dyDescent="0.3">
      <c r="P351" s="4"/>
    </row>
    <row r="352" spans="16:16" x14ac:dyDescent="0.3">
      <c r="P352" s="4"/>
    </row>
    <row r="353" spans="16:16" x14ac:dyDescent="0.3">
      <c r="P353" s="4"/>
    </row>
    <row r="354" spans="16:16" x14ac:dyDescent="0.3">
      <c r="P354" s="4"/>
    </row>
    <row r="355" spans="16:16" x14ac:dyDescent="0.3">
      <c r="P355" s="4"/>
    </row>
    <row r="356" spans="16:16" x14ac:dyDescent="0.3">
      <c r="P356" s="4"/>
    </row>
    <row r="357" spans="16:16" x14ac:dyDescent="0.3">
      <c r="P357" s="4"/>
    </row>
    <row r="358" spans="16:16" x14ac:dyDescent="0.3">
      <c r="P358" s="4"/>
    </row>
    <row r="359" spans="16:16" x14ac:dyDescent="0.3">
      <c r="P359" s="4"/>
    </row>
    <row r="360" spans="16:16" x14ac:dyDescent="0.3">
      <c r="P360" s="4"/>
    </row>
    <row r="361" spans="16:16" x14ac:dyDescent="0.3">
      <c r="P361" s="4"/>
    </row>
    <row r="362" spans="16:16" x14ac:dyDescent="0.3">
      <c r="P362" s="4"/>
    </row>
    <row r="363" spans="16:16" x14ac:dyDescent="0.3">
      <c r="P363" s="4"/>
    </row>
    <row r="364" spans="16:16" x14ac:dyDescent="0.3">
      <c r="P364" s="4"/>
    </row>
    <row r="365" spans="16:16" x14ac:dyDescent="0.3">
      <c r="P365" s="4"/>
    </row>
    <row r="366" spans="16:16" x14ac:dyDescent="0.3">
      <c r="P366" s="4"/>
    </row>
    <row r="367" spans="16:16" x14ac:dyDescent="0.3">
      <c r="P367" s="4"/>
    </row>
    <row r="368" spans="16:16" x14ac:dyDescent="0.3">
      <c r="P368" s="4"/>
    </row>
    <row r="369" spans="16:16" x14ac:dyDescent="0.3">
      <c r="P369" s="4"/>
    </row>
    <row r="370" spans="16:16" x14ac:dyDescent="0.3">
      <c r="P370" s="4"/>
    </row>
    <row r="371" spans="16:16" x14ac:dyDescent="0.3">
      <c r="P371" s="4"/>
    </row>
    <row r="372" spans="16:16" x14ac:dyDescent="0.3">
      <c r="P372" s="4"/>
    </row>
    <row r="373" spans="16:16" x14ac:dyDescent="0.3">
      <c r="P373" s="4"/>
    </row>
    <row r="374" spans="16:16" x14ac:dyDescent="0.3">
      <c r="P374" s="4"/>
    </row>
    <row r="375" spans="16:16" x14ac:dyDescent="0.3">
      <c r="P375" s="4"/>
    </row>
    <row r="376" spans="16:16" x14ac:dyDescent="0.3">
      <c r="P376" s="4"/>
    </row>
    <row r="377" spans="16:16" x14ac:dyDescent="0.3">
      <c r="P377" s="4"/>
    </row>
    <row r="378" spans="16:16" x14ac:dyDescent="0.3">
      <c r="P378" s="4"/>
    </row>
    <row r="379" spans="16:16" x14ac:dyDescent="0.3">
      <c r="P379" s="4"/>
    </row>
    <row r="380" spans="16:16" x14ac:dyDescent="0.3">
      <c r="P380" s="4"/>
    </row>
    <row r="381" spans="16:16" x14ac:dyDescent="0.3">
      <c r="P381" s="4"/>
    </row>
    <row r="382" spans="16:16" x14ac:dyDescent="0.3">
      <c r="P382" s="4"/>
    </row>
    <row r="383" spans="16:16" x14ac:dyDescent="0.3">
      <c r="P383" s="4"/>
    </row>
    <row r="384" spans="16:16" x14ac:dyDescent="0.3">
      <c r="P384" s="4"/>
    </row>
    <row r="385" spans="16:16" x14ac:dyDescent="0.3">
      <c r="P385" s="4"/>
    </row>
    <row r="386" spans="16:16" x14ac:dyDescent="0.3">
      <c r="P386" s="4"/>
    </row>
    <row r="387" spans="16:16" x14ac:dyDescent="0.3">
      <c r="P387" s="4"/>
    </row>
    <row r="388" spans="16:16" x14ac:dyDescent="0.3">
      <c r="P388" s="4"/>
    </row>
    <row r="389" spans="16:16" x14ac:dyDescent="0.3">
      <c r="P389" s="4"/>
    </row>
    <row r="390" spans="16:16" x14ac:dyDescent="0.3">
      <c r="P390" s="4"/>
    </row>
    <row r="391" spans="16:16" x14ac:dyDescent="0.3">
      <c r="P391" s="4"/>
    </row>
    <row r="392" spans="16:16" x14ac:dyDescent="0.3">
      <c r="P392" s="4"/>
    </row>
    <row r="393" spans="16:16" x14ac:dyDescent="0.3">
      <c r="P393" s="4"/>
    </row>
    <row r="394" spans="16:16" x14ac:dyDescent="0.3">
      <c r="P394" s="4"/>
    </row>
    <row r="395" spans="16:16" x14ac:dyDescent="0.3">
      <c r="P395" s="4"/>
    </row>
    <row r="396" spans="16:16" x14ac:dyDescent="0.3">
      <c r="P396" s="4"/>
    </row>
    <row r="397" spans="16:16" x14ac:dyDescent="0.3">
      <c r="P397" s="4"/>
    </row>
    <row r="398" spans="16:16" x14ac:dyDescent="0.3">
      <c r="P398" s="4"/>
    </row>
    <row r="399" spans="16:16" x14ac:dyDescent="0.3">
      <c r="P399" s="4"/>
    </row>
    <row r="400" spans="16:16" x14ac:dyDescent="0.3">
      <c r="P400" s="4"/>
    </row>
    <row r="401" spans="16:16" x14ac:dyDescent="0.3">
      <c r="P401" s="4"/>
    </row>
    <row r="402" spans="16:16" x14ac:dyDescent="0.3">
      <c r="P402" s="4"/>
    </row>
    <row r="403" spans="16:16" x14ac:dyDescent="0.3">
      <c r="P403" s="4"/>
    </row>
    <row r="404" spans="16:16" x14ac:dyDescent="0.3">
      <c r="P404" s="4"/>
    </row>
    <row r="405" spans="16:16" x14ac:dyDescent="0.3">
      <c r="P405" s="4"/>
    </row>
    <row r="406" spans="16:16" x14ac:dyDescent="0.3">
      <c r="P406" s="4"/>
    </row>
    <row r="407" spans="16:16" x14ac:dyDescent="0.3">
      <c r="P407" s="4"/>
    </row>
    <row r="408" spans="16:16" x14ac:dyDescent="0.3">
      <c r="P408" s="4"/>
    </row>
    <row r="409" spans="16:16" x14ac:dyDescent="0.3">
      <c r="P409" s="4"/>
    </row>
    <row r="410" spans="16:16" x14ac:dyDescent="0.3">
      <c r="P410" s="4"/>
    </row>
    <row r="411" spans="16:16" x14ac:dyDescent="0.3">
      <c r="P411" s="4"/>
    </row>
    <row r="412" spans="16:16" x14ac:dyDescent="0.3">
      <c r="P412" s="4"/>
    </row>
    <row r="413" spans="16:16" x14ac:dyDescent="0.3">
      <c r="P413" s="4"/>
    </row>
    <row r="414" spans="16:16" x14ac:dyDescent="0.3">
      <c r="P414" s="4"/>
    </row>
    <row r="415" spans="16:16" x14ac:dyDescent="0.3">
      <c r="P415" s="4"/>
    </row>
    <row r="416" spans="16:16" x14ac:dyDescent="0.3">
      <c r="P416" s="4"/>
    </row>
    <row r="417" spans="16:16" x14ac:dyDescent="0.3">
      <c r="P417" s="4"/>
    </row>
    <row r="418" spans="16:16" x14ac:dyDescent="0.3">
      <c r="P418" s="4"/>
    </row>
    <row r="419" spans="16:16" x14ac:dyDescent="0.3">
      <c r="P419" s="4"/>
    </row>
    <row r="420" spans="16:16" x14ac:dyDescent="0.3">
      <c r="P420" s="4"/>
    </row>
    <row r="421" spans="16:16" x14ac:dyDescent="0.3">
      <c r="P421" s="4"/>
    </row>
    <row r="422" spans="16:16" x14ac:dyDescent="0.3">
      <c r="P422" s="4"/>
    </row>
    <row r="423" spans="16:16" x14ac:dyDescent="0.3">
      <c r="P423" s="4"/>
    </row>
    <row r="424" spans="16:16" x14ac:dyDescent="0.3">
      <c r="P424" s="4"/>
    </row>
    <row r="425" spans="16:16" x14ac:dyDescent="0.3">
      <c r="P425" s="4"/>
    </row>
    <row r="426" spans="16:16" x14ac:dyDescent="0.3">
      <c r="P426" s="4"/>
    </row>
    <row r="427" spans="16:16" x14ac:dyDescent="0.3">
      <c r="P427" s="4"/>
    </row>
    <row r="428" spans="16:16" x14ac:dyDescent="0.3">
      <c r="P428" s="4"/>
    </row>
    <row r="429" spans="16:16" x14ac:dyDescent="0.3">
      <c r="P429" s="4"/>
    </row>
    <row r="430" spans="16:16" x14ac:dyDescent="0.3">
      <c r="P430" s="4"/>
    </row>
    <row r="431" spans="16:16" x14ac:dyDescent="0.3">
      <c r="P431" s="4"/>
    </row>
    <row r="432" spans="16:16" x14ac:dyDescent="0.3">
      <c r="P432" s="4"/>
    </row>
    <row r="433" spans="16:16" x14ac:dyDescent="0.3">
      <c r="P433" s="4"/>
    </row>
    <row r="434" spans="16:16" x14ac:dyDescent="0.3">
      <c r="P434" s="4"/>
    </row>
    <row r="435" spans="16:16" x14ac:dyDescent="0.3">
      <c r="P435" s="4"/>
    </row>
    <row r="436" spans="16:16" x14ac:dyDescent="0.3">
      <c r="P436" s="4"/>
    </row>
    <row r="437" spans="16:16" x14ac:dyDescent="0.3">
      <c r="P437" s="4"/>
    </row>
    <row r="438" spans="16:16" x14ac:dyDescent="0.3">
      <c r="P438" s="4"/>
    </row>
    <row r="439" spans="16:16" x14ac:dyDescent="0.3">
      <c r="P439" s="4"/>
    </row>
    <row r="440" spans="16:16" x14ac:dyDescent="0.3">
      <c r="P440" s="4"/>
    </row>
    <row r="441" spans="16:16" x14ac:dyDescent="0.3">
      <c r="P441" s="4"/>
    </row>
    <row r="442" spans="16:16" x14ac:dyDescent="0.3">
      <c r="P442" s="4"/>
    </row>
    <row r="443" spans="16:16" x14ac:dyDescent="0.3">
      <c r="P443" s="4"/>
    </row>
    <row r="444" spans="16:16" x14ac:dyDescent="0.3">
      <c r="P444" s="4"/>
    </row>
    <row r="445" spans="16:16" x14ac:dyDescent="0.3">
      <c r="P445" s="4"/>
    </row>
    <row r="446" spans="16:16" x14ac:dyDescent="0.3">
      <c r="P446" s="4"/>
    </row>
    <row r="447" spans="16:16" x14ac:dyDescent="0.3">
      <c r="P447" s="4"/>
    </row>
    <row r="448" spans="16:16" x14ac:dyDescent="0.3">
      <c r="P448" s="4"/>
    </row>
    <row r="449" spans="16:16" x14ac:dyDescent="0.3">
      <c r="P449" s="4"/>
    </row>
    <row r="450" spans="16:16" x14ac:dyDescent="0.3">
      <c r="P450" s="4"/>
    </row>
    <row r="451" spans="16:16" x14ac:dyDescent="0.3">
      <c r="P451" s="4"/>
    </row>
    <row r="452" spans="16:16" x14ac:dyDescent="0.3">
      <c r="P452" s="4"/>
    </row>
    <row r="453" spans="16:16" x14ac:dyDescent="0.3">
      <c r="P453" s="4"/>
    </row>
    <row r="454" spans="16:16" x14ac:dyDescent="0.3">
      <c r="P454" s="4"/>
    </row>
    <row r="455" spans="16:16" x14ac:dyDescent="0.3">
      <c r="P455" s="4"/>
    </row>
    <row r="456" spans="16:16" x14ac:dyDescent="0.3">
      <c r="P456" s="4"/>
    </row>
    <row r="457" spans="16:16" x14ac:dyDescent="0.3">
      <c r="P457" s="4"/>
    </row>
    <row r="458" spans="16:16" x14ac:dyDescent="0.3">
      <c r="P458" s="4"/>
    </row>
    <row r="459" spans="16:16" x14ac:dyDescent="0.3">
      <c r="P459" s="4"/>
    </row>
    <row r="460" spans="16:16" x14ac:dyDescent="0.3">
      <c r="P460" s="4"/>
    </row>
    <row r="461" spans="16:16" x14ac:dyDescent="0.3">
      <c r="P461" s="4"/>
    </row>
    <row r="462" spans="16:16" x14ac:dyDescent="0.3">
      <c r="P462" s="4"/>
    </row>
    <row r="463" spans="16:16" x14ac:dyDescent="0.3">
      <c r="P463" s="4"/>
    </row>
    <row r="464" spans="16:16" x14ac:dyDescent="0.3">
      <c r="P464" s="4"/>
    </row>
    <row r="465" spans="16:16" x14ac:dyDescent="0.3">
      <c r="P465" s="4"/>
    </row>
    <row r="466" spans="16:16" x14ac:dyDescent="0.3">
      <c r="P466" s="4"/>
    </row>
    <row r="467" spans="16:16" x14ac:dyDescent="0.3">
      <c r="P467" s="4"/>
    </row>
    <row r="468" spans="16:16" x14ac:dyDescent="0.3">
      <c r="P468" s="4"/>
    </row>
    <row r="469" spans="16:16" x14ac:dyDescent="0.3">
      <c r="P469" s="4"/>
    </row>
    <row r="470" spans="16:16" x14ac:dyDescent="0.3">
      <c r="P470" s="4"/>
    </row>
    <row r="471" spans="16:16" x14ac:dyDescent="0.3">
      <c r="P471" s="4"/>
    </row>
    <row r="472" spans="16:16" x14ac:dyDescent="0.3">
      <c r="P472" s="4"/>
    </row>
    <row r="473" spans="16:16" x14ac:dyDescent="0.3">
      <c r="P473" s="4"/>
    </row>
    <row r="474" spans="16:16" x14ac:dyDescent="0.3">
      <c r="P474" s="4"/>
    </row>
    <row r="475" spans="16:16" x14ac:dyDescent="0.3">
      <c r="P475" s="4"/>
    </row>
    <row r="476" spans="16:16" x14ac:dyDescent="0.3">
      <c r="P476" s="4"/>
    </row>
    <row r="477" spans="16:16" x14ac:dyDescent="0.3">
      <c r="P477" s="4"/>
    </row>
    <row r="478" spans="16:16" x14ac:dyDescent="0.3">
      <c r="P478" s="4"/>
    </row>
    <row r="479" spans="16:16" x14ac:dyDescent="0.3">
      <c r="P479" s="4"/>
    </row>
    <row r="480" spans="16:16" x14ac:dyDescent="0.3">
      <c r="P480" s="4"/>
    </row>
    <row r="481" spans="16:16" x14ac:dyDescent="0.3">
      <c r="P481" s="4"/>
    </row>
    <row r="482" spans="16:16" x14ac:dyDescent="0.3">
      <c r="P482" s="4"/>
    </row>
    <row r="483" spans="16:16" x14ac:dyDescent="0.3">
      <c r="P483" s="4"/>
    </row>
    <row r="484" spans="16:16" x14ac:dyDescent="0.3">
      <c r="P484" s="4"/>
    </row>
    <row r="485" spans="16:16" x14ac:dyDescent="0.3">
      <c r="P485" s="4"/>
    </row>
    <row r="486" spans="16:16" x14ac:dyDescent="0.3">
      <c r="P486" s="4"/>
    </row>
    <row r="487" spans="16:16" x14ac:dyDescent="0.3">
      <c r="P487" s="4"/>
    </row>
    <row r="488" spans="16:16" x14ac:dyDescent="0.3">
      <c r="P488" s="4"/>
    </row>
    <row r="489" spans="16:16" x14ac:dyDescent="0.3">
      <c r="P489" s="4"/>
    </row>
    <row r="490" spans="16:16" x14ac:dyDescent="0.3">
      <c r="P490" s="4"/>
    </row>
    <row r="491" spans="16:16" x14ac:dyDescent="0.3">
      <c r="P491" s="4"/>
    </row>
    <row r="492" spans="16:16" x14ac:dyDescent="0.3">
      <c r="P492" s="4"/>
    </row>
    <row r="493" spans="16:16" x14ac:dyDescent="0.3">
      <c r="P493" s="4"/>
    </row>
    <row r="494" spans="16:16" x14ac:dyDescent="0.3">
      <c r="P494" s="4"/>
    </row>
    <row r="495" spans="16:16" x14ac:dyDescent="0.3">
      <c r="P495" s="4"/>
    </row>
    <row r="496" spans="16:16" x14ac:dyDescent="0.3">
      <c r="P496" s="4"/>
    </row>
    <row r="497" spans="16:16" x14ac:dyDescent="0.3">
      <c r="P497" s="4"/>
    </row>
    <row r="498" spans="16:16" x14ac:dyDescent="0.3">
      <c r="P498" s="4"/>
    </row>
    <row r="499" spans="16:16" x14ac:dyDescent="0.3">
      <c r="P499" s="4"/>
    </row>
    <row r="500" spans="16:16" x14ac:dyDescent="0.3">
      <c r="P500" s="4"/>
    </row>
    <row r="501" spans="16:16" x14ac:dyDescent="0.3">
      <c r="P501" s="4"/>
    </row>
    <row r="502" spans="16:16" x14ac:dyDescent="0.3">
      <c r="P502" s="4"/>
    </row>
    <row r="503" spans="16:16" x14ac:dyDescent="0.3">
      <c r="P503" s="4"/>
    </row>
    <row r="504" spans="16:16" x14ac:dyDescent="0.3">
      <c r="P504" s="4"/>
    </row>
    <row r="505" spans="16:16" x14ac:dyDescent="0.3">
      <c r="P505" s="4"/>
    </row>
    <row r="506" spans="16:16" x14ac:dyDescent="0.3">
      <c r="P506" s="4"/>
    </row>
    <row r="507" spans="16:16" x14ac:dyDescent="0.3">
      <c r="P507" s="4"/>
    </row>
    <row r="508" spans="16:16" x14ac:dyDescent="0.3">
      <c r="P508" s="4"/>
    </row>
    <row r="509" spans="16:16" x14ac:dyDescent="0.3">
      <c r="P509" s="4"/>
    </row>
    <row r="510" spans="16:16" x14ac:dyDescent="0.3">
      <c r="P510" s="4"/>
    </row>
    <row r="511" spans="16:16" x14ac:dyDescent="0.3">
      <c r="P511" s="4"/>
    </row>
    <row r="512" spans="16:16" x14ac:dyDescent="0.3">
      <c r="P512" s="4"/>
    </row>
    <row r="513" spans="16:16" x14ac:dyDescent="0.3">
      <c r="P513" s="4"/>
    </row>
    <row r="514" spans="16:16" x14ac:dyDescent="0.3">
      <c r="P514" s="4"/>
    </row>
    <row r="515" spans="16:16" x14ac:dyDescent="0.3">
      <c r="P515" s="4"/>
    </row>
    <row r="516" spans="16:16" x14ac:dyDescent="0.3">
      <c r="P516" s="4"/>
    </row>
    <row r="517" spans="16:16" x14ac:dyDescent="0.3">
      <c r="P517" s="4"/>
    </row>
    <row r="518" spans="16:16" x14ac:dyDescent="0.3">
      <c r="P518" s="4"/>
    </row>
    <row r="519" spans="16:16" x14ac:dyDescent="0.3">
      <c r="P519" s="4"/>
    </row>
    <row r="520" spans="16:16" x14ac:dyDescent="0.3">
      <c r="P520" s="4"/>
    </row>
    <row r="521" spans="16:16" x14ac:dyDescent="0.3">
      <c r="P521" s="4"/>
    </row>
    <row r="522" spans="16:16" x14ac:dyDescent="0.3">
      <c r="P522" s="4"/>
    </row>
    <row r="523" spans="16:16" x14ac:dyDescent="0.3">
      <c r="P523" s="4"/>
    </row>
    <row r="524" spans="16:16" x14ac:dyDescent="0.3">
      <c r="P524" s="4"/>
    </row>
    <row r="525" spans="16:16" x14ac:dyDescent="0.3">
      <c r="P525" s="4"/>
    </row>
    <row r="526" spans="16:16" x14ac:dyDescent="0.3">
      <c r="P526" s="4"/>
    </row>
    <row r="527" spans="16:16" x14ac:dyDescent="0.3">
      <c r="P527" s="4"/>
    </row>
    <row r="528" spans="16:16" x14ac:dyDescent="0.3">
      <c r="P528" s="4"/>
    </row>
    <row r="529" spans="16:16" x14ac:dyDescent="0.3">
      <c r="P529" s="4"/>
    </row>
    <row r="530" spans="16:16" x14ac:dyDescent="0.3">
      <c r="P530" s="4"/>
    </row>
    <row r="531" spans="16:16" x14ac:dyDescent="0.3">
      <c r="P531" s="4"/>
    </row>
    <row r="532" spans="16:16" x14ac:dyDescent="0.3">
      <c r="P532" s="4"/>
    </row>
    <row r="533" spans="16:16" x14ac:dyDescent="0.3">
      <c r="P533" s="4"/>
    </row>
    <row r="534" spans="16:16" x14ac:dyDescent="0.3">
      <c r="P534" s="4"/>
    </row>
    <row r="535" spans="16:16" x14ac:dyDescent="0.3">
      <c r="P535" s="4"/>
    </row>
    <row r="536" spans="16:16" x14ac:dyDescent="0.3">
      <c r="P536" s="4"/>
    </row>
    <row r="537" spans="16:16" x14ac:dyDescent="0.3">
      <c r="P537" s="4"/>
    </row>
    <row r="538" spans="16:16" x14ac:dyDescent="0.3">
      <c r="P538" s="4"/>
    </row>
    <row r="539" spans="16:16" x14ac:dyDescent="0.3">
      <c r="P539" s="4"/>
    </row>
    <row r="540" spans="16:16" x14ac:dyDescent="0.3">
      <c r="P540" s="4"/>
    </row>
    <row r="541" spans="16:16" x14ac:dyDescent="0.3">
      <c r="P541" s="4"/>
    </row>
    <row r="542" spans="16:16" x14ac:dyDescent="0.3">
      <c r="P542" s="4"/>
    </row>
    <row r="543" spans="16:16" x14ac:dyDescent="0.3">
      <c r="P543" s="4"/>
    </row>
    <row r="544" spans="16:16" x14ac:dyDescent="0.3">
      <c r="P544" s="4"/>
    </row>
    <row r="545" spans="16:16" x14ac:dyDescent="0.3">
      <c r="P545" s="4"/>
    </row>
    <row r="546" spans="16:16" x14ac:dyDescent="0.3">
      <c r="P546" s="4"/>
    </row>
    <row r="547" spans="16:16" x14ac:dyDescent="0.3">
      <c r="P547" s="4"/>
    </row>
    <row r="548" spans="16:16" x14ac:dyDescent="0.3">
      <c r="P548" s="4"/>
    </row>
    <row r="549" spans="16:16" x14ac:dyDescent="0.3">
      <c r="P549" s="4"/>
    </row>
    <row r="550" spans="16:16" x14ac:dyDescent="0.3">
      <c r="P550" s="4"/>
    </row>
    <row r="551" spans="16:16" x14ac:dyDescent="0.3">
      <c r="P551" s="4"/>
    </row>
    <row r="552" spans="16:16" x14ac:dyDescent="0.3">
      <c r="P552" s="4"/>
    </row>
    <row r="553" spans="16:16" x14ac:dyDescent="0.3">
      <c r="P553" s="4"/>
    </row>
    <row r="554" spans="16:16" x14ac:dyDescent="0.3">
      <c r="P554" s="4"/>
    </row>
    <row r="555" spans="16:16" x14ac:dyDescent="0.3">
      <c r="P555" s="4"/>
    </row>
    <row r="556" spans="16:16" x14ac:dyDescent="0.3">
      <c r="P556" s="4"/>
    </row>
    <row r="557" spans="16:16" x14ac:dyDescent="0.3">
      <c r="P557" s="4"/>
    </row>
    <row r="558" spans="16:16" x14ac:dyDescent="0.3">
      <c r="P558" s="4"/>
    </row>
    <row r="559" spans="16:16" x14ac:dyDescent="0.3">
      <c r="P559" s="4"/>
    </row>
    <row r="560" spans="16:16" x14ac:dyDescent="0.3">
      <c r="P560" s="4"/>
    </row>
    <row r="561" spans="16:16" x14ac:dyDescent="0.3">
      <c r="P561" s="4"/>
    </row>
    <row r="562" spans="16:16" x14ac:dyDescent="0.3">
      <c r="P562" s="4"/>
    </row>
    <row r="563" spans="16:16" x14ac:dyDescent="0.3">
      <c r="P563" s="4"/>
    </row>
    <row r="564" spans="16:16" x14ac:dyDescent="0.3">
      <c r="P564" s="4"/>
    </row>
    <row r="565" spans="16:16" x14ac:dyDescent="0.3">
      <c r="P565" s="4"/>
    </row>
    <row r="566" spans="16:16" x14ac:dyDescent="0.3">
      <c r="P566" s="4"/>
    </row>
    <row r="567" spans="16:16" x14ac:dyDescent="0.3">
      <c r="P567" s="4"/>
    </row>
    <row r="568" spans="16:16" x14ac:dyDescent="0.3">
      <c r="P568" s="4"/>
    </row>
    <row r="569" spans="16:16" x14ac:dyDescent="0.3">
      <c r="P569" s="4"/>
    </row>
    <row r="570" spans="16:16" x14ac:dyDescent="0.3">
      <c r="P570" s="4"/>
    </row>
    <row r="571" spans="16:16" x14ac:dyDescent="0.3">
      <c r="P571" s="4"/>
    </row>
    <row r="572" spans="16:16" x14ac:dyDescent="0.3">
      <c r="P572" s="4"/>
    </row>
    <row r="573" spans="16:16" x14ac:dyDescent="0.3">
      <c r="P573" s="4"/>
    </row>
    <row r="574" spans="16:16" x14ac:dyDescent="0.3">
      <c r="P574" s="4"/>
    </row>
    <row r="575" spans="16:16" x14ac:dyDescent="0.3">
      <c r="P575" s="4"/>
    </row>
    <row r="576" spans="16:16" x14ac:dyDescent="0.3">
      <c r="P576" s="4"/>
    </row>
    <row r="577" spans="16:16" x14ac:dyDescent="0.3">
      <c r="P577" s="4"/>
    </row>
    <row r="578" spans="16:16" x14ac:dyDescent="0.3">
      <c r="P578" s="4"/>
    </row>
    <row r="579" spans="16:16" x14ac:dyDescent="0.3">
      <c r="P579" s="4"/>
    </row>
    <row r="580" spans="16:16" x14ac:dyDescent="0.3">
      <c r="P580" s="4"/>
    </row>
    <row r="581" spans="16:16" x14ac:dyDescent="0.3">
      <c r="P581" s="4"/>
    </row>
    <row r="582" spans="16:16" x14ac:dyDescent="0.3">
      <c r="P582" s="4"/>
    </row>
    <row r="583" spans="16:16" x14ac:dyDescent="0.3">
      <c r="P583" s="4"/>
    </row>
    <row r="584" spans="16:16" x14ac:dyDescent="0.3">
      <c r="P584" s="4"/>
    </row>
    <row r="585" spans="16:16" x14ac:dyDescent="0.3">
      <c r="P585" s="4"/>
    </row>
    <row r="586" spans="16:16" x14ac:dyDescent="0.3">
      <c r="P586" s="4"/>
    </row>
    <row r="587" spans="16:16" x14ac:dyDescent="0.3">
      <c r="P587" s="4"/>
    </row>
    <row r="588" spans="16:16" x14ac:dyDescent="0.3">
      <c r="P588" s="4"/>
    </row>
    <row r="589" spans="16:16" x14ac:dyDescent="0.3">
      <c r="P589" s="4"/>
    </row>
    <row r="590" spans="16:16" x14ac:dyDescent="0.3">
      <c r="P590" s="4"/>
    </row>
    <row r="591" spans="16:16" x14ac:dyDescent="0.3">
      <c r="P591" s="4"/>
    </row>
    <row r="592" spans="16:16" x14ac:dyDescent="0.3">
      <c r="P592" s="4"/>
    </row>
    <row r="593" spans="16:16" x14ac:dyDescent="0.3">
      <c r="P593" s="4"/>
    </row>
    <row r="594" spans="16:16" x14ac:dyDescent="0.3">
      <c r="P594" s="4"/>
    </row>
    <row r="595" spans="16:16" x14ac:dyDescent="0.3">
      <c r="P595" s="4"/>
    </row>
    <row r="596" spans="16:16" x14ac:dyDescent="0.3">
      <c r="P596" s="4"/>
    </row>
    <row r="597" spans="16:16" x14ac:dyDescent="0.3">
      <c r="P597" s="4"/>
    </row>
    <row r="598" spans="16:16" x14ac:dyDescent="0.3">
      <c r="P598" s="4"/>
    </row>
    <row r="599" spans="16:16" x14ac:dyDescent="0.3">
      <c r="P599" s="4"/>
    </row>
    <row r="600" spans="16:16" x14ac:dyDescent="0.3">
      <c r="P600" s="4"/>
    </row>
    <row r="601" spans="16:16" x14ac:dyDescent="0.3">
      <c r="P601" s="4"/>
    </row>
    <row r="602" spans="16:16" x14ac:dyDescent="0.3">
      <c r="P602" s="4"/>
    </row>
    <row r="603" spans="16:16" x14ac:dyDescent="0.3">
      <c r="P603" s="4"/>
    </row>
    <row r="604" spans="16:16" x14ac:dyDescent="0.3">
      <c r="P604" s="4"/>
    </row>
    <row r="605" spans="16:16" x14ac:dyDescent="0.3">
      <c r="P605" s="4"/>
    </row>
    <row r="606" spans="16:16" x14ac:dyDescent="0.3">
      <c r="P606" s="4"/>
    </row>
    <row r="607" spans="16:16" x14ac:dyDescent="0.3">
      <c r="P607" s="4"/>
    </row>
    <row r="608" spans="16:16" x14ac:dyDescent="0.3">
      <c r="P608" s="4"/>
    </row>
    <row r="609" spans="16:16" x14ac:dyDescent="0.3">
      <c r="P609" s="4"/>
    </row>
    <row r="610" spans="16:16" x14ac:dyDescent="0.3">
      <c r="P610" s="4"/>
    </row>
    <row r="611" spans="16:16" x14ac:dyDescent="0.3">
      <c r="P611" s="4"/>
    </row>
    <row r="612" spans="16:16" x14ac:dyDescent="0.3">
      <c r="P612" s="4"/>
    </row>
    <row r="613" spans="16:16" x14ac:dyDescent="0.3">
      <c r="P613" s="4"/>
    </row>
    <row r="614" spans="16:16" x14ac:dyDescent="0.3">
      <c r="P614" s="4"/>
    </row>
    <row r="615" spans="16:16" x14ac:dyDescent="0.3">
      <c r="P615" s="4"/>
    </row>
    <row r="616" spans="16:16" x14ac:dyDescent="0.3">
      <c r="P616" s="4"/>
    </row>
    <row r="617" spans="16:16" x14ac:dyDescent="0.3">
      <c r="P617" s="4"/>
    </row>
    <row r="618" spans="16:16" x14ac:dyDescent="0.3">
      <c r="P618" s="4"/>
    </row>
    <row r="619" spans="16:16" x14ac:dyDescent="0.3">
      <c r="P619" s="4"/>
    </row>
    <row r="620" spans="16:16" x14ac:dyDescent="0.3">
      <c r="P620" s="4"/>
    </row>
    <row r="621" spans="16:16" x14ac:dyDescent="0.3">
      <c r="P621" s="4"/>
    </row>
    <row r="622" spans="16:16" x14ac:dyDescent="0.3">
      <c r="P622" s="4"/>
    </row>
    <row r="623" spans="16:16" x14ac:dyDescent="0.3">
      <c r="P623" s="4"/>
    </row>
    <row r="624" spans="16:16" x14ac:dyDescent="0.3">
      <c r="P624" s="4"/>
    </row>
    <row r="625" spans="16:16" x14ac:dyDescent="0.3">
      <c r="P625" s="4"/>
    </row>
    <row r="626" spans="16:16" x14ac:dyDescent="0.3">
      <c r="P626" s="4"/>
    </row>
    <row r="627" spans="16:16" x14ac:dyDescent="0.3">
      <c r="P627" s="4"/>
    </row>
    <row r="628" spans="16:16" x14ac:dyDescent="0.3">
      <c r="P628" s="4"/>
    </row>
    <row r="629" spans="16:16" x14ac:dyDescent="0.3">
      <c r="P629" s="4"/>
    </row>
    <row r="630" spans="16:16" x14ac:dyDescent="0.3">
      <c r="P630" s="4"/>
    </row>
    <row r="631" spans="16:16" x14ac:dyDescent="0.3">
      <c r="P631" s="4"/>
    </row>
    <row r="632" spans="16:16" x14ac:dyDescent="0.3">
      <c r="P632" s="4"/>
    </row>
    <row r="633" spans="16:16" x14ac:dyDescent="0.3">
      <c r="P633" s="4"/>
    </row>
    <row r="634" spans="16:16" x14ac:dyDescent="0.3">
      <c r="P634" s="4"/>
    </row>
    <row r="635" spans="16:16" x14ac:dyDescent="0.3">
      <c r="P635" s="4"/>
    </row>
    <row r="636" spans="16:16" x14ac:dyDescent="0.3">
      <c r="P636" s="4"/>
    </row>
    <row r="637" spans="16:16" x14ac:dyDescent="0.3">
      <c r="P637" s="4"/>
    </row>
    <row r="638" spans="16:16" x14ac:dyDescent="0.3">
      <c r="P638" s="4"/>
    </row>
    <row r="639" spans="16:16" x14ac:dyDescent="0.3">
      <c r="P639" s="4"/>
    </row>
    <row r="640" spans="16:16" x14ac:dyDescent="0.3">
      <c r="P640" s="4"/>
    </row>
    <row r="641" spans="16:16" x14ac:dyDescent="0.3">
      <c r="P641" s="4"/>
    </row>
    <row r="642" spans="16:16" x14ac:dyDescent="0.3">
      <c r="P642" s="4"/>
    </row>
    <row r="643" spans="16:16" x14ac:dyDescent="0.3">
      <c r="P643" s="4"/>
    </row>
    <row r="644" spans="16:16" x14ac:dyDescent="0.3">
      <c r="P644" s="4"/>
    </row>
    <row r="645" spans="16:16" x14ac:dyDescent="0.3">
      <c r="P645" s="4"/>
    </row>
    <row r="646" spans="16:16" x14ac:dyDescent="0.3">
      <c r="P646" s="4"/>
    </row>
    <row r="647" spans="16:16" x14ac:dyDescent="0.3">
      <c r="P647" s="4"/>
    </row>
    <row r="648" spans="16:16" x14ac:dyDescent="0.3">
      <c r="P648" s="4"/>
    </row>
    <row r="649" spans="16:16" x14ac:dyDescent="0.3">
      <c r="P649" s="4"/>
    </row>
    <row r="650" spans="16:16" x14ac:dyDescent="0.3">
      <c r="P650" s="4"/>
    </row>
    <row r="651" spans="16:16" x14ac:dyDescent="0.3">
      <c r="P651" s="4"/>
    </row>
    <row r="652" spans="16:16" x14ac:dyDescent="0.3">
      <c r="P652" s="4"/>
    </row>
    <row r="653" spans="16:16" x14ac:dyDescent="0.3">
      <c r="P653" s="4"/>
    </row>
    <row r="654" spans="16:16" x14ac:dyDescent="0.3">
      <c r="P654" s="4"/>
    </row>
    <row r="655" spans="16:16" x14ac:dyDescent="0.3">
      <c r="P655" s="4"/>
    </row>
    <row r="656" spans="16:16" x14ac:dyDescent="0.3">
      <c r="P656" s="4"/>
    </row>
    <row r="657" spans="16:16" x14ac:dyDescent="0.3">
      <c r="P657" s="4"/>
    </row>
    <row r="658" spans="16:16" x14ac:dyDescent="0.3">
      <c r="P658" s="4"/>
    </row>
    <row r="659" spans="16:16" x14ac:dyDescent="0.3">
      <c r="P659" s="4"/>
    </row>
    <row r="660" spans="16:16" x14ac:dyDescent="0.3">
      <c r="P660" s="4"/>
    </row>
    <row r="661" spans="16:16" x14ac:dyDescent="0.3">
      <c r="P661" s="4"/>
    </row>
    <row r="662" spans="16:16" x14ac:dyDescent="0.3">
      <c r="P662" s="4"/>
    </row>
    <row r="663" spans="16:16" x14ac:dyDescent="0.3">
      <c r="P663" s="4"/>
    </row>
    <row r="664" spans="16:16" x14ac:dyDescent="0.3">
      <c r="P664" s="4"/>
    </row>
    <row r="665" spans="16:16" x14ac:dyDescent="0.3">
      <c r="P665" s="4"/>
    </row>
    <row r="666" spans="16:16" x14ac:dyDescent="0.3">
      <c r="P666" s="4"/>
    </row>
    <row r="667" spans="16:16" x14ac:dyDescent="0.3">
      <c r="P667" s="4"/>
    </row>
    <row r="668" spans="16:16" x14ac:dyDescent="0.3">
      <c r="P668" s="4"/>
    </row>
    <row r="669" spans="16:16" x14ac:dyDescent="0.3">
      <c r="P669" s="4"/>
    </row>
    <row r="670" spans="16:16" x14ac:dyDescent="0.3">
      <c r="P670" s="4"/>
    </row>
    <row r="671" spans="16:16" x14ac:dyDescent="0.3">
      <c r="P671" s="4"/>
    </row>
    <row r="672" spans="16:16" x14ac:dyDescent="0.3">
      <c r="P672" s="4"/>
    </row>
    <row r="673" spans="16:16" x14ac:dyDescent="0.3">
      <c r="P673" s="4"/>
    </row>
    <row r="674" spans="16:16" x14ac:dyDescent="0.3">
      <c r="P674" s="4"/>
    </row>
    <row r="675" spans="16:16" x14ac:dyDescent="0.3">
      <c r="P675" s="4"/>
    </row>
    <row r="676" spans="16:16" x14ac:dyDescent="0.3">
      <c r="P676" s="4"/>
    </row>
    <row r="677" spans="16:16" x14ac:dyDescent="0.3">
      <c r="P677" s="4"/>
    </row>
    <row r="678" spans="16:16" x14ac:dyDescent="0.3">
      <c r="P678" s="4"/>
    </row>
    <row r="679" spans="16:16" x14ac:dyDescent="0.3">
      <c r="P679" s="4"/>
    </row>
    <row r="680" spans="16:16" x14ac:dyDescent="0.3">
      <c r="P680" s="4"/>
    </row>
    <row r="681" spans="16:16" x14ac:dyDescent="0.3">
      <c r="P681" s="4"/>
    </row>
    <row r="682" spans="16:16" x14ac:dyDescent="0.3">
      <c r="P682" s="4"/>
    </row>
    <row r="683" spans="16:16" x14ac:dyDescent="0.3">
      <c r="P683" s="4"/>
    </row>
    <row r="684" spans="16:16" x14ac:dyDescent="0.3">
      <c r="P684" s="4"/>
    </row>
    <row r="685" spans="16:16" x14ac:dyDescent="0.3">
      <c r="P685" s="4"/>
    </row>
    <row r="686" spans="16:16" x14ac:dyDescent="0.3">
      <c r="P686" s="4"/>
    </row>
    <row r="687" spans="16:16" x14ac:dyDescent="0.3">
      <c r="P687" s="4"/>
    </row>
    <row r="688" spans="16:16" x14ac:dyDescent="0.3">
      <c r="P688" s="4"/>
    </row>
    <row r="689" spans="16:16" x14ac:dyDescent="0.3">
      <c r="P689" s="4"/>
    </row>
    <row r="690" spans="16:16" x14ac:dyDescent="0.3">
      <c r="P690" s="4"/>
    </row>
    <row r="691" spans="16:16" x14ac:dyDescent="0.3">
      <c r="P691" s="4"/>
    </row>
    <row r="692" spans="16:16" x14ac:dyDescent="0.3">
      <c r="P692" s="4"/>
    </row>
    <row r="693" spans="16:16" x14ac:dyDescent="0.3">
      <c r="P693" s="4"/>
    </row>
    <row r="694" spans="16:16" x14ac:dyDescent="0.3">
      <c r="P694" s="4"/>
    </row>
    <row r="695" spans="16:16" x14ac:dyDescent="0.3">
      <c r="P695" s="4"/>
    </row>
    <row r="696" spans="16:16" x14ac:dyDescent="0.3">
      <c r="P696" s="4"/>
    </row>
    <row r="697" spans="16:16" x14ac:dyDescent="0.3">
      <c r="P697" s="4"/>
    </row>
    <row r="698" spans="16:16" x14ac:dyDescent="0.3">
      <c r="P698" s="4"/>
    </row>
    <row r="699" spans="16:16" x14ac:dyDescent="0.3">
      <c r="P699" s="4"/>
    </row>
    <row r="700" spans="16:16" x14ac:dyDescent="0.3">
      <c r="P700" s="4"/>
    </row>
    <row r="701" spans="16:16" x14ac:dyDescent="0.3">
      <c r="P701" s="4"/>
    </row>
    <row r="702" spans="16:16" x14ac:dyDescent="0.3">
      <c r="P702" s="4"/>
    </row>
    <row r="703" spans="16:16" x14ac:dyDescent="0.3">
      <c r="P703" s="4"/>
    </row>
    <row r="704" spans="16:16" x14ac:dyDescent="0.3">
      <c r="P704" s="4"/>
    </row>
    <row r="705" spans="16:16" x14ac:dyDescent="0.3">
      <c r="P705" s="4"/>
    </row>
    <row r="706" spans="16:16" x14ac:dyDescent="0.3">
      <c r="P706" s="4"/>
    </row>
    <row r="707" spans="16:16" x14ac:dyDescent="0.3">
      <c r="P707" s="4"/>
    </row>
    <row r="708" spans="16:16" x14ac:dyDescent="0.3">
      <c r="P708" s="4"/>
    </row>
    <row r="709" spans="16:16" x14ac:dyDescent="0.3">
      <c r="P709" s="4"/>
    </row>
    <row r="710" spans="16:16" x14ac:dyDescent="0.3">
      <c r="P710" s="4"/>
    </row>
    <row r="711" spans="16:16" x14ac:dyDescent="0.3">
      <c r="P711" s="4"/>
    </row>
    <row r="712" spans="16:16" x14ac:dyDescent="0.3">
      <c r="P712" s="4"/>
    </row>
    <row r="713" spans="16:16" x14ac:dyDescent="0.3">
      <c r="P713" s="4"/>
    </row>
    <row r="714" spans="16:16" x14ac:dyDescent="0.3">
      <c r="P714" s="4"/>
    </row>
    <row r="715" spans="16:16" x14ac:dyDescent="0.3">
      <c r="P715" s="4"/>
    </row>
    <row r="716" spans="16:16" x14ac:dyDescent="0.3">
      <c r="P716" s="4"/>
    </row>
    <row r="717" spans="16:16" x14ac:dyDescent="0.3">
      <c r="P717" s="4"/>
    </row>
    <row r="718" spans="16:16" x14ac:dyDescent="0.3">
      <c r="P718" s="4"/>
    </row>
    <row r="719" spans="16:16" x14ac:dyDescent="0.3">
      <c r="P719" s="4"/>
    </row>
    <row r="720" spans="16:16" x14ac:dyDescent="0.3">
      <c r="P720" s="4"/>
    </row>
    <row r="721" spans="16:16" x14ac:dyDescent="0.3">
      <c r="P721" s="4"/>
    </row>
    <row r="722" spans="16:16" x14ac:dyDescent="0.3">
      <c r="P722" s="4"/>
    </row>
    <row r="723" spans="16:16" x14ac:dyDescent="0.3">
      <c r="P723" s="4"/>
    </row>
    <row r="724" spans="16:16" x14ac:dyDescent="0.3">
      <c r="P724" s="4"/>
    </row>
    <row r="725" spans="16:16" x14ac:dyDescent="0.3">
      <c r="P725" s="4"/>
    </row>
    <row r="726" spans="16:16" x14ac:dyDescent="0.3">
      <c r="P726" s="4"/>
    </row>
    <row r="727" spans="16:16" x14ac:dyDescent="0.3">
      <c r="P727" s="4"/>
    </row>
    <row r="728" spans="16:16" x14ac:dyDescent="0.3">
      <c r="P728" s="4"/>
    </row>
    <row r="729" spans="16:16" x14ac:dyDescent="0.3">
      <c r="P729" s="4"/>
    </row>
    <row r="730" spans="16:16" x14ac:dyDescent="0.3">
      <c r="P730" s="4"/>
    </row>
    <row r="731" spans="16:16" x14ac:dyDescent="0.3">
      <c r="P731" s="4"/>
    </row>
    <row r="732" spans="16:16" x14ac:dyDescent="0.3">
      <c r="P732" s="4"/>
    </row>
    <row r="733" spans="16:16" x14ac:dyDescent="0.3">
      <c r="P733" s="4"/>
    </row>
    <row r="734" spans="16:16" x14ac:dyDescent="0.3">
      <c r="P734" s="4"/>
    </row>
    <row r="735" spans="16:16" x14ac:dyDescent="0.3">
      <c r="P735" s="4"/>
    </row>
    <row r="736" spans="16:16" x14ac:dyDescent="0.3">
      <c r="P736" s="4"/>
    </row>
    <row r="737" spans="16:16" x14ac:dyDescent="0.3">
      <c r="P737" s="4"/>
    </row>
    <row r="738" spans="16:16" x14ac:dyDescent="0.3">
      <c r="P738" s="4"/>
    </row>
    <row r="739" spans="16:16" x14ac:dyDescent="0.3">
      <c r="P739" s="4"/>
    </row>
    <row r="740" spans="16:16" x14ac:dyDescent="0.3">
      <c r="P740" s="4"/>
    </row>
    <row r="741" spans="16:16" x14ac:dyDescent="0.3">
      <c r="P741" s="4"/>
    </row>
    <row r="742" spans="16:16" x14ac:dyDescent="0.3">
      <c r="P742" s="4"/>
    </row>
    <row r="743" spans="16:16" x14ac:dyDescent="0.3">
      <c r="P743" s="4"/>
    </row>
    <row r="744" spans="16:16" x14ac:dyDescent="0.3">
      <c r="P744" s="4"/>
    </row>
    <row r="745" spans="16:16" x14ac:dyDescent="0.3">
      <c r="P745" s="4"/>
    </row>
    <row r="746" spans="16:16" x14ac:dyDescent="0.3">
      <c r="P746" s="4"/>
    </row>
    <row r="747" spans="16:16" x14ac:dyDescent="0.3">
      <c r="P747" s="4"/>
    </row>
    <row r="748" spans="16:16" x14ac:dyDescent="0.3">
      <c r="P748" s="4"/>
    </row>
    <row r="749" spans="16:16" x14ac:dyDescent="0.3">
      <c r="P749" s="4"/>
    </row>
    <row r="750" spans="16:16" x14ac:dyDescent="0.3">
      <c r="P750" s="4"/>
    </row>
    <row r="751" spans="16:16" x14ac:dyDescent="0.3">
      <c r="P751" s="4"/>
    </row>
    <row r="752" spans="16:16" x14ac:dyDescent="0.3">
      <c r="P752" s="4"/>
    </row>
    <row r="753" spans="16:16" x14ac:dyDescent="0.3">
      <c r="P753" s="4"/>
    </row>
    <row r="754" spans="16:16" x14ac:dyDescent="0.3">
      <c r="P754" s="4"/>
    </row>
    <row r="755" spans="16:16" x14ac:dyDescent="0.3">
      <c r="P755" s="4"/>
    </row>
    <row r="756" spans="16:16" x14ac:dyDescent="0.3">
      <c r="P756" s="4"/>
    </row>
    <row r="757" spans="16:16" x14ac:dyDescent="0.3">
      <c r="P757" s="4"/>
    </row>
    <row r="758" spans="16:16" x14ac:dyDescent="0.3">
      <c r="P758" s="4"/>
    </row>
    <row r="759" spans="16:16" x14ac:dyDescent="0.3">
      <c r="P759" s="4"/>
    </row>
    <row r="760" spans="16:16" x14ac:dyDescent="0.3">
      <c r="P760" s="4"/>
    </row>
    <row r="761" spans="16:16" x14ac:dyDescent="0.3">
      <c r="P761" s="4"/>
    </row>
    <row r="762" spans="16:16" x14ac:dyDescent="0.3">
      <c r="P762" s="4"/>
    </row>
    <row r="763" spans="16:16" x14ac:dyDescent="0.3">
      <c r="P763" s="4"/>
    </row>
    <row r="764" spans="16:16" x14ac:dyDescent="0.3">
      <c r="P764" s="4"/>
    </row>
    <row r="765" spans="16:16" x14ac:dyDescent="0.3">
      <c r="P765" s="4"/>
    </row>
    <row r="766" spans="16:16" x14ac:dyDescent="0.3">
      <c r="P766" s="4"/>
    </row>
    <row r="767" spans="16:16" x14ac:dyDescent="0.3">
      <c r="P767" s="4"/>
    </row>
    <row r="768" spans="16:16" x14ac:dyDescent="0.3">
      <c r="P768" s="4"/>
    </row>
    <row r="769" spans="16:16" x14ac:dyDescent="0.3">
      <c r="P769" s="4"/>
    </row>
    <row r="770" spans="16:16" x14ac:dyDescent="0.3">
      <c r="P770" s="4"/>
    </row>
    <row r="771" spans="16:16" x14ac:dyDescent="0.3">
      <c r="P771" s="4"/>
    </row>
    <row r="772" spans="16:16" x14ac:dyDescent="0.3">
      <c r="P772" s="4"/>
    </row>
    <row r="773" spans="16:16" x14ac:dyDescent="0.3">
      <c r="P773" s="4"/>
    </row>
    <row r="774" spans="16:16" x14ac:dyDescent="0.3">
      <c r="P774" s="4"/>
    </row>
    <row r="775" spans="16:16" x14ac:dyDescent="0.3">
      <c r="P775" s="4"/>
    </row>
    <row r="776" spans="16:16" x14ac:dyDescent="0.3">
      <c r="P776" s="4"/>
    </row>
    <row r="777" spans="16:16" x14ac:dyDescent="0.3">
      <c r="P777" s="4"/>
    </row>
    <row r="778" spans="16:16" x14ac:dyDescent="0.3">
      <c r="P778" s="4"/>
    </row>
    <row r="779" spans="16:16" x14ac:dyDescent="0.3">
      <c r="P779" s="4"/>
    </row>
    <row r="780" spans="16:16" x14ac:dyDescent="0.3">
      <c r="P780" s="4"/>
    </row>
    <row r="781" spans="16:16" x14ac:dyDescent="0.3">
      <c r="P781" s="4"/>
    </row>
    <row r="782" spans="16:16" x14ac:dyDescent="0.3">
      <c r="P782" s="4"/>
    </row>
    <row r="783" spans="16:16" x14ac:dyDescent="0.3">
      <c r="P783" s="4"/>
    </row>
    <row r="784" spans="16:16" x14ac:dyDescent="0.3">
      <c r="P784" s="4"/>
    </row>
    <row r="785" spans="16:16" x14ac:dyDescent="0.3">
      <c r="P785" s="4"/>
    </row>
    <row r="786" spans="16:16" x14ac:dyDescent="0.3">
      <c r="P786" s="4"/>
    </row>
    <row r="787" spans="16:16" x14ac:dyDescent="0.3">
      <c r="P787" s="4"/>
    </row>
    <row r="788" spans="16:16" x14ac:dyDescent="0.3">
      <c r="P788" s="4"/>
    </row>
    <row r="789" spans="16:16" x14ac:dyDescent="0.3">
      <c r="P789" s="4"/>
    </row>
    <row r="790" spans="16:16" x14ac:dyDescent="0.3">
      <c r="P790" s="4"/>
    </row>
    <row r="791" spans="16:16" x14ac:dyDescent="0.3">
      <c r="P791" s="4"/>
    </row>
    <row r="792" spans="16:16" x14ac:dyDescent="0.3">
      <c r="P792" s="4"/>
    </row>
    <row r="793" spans="16:16" x14ac:dyDescent="0.3">
      <c r="P793" s="4"/>
    </row>
    <row r="794" spans="16:16" x14ac:dyDescent="0.3">
      <c r="P794" s="4"/>
    </row>
    <row r="795" spans="16:16" x14ac:dyDescent="0.3">
      <c r="P795" s="4"/>
    </row>
    <row r="796" spans="16:16" x14ac:dyDescent="0.3">
      <c r="P796" s="4"/>
    </row>
    <row r="797" spans="16:16" x14ac:dyDescent="0.3">
      <c r="P797" s="4"/>
    </row>
    <row r="798" spans="16:16" x14ac:dyDescent="0.3">
      <c r="P798" s="4"/>
    </row>
    <row r="799" spans="16:16" x14ac:dyDescent="0.3">
      <c r="P799" s="4"/>
    </row>
    <row r="800" spans="16:16" x14ac:dyDescent="0.3">
      <c r="P800" s="4"/>
    </row>
    <row r="801" spans="16:16" x14ac:dyDescent="0.3">
      <c r="P801" s="4"/>
    </row>
    <row r="802" spans="16:16" x14ac:dyDescent="0.3">
      <c r="P802" s="4"/>
    </row>
    <row r="803" spans="16:16" x14ac:dyDescent="0.3">
      <c r="P803" s="4"/>
    </row>
    <row r="804" spans="16:16" x14ac:dyDescent="0.3">
      <c r="P804" s="4"/>
    </row>
    <row r="805" spans="16:16" x14ac:dyDescent="0.3">
      <c r="P805" s="4"/>
    </row>
    <row r="806" spans="16:16" x14ac:dyDescent="0.3">
      <c r="P806" s="4"/>
    </row>
    <row r="807" spans="16:16" x14ac:dyDescent="0.3">
      <c r="P807" s="4"/>
    </row>
    <row r="808" spans="16:16" x14ac:dyDescent="0.3">
      <c r="P808" s="4"/>
    </row>
    <row r="809" spans="16:16" x14ac:dyDescent="0.3">
      <c r="P809" s="4"/>
    </row>
    <row r="810" spans="16:16" x14ac:dyDescent="0.3">
      <c r="P810" s="4"/>
    </row>
    <row r="811" spans="16:16" x14ac:dyDescent="0.3">
      <c r="P811" s="4"/>
    </row>
    <row r="812" spans="16:16" x14ac:dyDescent="0.3">
      <c r="P812" s="4"/>
    </row>
    <row r="813" spans="16:16" x14ac:dyDescent="0.3">
      <c r="P813" s="4"/>
    </row>
    <row r="814" spans="16:16" x14ac:dyDescent="0.3">
      <c r="P814" s="4"/>
    </row>
    <row r="815" spans="16:16" x14ac:dyDescent="0.3">
      <c r="P815" s="4"/>
    </row>
    <row r="816" spans="16:16" x14ac:dyDescent="0.3">
      <c r="P816" s="4"/>
    </row>
    <row r="817" spans="16:16" x14ac:dyDescent="0.3">
      <c r="P817" s="4"/>
    </row>
    <row r="818" spans="16:16" x14ac:dyDescent="0.3">
      <c r="P818" s="4"/>
    </row>
    <row r="819" spans="16:16" x14ac:dyDescent="0.3">
      <c r="P819" s="4"/>
    </row>
    <row r="820" spans="16:16" x14ac:dyDescent="0.3">
      <c r="P820" s="4"/>
    </row>
    <row r="821" spans="16:16" x14ac:dyDescent="0.3">
      <c r="P821" s="4"/>
    </row>
    <row r="822" spans="16:16" x14ac:dyDescent="0.3">
      <c r="P822" s="4"/>
    </row>
    <row r="823" spans="16:16" x14ac:dyDescent="0.3">
      <c r="P823" s="4"/>
    </row>
    <row r="824" spans="16:16" x14ac:dyDescent="0.3">
      <c r="P824" s="4"/>
    </row>
    <row r="825" spans="16:16" x14ac:dyDescent="0.3">
      <c r="P825" s="4"/>
    </row>
    <row r="826" spans="16:16" x14ac:dyDescent="0.3">
      <c r="P826" s="4"/>
    </row>
    <row r="827" spans="16:16" x14ac:dyDescent="0.3">
      <c r="P827" s="4"/>
    </row>
    <row r="828" spans="16:16" x14ac:dyDescent="0.3">
      <c r="P828" s="4"/>
    </row>
    <row r="829" spans="16:16" x14ac:dyDescent="0.3">
      <c r="P829" s="4"/>
    </row>
    <row r="830" spans="16:16" x14ac:dyDescent="0.3">
      <c r="P830" s="4"/>
    </row>
    <row r="831" spans="16:16" x14ac:dyDescent="0.3">
      <c r="P831" s="4"/>
    </row>
    <row r="832" spans="16:16" x14ac:dyDescent="0.3">
      <c r="P832" s="4"/>
    </row>
    <row r="833" spans="16:16" x14ac:dyDescent="0.3">
      <c r="P833" s="4"/>
    </row>
    <row r="834" spans="16:16" x14ac:dyDescent="0.3">
      <c r="P834" s="4"/>
    </row>
    <row r="835" spans="16:16" x14ac:dyDescent="0.3">
      <c r="P835" s="4"/>
    </row>
    <row r="836" spans="16:16" x14ac:dyDescent="0.3">
      <c r="P836" s="4"/>
    </row>
    <row r="837" spans="16:16" x14ac:dyDescent="0.3">
      <c r="P837" s="4"/>
    </row>
    <row r="838" spans="16:16" x14ac:dyDescent="0.3">
      <c r="P838" s="4"/>
    </row>
    <row r="839" spans="16:16" x14ac:dyDescent="0.3">
      <c r="P839" s="4"/>
    </row>
    <row r="840" spans="16:16" x14ac:dyDescent="0.3">
      <c r="P840" s="4"/>
    </row>
    <row r="841" spans="16:16" x14ac:dyDescent="0.3">
      <c r="P841" s="4"/>
    </row>
    <row r="842" spans="16:16" x14ac:dyDescent="0.3">
      <c r="P842" s="4"/>
    </row>
    <row r="843" spans="16:16" x14ac:dyDescent="0.3">
      <c r="P843" s="4"/>
    </row>
    <row r="844" spans="16:16" x14ac:dyDescent="0.3">
      <c r="P844" s="4"/>
    </row>
    <row r="845" spans="16:16" x14ac:dyDescent="0.3">
      <c r="P845" s="4"/>
    </row>
    <row r="846" spans="16:16" x14ac:dyDescent="0.3">
      <c r="P846" s="4"/>
    </row>
    <row r="847" spans="16:16" x14ac:dyDescent="0.3">
      <c r="P847" s="4"/>
    </row>
    <row r="848" spans="16:16" x14ac:dyDescent="0.3">
      <c r="P848" s="4"/>
    </row>
    <row r="849" spans="16:16" x14ac:dyDescent="0.3">
      <c r="P849" s="4"/>
    </row>
    <row r="850" spans="16:16" x14ac:dyDescent="0.3">
      <c r="P850" s="4"/>
    </row>
    <row r="851" spans="16:16" x14ac:dyDescent="0.3">
      <c r="P851" s="4"/>
    </row>
    <row r="852" spans="16:16" x14ac:dyDescent="0.3">
      <c r="P852" s="4"/>
    </row>
    <row r="853" spans="16:16" x14ac:dyDescent="0.3">
      <c r="P853" s="4"/>
    </row>
    <row r="854" spans="16:16" x14ac:dyDescent="0.3">
      <c r="P854" s="4"/>
    </row>
    <row r="855" spans="16:16" x14ac:dyDescent="0.3">
      <c r="P855" s="4"/>
    </row>
    <row r="856" spans="16:16" x14ac:dyDescent="0.3">
      <c r="P856" s="4"/>
    </row>
    <row r="857" spans="16:16" x14ac:dyDescent="0.3">
      <c r="P857" s="4"/>
    </row>
    <row r="858" spans="16:16" x14ac:dyDescent="0.3">
      <c r="P858" s="4"/>
    </row>
    <row r="859" spans="16:16" x14ac:dyDescent="0.3">
      <c r="P859" s="4"/>
    </row>
    <row r="860" spans="16:16" x14ac:dyDescent="0.3">
      <c r="P860" s="4"/>
    </row>
    <row r="861" spans="16:16" x14ac:dyDescent="0.3">
      <c r="P861" s="4"/>
    </row>
    <row r="862" spans="16:16" x14ac:dyDescent="0.3">
      <c r="P862" s="4"/>
    </row>
    <row r="863" spans="16:16" x14ac:dyDescent="0.3">
      <c r="P863" s="4"/>
    </row>
    <row r="864" spans="16:16" x14ac:dyDescent="0.3">
      <c r="P864" s="4"/>
    </row>
    <row r="865" spans="16:16" x14ac:dyDescent="0.3">
      <c r="P865" s="4"/>
    </row>
    <row r="866" spans="16:16" x14ac:dyDescent="0.3">
      <c r="P866" s="4"/>
    </row>
    <row r="867" spans="16:16" x14ac:dyDescent="0.3">
      <c r="P867" s="4"/>
    </row>
    <row r="868" spans="16:16" x14ac:dyDescent="0.3">
      <c r="P868" s="4"/>
    </row>
    <row r="869" spans="16:16" x14ac:dyDescent="0.3">
      <c r="P869" s="4"/>
    </row>
    <row r="870" spans="16:16" x14ac:dyDescent="0.3">
      <c r="P870" s="4"/>
    </row>
    <row r="871" spans="16:16" x14ac:dyDescent="0.3">
      <c r="P871" s="4"/>
    </row>
    <row r="872" spans="16:16" x14ac:dyDescent="0.3">
      <c r="P872" s="4"/>
    </row>
    <row r="873" spans="16:16" x14ac:dyDescent="0.3">
      <c r="P873" s="4"/>
    </row>
    <row r="874" spans="16:16" x14ac:dyDescent="0.3">
      <c r="P874" s="4"/>
    </row>
    <row r="875" spans="16:16" x14ac:dyDescent="0.3">
      <c r="P875" s="4"/>
    </row>
    <row r="876" spans="16:16" x14ac:dyDescent="0.3">
      <c r="P876" s="4"/>
    </row>
    <row r="877" spans="16:16" x14ac:dyDescent="0.3">
      <c r="P877" s="4"/>
    </row>
    <row r="878" spans="16:16" x14ac:dyDescent="0.3">
      <c r="P878" s="4"/>
    </row>
    <row r="879" spans="16:16" x14ac:dyDescent="0.3">
      <c r="P879" s="4"/>
    </row>
    <row r="880" spans="16:16" x14ac:dyDescent="0.3">
      <c r="P880" s="4"/>
    </row>
    <row r="881" spans="16:16" x14ac:dyDescent="0.3">
      <c r="P881" s="4"/>
    </row>
    <row r="882" spans="16:16" x14ac:dyDescent="0.3">
      <c r="P882" s="4"/>
    </row>
    <row r="883" spans="16:16" x14ac:dyDescent="0.3">
      <c r="P883" s="4"/>
    </row>
    <row r="884" spans="16:16" x14ac:dyDescent="0.3">
      <c r="P884" s="4"/>
    </row>
    <row r="885" spans="16:16" x14ac:dyDescent="0.3">
      <c r="P885" s="4"/>
    </row>
    <row r="886" spans="16:16" x14ac:dyDescent="0.3">
      <c r="P886" s="4"/>
    </row>
    <row r="887" spans="16:16" x14ac:dyDescent="0.3">
      <c r="P887" s="4"/>
    </row>
    <row r="888" spans="16:16" x14ac:dyDescent="0.3">
      <c r="P888" s="4"/>
    </row>
    <row r="889" spans="16:16" x14ac:dyDescent="0.3">
      <c r="P889" s="4"/>
    </row>
    <row r="890" spans="16:16" x14ac:dyDescent="0.3">
      <c r="P890" s="4"/>
    </row>
    <row r="891" spans="16:16" x14ac:dyDescent="0.3">
      <c r="P891" s="4"/>
    </row>
    <row r="892" spans="16:16" x14ac:dyDescent="0.3">
      <c r="P892" s="4"/>
    </row>
    <row r="893" spans="16:16" x14ac:dyDescent="0.3">
      <c r="P893" s="4"/>
    </row>
    <row r="894" spans="16:16" x14ac:dyDescent="0.3">
      <c r="P894" s="4"/>
    </row>
    <row r="895" spans="16:16" x14ac:dyDescent="0.3">
      <c r="P895" s="4"/>
    </row>
    <row r="896" spans="16:16" x14ac:dyDescent="0.3">
      <c r="P896" s="4"/>
    </row>
    <row r="897" spans="16:16" x14ac:dyDescent="0.3">
      <c r="P897" s="4"/>
    </row>
    <row r="898" spans="16:16" x14ac:dyDescent="0.3">
      <c r="P898" s="4"/>
    </row>
    <row r="899" spans="16:16" x14ac:dyDescent="0.3">
      <c r="P899" s="4"/>
    </row>
    <row r="900" spans="16:16" x14ac:dyDescent="0.3">
      <c r="P900" s="4"/>
    </row>
    <row r="901" spans="16:16" x14ac:dyDescent="0.3">
      <c r="P901" s="4"/>
    </row>
    <row r="902" spans="16:16" x14ac:dyDescent="0.3">
      <c r="P902" s="4"/>
    </row>
    <row r="903" spans="16:16" x14ac:dyDescent="0.3">
      <c r="P903" s="4"/>
    </row>
    <row r="904" spans="16:16" x14ac:dyDescent="0.3">
      <c r="P904" s="4"/>
    </row>
    <row r="905" spans="16:16" x14ac:dyDescent="0.3">
      <c r="P905" s="4"/>
    </row>
    <row r="906" spans="16:16" x14ac:dyDescent="0.3">
      <c r="P906" s="4"/>
    </row>
    <row r="907" spans="16:16" x14ac:dyDescent="0.3">
      <c r="P907" s="4"/>
    </row>
    <row r="908" spans="16:16" x14ac:dyDescent="0.3">
      <c r="P908" s="4"/>
    </row>
    <row r="909" spans="16:16" x14ac:dyDescent="0.3">
      <c r="P909" s="4"/>
    </row>
    <row r="910" spans="16:16" x14ac:dyDescent="0.3">
      <c r="P910" s="4"/>
    </row>
    <row r="911" spans="16:16" x14ac:dyDescent="0.3">
      <c r="P911" s="4"/>
    </row>
    <row r="912" spans="16:16" x14ac:dyDescent="0.3">
      <c r="P912" s="4"/>
    </row>
    <row r="913" spans="16:16" x14ac:dyDescent="0.3">
      <c r="P913" s="4"/>
    </row>
    <row r="914" spans="16:16" x14ac:dyDescent="0.3">
      <c r="P914" s="4"/>
    </row>
    <row r="915" spans="16:16" x14ac:dyDescent="0.3">
      <c r="P915" s="4"/>
    </row>
    <row r="916" spans="16:16" x14ac:dyDescent="0.3">
      <c r="P916" s="4"/>
    </row>
    <row r="917" spans="16:16" x14ac:dyDescent="0.3">
      <c r="P917" s="4"/>
    </row>
    <row r="918" spans="16:16" x14ac:dyDescent="0.3">
      <c r="P918" s="4"/>
    </row>
    <row r="919" spans="16:16" x14ac:dyDescent="0.3">
      <c r="P919" s="4"/>
    </row>
    <row r="920" spans="16:16" x14ac:dyDescent="0.3">
      <c r="P920" s="4"/>
    </row>
    <row r="921" spans="16:16" x14ac:dyDescent="0.3">
      <c r="P921" s="4"/>
    </row>
    <row r="922" spans="16:16" x14ac:dyDescent="0.3">
      <c r="P922" s="4"/>
    </row>
    <row r="923" spans="16:16" x14ac:dyDescent="0.3">
      <c r="P923" s="4"/>
    </row>
    <row r="924" spans="16:16" x14ac:dyDescent="0.3">
      <c r="P924" s="4"/>
    </row>
    <row r="925" spans="16:16" x14ac:dyDescent="0.3">
      <c r="P925" s="4"/>
    </row>
    <row r="926" spans="16:16" x14ac:dyDescent="0.3">
      <c r="P926" s="4"/>
    </row>
    <row r="927" spans="16:16" x14ac:dyDescent="0.3">
      <c r="P927" s="4"/>
    </row>
    <row r="928" spans="16:16" x14ac:dyDescent="0.3">
      <c r="P928" s="4"/>
    </row>
    <row r="929" spans="16:16" x14ac:dyDescent="0.3">
      <c r="P929" s="4"/>
    </row>
    <row r="930" spans="16:16" x14ac:dyDescent="0.3">
      <c r="P930" s="4"/>
    </row>
    <row r="931" spans="16:16" x14ac:dyDescent="0.3">
      <c r="P931" s="4"/>
    </row>
    <row r="932" spans="16:16" x14ac:dyDescent="0.3">
      <c r="P932" s="4"/>
    </row>
    <row r="933" spans="16:16" x14ac:dyDescent="0.3">
      <c r="P933" s="4"/>
    </row>
    <row r="934" spans="16:16" x14ac:dyDescent="0.3">
      <c r="P934" s="4"/>
    </row>
    <row r="935" spans="16:16" x14ac:dyDescent="0.3">
      <c r="P935" s="4"/>
    </row>
    <row r="936" spans="16:16" x14ac:dyDescent="0.3">
      <c r="P936" s="4"/>
    </row>
    <row r="937" spans="16:16" x14ac:dyDescent="0.3">
      <c r="P937" s="4"/>
    </row>
    <row r="938" spans="16:16" x14ac:dyDescent="0.3">
      <c r="P938" s="4"/>
    </row>
    <row r="939" spans="16:16" x14ac:dyDescent="0.3">
      <c r="P939" s="4"/>
    </row>
    <row r="940" spans="16:16" x14ac:dyDescent="0.3">
      <c r="P940" s="4"/>
    </row>
    <row r="941" spans="16:16" x14ac:dyDescent="0.3">
      <c r="P941" s="4"/>
    </row>
    <row r="942" spans="16:16" x14ac:dyDescent="0.3">
      <c r="P942" s="4"/>
    </row>
    <row r="943" spans="16:16" x14ac:dyDescent="0.3">
      <c r="P943" s="4"/>
    </row>
    <row r="944" spans="16:16" x14ac:dyDescent="0.3">
      <c r="P944" s="4"/>
    </row>
    <row r="945" spans="16:16" x14ac:dyDescent="0.3">
      <c r="P945" s="4"/>
    </row>
    <row r="946" spans="16:16" x14ac:dyDescent="0.3">
      <c r="P946" s="4"/>
    </row>
    <row r="947" spans="16:16" x14ac:dyDescent="0.3">
      <c r="P947" s="4"/>
    </row>
    <row r="948" spans="16:16" x14ac:dyDescent="0.3">
      <c r="P948" s="4"/>
    </row>
    <row r="949" spans="16:16" x14ac:dyDescent="0.3">
      <c r="P949" s="4"/>
    </row>
    <row r="950" spans="16:16" x14ac:dyDescent="0.3">
      <c r="P950" s="4"/>
    </row>
    <row r="951" spans="16:16" x14ac:dyDescent="0.3">
      <c r="P951" s="4"/>
    </row>
    <row r="952" spans="16:16" x14ac:dyDescent="0.3">
      <c r="P952" s="4"/>
    </row>
    <row r="953" spans="16:16" x14ac:dyDescent="0.3">
      <c r="P953" s="4"/>
    </row>
    <row r="954" spans="16:16" x14ac:dyDescent="0.3">
      <c r="P954" s="4"/>
    </row>
    <row r="955" spans="16:16" x14ac:dyDescent="0.3">
      <c r="P955" s="4"/>
    </row>
    <row r="956" spans="16:16" x14ac:dyDescent="0.3">
      <c r="P956" s="4"/>
    </row>
    <row r="957" spans="16:16" x14ac:dyDescent="0.3">
      <c r="P957" s="4"/>
    </row>
    <row r="958" spans="16:16" x14ac:dyDescent="0.3">
      <c r="P958" s="4"/>
    </row>
    <row r="959" spans="16:16" x14ac:dyDescent="0.3">
      <c r="P959" s="4"/>
    </row>
    <row r="960" spans="16:16" x14ac:dyDescent="0.3">
      <c r="P960" s="4"/>
    </row>
    <row r="961" spans="16:16" x14ac:dyDescent="0.3">
      <c r="P961" s="4"/>
    </row>
    <row r="962" spans="16:16" x14ac:dyDescent="0.3">
      <c r="P962" s="4"/>
    </row>
    <row r="963" spans="16:16" x14ac:dyDescent="0.3">
      <c r="P963" s="4"/>
    </row>
    <row r="964" spans="16:16" x14ac:dyDescent="0.3">
      <c r="P964" s="4"/>
    </row>
    <row r="965" spans="16:16" x14ac:dyDescent="0.3">
      <c r="P965" s="4"/>
    </row>
    <row r="966" spans="16:16" x14ac:dyDescent="0.3">
      <c r="P966" s="4"/>
    </row>
    <row r="967" spans="16:16" x14ac:dyDescent="0.3">
      <c r="P967" s="4"/>
    </row>
    <row r="968" spans="16:16" x14ac:dyDescent="0.3">
      <c r="P968" s="4"/>
    </row>
    <row r="969" spans="16:16" x14ac:dyDescent="0.3">
      <c r="P969" s="4"/>
    </row>
    <row r="970" spans="16:16" x14ac:dyDescent="0.3">
      <c r="P970" s="4"/>
    </row>
    <row r="971" spans="16:16" x14ac:dyDescent="0.3">
      <c r="P971" s="4"/>
    </row>
    <row r="972" spans="16:16" x14ac:dyDescent="0.3">
      <c r="P972" s="4"/>
    </row>
    <row r="973" spans="16:16" x14ac:dyDescent="0.3">
      <c r="P973" s="4"/>
    </row>
    <row r="974" spans="16:16" x14ac:dyDescent="0.3">
      <c r="P974" s="4"/>
    </row>
    <row r="975" spans="16:16" x14ac:dyDescent="0.3">
      <c r="P975" s="4"/>
    </row>
    <row r="976" spans="16:16" x14ac:dyDescent="0.3">
      <c r="P976" s="4"/>
    </row>
    <row r="977" spans="16:16" x14ac:dyDescent="0.3">
      <c r="P977" s="4"/>
    </row>
    <row r="978" spans="16:16" x14ac:dyDescent="0.3">
      <c r="P978" s="4"/>
    </row>
    <row r="979" spans="16:16" x14ac:dyDescent="0.3">
      <c r="P979" s="4"/>
    </row>
    <row r="980" spans="16:16" x14ac:dyDescent="0.3">
      <c r="P980" s="4"/>
    </row>
    <row r="981" spans="16:16" x14ac:dyDescent="0.3">
      <c r="P981" s="4"/>
    </row>
    <row r="982" spans="16:16" x14ac:dyDescent="0.3">
      <c r="P982" s="4"/>
    </row>
    <row r="983" spans="16:16" x14ac:dyDescent="0.3">
      <c r="P983" s="4"/>
    </row>
    <row r="984" spans="16:16" x14ac:dyDescent="0.3">
      <c r="P984" s="4"/>
    </row>
    <row r="985" spans="16:16" x14ac:dyDescent="0.3">
      <c r="P985" s="4"/>
    </row>
    <row r="986" spans="16:16" x14ac:dyDescent="0.3">
      <c r="P986" s="4"/>
    </row>
    <row r="987" spans="16:16" x14ac:dyDescent="0.3">
      <c r="P987" s="4"/>
    </row>
    <row r="988" spans="16:16" x14ac:dyDescent="0.3">
      <c r="P988" s="4"/>
    </row>
    <row r="989" spans="16:16" x14ac:dyDescent="0.3">
      <c r="P989" s="4"/>
    </row>
    <row r="990" spans="16:16" x14ac:dyDescent="0.3">
      <c r="P990" s="4"/>
    </row>
    <row r="991" spans="16:16" x14ac:dyDescent="0.3">
      <c r="P991" s="4"/>
    </row>
    <row r="992" spans="16:16" x14ac:dyDescent="0.3">
      <c r="P992" s="4"/>
    </row>
    <row r="993" spans="16:16" x14ac:dyDescent="0.3">
      <c r="P993" s="4"/>
    </row>
    <row r="994" spans="16:16" x14ac:dyDescent="0.3">
      <c r="P994" s="4"/>
    </row>
    <row r="995" spans="16:16" x14ac:dyDescent="0.3">
      <c r="P995" s="4"/>
    </row>
    <row r="996" spans="16:16" x14ac:dyDescent="0.3">
      <c r="P996" s="4"/>
    </row>
    <row r="997" spans="16:16" x14ac:dyDescent="0.3">
      <c r="P997" s="4"/>
    </row>
    <row r="998" spans="16:16" x14ac:dyDescent="0.3">
      <c r="P998" s="4"/>
    </row>
    <row r="999" spans="16:16" x14ac:dyDescent="0.3">
      <c r="P999" s="4"/>
    </row>
    <row r="1000" spans="16:16" x14ac:dyDescent="0.3">
      <c r="P1000" s="4"/>
    </row>
  </sheetData>
  <autoFilter ref="A1:V1000" xr:uid="{00000000-0009-0000-0000-000004000000}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error="Используйте значение из выпадающего списка" prompt="Выберите значение из списка" xr:uid="{00000000-0002-0000-0400-000000000000}">
          <x14:formula1>
            <xm:f>DICTIONARIES!$A$2:$A$17</xm:f>
          </x14:formula1>
          <xm:sqref>D2:D1000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400-000001000000}">
          <x14:formula1>
            <xm:f>DICTIONARIES!$B$2:$B$7</xm:f>
          </x14:formula1>
          <xm:sqref>F2:F1000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400-000002000000}">
          <x14:formula1>
            <xm:f>DICTIONARIES!$C$2:$C$15</xm:f>
          </x14:formula1>
          <xm:sqref>G2:G1000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400-000003000000}">
          <x14:formula1>
            <xm:f>DICTIONARIES!$F$2:$F$8</xm:f>
          </x14:formula1>
          <xm:sqref>H2:H1000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400-000004000000}">
          <x14:formula1>
            <xm:f>DICTIONARIES!$E$2:$E$5</xm:f>
          </x14:formula1>
          <xm:sqref>J2:J1000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400-000005000000}">
          <x14:formula1>
            <xm:f>DICTIONARIES!$D$2:$D$4</xm:f>
          </x14:formula1>
          <xm:sqref>K2:K1000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400-000006000000}">
          <x14:formula1>
            <xm:f>DICTIONARIES!$G$2:$G$3</xm:f>
          </x14:formula1>
          <xm:sqref>M2:N1000</xm:sqref>
        </x14:dataValidation>
        <x14:dataValidation type="list" allowBlank="1" xr:uid="{00000000-0002-0000-0400-000008000000}">
          <x14:formula1>
            <xm:f>DICTIONARIES!$G$2:$G$3</xm:f>
          </x14:formula1>
          <xm:sqref>P2:P1000</xm:sqref>
        </x14:dataValidation>
        <x14:dataValidation type="list" allowBlank="1" xr:uid="{00000000-0002-0000-0400-000009000000}">
          <x14:formula1>
            <xm:f>DICTIONARIES!$AY$2:$AY$5</xm:f>
          </x14:formula1>
          <xm:sqref>Q2:Q1000</xm:sqref>
        </x14:dataValidation>
        <x14:dataValidation type="list" allowBlank="1" xr:uid="{00000000-0002-0000-0400-00000A000000}">
          <x14:formula1>
            <xm:f>DICTIONARIES!$AP$2:$AP$4</xm:f>
          </x14:formula1>
          <xm:sqref>T2:T1000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50"/>
  <sheetViews>
    <sheetView workbookViewId="0"/>
  </sheetViews>
  <sheetFormatPr defaultRowHeight="14.4" x14ac:dyDescent="0.3"/>
  <cols>
    <col min="1" max="1" width="18" customWidth="1"/>
    <col min="2" max="2" width="16" customWidth="1"/>
    <col min="3" max="3" width="18" customWidth="1"/>
    <col min="4" max="4" width="20" customWidth="1"/>
    <col min="5" max="5" width="12" customWidth="1"/>
    <col min="6" max="6" width="14" customWidth="1"/>
    <col min="7" max="8" width="18" customWidth="1"/>
    <col min="9" max="10" width="10" customWidth="1"/>
    <col min="11" max="11" width="36" customWidth="1"/>
  </cols>
  <sheetData>
    <row r="1" spans="1:11" ht="28.8" x14ac:dyDescent="0.3">
      <c r="A1" s="3" t="s">
        <v>467</v>
      </c>
      <c r="B1" s="3" t="s">
        <v>424</v>
      </c>
      <c r="C1" s="3" t="s">
        <v>468</v>
      </c>
      <c r="D1" s="3" t="s">
        <v>469</v>
      </c>
      <c r="E1" s="3" t="s">
        <v>470</v>
      </c>
      <c r="F1" s="3" t="s">
        <v>471</v>
      </c>
      <c r="G1" s="3" t="s">
        <v>472</v>
      </c>
      <c r="H1" s="3" t="s">
        <v>473</v>
      </c>
      <c r="I1" s="3" t="s">
        <v>474</v>
      </c>
      <c r="J1" s="3" t="s">
        <v>436</v>
      </c>
      <c r="K1" s="3" t="s">
        <v>116</v>
      </c>
    </row>
    <row r="2" spans="1:11" ht="28.8" x14ac:dyDescent="0.3">
      <c r="A2" s="5" t="s">
        <v>475</v>
      </c>
      <c r="B2" s="5" t="s">
        <v>444</v>
      </c>
      <c r="C2" s="5" t="s">
        <v>284</v>
      </c>
      <c r="D2" s="5" t="s">
        <v>243</v>
      </c>
      <c r="E2" s="8">
        <v>1.2</v>
      </c>
      <c r="F2" s="8">
        <v>1</v>
      </c>
      <c r="G2" s="6"/>
      <c r="H2" s="9"/>
      <c r="I2" s="5" t="s">
        <v>255</v>
      </c>
      <c r="J2" s="5" t="s">
        <v>245</v>
      </c>
      <c r="K2" s="5" t="s">
        <v>476</v>
      </c>
    </row>
    <row r="3" spans="1:11" ht="28.8" x14ac:dyDescent="0.3">
      <c r="A3" s="5" t="s">
        <v>477</v>
      </c>
      <c r="B3" s="5" t="s">
        <v>444</v>
      </c>
      <c r="C3" s="5" t="s">
        <v>323</v>
      </c>
      <c r="D3" s="5" t="s">
        <v>243</v>
      </c>
      <c r="E3" s="8">
        <v>0.9</v>
      </c>
      <c r="F3" s="8">
        <v>1</v>
      </c>
      <c r="G3" s="6"/>
      <c r="H3" s="9"/>
      <c r="I3" s="5" t="s">
        <v>255</v>
      </c>
      <c r="J3" s="5" t="s">
        <v>245</v>
      </c>
      <c r="K3" s="5"/>
    </row>
    <row r="4" spans="1:11" x14ac:dyDescent="0.3">
      <c r="A4" s="5" t="s">
        <v>478</v>
      </c>
      <c r="B4" s="5" t="s">
        <v>451</v>
      </c>
      <c r="C4" s="5" t="s">
        <v>243</v>
      </c>
      <c r="D4" s="5" t="s">
        <v>243</v>
      </c>
      <c r="E4" s="8">
        <v>1</v>
      </c>
      <c r="F4" s="8">
        <v>1</v>
      </c>
      <c r="G4" s="6"/>
      <c r="H4" s="9"/>
      <c r="I4" s="5" t="s">
        <v>245</v>
      </c>
      <c r="J4" s="5" t="s">
        <v>245</v>
      </c>
      <c r="K4" s="5" t="s">
        <v>316</v>
      </c>
    </row>
    <row r="5" spans="1:11" x14ac:dyDescent="0.3">
      <c r="A5" s="5" t="s">
        <v>479</v>
      </c>
      <c r="B5" s="5" t="s">
        <v>451</v>
      </c>
      <c r="C5" s="5" t="s">
        <v>284</v>
      </c>
      <c r="D5" s="5" t="s">
        <v>243</v>
      </c>
      <c r="E5" s="8">
        <v>1.25</v>
      </c>
      <c r="F5" s="8">
        <v>1</v>
      </c>
      <c r="G5" s="6"/>
      <c r="H5" s="9"/>
      <c r="I5" s="5" t="s">
        <v>255</v>
      </c>
      <c r="J5" s="5" t="s">
        <v>245</v>
      </c>
      <c r="K5" s="5" t="s">
        <v>480</v>
      </c>
    </row>
    <row r="6" spans="1:11" ht="28.8" x14ac:dyDescent="0.3">
      <c r="A6" s="5" t="s">
        <v>481</v>
      </c>
      <c r="B6" s="5" t="s">
        <v>451</v>
      </c>
      <c r="C6" s="5" t="s">
        <v>323</v>
      </c>
      <c r="D6" s="5" t="s">
        <v>243</v>
      </c>
      <c r="E6" s="8">
        <v>0.85</v>
      </c>
      <c r="F6" s="8">
        <v>1</v>
      </c>
      <c r="G6" s="6"/>
      <c r="H6" s="9"/>
      <c r="I6" s="5" t="s">
        <v>255</v>
      </c>
      <c r="J6" s="5" t="s">
        <v>245</v>
      </c>
      <c r="K6" s="5" t="s">
        <v>480</v>
      </c>
    </row>
    <row r="7" spans="1:11" x14ac:dyDescent="0.3">
      <c r="A7" s="5" t="s">
        <v>482</v>
      </c>
      <c r="B7" s="5" t="s">
        <v>451</v>
      </c>
      <c r="C7" s="5" t="s">
        <v>284</v>
      </c>
      <c r="D7" s="5" t="s">
        <v>483</v>
      </c>
      <c r="E7" s="8">
        <v>1.25</v>
      </c>
      <c r="F7" s="8">
        <v>1.1499999999999999</v>
      </c>
      <c r="G7" s="6"/>
      <c r="H7" s="9"/>
      <c r="I7" s="5" t="s">
        <v>255</v>
      </c>
      <c r="J7" s="5" t="s">
        <v>245</v>
      </c>
      <c r="K7" s="5" t="s">
        <v>484</v>
      </c>
    </row>
    <row r="8" spans="1:11" x14ac:dyDescent="0.3">
      <c r="A8" s="1"/>
      <c r="B8" s="1"/>
      <c r="C8" s="1"/>
      <c r="D8" s="1"/>
      <c r="E8" s="10"/>
      <c r="F8" s="10"/>
      <c r="G8" s="7"/>
      <c r="H8" s="7"/>
      <c r="I8" s="1"/>
      <c r="J8" s="1"/>
      <c r="K8" s="1"/>
    </row>
    <row r="9" spans="1:11" x14ac:dyDescent="0.3">
      <c r="A9" s="1"/>
      <c r="B9" s="1"/>
      <c r="C9" s="1"/>
      <c r="D9" s="1"/>
      <c r="E9" s="10"/>
      <c r="F9" s="10"/>
      <c r="G9" s="7"/>
      <c r="H9" s="7"/>
      <c r="I9" s="1"/>
      <c r="J9" s="1"/>
      <c r="K9" s="1"/>
    </row>
    <row r="10" spans="1:11" x14ac:dyDescent="0.3">
      <c r="A10" s="1"/>
      <c r="B10" s="1"/>
      <c r="C10" s="1"/>
      <c r="D10" s="1"/>
      <c r="E10" s="10"/>
      <c r="F10" s="10"/>
      <c r="G10" s="7"/>
      <c r="H10" s="7"/>
      <c r="I10" s="1"/>
      <c r="J10" s="1"/>
      <c r="K10" s="1"/>
    </row>
    <row r="11" spans="1:11" x14ac:dyDescent="0.3">
      <c r="A11" s="1"/>
      <c r="B11" s="1"/>
      <c r="C11" s="1"/>
      <c r="D11" s="1"/>
      <c r="E11" s="10"/>
      <c r="F11" s="10"/>
      <c r="G11" s="7"/>
      <c r="H11" s="7"/>
      <c r="I11" s="1"/>
      <c r="J11" s="1"/>
      <c r="K11" s="1"/>
    </row>
    <row r="12" spans="1:11" x14ac:dyDescent="0.3">
      <c r="A12" s="1"/>
      <c r="B12" s="1"/>
      <c r="C12" s="1"/>
      <c r="D12" s="1"/>
      <c r="E12" s="10"/>
      <c r="F12" s="10"/>
      <c r="G12" s="7"/>
      <c r="H12" s="7"/>
      <c r="I12" s="1"/>
      <c r="J12" s="1"/>
      <c r="K12" s="1"/>
    </row>
    <row r="13" spans="1:11" x14ac:dyDescent="0.3">
      <c r="A13" s="1"/>
      <c r="B13" s="1"/>
      <c r="C13" s="1"/>
      <c r="D13" s="1"/>
      <c r="E13" s="10"/>
      <c r="F13" s="10"/>
      <c r="G13" s="7"/>
      <c r="H13" s="7"/>
      <c r="I13" s="1"/>
      <c r="J13" s="1"/>
      <c r="K13" s="1"/>
    </row>
    <row r="14" spans="1:11" x14ac:dyDescent="0.3">
      <c r="A14" s="1"/>
      <c r="B14" s="1"/>
      <c r="C14" s="1"/>
      <c r="D14" s="1"/>
      <c r="E14" s="10"/>
      <c r="F14" s="10"/>
      <c r="G14" s="7"/>
      <c r="H14" s="7"/>
      <c r="I14" s="1"/>
      <c r="J14" s="1"/>
      <c r="K14" s="1"/>
    </row>
    <row r="15" spans="1:11" x14ac:dyDescent="0.3">
      <c r="A15" s="1"/>
      <c r="B15" s="1"/>
      <c r="C15" s="1"/>
      <c r="D15" s="1"/>
      <c r="E15" s="10"/>
      <c r="F15" s="10"/>
      <c r="G15" s="7"/>
      <c r="H15" s="7"/>
      <c r="I15" s="1"/>
      <c r="J15" s="1"/>
      <c r="K15" s="1"/>
    </row>
    <row r="16" spans="1:11" x14ac:dyDescent="0.3">
      <c r="A16" s="1"/>
      <c r="B16" s="1"/>
      <c r="C16" s="1"/>
      <c r="D16" s="1"/>
      <c r="E16" s="10"/>
      <c r="F16" s="10"/>
      <c r="G16" s="7"/>
      <c r="H16" s="7"/>
      <c r="I16" s="1"/>
      <c r="J16" s="1"/>
      <c r="K16" s="1"/>
    </row>
    <row r="17" spans="1:11" x14ac:dyDescent="0.3">
      <c r="A17" s="1"/>
      <c r="B17" s="1"/>
      <c r="C17" s="1"/>
      <c r="D17" s="1"/>
      <c r="E17" s="10"/>
      <c r="F17" s="10"/>
      <c r="G17" s="7"/>
      <c r="H17" s="7"/>
      <c r="I17" s="1"/>
      <c r="J17" s="1"/>
      <c r="K17" s="1"/>
    </row>
    <row r="18" spans="1:11" x14ac:dyDescent="0.3">
      <c r="A18" s="1"/>
      <c r="B18" s="1"/>
      <c r="C18" s="1"/>
      <c r="D18" s="1"/>
      <c r="E18" s="10"/>
      <c r="F18" s="10"/>
      <c r="G18" s="7"/>
      <c r="H18" s="7"/>
      <c r="I18" s="1"/>
      <c r="J18" s="1"/>
      <c r="K18" s="1"/>
    </row>
    <row r="19" spans="1:11" x14ac:dyDescent="0.3">
      <c r="A19" s="1"/>
      <c r="B19" s="1"/>
      <c r="C19" s="1"/>
      <c r="D19" s="1"/>
      <c r="E19" s="10"/>
      <c r="F19" s="10"/>
      <c r="G19" s="7"/>
      <c r="H19" s="7"/>
      <c r="I19" s="1"/>
      <c r="J19" s="1"/>
      <c r="K19" s="1"/>
    </row>
    <row r="20" spans="1:11" x14ac:dyDescent="0.3">
      <c r="A20" s="1"/>
      <c r="B20" s="1"/>
      <c r="C20" s="1"/>
      <c r="D20" s="1"/>
      <c r="E20" s="10"/>
      <c r="F20" s="10"/>
      <c r="G20" s="7"/>
      <c r="H20" s="7"/>
      <c r="I20" s="1"/>
      <c r="J20" s="1"/>
      <c r="K20" s="1"/>
    </row>
    <row r="21" spans="1:11" x14ac:dyDescent="0.3">
      <c r="A21" s="1"/>
      <c r="B21" s="1"/>
      <c r="C21" s="1"/>
      <c r="D21" s="1"/>
      <c r="E21" s="10"/>
      <c r="F21" s="10"/>
      <c r="G21" s="7"/>
      <c r="H21" s="7"/>
      <c r="I21" s="1"/>
      <c r="J21" s="1"/>
      <c r="K21" s="1"/>
    </row>
    <row r="22" spans="1:11" x14ac:dyDescent="0.3">
      <c r="A22" s="1"/>
      <c r="B22" s="1"/>
      <c r="C22" s="1"/>
      <c r="D22" s="1"/>
      <c r="E22" s="10"/>
      <c r="F22" s="10"/>
      <c r="G22" s="7"/>
      <c r="H22" s="7"/>
      <c r="I22" s="1"/>
      <c r="J22" s="1"/>
      <c r="K22" s="1"/>
    </row>
    <row r="23" spans="1:11" x14ac:dyDescent="0.3">
      <c r="A23" s="1"/>
      <c r="B23" s="1"/>
      <c r="C23" s="1"/>
      <c r="D23" s="1"/>
      <c r="E23" s="10"/>
      <c r="F23" s="10"/>
      <c r="G23" s="7"/>
      <c r="H23" s="7"/>
      <c r="I23" s="1"/>
      <c r="J23" s="1"/>
      <c r="K23" s="1"/>
    </row>
    <row r="24" spans="1:11" x14ac:dyDescent="0.3">
      <c r="A24" s="1"/>
      <c r="B24" s="1"/>
      <c r="C24" s="1"/>
      <c r="D24" s="1"/>
      <c r="E24" s="10"/>
      <c r="F24" s="10"/>
      <c r="G24" s="7"/>
      <c r="H24" s="7"/>
      <c r="I24" s="1"/>
      <c r="J24" s="1"/>
      <c r="K24" s="1"/>
    </row>
    <row r="25" spans="1:11" x14ac:dyDescent="0.3">
      <c r="A25" s="1"/>
      <c r="B25" s="1"/>
      <c r="C25" s="1"/>
      <c r="D25" s="1"/>
      <c r="E25" s="10"/>
      <c r="F25" s="10"/>
      <c r="G25" s="7"/>
      <c r="H25" s="7"/>
      <c r="I25" s="1"/>
      <c r="J25" s="1"/>
      <c r="K25" s="1"/>
    </row>
    <row r="26" spans="1:11" x14ac:dyDescent="0.3">
      <c r="A26" s="1"/>
      <c r="B26" s="1"/>
      <c r="C26" s="1"/>
      <c r="D26" s="1"/>
      <c r="E26" s="10"/>
      <c r="F26" s="10"/>
      <c r="G26" s="7"/>
      <c r="H26" s="7"/>
      <c r="I26" s="1"/>
      <c r="J26" s="1"/>
      <c r="K26" s="1"/>
    </row>
    <row r="27" spans="1:11" x14ac:dyDescent="0.3">
      <c r="A27" s="1"/>
      <c r="B27" s="1"/>
      <c r="C27" s="1"/>
      <c r="D27" s="1"/>
      <c r="E27" s="10"/>
      <c r="F27" s="10"/>
      <c r="G27" s="7"/>
      <c r="H27" s="7"/>
      <c r="I27" s="1"/>
      <c r="J27" s="1"/>
      <c r="K27" s="1"/>
    </row>
    <row r="28" spans="1:11" x14ac:dyDescent="0.3">
      <c r="A28" s="1"/>
      <c r="B28" s="1"/>
      <c r="C28" s="1"/>
      <c r="D28" s="1"/>
      <c r="E28" s="10"/>
      <c r="F28" s="10"/>
      <c r="G28" s="7"/>
      <c r="H28" s="7"/>
      <c r="I28" s="1"/>
      <c r="J28" s="1"/>
      <c r="K28" s="1"/>
    </row>
    <row r="29" spans="1:11" x14ac:dyDescent="0.3">
      <c r="A29" s="1"/>
      <c r="B29" s="1"/>
      <c r="C29" s="1"/>
      <c r="D29" s="1"/>
      <c r="E29" s="10"/>
      <c r="F29" s="10"/>
      <c r="G29" s="7"/>
      <c r="H29" s="7"/>
      <c r="I29" s="1"/>
      <c r="J29" s="1"/>
      <c r="K29" s="1"/>
    </row>
    <row r="30" spans="1:11" x14ac:dyDescent="0.3">
      <c r="A30" s="1"/>
      <c r="B30" s="1"/>
      <c r="C30" s="1"/>
      <c r="D30" s="1"/>
      <c r="E30" s="10"/>
      <c r="F30" s="10"/>
      <c r="G30" s="7"/>
      <c r="H30" s="7"/>
      <c r="I30" s="1"/>
      <c r="J30" s="1"/>
      <c r="K30" s="1"/>
    </row>
    <row r="31" spans="1:11" x14ac:dyDescent="0.3">
      <c r="A31" s="1"/>
      <c r="B31" s="1"/>
      <c r="C31" s="1"/>
      <c r="D31" s="1"/>
      <c r="E31" s="10"/>
      <c r="F31" s="10"/>
      <c r="G31" s="7"/>
      <c r="H31" s="7"/>
      <c r="I31" s="1"/>
      <c r="J31" s="1"/>
      <c r="K31" s="1"/>
    </row>
    <row r="32" spans="1:11" x14ac:dyDescent="0.3">
      <c r="A32" s="1"/>
      <c r="B32" s="1"/>
      <c r="C32" s="1"/>
      <c r="D32" s="1"/>
      <c r="E32" s="10"/>
      <c r="F32" s="10"/>
      <c r="G32" s="7"/>
      <c r="H32" s="7"/>
      <c r="I32" s="1"/>
      <c r="J32" s="1"/>
      <c r="K32" s="1"/>
    </row>
    <row r="33" spans="1:11" x14ac:dyDescent="0.3">
      <c r="A33" s="1"/>
      <c r="B33" s="1"/>
      <c r="C33" s="1"/>
      <c r="D33" s="1"/>
      <c r="E33" s="10"/>
      <c r="F33" s="10"/>
      <c r="G33" s="7"/>
      <c r="H33" s="7"/>
      <c r="I33" s="1"/>
      <c r="J33" s="1"/>
      <c r="K33" s="1"/>
    </row>
    <row r="34" spans="1:11" x14ac:dyDescent="0.3">
      <c r="A34" s="1"/>
      <c r="B34" s="1"/>
      <c r="C34" s="1"/>
      <c r="D34" s="1"/>
      <c r="E34" s="10"/>
      <c r="F34" s="10"/>
      <c r="G34" s="7"/>
      <c r="H34" s="7"/>
      <c r="I34" s="1"/>
      <c r="J34" s="1"/>
      <c r="K34" s="1"/>
    </row>
    <row r="35" spans="1:11" x14ac:dyDescent="0.3">
      <c r="A35" s="1"/>
      <c r="B35" s="1"/>
      <c r="C35" s="1"/>
      <c r="D35" s="1"/>
      <c r="E35" s="10"/>
      <c r="F35" s="10"/>
      <c r="G35" s="7"/>
      <c r="H35" s="7"/>
      <c r="I35" s="1"/>
      <c r="J35" s="1"/>
      <c r="K35" s="1"/>
    </row>
    <row r="36" spans="1:11" x14ac:dyDescent="0.3">
      <c r="A36" s="1"/>
      <c r="B36" s="1"/>
      <c r="C36" s="1"/>
      <c r="D36" s="1"/>
      <c r="E36" s="10"/>
      <c r="F36" s="10"/>
      <c r="G36" s="7"/>
      <c r="H36" s="7"/>
      <c r="I36" s="1"/>
      <c r="J36" s="1"/>
      <c r="K36" s="1"/>
    </row>
    <row r="37" spans="1:11" x14ac:dyDescent="0.3">
      <c r="A37" s="1"/>
      <c r="B37" s="1"/>
      <c r="C37" s="1"/>
      <c r="D37" s="1"/>
      <c r="E37" s="10"/>
      <c r="F37" s="10"/>
      <c r="G37" s="7"/>
      <c r="H37" s="7"/>
      <c r="I37" s="1"/>
      <c r="J37" s="1"/>
      <c r="K37" s="1"/>
    </row>
    <row r="38" spans="1:11" x14ac:dyDescent="0.3">
      <c r="A38" s="1"/>
      <c r="B38" s="1"/>
      <c r="C38" s="1"/>
      <c r="D38" s="1"/>
      <c r="E38" s="10"/>
      <c r="F38" s="10"/>
      <c r="G38" s="7"/>
      <c r="H38" s="7"/>
      <c r="I38" s="1"/>
      <c r="J38" s="1"/>
      <c r="K38" s="1"/>
    </row>
    <row r="39" spans="1:11" x14ac:dyDescent="0.3">
      <c r="A39" s="1"/>
      <c r="B39" s="1"/>
      <c r="C39" s="1"/>
      <c r="D39" s="1"/>
      <c r="E39" s="10"/>
      <c r="F39" s="10"/>
      <c r="G39" s="7"/>
      <c r="H39" s="7"/>
      <c r="I39" s="1"/>
      <c r="J39" s="1"/>
      <c r="K39" s="1"/>
    </row>
    <row r="40" spans="1:11" x14ac:dyDescent="0.3">
      <c r="A40" s="1"/>
      <c r="B40" s="1"/>
      <c r="C40" s="1"/>
      <c r="D40" s="1"/>
      <c r="E40" s="10"/>
      <c r="F40" s="10"/>
      <c r="G40" s="7"/>
      <c r="H40" s="7"/>
      <c r="I40" s="1"/>
      <c r="J40" s="1"/>
      <c r="K40" s="1"/>
    </row>
    <row r="41" spans="1:11" x14ac:dyDescent="0.3">
      <c r="A41" s="1"/>
      <c r="B41" s="1"/>
      <c r="C41" s="1"/>
      <c r="D41" s="1"/>
      <c r="E41" s="10"/>
      <c r="F41" s="10"/>
      <c r="G41" s="7"/>
      <c r="H41" s="7"/>
      <c r="I41" s="1"/>
      <c r="J41" s="1"/>
      <c r="K41" s="1"/>
    </row>
    <row r="42" spans="1:11" x14ac:dyDescent="0.3">
      <c r="A42" s="1"/>
      <c r="B42" s="1"/>
      <c r="C42" s="1"/>
      <c r="D42" s="1"/>
      <c r="E42" s="10"/>
      <c r="F42" s="10"/>
      <c r="G42" s="7"/>
      <c r="H42" s="7"/>
      <c r="I42" s="1"/>
      <c r="J42" s="1"/>
      <c r="K42" s="1"/>
    </row>
    <row r="43" spans="1:11" x14ac:dyDescent="0.3">
      <c r="A43" s="1"/>
      <c r="B43" s="1"/>
      <c r="C43" s="1"/>
      <c r="D43" s="1"/>
      <c r="E43" s="10"/>
      <c r="F43" s="10"/>
      <c r="G43" s="7"/>
      <c r="H43" s="7"/>
      <c r="I43" s="1"/>
      <c r="J43" s="1"/>
      <c r="K43" s="1"/>
    </row>
    <row r="44" spans="1:11" x14ac:dyDescent="0.3">
      <c r="A44" s="1"/>
      <c r="B44" s="1"/>
      <c r="C44" s="1"/>
      <c r="D44" s="1"/>
      <c r="E44" s="10"/>
      <c r="F44" s="10"/>
      <c r="G44" s="7"/>
      <c r="H44" s="7"/>
      <c r="I44" s="1"/>
      <c r="J44" s="1"/>
      <c r="K44" s="1"/>
    </row>
    <row r="45" spans="1:11" x14ac:dyDescent="0.3">
      <c r="A45" s="1"/>
      <c r="B45" s="1"/>
      <c r="C45" s="1"/>
      <c r="D45" s="1"/>
      <c r="E45" s="10"/>
      <c r="F45" s="10"/>
      <c r="G45" s="7"/>
      <c r="H45" s="7"/>
      <c r="I45" s="1"/>
      <c r="J45" s="1"/>
      <c r="K45" s="1"/>
    </row>
    <row r="46" spans="1:11" x14ac:dyDescent="0.3">
      <c r="A46" s="1"/>
      <c r="B46" s="1"/>
      <c r="C46" s="1"/>
      <c r="D46" s="1"/>
      <c r="E46" s="10"/>
      <c r="F46" s="10"/>
      <c r="G46" s="7"/>
      <c r="H46" s="7"/>
      <c r="I46" s="1"/>
      <c r="J46" s="1"/>
      <c r="K46" s="1"/>
    </row>
    <row r="47" spans="1:11" x14ac:dyDescent="0.3">
      <c r="A47" s="1"/>
      <c r="B47" s="1"/>
      <c r="C47" s="1"/>
      <c r="D47" s="1"/>
      <c r="E47" s="10"/>
      <c r="F47" s="10"/>
      <c r="G47" s="7"/>
      <c r="H47" s="7"/>
      <c r="I47" s="1"/>
      <c r="J47" s="1"/>
      <c r="K47" s="1"/>
    </row>
    <row r="48" spans="1:11" x14ac:dyDescent="0.3">
      <c r="A48" s="1"/>
      <c r="B48" s="1"/>
      <c r="C48" s="1"/>
      <c r="D48" s="1"/>
      <c r="E48" s="10"/>
      <c r="F48" s="10"/>
      <c r="G48" s="7"/>
      <c r="H48" s="7"/>
      <c r="I48" s="1"/>
      <c r="J48" s="1"/>
      <c r="K48" s="1"/>
    </row>
    <row r="49" spans="1:11" x14ac:dyDescent="0.3">
      <c r="A49" s="1"/>
      <c r="B49" s="1"/>
      <c r="C49" s="1"/>
      <c r="D49" s="1"/>
      <c r="E49" s="10"/>
      <c r="F49" s="10"/>
      <c r="G49" s="7"/>
      <c r="H49" s="7"/>
      <c r="I49" s="1"/>
      <c r="J49" s="1"/>
      <c r="K49" s="1"/>
    </row>
    <row r="50" spans="1:11" x14ac:dyDescent="0.3">
      <c r="A50" s="1"/>
      <c r="B50" s="1"/>
      <c r="C50" s="1"/>
      <c r="D50" s="1"/>
      <c r="E50" s="10"/>
      <c r="F50" s="10"/>
      <c r="G50" s="7"/>
      <c r="H50" s="7"/>
      <c r="I50" s="1"/>
      <c r="J50" s="1"/>
      <c r="K50" s="1"/>
    </row>
    <row r="51" spans="1:11" x14ac:dyDescent="0.3">
      <c r="A51" s="1"/>
      <c r="B51" s="1"/>
      <c r="C51" s="1"/>
      <c r="D51" s="1"/>
      <c r="E51" s="10"/>
      <c r="F51" s="10"/>
      <c r="G51" s="7"/>
      <c r="H51" s="7"/>
      <c r="I51" s="1"/>
      <c r="J51" s="1"/>
      <c r="K51" s="1"/>
    </row>
    <row r="52" spans="1:11" x14ac:dyDescent="0.3">
      <c r="A52" s="1"/>
      <c r="B52" s="1"/>
      <c r="C52" s="1"/>
      <c r="D52" s="1"/>
      <c r="E52" s="10"/>
      <c r="F52" s="10"/>
      <c r="G52" s="7"/>
      <c r="H52" s="7"/>
      <c r="I52" s="1"/>
      <c r="J52" s="1"/>
      <c r="K52" s="1"/>
    </row>
    <row r="53" spans="1:11" x14ac:dyDescent="0.3">
      <c r="A53" s="1"/>
      <c r="B53" s="1"/>
      <c r="C53" s="1"/>
      <c r="D53" s="1"/>
      <c r="E53" s="10"/>
      <c r="F53" s="10"/>
      <c r="G53" s="7"/>
      <c r="H53" s="7"/>
      <c r="I53" s="1"/>
      <c r="J53" s="1"/>
      <c r="K53" s="1"/>
    </row>
    <row r="54" spans="1:11" x14ac:dyDescent="0.3">
      <c r="A54" s="1"/>
      <c r="B54" s="1"/>
      <c r="C54" s="1"/>
      <c r="D54" s="1"/>
      <c r="E54" s="10"/>
      <c r="F54" s="10"/>
      <c r="G54" s="7"/>
      <c r="H54" s="7"/>
      <c r="I54" s="1"/>
      <c r="J54" s="1"/>
      <c r="K54" s="1"/>
    </row>
    <row r="55" spans="1:11" x14ac:dyDescent="0.3">
      <c r="A55" s="1"/>
      <c r="B55" s="1"/>
      <c r="C55" s="1"/>
      <c r="D55" s="1"/>
      <c r="E55" s="10"/>
      <c r="F55" s="10"/>
      <c r="G55" s="7"/>
      <c r="H55" s="7"/>
      <c r="I55" s="1"/>
      <c r="J55" s="1"/>
      <c r="K55" s="1"/>
    </row>
    <row r="56" spans="1:11" x14ac:dyDescent="0.3">
      <c r="A56" s="1"/>
      <c r="B56" s="1"/>
      <c r="C56" s="1"/>
      <c r="D56" s="1"/>
      <c r="E56" s="10"/>
      <c r="F56" s="10"/>
      <c r="G56" s="7"/>
      <c r="H56" s="7"/>
      <c r="I56" s="1"/>
      <c r="J56" s="1"/>
      <c r="K56" s="1"/>
    </row>
    <row r="57" spans="1:11" x14ac:dyDescent="0.3">
      <c r="A57" s="1"/>
      <c r="B57" s="1"/>
      <c r="C57" s="1"/>
      <c r="D57" s="1"/>
      <c r="E57" s="10"/>
      <c r="F57" s="10"/>
      <c r="G57" s="7"/>
      <c r="H57" s="7"/>
      <c r="I57" s="1"/>
      <c r="J57" s="1"/>
      <c r="K57" s="1"/>
    </row>
    <row r="58" spans="1:11" x14ac:dyDescent="0.3">
      <c r="A58" s="1"/>
      <c r="B58" s="1"/>
      <c r="C58" s="1"/>
      <c r="D58" s="1"/>
      <c r="E58" s="10"/>
      <c r="F58" s="10"/>
      <c r="G58" s="7"/>
      <c r="H58" s="7"/>
      <c r="I58" s="1"/>
      <c r="J58" s="1"/>
      <c r="K58" s="1"/>
    </row>
    <row r="59" spans="1:11" x14ac:dyDescent="0.3">
      <c r="A59" s="1"/>
      <c r="B59" s="1"/>
      <c r="C59" s="1"/>
      <c r="D59" s="1"/>
      <c r="E59" s="10"/>
      <c r="F59" s="10"/>
      <c r="G59" s="7"/>
      <c r="H59" s="7"/>
      <c r="I59" s="1"/>
      <c r="J59" s="1"/>
      <c r="K59" s="1"/>
    </row>
    <row r="60" spans="1:11" x14ac:dyDescent="0.3">
      <c r="A60" s="1"/>
      <c r="B60" s="1"/>
      <c r="C60" s="1"/>
      <c r="D60" s="1"/>
      <c r="E60" s="10"/>
      <c r="F60" s="10"/>
      <c r="G60" s="7"/>
      <c r="H60" s="7"/>
      <c r="I60" s="1"/>
      <c r="J60" s="1"/>
      <c r="K60" s="1"/>
    </row>
    <row r="61" spans="1:11" x14ac:dyDescent="0.3">
      <c r="A61" s="1"/>
      <c r="B61" s="1"/>
      <c r="C61" s="1"/>
      <c r="D61" s="1"/>
      <c r="E61" s="10"/>
      <c r="F61" s="10"/>
      <c r="G61" s="7"/>
      <c r="H61" s="7"/>
      <c r="I61" s="1"/>
      <c r="J61" s="1"/>
      <c r="K61" s="1"/>
    </row>
    <row r="62" spans="1:11" x14ac:dyDescent="0.3">
      <c r="A62" s="1"/>
      <c r="B62" s="1"/>
      <c r="C62" s="1"/>
      <c r="D62" s="1"/>
      <c r="E62" s="10"/>
      <c r="F62" s="10"/>
      <c r="G62" s="7"/>
      <c r="H62" s="7"/>
      <c r="I62" s="1"/>
      <c r="J62" s="1"/>
      <c r="K62" s="1"/>
    </row>
    <row r="63" spans="1:11" x14ac:dyDescent="0.3">
      <c r="A63" s="1"/>
      <c r="B63" s="1"/>
      <c r="C63" s="1"/>
      <c r="D63" s="1"/>
      <c r="E63" s="10"/>
      <c r="F63" s="10"/>
      <c r="G63" s="7"/>
      <c r="H63" s="7"/>
      <c r="I63" s="1"/>
      <c r="J63" s="1"/>
      <c r="K63" s="1"/>
    </row>
    <row r="64" spans="1:11" x14ac:dyDescent="0.3">
      <c r="A64" s="1"/>
      <c r="B64" s="1"/>
      <c r="C64" s="1"/>
      <c r="D64" s="1"/>
      <c r="E64" s="10"/>
      <c r="F64" s="10"/>
      <c r="G64" s="7"/>
      <c r="H64" s="7"/>
      <c r="I64" s="1"/>
      <c r="J64" s="1"/>
      <c r="K64" s="1"/>
    </row>
    <row r="65" spans="1:11" x14ac:dyDescent="0.3">
      <c r="A65" s="1"/>
      <c r="B65" s="1"/>
      <c r="C65" s="1"/>
      <c r="D65" s="1"/>
      <c r="E65" s="10"/>
      <c r="F65" s="10"/>
      <c r="G65" s="7"/>
      <c r="H65" s="7"/>
      <c r="I65" s="1"/>
      <c r="J65" s="1"/>
      <c r="K65" s="1"/>
    </row>
    <row r="66" spans="1:11" x14ac:dyDescent="0.3">
      <c r="A66" s="1"/>
      <c r="B66" s="1"/>
      <c r="C66" s="1"/>
      <c r="D66" s="1"/>
      <c r="E66" s="10"/>
      <c r="F66" s="10"/>
      <c r="G66" s="7"/>
      <c r="H66" s="7"/>
      <c r="I66" s="1"/>
      <c r="J66" s="1"/>
      <c r="K66" s="1"/>
    </row>
    <row r="67" spans="1:11" x14ac:dyDescent="0.3">
      <c r="A67" s="1"/>
      <c r="B67" s="1"/>
      <c r="C67" s="1"/>
      <c r="D67" s="1"/>
      <c r="E67" s="10"/>
      <c r="F67" s="10"/>
      <c r="G67" s="7"/>
      <c r="H67" s="7"/>
      <c r="I67" s="1"/>
      <c r="J67" s="1"/>
      <c r="K67" s="1"/>
    </row>
    <row r="68" spans="1:11" x14ac:dyDescent="0.3">
      <c r="A68" s="1"/>
      <c r="B68" s="1"/>
      <c r="C68" s="1"/>
      <c r="D68" s="1"/>
      <c r="E68" s="10"/>
      <c r="F68" s="10"/>
      <c r="G68" s="7"/>
      <c r="H68" s="7"/>
      <c r="I68" s="1"/>
      <c r="J68" s="1"/>
      <c r="K68" s="1"/>
    </row>
    <row r="69" spans="1:11" x14ac:dyDescent="0.3">
      <c r="A69" s="1"/>
      <c r="B69" s="1"/>
      <c r="C69" s="1"/>
      <c r="D69" s="1"/>
      <c r="E69" s="10"/>
      <c r="F69" s="10"/>
      <c r="G69" s="7"/>
      <c r="H69" s="7"/>
      <c r="I69" s="1"/>
      <c r="J69" s="1"/>
      <c r="K69" s="1"/>
    </row>
    <row r="70" spans="1:11" x14ac:dyDescent="0.3">
      <c r="A70" s="1"/>
      <c r="B70" s="1"/>
      <c r="C70" s="1"/>
      <c r="D70" s="1"/>
      <c r="E70" s="10"/>
      <c r="F70" s="10"/>
      <c r="G70" s="7"/>
      <c r="H70" s="7"/>
      <c r="I70" s="1"/>
      <c r="J70" s="1"/>
      <c r="K70" s="1"/>
    </row>
    <row r="71" spans="1:11" x14ac:dyDescent="0.3">
      <c r="A71" s="1"/>
      <c r="B71" s="1"/>
      <c r="C71" s="1"/>
      <c r="D71" s="1"/>
      <c r="E71" s="10"/>
      <c r="F71" s="10"/>
      <c r="G71" s="7"/>
      <c r="H71" s="7"/>
      <c r="I71" s="1"/>
      <c r="J71" s="1"/>
      <c r="K71" s="1"/>
    </row>
    <row r="72" spans="1:11" x14ac:dyDescent="0.3">
      <c r="A72" s="1"/>
      <c r="B72" s="1"/>
      <c r="C72" s="1"/>
      <c r="D72" s="1"/>
      <c r="E72" s="10"/>
      <c r="F72" s="10"/>
      <c r="G72" s="7"/>
      <c r="H72" s="7"/>
      <c r="I72" s="1"/>
      <c r="J72" s="1"/>
      <c r="K72" s="1"/>
    </row>
    <row r="73" spans="1:11" x14ac:dyDescent="0.3">
      <c r="A73" s="1"/>
      <c r="B73" s="1"/>
      <c r="C73" s="1"/>
      <c r="D73" s="1"/>
      <c r="E73" s="10"/>
      <c r="F73" s="10"/>
      <c r="G73" s="7"/>
      <c r="H73" s="7"/>
      <c r="I73" s="1"/>
      <c r="J73" s="1"/>
      <c r="K73" s="1"/>
    </row>
    <row r="74" spans="1:11" x14ac:dyDescent="0.3">
      <c r="A74" s="1"/>
      <c r="B74" s="1"/>
      <c r="C74" s="1"/>
      <c r="D74" s="1"/>
      <c r="E74" s="10"/>
      <c r="F74" s="10"/>
      <c r="G74" s="7"/>
      <c r="H74" s="7"/>
      <c r="I74" s="1"/>
      <c r="J74" s="1"/>
      <c r="K74" s="1"/>
    </row>
    <row r="75" spans="1:11" x14ac:dyDescent="0.3">
      <c r="A75" s="1"/>
      <c r="B75" s="1"/>
      <c r="C75" s="1"/>
      <c r="D75" s="1"/>
      <c r="E75" s="10"/>
      <c r="F75" s="10"/>
      <c r="G75" s="7"/>
      <c r="H75" s="7"/>
      <c r="I75" s="1"/>
      <c r="J75" s="1"/>
      <c r="K75" s="1"/>
    </row>
    <row r="76" spans="1:11" x14ac:dyDescent="0.3">
      <c r="A76" s="1"/>
      <c r="B76" s="1"/>
      <c r="C76" s="1"/>
      <c r="D76" s="1"/>
      <c r="E76" s="10"/>
      <c r="F76" s="10"/>
      <c r="G76" s="7"/>
      <c r="H76" s="7"/>
      <c r="I76" s="1"/>
      <c r="J76" s="1"/>
      <c r="K76" s="1"/>
    </row>
    <row r="77" spans="1:11" x14ac:dyDescent="0.3">
      <c r="A77" s="1"/>
      <c r="B77" s="1"/>
      <c r="C77" s="1"/>
      <c r="D77" s="1"/>
      <c r="E77" s="10"/>
      <c r="F77" s="10"/>
      <c r="G77" s="7"/>
      <c r="H77" s="7"/>
      <c r="I77" s="1"/>
      <c r="J77" s="1"/>
      <c r="K77" s="1"/>
    </row>
    <row r="78" spans="1:11" x14ac:dyDescent="0.3">
      <c r="A78" s="1"/>
      <c r="B78" s="1"/>
      <c r="C78" s="1"/>
      <c r="D78" s="1"/>
      <c r="E78" s="10"/>
      <c r="F78" s="10"/>
      <c r="G78" s="7"/>
      <c r="H78" s="7"/>
      <c r="I78" s="1"/>
      <c r="J78" s="1"/>
      <c r="K78" s="1"/>
    </row>
    <row r="79" spans="1:11" x14ac:dyDescent="0.3">
      <c r="A79" s="1"/>
      <c r="B79" s="1"/>
      <c r="C79" s="1"/>
      <c r="D79" s="1"/>
      <c r="E79" s="10"/>
      <c r="F79" s="10"/>
      <c r="G79" s="7"/>
      <c r="H79" s="7"/>
      <c r="I79" s="1"/>
      <c r="J79" s="1"/>
      <c r="K79" s="1"/>
    </row>
    <row r="80" spans="1:11" x14ac:dyDescent="0.3">
      <c r="A80" s="1"/>
      <c r="B80" s="1"/>
      <c r="C80" s="1"/>
      <c r="D80" s="1"/>
      <c r="E80" s="10"/>
      <c r="F80" s="10"/>
      <c r="G80" s="7"/>
      <c r="H80" s="7"/>
      <c r="I80" s="1"/>
      <c r="J80" s="1"/>
      <c r="K80" s="1"/>
    </row>
    <row r="81" spans="1:11" x14ac:dyDescent="0.3">
      <c r="A81" s="1"/>
      <c r="B81" s="1"/>
      <c r="C81" s="1"/>
      <c r="D81" s="1"/>
      <c r="E81" s="10"/>
      <c r="F81" s="10"/>
      <c r="G81" s="7"/>
      <c r="H81" s="7"/>
      <c r="I81" s="1"/>
      <c r="J81" s="1"/>
      <c r="K81" s="1"/>
    </row>
    <row r="82" spans="1:11" x14ac:dyDescent="0.3">
      <c r="A82" s="1"/>
      <c r="B82" s="1"/>
      <c r="C82" s="1"/>
      <c r="D82" s="1"/>
      <c r="E82" s="10"/>
      <c r="F82" s="10"/>
      <c r="G82" s="7"/>
      <c r="H82" s="7"/>
      <c r="I82" s="1"/>
      <c r="J82" s="1"/>
      <c r="K82" s="1"/>
    </row>
    <row r="83" spans="1:11" x14ac:dyDescent="0.3">
      <c r="A83" s="1"/>
      <c r="B83" s="1"/>
      <c r="C83" s="1"/>
      <c r="D83" s="1"/>
      <c r="E83" s="10"/>
      <c r="F83" s="10"/>
      <c r="G83" s="7"/>
      <c r="H83" s="7"/>
      <c r="I83" s="1"/>
      <c r="J83" s="1"/>
      <c r="K83" s="1"/>
    </row>
    <row r="84" spans="1:11" x14ac:dyDescent="0.3">
      <c r="A84" s="1"/>
      <c r="B84" s="1"/>
      <c r="C84" s="1"/>
      <c r="D84" s="1"/>
      <c r="E84" s="10"/>
      <c r="F84" s="10"/>
      <c r="G84" s="7"/>
      <c r="H84" s="7"/>
      <c r="I84" s="1"/>
      <c r="J84" s="1"/>
      <c r="K84" s="1"/>
    </row>
    <row r="85" spans="1:11" x14ac:dyDescent="0.3">
      <c r="A85" s="1"/>
      <c r="B85" s="1"/>
      <c r="C85" s="1"/>
      <c r="D85" s="1"/>
      <c r="E85" s="10"/>
      <c r="F85" s="10"/>
      <c r="G85" s="7"/>
      <c r="H85" s="7"/>
      <c r="I85" s="1"/>
      <c r="J85" s="1"/>
      <c r="K85" s="1"/>
    </row>
    <row r="86" spans="1:11" x14ac:dyDescent="0.3">
      <c r="A86" s="1"/>
      <c r="B86" s="1"/>
      <c r="C86" s="1"/>
      <c r="D86" s="1"/>
      <c r="E86" s="10"/>
      <c r="F86" s="10"/>
      <c r="G86" s="7"/>
      <c r="H86" s="7"/>
      <c r="I86" s="1"/>
      <c r="J86" s="1"/>
      <c r="K86" s="1"/>
    </row>
    <row r="87" spans="1:11" x14ac:dyDescent="0.3">
      <c r="A87" s="1"/>
      <c r="B87" s="1"/>
      <c r="C87" s="1"/>
      <c r="D87" s="1"/>
      <c r="E87" s="10"/>
      <c r="F87" s="10"/>
      <c r="G87" s="7"/>
      <c r="H87" s="7"/>
      <c r="I87" s="1"/>
      <c r="J87" s="1"/>
      <c r="K87" s="1"/>
    </row>
    <row r="88" spans="1:11" x14ac:dyDescent="0.3">
      <c r="A88" s="1"/>
      <c r="B88" s="1"/>
      <c r="C88" s="1"/>
      <c r="D88" s="1"/>
      <c r="E88" s="10"/>
      <c r="F88" s="10"/>
      <c r="G88" s="7"/>
      <c r="H88" s="7"/>
      <c r="I88" s="1"/>
      <c r="J88" s="1"/>
      <c r="K88" s="1"/>
    </row>
    <row r="89" spans="1:11" x14ac:dyDescent="0.3">
      <c r="A89" s="1"/>
      <c r="B89" s="1"/>
      <c r="C89" s="1"/>
      <c r="D89" s="1"/>
      <c r="E89" s="10"/>
      <c r="F89" s="10"/>
      <c r="G89" s="7"/>
      <c r="H89" s="7"/>
      <c r="I89" s="1"/>
      <c r="J89" s="1"/>
      <c r="K89" s="1"/>
    </row>
    <row r="90" spans="1:11" x14ac:dyDescent="0.3">
      <c r="A90" s="1"/>
      <c r="B90" s="1"/>
      <c r="C90" s="1"/>
      <c r="D90" s="1"/>
      <c r="E90" s="10"/>
      <c r="F90" s="10"/>
      <c r="G90" s="7"/>
      <c r="H90" s="7"/>
      <c r="I90" s="1"/>
      <c r="J90" s="1"/>
      <c r="K90" s="1"/>
    </row>
    <row r="91" spans="1:11" x14ac:dyDescent="0.3">
      <c r="A91" s="1"/>
      <c r="B91" s="1"/>
      <c r="C91" s="1"/>
      <c r="D91" s="1"/>
      <c r="E91" s="10"/>
      <c r="F91" s="10"/>
      <c r="G91" s="7"/>
      <c r="H91" s="7"/>
      <c r="I91" s="1"/>
      <c r="J91" s="1"/>
      <c r="K91" s="1"/>
    </row>
    <row r="92" spans="1:11" x14ac:dyDescent="0.3">
      <c r="A92" s="1"/>
      <c r="B92" s="1"/>
      <c r="C92" s="1"/>
      <c r="D92" s="1"/>
      <c r="E92" s="10"/>
      <c r="F92" s="10"/>
      <c r="G92" s="7"/>
      <c r="H92" s="7"/>
      <c r="I92" s="1"/>
      <c r="J92" s="1"/>
      <c r="K92" s="1"/>
    </row>
    <row r="93" spans="1:11" x14ac:dyDescent="0.3">
      <c r="A93" s="1"/>
      <c r="B93" s="1"/>
      <c r="C93" s="1"/>
      <c r="D93" s="1"/>
      <c r="E93" s="10"/>
      <c r="F93" s="10"/>
      <c r="G93" s="7"/>
      <c r="H93" s="7"/>
      <c r="I93" s="1"/>
      <c r="J93" s="1"/>
      <c r="K93" s="1"/>
    </row>
    <row r="94" spans="1:11" x14ac:dyDescent="0.3">
      <c r="A94" s="1"/>
      <c r="B94" s="1"/>
      <c r="C94" s="1"/>
      <c r="D94" s="1"/>
      <c r="E94" s="10"/>
      <c r="F94" s="10"/>
      <c r="G94" s="7"/>
      <c r="H94" s="7"/>
      <c r="I94" s="1"/>
      <c r="J94" s="1"/>
      <c r="K94" s="1"/>
    </row>
    <row r="95" spans="1:11" x14ac:dyDescent="0.3">
      <c r="A95" s="1"/>
      <c r="B95" s="1"/>
      <c r="C95" s="1"/>
      <c r="D95" s="1"/>
      <c r="E95" s="10"/>
      <c r="F95" s="10"/>
      <c r="G95" s="7"/>
      <c r="H95" s="7"/>
      <c r="I95" s="1"/>
      <c r="J95" s="1"/>
      <c r="K95" s="1"/>
    </row>
    <row r="96" spans="1:11" x14ac:dyDescent="0.3">
      <c r="A96" s="1"/>
      <c r="B96" s="1"/>
      <c r="C96" s="1"/>
      <c r="D96" s="1"/>
      <c r="E96" s="10"/>
      <c r="F96" s="10"/>
      <c r="G96" s="7"/>
      <c r="H96" s="7"/>
      <c r="I96" s="1"/>
      <c r="J96" s="1"/>
      <c r="K96" s="1"/>
    </row>
    <row r="97" spans="1:11" x14ac:dyDescent="0.3">
      <c r="A97" s="1"/>
      <c r="B97" s="1"/>
      <c r="C97" s="1"/>
      <c r="D97" s="1"/>
      <c r="E97" s="10"/>
      <c r="F97" s="10"/>
      <c r="G97" s="7"/>
      <c r="H97" s="7"/>
      <c r="I97" s="1"/>
      <c r="J97" s="1"/>
      <c r="K97" s="1"/>
    </row>
    <row r="98" spans="1:11" x14ac:dyDescent="0.3">
      <c r="A98" s="1"/>
      <c r="B98" s="1"/>
      <c r="C98" s="1"/>
      <c r="D98" s="1"/>
      <c r="E98" s="10"/>
      <c r="F98" s="10"/>
      <c r="G98" s="7"/>
      <c r="H98" s="7"/>
      <c r="I98" s="1"/>
      <c r="J98" s="1"/>
      <c r="K98" s="1"/>
    </row>
    <row r="99" spans="1:11" x14ac:dyDescent="0.3">
      <c r="A99" s="1"/>
      <c r="B99" s="1"/>
      <c r="C99" s="1"/>
      <c r="D99" s="1"/>
      <c r="E99" s="10"/>
      <c r="F99" s="10"/>
      <c r="G99" s="7"/>
      <c r="H99" s="7"/>
      <c r="I99" s="1"/>
      <c r="J99" s="1"/>
      <c r="K99" s="1"/>
    </row>
    <row r="100" spans="1:11" x14ac:dyDescent="0.3">
      <c r="A100" s="1"/>
      <c r="B100" s="1"/>
      <c r="C100" s="1"/>
      <c r="D100" s="1"/>
      <c r="E100" s="10"/>
      <c r="F100" s="10"/>
      <c r="G100" s="7"/>
      <c r="H100" s="7"/>
      <c r="I100" s="1"/>
      <c r="J100" s="1"/>
      <c r="K100" s="1"/>
    </row>
    <row r="101" spans="1:11" x14ac:dyDescent="0.3">
      <c r="A101" s="1"/>
      <c r="B101" s="1"/>
      <c r="C101" s="1"/>
      <c r="D101" s="1"/>
      <c r="E101" s="10"/>
      <c r="F101" s="10"/>
      <c r="G101" s="7"/>
      <c r="H101" s="7"/>
      <c r="I101" s="1"/>
      <c r="J101" s="1"/>
      <c r="K101" s="1"/>
    </row>
    <row r="102" spans="1:11" x14ac:dyDescent="0.3">
      <c r="A102" s="1"/>
      <c r="B102" s="1"/>
      <c r="C102" s="1"/>
      <c r="D102" s="1"/>
      <c r="E102" s="10"/>
      <c r="F102" s="10"/>
      <c r="G102" s="7"/>
      <c r="H102" s="7"/>
      <c r="I102" s="1"/>
      <c r="J102" s="1"/>
      <c r="K102" s="1"/>
    </row>
    <row r="103" spans="1:11" x14ac:dyDescent="0.3">
      <c r="A103" s="1"/>
      <c r="B103" s="1"/>
      <c r="C103" s="1"/>
      <c r="D103" s="1"/>
      <c r="E103" s="10"/>
      <c r="F103" s="10"/>
      <c r="G103" s="7"/>
      <c r="H103" s="7"/>
      <c r="I103" s="1"/>
      <c r="J103" s="1"/>
      <c r="K103" s="1"/>
    </row>
    <row r="104" spans="1:11" x14ac:dyDescent="0.3">
      <c r="A104" s="1"/>
      <c r="B104" s="1"/>
      <c r="C104" s="1"/>
      <c r="D104" s="1"/>
      <c r="E104" s="10"/>
      <c r="F104" s="10"/>
      <c r="G104" s="7"/>
      <c r="H104" s="7"/>
      <c r="I104" s="1"/>
      <c r="J104" s="1"/>
      <c r="K104" s="1"/>
    </row>
    <row r="105" spans="1:11" x14ac:dyDescent="0.3">
      <c r="A105" s="1"/>
      <c r="B105" s="1"/>
      <c r="C105" s="1"/>
      <c r="D105" s="1"/>
      <c r="E105" s="10"/>
      <c r="F105" s="10"/>
      <c r="G105" s="7"/>
      <c r="H105" s="7"/>
      <c r="I105" s="1"/>
      <c r="J105" s="1"/>
      <c r="K105" s="1"/>
    </row>
    <row r="106" spans="1:11" x14ac:dyDescent="0.3">
      <c r="A106" s="1"/>
      <c r="B106" s="1"/>
      <c r="C106" s="1"/>
      <c r="D106" s="1"/>
      <c r="E106" s="10"/>
      <c r="F106" s="10"/>
      <c r="G106" s="7"/>
      <c r="H106" s="7"/>
      <c r="I106" s="1"/>
      <c r="J106" s="1"/>
      <c r="K106" s="1"/>
    </row>
    <row r="107" spans="1:11" x14ac:dyDescent="0.3">
      <c r="A107" s="1"/>
      <c r="B107" s="1"/>
      <c r="C107" s="1"/>
      <c r="D107" s="1"/>
      <c r="E107" s="10"/>
      <c r="F107" s="10"/>
      <c r="G107" s="7"/>
      <c r="H107" s="7"/>
      <c r="I107" s="1"/>
      <c r="J107" s="1"/>
      <c r="K107" s="1"/>
    </row>
    <row r="108" spans="1:11" x14ac:dyDescent="0.3">
      <c r="A108" s="1"/>
      <c r="B108" s="1"/>
      <c r="C108" s="1"/>
      <c r="D108" s="1"/>
      <c r="E108" s="10"/>
      <c r="F108" s="10"/>
      <c r="G108" s="7"/>
      <c r="H108" s="7"/>
      <c r="I108" s="1"/>
      <c r="J108" s="1"/>
      <c r="K108" s="1"/>
    </row>
    <row r="109" spans="1:11" x14ac:dyDescent="0.3">
      <c r="A109" s="1"/>
      <c r="B109" s="1"/>
      <c r="C109" s="1"/>
      <c r="D109" s="1"/>
      <c r="E109" s="10"/>
      <c r="F109" s="10"/>
      <c r="G109" s="7"/>
      <c r="H109" s="7"/>
      <c r="I109" s="1"/>
      <c r="J109" s="1"/>
      <c r="K109" s="1"/>
    </row>
    <row r="110" spans="1:11" x14ac:dyDescent="0.3">
      <c r="A110" s="1"/>
      <c r="B110" s="1"/>
      <c r="C110" s="1"/>
      <c r="D110" s="1"/>
      <c r="E110" s="10"/>
      <c r="F110" s="10"/>
      <c r="G110" s="7"/>
      <c r="H110" s="7"/>
      <c r="I110" s="1"/>
      <c r="J110" s="1"/>
      <c r="K110" s="1"/>
    </row>
    <row r="111" spans="1:11" x14ac:dyDescent="0.3">
      <c r="A111" s="1"/>
      <c r="B111" s="1"/>
      <c r="C111" s="1"/>
      <c r="D111" s="1"/>
      <c r="E111" s="10"/>
      <c r="F111" s="10"/>
      <c r="G111" s="7"/>
      <c r="H111" s="7"/>
      <c r="I111" s="1"/>
      <c r="J111" s="1"/>
      <c r="K111" s="1"/>
    </row>
    <row r="112" spans="1:11" x14ac:dyDescent="0.3">
      <c r="A112" s="1"/>
      <c r="B112" s="1"/>
      <c r="C112" s="1"/>
      <c r="D112" s="1"/>
      <c r="E112" s="10"/>
      <c r="F112" s="10"/>
      <c r="G112" s="7"/>
      <c r="H112" s="7"/>
      <c r="I112" s="1"/>
      <c r="J112" s="1"/>
      <c r="K112" s="1"/>
    </row>
    <row r="113" spans="1:11" x14ac:dyDescent="0.3">
      <c r="A113" s="1"/>
      <c r="B113" s="1"/>
      <c r="C113" s="1"/>
      <c r="D113" s="1"/>
      <c r="E113" s="10"/>
      <c r="F113" s="10"/>
      <c r="G113" s="7"/>
      <c r="H113" s="7"/>
      <c r="I113" s="1"/>
      <c r="J113" s="1"/>
      <c r="K113" s="1"/>
    </row>
    <row r="114" spans="1:11" x14ac:dyDescent="0.3">
      <c r="A114" s="1"/>
      <c r="B114" s="1"/>
      <c r="C114" s="1"/>
      <c r="D114" s="1"/>
      <c r="E114" s="10"/>
      <c r="F114" s="10"/>
      <c r="G114" s="7"/>
      <c r="H114" s="7"/>
      <c r="I114" s="1"/>
      <c r="J114" s="1"/>
      <c r="K114" s="1"/>
    </row>
    <row r="115" spans="1:11" x14ac:dyDescent="0.3">
      <c r="A115" s="1"/>
      <c r="B115" s="1"/>
      <c r="C115" s="1"/>
      <c r="D115" s="1"/>
      <c r="E115" s="10"/>
      <c r="F115" s="10"/>
      <c r="G115" s="7"/>
      <c r="H115" s="7"/>
      <c r="I115" s="1"/>
      <c r="J115" s="1"/>
      <c r="K115" s="1"/>
    </row>
    <row r="116" spans="1:11" x14ac:dyDescent="0.3">
      <c r="A116" s="1"/>
      <c r="B116" s="1"/>
      <c r="C116" s="1"/>
      <c r="D116" s="1"/>
      <c r="E116" s="10"/>
      <c r="F116" s="10"/>
      <c r="G116" s="7"/>
      <c r="H116" s="7"/>
      <c r="I116" s="1"/>
      <c r="J116" s="1"/>
      <c r="K116" s="1"/>
    </row>
    <row r="117" spans="1:11" x14ac:dyDescent="0.3">
      <c r="A117" s="1"/>
      <c r="B117" s="1"/>
      <c r="C117" s="1"/>
      <c r="D117" s="1"/>
      <c r="E117" s="10"/>
      <c r="F117" s="10"/>
      <c r="G117" s="7"/>
      <c r="H117" s="7"/>
      <c r="I117" s="1"/>
      <c r="J117" s="1"/>
      <c r="K117" s="1"/>
    </row>
    <row r="118" spans="1:11" x14ac:dyDescent="0.3">
      <c r="A118" s="1"/>
      <c r="B118" s="1"/>
      <c r="C118" s="1"/>
      <c r="D118" s="1"/>
      <c r="E118" s="10"/>
      <c r="F118" s="10"/>
      <c r="G118" s="7"/>
      <c r="H118" s="7"/>
      <c r="I118" s="1"/>
      <c r="J118" s="1"/>
      <c r="K118" s="1"/>
    </row>
    <row r="119" spans="1:11" x14ac:dyDescent="0.3">
      <c r="A119" s="1"/>
      <c r="B119" s="1"/>
      <c r="C119" s="1"/>
      <c r="D119" s="1"/>
      <c r="E119" s="10"/>
      <c r="F119" s="10"/>
      <c r="G119" s="7"/>
      <c r="H119" s="7"/>
      <c r="I119" s="1"/>
      <c r="J119" s="1"/>
      <c r="K119" s="1"/>
    </row>
    <row r="120" spans="1:11" x14ac:dyDescent="0.3">
      <c r="A120" s="1"/>
      <c r="B120" s="1"/>
      <c r="C120" s="1"/>
      <c r="D120" s="1"/>
      <c r="E120" s="10"/>
      <c r="F120" s="10"/>
      <c r="G120" s="7"/>
      <c r="H120" s="7"/>
      <c r="I120" s="1"/>
      <c r="J120" s="1"/>
      <c r="K120" s="1"/>
    </row>
    <row r="121" spans="1:11" x14ac:dyDescent="0.3">
      <c r="A121" s="1"/>
      <c r="B121" s="1"/>
      <c r="C121" s="1"/>
      <c r="D121" s="1"/>
      <c r="E121" s="10"/>
      <c r="F121" s="10"/>
      <c r="G121" s="7"/>
      <c r="H121" s="7"/>
      <c r="I121" s="1"/>
      <c r="J121" s="1"/>
      <c r="K121" s="1"/>
    </row>
    <row r="122" spans="1:11" x14ac:dyDescent="0.3">
      <c r="A122" s="1"/>
      <c r="B122" s="1"/>
      <c r="C122" s="1"/>
      <c r="D122" s="1"/>
      <c r="E122" s="10"/>
      <c r="F122" s="10"/>
      <c r="G122" s="7"/>
      <c r="H122" s="7"/>
      <c r="I122" s="1"/>
      <c r="J122" s="1"/>
      <c r="K122" s="1"/>
    </row>
    <row r="123" spans="1:11" x14ac:dyDescent="0.3">
      <c r="A123" s="1"/>
      <c r="B123" s="1"/>
      <c r="C123" s="1"/>
      <c r="D123" s="1"/>
      <c r="E123" s="10"/>
      <c r="F123" s="10"/>
      <c r="G123" s="7"/>
      <c r="H123" s="7"/>
      <c r="I123" s="1"/>
      <c r="J123" s="1"/>
      <c r="K123" s="1"/>
    </row>
    <row r="124" spans="1:11" x14ac:dyDescent="0.3">
      <c r="A124" s="1"/>
      <c r="B124" s="1"/>
      <c r="C124" s="1"/>
      <c r="D124" s="1"/>
      <c r="E124" s="10"/>
      <c r="F124" s="10"/>
      <c r="G124" s="7"/>
      <c r="H124" s="7"/>
      <c r="I124" s="1"/>
      <c r="J124" s="1"/>
      <c r="K124" s="1"/>
    </row>
    <row r="125" spans="1:11" x14ac:dyDescent="0.3">
      <c r="A125" s="1"/>
      <c r="B125" s="1"/>
      <c r="C125" s="1"/>
      <c r="D125" s="1"/>
      <c r="E125" s="10"/>
      <c r="F125" s="10"/>
      <c r="G125" s="7"/>
      <c r="H125" s="7"/>
      <c r="I125" s="1"/>
      <c r="J125" s="1"/>
      <c r="K125" s="1"/>
    </row>
    <row r="126" spans="1:11" x14ac:dyDescent="0.3">
      <c r="A126" s="1"/>
      <c r="B126" s="1"/>
      <c r="C126" s="1"/>
      <c r="D126" s="1"/>
      <c r="E126" s="10"/>
      <c r="F126" s="10"/>
      <c r="G126" s="7"/>
      <c r="H126" s="7"/>
      <c r="I126" s="1"/>
      <c r="J126" s="1"/>
      <c r="K126" s="1"/>
    </row>
    <row r="127" spans="1:11" x14ac:dyDescent="0.3">
      <c r="A127" s="1"/>
      <c r="B127" s="1"/>
      <c r="C127" s="1"/>
      <c r="D127" s="1"/>
      <c r="E127" s="10"/>
      <c r="F127" s="10"/>
      <c r="G127" s="7"/>
      <c r="H127" s="7"/>
      <c r="I127" s="1"/>
      <c r="J127" s="1"/>
      <c r="K127" s="1"/>
    </row>
    <row r="128" spans="1:11" x14ac:dyDescent="0.3">
      <c r="A128" s="1"/>
      <c r="B128" s="1"/>
      <c r="C128" s="1"/>
      <c r="D128" s="1"/>
      <c r="E128" s="10"/>
      <c r="F128" s="10"/>
      <c r="G128" s="7"/>
      <c r="H128" s="7"/>
      <c r="I128" s="1"/>
      <c r="J128" s="1"/>
      <c r="K128" s="1"/>
    </row>
    <row r="129" spans="1:11" x14ac:dyDescent="0.3">
      <c r="A129" s="1"/>
      <c r="B129" s="1"/>
      <c r="C129" s="1"/>
      <c r="D129" s="1"/>
      <c r="E129" s="10"/>
      <c r="F129" s="10"/>
      <c r="G129" s="7"/>
      <c r="H129" s="7"/>
      <c r="I129" s="1"/>
      <c r="J129" s="1"/>
      <c r="K129" s="1"/>
    </row>
    <row r="130" spans="1:11" x14ac:dyDescent="0.3">
      <c r="A130" s="1"/>
      <c r="B130" s="1"/>
      <c r="C130" s="1"/>
      <c r="D130" s="1"/>
      <c r="E130" s="10"/>
      <c r="F130" s="10"/>
      <c r="G130" s="7"/>
      <c r="H130" s="7"/>
      <c r="I130" s="1"/>
      <c r="J130" s="1"/>
      <c r="K130" s="1"/>
    </row>
    <row r="131" spans="1:11" x14ac:dyDescent="0.3">
      <c r="A131" s="1"/>
      <c r="B131" s="1"/>
      <c r="C131" s="1"/>
      <c r="D131" s="1"/>
      <c r="E131" s="10"/>
      <c r="F131" s="10"/>
      <c r="G131" s="7"/>
      <c r="H131" s="7"/>
      <c r="I131" s="1"/>
      <c r="J131" s="1"/>
      <c r="K131" s="1"/>
    </row>
    <row r="132" spans="1:11" x14ac:dyDescent="0.3">
      <c r="A132" s="1"/>
      <c r="B132" s="1"/>
      <c r="C132" s="1"/>
      <c r="D132" s="1"/>
      <c r="E132" s="10"/>
      <c r="F132" s="10"/>
      <c r="G132" s="7"/>
      <c r="H132" s="7"/>
      <c r="I132" s="1"/>
      <c r="J132" s="1"/>
      <c r="K132" s="1"/>
    </row>
    <row r="133" spans="1:11" x14ac:dyDescent="0.3">
      <c r="A133" s="1"/>
      <c r="B133" s="1"/>
      <c r="C133" s="1"/>
      <c r="D133" s="1"/>
      <c r="E133" s="10"/>
      <c r="F133" s="10"/>
      <c r="G133" s="7"/>
      <c r="H133" s="7"/>
      <c r="I133" s="1"/>
      <c r="J133" s="1"/>
      <c r="K133" s="1"/>
    </row>
    <row r="134" spans="1:11" x14ac:dyDescent="0.3">
      <c r="A134" s="1"/>
      <c r="B134" s="1"/>
      <c r="C134" s="1"/>
      <c r="D134" s="1"/>
      <c r="E134" s="10"/>
      <c r="F134" s="10"/>
      <c r="G134" s="7"/>
      <c r="H134" s="7"/>
      <c r="I134" s="1"/>
      <c r="J134" s="1"/>
      <c r="K134" s="1"/>
    </row>
    <row r="135" spans="1:11" x14ac:dyDescent="0.3">
      <c r="A135" s="1"/>
      <c r="B135" s="1"/>
      <c r="C135" s="1"/>
      <c r="D135" s="1"/>
      <c r="E135" s="10"/>
      <c r="F135" s="10"/>
      <c r="G135" s="7"/>
      <c r="H135" s="7"/>
      <c r="I135" s="1"/>
      <c r="J135" s="1"/>
      <c r="K135" s="1"/>
    </row>
    <row r="136" spans="1:11" x14ac:dyDescent="0.3">
      <c r="A136" s="1"/>
      <c r="B136" s="1"/>
      <c r="C136" s="1"/>
      <c r="D136" s="1"/>
      <c r="E136" s="10"/>
      <c r="F136" s="10"/>
      <c r="G136" s="7"/>
      <c r="H136" s="7"/>
      <c r="I136" s="1"/>
      <c r="J136" s="1"/>
      <c r="K136" s="1"/>
    </row>
    <row r="137" spans="1:11" x14ac:dyDescent="0.3">
      <c r="A137" s="1"/>
      <c r="B137" s="1"/>
      <c r="C137" s="1"/>
      <c r="D137" s="1"/>
      <c r="E137" s="10"/>
      <c r="F137" s="10"/>
      <c r="G137" s="7"/>
      <c r="H137" s="7"/>
      <c r="I137" s="1"/>
      <c r="J137" s="1"/>
      <c r="K137" s="1"/>
    </row>
    <row r="138" spans="1:11" x14ac:dyDescent="0.3">
      <c r="A138" s="1"/>
      <c r="B138" s="1"/>
      <c r="C138" s="1"/>
      <c r="D138" s="1"/>
      <c r="E138" s="10"/>
      <c r="F138" s="10"/>
      <c r="G138" s="7"/>
      <c r="H138" s="7"/>
      <c r="I138" s="1"/>
      <c r="J138" s="1"/>
      <c r="K138" s="1"/>
    </row>
    <row r="139" spans="1:11" x14ac:dyDescent="0.3">
      <c r="A139" s="1"/>
      <c r="B139" s="1"/>
      <c r="C139" s="1"/>
      <c r="D139" s="1"/>
      <c r="E139" s="10"/>
      <c r="F139" s="10"/>
      <c r="G139" s="7"/>
      <c r="H139" s="7"/>
      <c r="I139" s="1"/>
      <c r="J139" s="1"/>
      <c r="K139" s="1"/>
    </row>
    <row r="140" spans="1:11" x14ac:dyDescent="0.3">
      <c r="A140" s="1"/>
      <c r="B140" s="1"/>
      <c r="C140" s="1"/>
      <c r="D140" s="1"/>
      <c r="E140" s="10"/>
      <c r="F140" s="10"/>
      <c r="G140" s="7"/>
      <c r="H140" s="7"/>
      <c r="I140" s="1"/>
      <c r="J140" s="1"/>
      <c r="K140" s="1"/>
    </row>
    <row r="141" spans="1:11" x14ac:dyDescent="0.3">
      <c r="A141" s="1"/>
      <c r="B141" s="1"/>
      <c r="C141" s="1"/>
      <c r="D141" s="1"/>
      <c r="E141" s="10"/>
      <c r="F141" s="10"/>
      <c r="G141" s="7"/>
      <c r="H141" s="7"/>
      <c r="I141" s="1"/>
      <c r="J141" s="1"/>
      <c r="K141" s="1"/>
    </row>
    <row r="142" spans="1:11" x14ac:dyDescent="0.3">
      <c r="A142" s="1"/>
      <c r="B142" s="1"/>
      <c r="C142" s="1"/>
      <c r="D142" s="1"/>
      <c r="E142" s="10"/>
      <c r="F142" s="10"/>
      <c r="G142" s="7"/>
      <c r="H142" s="7"/>
      <c r="I142" s="1"/>
      <c r="J142" s="1"/>
      <c r="K142" s="1"/>
    </row>
    <row r="143" spans="1:11" x14ac:dyDescent="0.3">
      <c r="A143" s="1"/>
      <c r="B143" s="1"/>
      <c r="C143" s="1"/>
      <c r="D143" s="1"/>
      <c r="E143" s="10"/>
      <c r="F143" s="10"/>
      <c r="G143" s="7"/>
      <c r="H143" s="7"/>
      <c r="I143" s="1"/>
      <c r="J143" s="1"/>
      <c r="K143" s="1"/>
    </row>
    <row r="144" spans="1:11" x14ac:dyDescent="0.3">
      <c r="A144" s="1"/>
      <c r="B144" s="1"/>
      <c r="C144" s="1"/>
      <c r="D144" s="1"/>
      <c r="E144" s="10"/>
      <c r="F144" s="10"/>
      <c r="G144" s="7"/>
      <c r="H144" s="7"/>
      <c r="I144" s="1"/>
      <c r="J144" s="1"/>
      <c r="K144" s="1"/>
    </row>
    <row r="145" spans="1:11" x14ac:dyDescent="0.3">
      <c r="A145" s="1"/>
      <c r="B145" s="1"/>
      <c r="C145" s="1"/>
      <c r="D145" s="1"/>
      <c r="E145" s="10"/>
      <c r="F145" s="10"/>
      <c r="G145" s="7"/>
      <c r="H145" s="7"/>
      <c r="I145" s="1"/>
      <c r="J145" s="1"/>
      <c r="K145" s="1"/>
    </row>
    <row r="146" spans="1:11" x14ac:dyDescent="0.3">
      <c r="A146" s="1"/>
      <c r="B146" s="1"/>
      <c r="C146" s="1"/>
      <c r="D146" s="1"/>
      <c r="E146" s="10"/>
      <c r="F146" s="10"/>
      <c r="G146" s="7"/>
      <c r="H146" s="7"/>
      <c r="I146" s="1"/>
      <c r="J146" s="1"/>
      <c r="K146" s="1"/>
    </row>
    <row r="147" spans="1:11" x14ac:dyDescent="0.3">
      <c r="A147" s="1"/>
      <c r="B147" s="1"/>
      <c r="C147" s="1"/>
      <c r="D147" s="1"/>
      <c r="E147" s="10"/>
      <c r="F147" s="10"/>
      <c r="G147" s="7"/>
      <c r="H147" s="7"/>
      <c r="I147" s="1"/>
      <c r="J147" s="1"/>
      <c r="K147" s="1"/>
    </row>
    <row r="148" spans="1:11" x14ac:dyDescent="0.3">
      <c r="A148" s="1"/>
      <c r="B148" s="1"/>
      <c r="C148" s="1"/>
      <c r="D148" s="1"/>
      <c r="E148" s="10"/>
      <c r="F148" s="10"/>
      <c r="G148" s="7"/>
      <c r="H148" s="7"/>
      <c r="I148" s="1"/>
      <c r="J148" s="1"/>
      <c r="K148" s="1"/>
    </row>
    <row r="149" spans="1:11" x14ac:dyDescent="0.3">
      <c r="A149" s="1"/>
      <c r="B149" s="1"/>
      <c r="C149" s="1"/>
      <c r="D149" s="1"/>
      <c r="E149" s="10"/>
      <c r="F149" s="10"/>
      <c r="G149" s="7"/>
      <c r="H149" s="7"/>
      <c r="I149" s="1"/>
      <c r="J149" s="1"/>
      <c r="K149" s="1"/>
    </row>
    <row r="150" spans="1:11" x14ac:dyDescent="0.3">
      <c r="A150" s="1"/>
      <c r="B150" s="1"/>
      <c r="C150" s="1"/>
      <c r="D150" s="1"/>
      <c r="E150" s="10"/>
      <c r="F150" s="10"/>
      <c r="G150" s="7"/>
      <c r="H150" s="7"/>
      <c r="I150" s="1"/>
      <c r="J150" s="1"/>
      <c r="K150" s="1"/>
    </row>
  </sheetData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="Используйте значение из выпадающего списка" prompt="Выберите значение из списка" xr:uid="{00000000-0002-0000-0500-000000000000}">
          <x14:formula1>
            <xm:f>DICTIONARIES!$E$2:$E$5</xm:f>
          </x14:formula1>
          <xm:sqref>C2:C1000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500-000001000000}">
          <x14:formula1>
            <xm:f>DICTIONARIES!$G$2:$G$3</xm:f>
          </x14:formula1>
          <xm:sqref>I2:J1000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00"/>
  <sheetViews>
    <sheetView workbookViewId="0"/>
  </sheetViews>
  <sheetFormatPr defaultRowHeight="14.4" x14ac:dyDescent="0.3"/>
  <cols>
    <col min="1" max="1" width="16" customWidth="1"/>
    <col min="2" max="2" width="24" customWidth="1"/>
    <col min="3" max="5" width="28" customWidth="1"/>
    <col min="6" max="6" width="22" customWidth="1"/>
    <col min="7" max="7" width="14" customWidth="1"/>
    <col min="8" max="10" width="10" customWidth="1"/>
    <col min="11" max="11" width="18" customWidth="1"/>
    <col min="12" max="12" width="26" customWidth="1"/>
    <col min="13" max="13" width="10" customWidth="1"/>
    <col min="14" max="14" width="30" customWidth="1"/>
    <col min="15" max="15" width="28" customWidth="1"/>
    <col min="16" max="16" width="16" customWidth="1"/>
    <col min="17" max="17" width="40" customWidth="1"/>
    <col min="18" max="18" width="14" customWidth="1"/>
  </cols>
  <sheetData>
    <row r="1" spans="1:18" ht="28.8" x14ac:dyDescent="0.3">
      <c r="A1" s="3" t="s">
        <v>344</v>
      </c>
      <c r="B1" s="3" t="s">
        <v>307</v>
      </c>
      <c r="C1" s="3" t="s">
        <v>485</v>
      </c>
      <c r="D1" s="3" t="s">
        <v>486</v>
      </c>
      <c r="E1" s="3" t="s">
        <v>302</v>
      </c>
      <c r="F1" s="3" t="s">
        <v>427</v>
      </c>
      <c r="G1" s="3" t="s">
        <v>428</v>
      </c>
      <c r="H1" s="3" t="s">
        <v>487</v>
      </c>
      <c r="I1" s="3" t="s">
        <v>488</v>
      </c>
      <c r="J1" s="3" t="s">
        <v>489</v>
      </c>
      <c r="K1" s="3" t="s">
        <v>266</v>
      </c>
      <c r="L1" s="3" t="s">
        <v>490</v>
      </c>
      <c r="M1" s="3" t="s">
        <v>436</v>
      </c>
      <c r="N1" s="3" t="s">
        <v>116</v>
      </c>
      <c r="O1" s="3" t="s">
        <v>377</v>
      </c>
      <c r="P1" s="3" t="s">
        <v>491</v>
      </c>
      <c r="Q1" s="3" t="s">
        <v>492</v>
      </c>
      <c r="R1" s="3" t="s">
        <v>437</v>
      </c>
    </row>
    <row r="2" spans="1:18" ht="43.2" x14ac:dyDescent="0.3">
      <c r="A2" s="5" t="s">
        <v>493</v>
      </c>
      <c r="B2" s="5" t="s">
        <v>494</v>
      </c>
      <c r="C2" s="5" t="s">
        <v>495</v>
      </c>
      <c r="D2" s="5" t="s">
        <v>494</v>
      </c>
      <c r="E2" s="5" t="s">
        <v>239</v>
      </c>
      <c r="F2" s="5" t="s">
        <v>252</v>
      </c>
      <c r="G2" s="5" t="s">
        <v>282</v>
      </c>
      <c r="H2" s="5" t="s">
        <v>241</v>
      </c>
      <c r="I2" s="11">
        <v>200</v>
      </c>
      <c r="J2" s="11">
        <v>100</v>
      </c>
      <c r="K2" s="5" t="s">
        <v>252</v>
      </c>
      <c r="L2" s="5" t="s">
        <v>242</v>
      </c>
      <c r="M2" s="5" t="s">
        <v>245</v>
      </c>
      <c r="N2" s="5" t="s">
        <v>496</v>
      </c>
      <c r="O2" s="5" t="s">
        <v>339</v>
      </c>
      <c r="P2" s="20">
        <v>1.05</v>
      </c>
      <c r="Q2" s="5" t="s">
        <v>305</v>
      </c>
      <c r="R2" s="5" t="s">
        <v>245</v>
      </c>
    </row>
    <row r="3" spans="1:18" ht="28.8" x14ac:dyDescent="0.3">
      <c r="A3" s="5" t="s">
        <v>497</v>
      </c>
      <c r="B3" s="5" t="s">
        <v>498</v>
      </c>
      <c r="C3" s="5" t="s">
        <v>499</v>
      </c>
      <c r="D3" s="5" t="s">
        <v>498</v>
      </c>
      <c r="E3" s="5" t="s">
        <v>239</v>
      </c>
      <c r="F3" s="5" t="s">
        <v>465</v>
      </c>
      <c r="G3" s="5" t="s">
        <v>282</v>
      </c>
      <c r="H3" s="5" t="s">
        <v>306</v>
      </c>
      <c r="I3" s="11">
        <v>1000</v>
      </c>
      <c r="J3" s="11">
        <v>200</v>
      </c>
      <c r="K3" s="5" t="s">
        <v>330</v>
      </c>
      <c r="L3" s="5" t="s">
        <v>242</v>
      </c>
      <c r="M3" s="5" t="s">
        <v>245</v>
      </c>
      <c r="N3" s="5" t="s">
        <v>500</v>
      </c>
      <c r="O3" s="5" t="s">
        <v>412</v>
      </c>
      <c r="P3" s="20">
        <v>1.02</v>
      </c>
      <c r="Q3" s="5" t="s">
        <v>264</v>
      </c>
      <c r="R3" s="5" t="s">
        <v>245</v>
      </c>
    </row>
    <row r="4" spans="1:18" ht="43.2" x14ac:dyDescent="0.3">
      <c r="A4" s="1" t="s">
        <v>501</v>
      </c>
      <c r="B4" s="1" t="s">
        <v>502</v>
      </c>
      <c r="C4" s="1" t="s">
        <v>503</v>
      </c>
      <c r="D4" s="1" t="s">
        <v>502</v>
      </c>
      <c r="E4" s="1" t="s">
        <v>320</v>
      </c>
      <c r="F4" s="1" t="s">
        <v>504</v>
      </c>
      <c r="G4" s="1" t="s">
        <v>282</v>
      </c>
      <c r="H4" s="1" t="s">
        <v>241</v>
      </c>
      <c r="I4" s="12"/>
      <c r="J4" s="12"/>
      <c r="K4" s="1" t="s">
        <v>367</v>
      </c>
      <c r="L4" s="1" t="s">
        <v>268</v>
      </c>
      <c r="M4" s="1" t="s">
        <v>245</v>
      </c>
      <c r="N4" s="1" t="s">
        <v>505</v>
      </c>
      <c r="O4" s="5" t="s">
        <v>372</v>
      </c>
      <c r="P4" s="20">
        <v>1.133</v>
      </c>
      <c r="Q4" s="5" t="s">
        <v>305</v>
      </c>
      <c r="R4" s="5" t="s">
        <v>245</v>
      </c>
    </row>
    <row r="5" spans="1:18" ht="28.8" x14ac:dyDescent="0.3">
      <c r="A5" s="1" t="s">
        <v>506</v>
      </c>
      <c r="B5" s="1" t="s">
        <v>507</v>
      </c>
      <c r="C5" s="1" t="s">
        <v>508</v>
      </c>
      <c r="D5" s="1" t="s">
        <v>507</v>
      </c>
      <c r="E5" s="1" t="s">
        <v>281</v>
      </c>
      <c r="F5" s="1" t="s">
        <v>252</v>
      </c>
      <c r="G5" s="1" t="s">
        <v>282</v>
      </c>
      <c r="H5" s="1" t="s">
        <v>241</v>
      </c>
      <c r="I5" s="12"/>
      <c r="J5" s="12"/>
      <c r="K5" s="1" t="s">
        <v>411</v>
      </c>
      <c r="L5" s="1" t="s">
        <v>242</v>
      </c>
      <c r="M5" s="1" t="s">
        <v>245</v>
      </c>
      <c r="N5" s="1" t="s">
        <v>509</v>
      </c>
      <c r="O5" s="5" t="s">
        <v>392</v>
      </c>
      <c r="P5" s="20">
        <v>1.05</v>
      </c>
      <c r="Q5" s="5" t="s">
        <v>305</v>
      </c>
      <c r="R5" s="5" t="s">
        <v>245</v>
      </c>
    </row>
    <row r="6" spans="1:18" ht="28.8" x14ac:dyDescent="0.3">
      <c r="A6" s="1" t="s">
        <v>510</v>
      </c>
      <c r="B6" s="1" t="s">
        <v>403</v>
      </c>
      <c r="C6" s="1" t="s">
        <v>511</v>
      </c>
      <c r="D6" s="1" t="s">
        <v>403</v>
      </c>
      <c r="E6" s="1" t="s">
        <v>320</v>
      </c>
      <c r="F6" s="1" t="s">
        <v>512</v>
      </c>
      <c r="G6" s="1" t="s">
        <v>282</v>
      </c>
      <c r="H6" s="1" t="s">
        <v>241</v>
      </c>
      <c r="I6" s="12"/>
      <c r="J6" s="12"/>
      <c r="K6" s="1" t="s">
        <v>403</v>
      </c>
      <c r="L6" s="1" t="s">
        <v>268</v>
      </c>
      <c r="M6" s="1" t="s">
        <v>245</v>
      </c>
      <c r="N6" s="1" t="s">
        <v>513</v>
      </c>
      <c r="O6" s="5" t="s">
        <v>403</v>
      </c>
      <c r="P6" s="20">
        <v>1.1539999999999999</v>
      </c>
      <c r="Q6" s="5" t="s">
        <v>305</v>
      </c>
      <c r="R6" s="5" t="s">
        <v>245</v>
      </c>
    </row>
    <row r="7" spans="1:18" ht="28.8" x14ac:dyDescent="0.3">
      <c r="A7" s="1" t="s">
        <v>514</v>
      </c>
      <c r="B7" s="1" t="s">
        <v>515</v>
      </c>
      <c r="C7" s="1" t="s">
        <v>516</v>
      </c>
      <c r="D7" s="1" t="s">
        <v>515</v>
      </c>
      <c r="E7" s="1" t="s">
        <v>239</v>
      </c>
      <c r="F7" s="1" t="s">
        <v>517</v>
      </c>
      <c r="G7" s="1" t="s">
        <v>282</v>
      </c>
      <c r="H7" s="1" t="s">
        <v>241</v>
      </c>
      <c r="I7" s="12"/>
      <c r="J7" s="12"/>
      <c r="K7" s="1" t="s">
        <v>407</v>
      </c>
      <c r="L7" s="1" t="s">
        <v>242</v>
      </c>
      <c r="M7" s="1" t="s">
        <v>245</v>
      </c>
      <c r="N7" s="1" t="s">
        <v>518</v>
      </c>
      <c r="O7" s="5" t="s">
        <v>407</v>
      </c>
      <c r="P7" s="20">
        <v>1.1000000000000001</v>
      </c>
      <c r="Q7" s="5" t="s">
        <v>305</v>
      </c>
      <c r="R7" s="5" t="s">
        <v>245</v>
      </c>
    </row>
    <row r="8" spans="1:18" ht="43.2" x14ac:dyDescent="0.3">
      <c r="A8" s="1" t="s">
        <v>519</v>
      </c>
      <c r="B8" s="1" t="s">
        <v>520</v>
      </c>
      <c r="C8" s="1" t="s">
        <v>520</v>
      </c>
      <c r="D8" s="1" t="s">
        <v>521</v>
      </c>
      <c r="E8" s="1" t="s">
        <v>239</v>
      </c>
      <c r="F8" s="1" t="s">
        <v>522</v>
      </c>
      <c r="G8" s="1" t="s">
        <v>282</v>
      </c>
      <c r="H8" s="1" t="s">
        <v>362</v>
      </c>
      <c r="I8" s="12"/>
      <c r="J8" s="12"/>
      <c r="K8" s="1" t="s">
        <v>292</v>
      </c>
      <c r="L8" s="1" t="s">
        <v>268</v>
      </c>
      <c r="M8" s="1" t="s">
        <v>245</v>
      </c>
      <c r="N8" s="1" t="s">
        <v>523</v>
      </c>
      <c r="O8" s="5" t="s">
        <v>262</v>
      </c>
      <c r="P8" s="20">
        <v>1.18</v>
      </c>
      <c r="Q8" s="5" t="s">
        <v>374</v>
      </c>
      <c r="R8" s="5" t="s">
        <v>245</v>
      </c>
    </row>
    <row r="9" spans="1:18" x14ac:dyDescent="0.3">
      <c r="A9" s="1"/>
      <c r="B9" s="1"/>
      <c r="C9" s="1"/>
      <c r="D9" s="1"/>
      <c r="E9" s="1"/>
      <c r="F9" s="1"/>
      <c r="G9" s="1"/>
      <c r="H9" s="1"/>
      <c r="I9" s="12"/>
      <c r="J9" s="12"/>
      <c r="K9" s="1"/>
      <c r="L9" s="1"/>
      <c r="M9" s="1"/>
      <c r="N9" s="1"/>
      <c r="O9" s="5"/>
      <c r="P9" s="20"/>
      <c r="Q9" s="5"/>
      <c r="R9" s="5"/>
    </row>
    <row r="10" spans="1:18" x14ac:dyDescent="0.3">
      <c r="A10" s="1"/>
      <c r="B10" s="1"/>
      <c r="C10" s="1"/>
      <c r="D10" s="1"/>
      <c r="E10" s="1"/>
      <c r="F10" s="1"/>
      <c r="G10" s="1"/>
      <c r="H10" s="1"/>
      <c r="I10" s="12"/>
      <c r="J10" s="12"/>
      <c r="K10" s="1"/>
      <c r="L10" s="1"/>
      <c r="M10" s="1"/>
      <c r="N10" s="1"/>
      <c r="O10" s="5"/>
      <c r="P10" s="20"/>
      <c r="Q10" s="5"/>
      <c r="R10" s="5"/>
    </row>
    <row r="11" spans="1:18" x14ac:dyDescent="0.3">
      <c r="A11" s="1"/>
      <c r="B11" s="1"/>
      <c r="C11" s="1"/>
      <c r="D11" s="1"/>
      <c r="E11" s="1"/>
      <c r="F11" s="1"/>
      <c r="G11" s="1"/>
      <c r="H11" s="1"/>
      <c r="I11" s="12"/>
      <c r="J11" s="12"/>
      <c r="K11" s="1"/>
      <c r="L11" s="1"/>
      <c r="M11" s="1"/>
      <c r="N11" s="1"/>
      <c r="O11" s="5"/>
      <c r="P11" s="20"/>
      <c r="Q11" s="5"/>
      <c r="R11" s="5"/>
    </row>
    <row r="12" spans="1:18" x14ac:dyDescent="0.3">
      <c r="A12" s="1"/>
      <c r="B12" s="1"/>
      <c r="C12" s="1"/>
      <c r="D12" s="1"/>
      <c r="E12" s="1"/>
      <c r="F12" s="1"/>
      <c r="G12" s="1"/>
      <c r="H12" s="1"/>
      <c r="I12" s="12"/>
      <c r="J12" s="12"/>
      <c r="K12" s="1"/>
      <c r="L12" s="1"/>
      <c r="M12" s="1"/>
      <c r="N12" s="1"/>
      <c r="O12" s="5"/>
      <c r="P12" s="20"/>
      <c r="Q12" s="5"/>
      <c r="R12" s="5"/>
    </row>
    <row r="13" spans="1:18" x14ac:dyDescent="0.3">
      <c r="A13" s="1"/>
      <c r="B13" s="1"/>
      <c r="C13" s="1"/>
      <c r="D13" s="1"/>
      <c r="E13" s="1"/>
      <c r="F13" s="1"/>
      <c r="G13" s="1"/>
      <c r="H13" s="1"/>
      <c r="I13" s="12"/>
      <c r="J13" s="12"/>
      <c r="K13" s="1"/>
      <c r="L13" s="1"/>
      <c r="M13" s="1"/>
      <c r="N13" s="1"/>
      <c r="O13" s="5"/>
      <c r="P13" s="20"/>
      <c r="Q13" s="5"/>
      <c r="R13" s="5"/>
    </row>
    <row r="14" spans="1:18" x14ac:dyDescent="0.3">
      <c r="A14" s="1"/>
      <c r="B14" s="1"/>
      <c r="C14" s="1"/>
      <c r="D14" s="1"/>
      <c r="E14" s="1"/>
      <c r="F14" s="1"/>
      <c r="G14" s="1"/>
      <c r="H14" s="1"/>
      <c r="I14" s="12"/>
      <c r="J14" s="12"/>
      <c r="K14" s="1"/>
      <c r="L14" s="1"/>
      <c r="M14" s="1"/>
      <c r="N14" s="1"/>
      <c r="O14" s="5"/>
      <c r="P14" s="20"/>
      <c r="Q14" s="5"/>
      <c r="R14" s="5"/>
    </row>
    <row r="15" spans="1:18" x14ac:dyDescent="0.3">
      <c r="A15" s="1"/>
      <c r="B15" s="1"/>
      <c r="C15" s="1"/>
      <c r="D15" s="1"/>
      <c r="E15" s="1"/>
      <c r="F15" s="1"/>
      <c r="G15" s="1"/>
      <c r="H15" s="1"/>
      <c r="I15" s="12"/>
      <c r="J15" s="12"/>
      <c r="K15" s="1"/>
      <c r="L15" s="1"/>
      <c r="M15" s="1"/>
      <c r="N15" s="1"/>
      <c r="O15" s="5"/>
      <c r="P15" s="20"/>
      <c r="Q15" s="5"/>
      <c r="R15" s="5"/>
    </row>
    <row r="16" spans="1:18" x14ac:dyDescent="0.3">
      <c r="A16" s="1"/>
      <c r="B16" s="1"/>
      <c r="C16" s="1"/>
      <c r="D16" s="1"/>
      <c r="E16" s="1"/>
      <c r="F16" s="1"/>
      <c r="G16" s="1"/>
      <c r="H16" s="1"/>
      <c r="I16" s="12"/>
      <c r="J16" s="12"/>
      <c r="K16" s="1"/>
      <c r="L16" s="1"/>
      <c r="M16" s="1"/>
      <c r="N16" s="1"/>
      <c r="O16" s="5"/>
      <c r="P16" s="20"/>
      <c r="Q16" s="5"/>
      <c r="R16" s="5"/>
    </row>
    <row r="17" spans="1:18" x14ac:dyDescent="0.3">
      <c r="A17" s="1"/>
      <c r="B17" s="1"/>
      <c r="C17" s="1"/>
      <c r="D17" s="1"/>
      <c r="E17" s="1"/>
      <c r="F17" s="1"/>
      <c r="G17" s="1"/>
      <c r="H17" s="1"/>
      <c r="I17" s="12"/>
      <c r="J17" s="12"/>
      <c r="K17" s="1"/>
      <c r="L17" s="1"/>
      <c r="M17" s="1"/>
      <c r="N17" s="1"/>
      <c r="O17" s="5"/>
      <c r="P17" s="20"/>
      <c r="Q17" s="5"/>
      <c r="R17" s="5"/>
    </row>
    <row r="18" spans="1:18" x14ac:dyDescent="0.3">
      <c r="A18" s="1"/>
      <c r="B18" s="1"/>
      <c r="C18" s="1"/>
      <c r="D18" s="1"/>
      <c r="E18" s="1"/>
      <c r="F18" s="1"/>
      <c r="G18" s="1"/>
      <c r="H18" s="1"/>
      <c r="I18" s="12"/>
      <c r="J18" s="12"/>
      <c r="K18" s="1"/>
      <c r="L18" s="1"/>
      <c r="M18" s="1"/>
      <c r="N18" s="1"/>
      <c r="O18" s="5"/>
      <c r="P18" s="20"/>
      <c r="Q18" s="5"/>
      <c r="R18" s="5"/>
    </row>
    <row r="19" spans="1:18" x14ac:dyDescent="0.3">
      <c r="A19" s="1"/>
      <c r="B19" s="1"/>
      <c r="C19" s="1"/>
      <c r="D19" s="1"/>
      <c r="E19" s="1"/>
      <c r="F19" s="1"/>
      <c r="G19" s="1"/>
      <c r="H19" s="1"/>
      <c r="I19" s="12"/>
      <c r="J19" s="12"/>
      <c r="K19" s="1"/>
      <c r="L19" s="1"/>
      <c r="M19" s="1"/>
      <c r="N19" s="1"/>
      <c r="O19" s="5"/>
      <c r="P19" s="20"/>
      <c r="Q19" s="5"/>
      <c r="R19" s="5"/>
    </row>
    <row r="20" spans="1:18" x14ac:dyDescent="0.3">
      <c r="A20" s="1"/>
      <c r="B20" s="1"/>
      <c r="C20" s="1"/>
      <c r="D20" s="1"/>
      <c r="E20" s="1"/>
      <c r="F20" s="1"/>
      <c r="G20" s="1"/>
      <c r="H20" s="1"/>
      <c r="I20" s="12"/>
      <c r="J20" s="12"/>
      <c r="K20" s="1"/>
      <c r="L20" s="1"/>
      <c r="M20" s="1"/>
      <c r="N20" s="1"/>
      <c r="O20" s="5"/>
      <c r="P20" s="20"/>
      <c r="Q20" s="5"/>
      <c r="R20" s="5"/>
    </row>
    <row r="21" spans="1:18" x14ac:dyDescent="0.3">
      <c r="A21" s="1"/>
      <c r="B21" s="1"/>
      <c r="C21" s="1"/>
      <c r="D21" s="1"/>
      <c r="E21" s="1"/>
      <c r="F21" s="1"/>
      <c r="G21" s="1"/>
      <c r="H21" s="1"/>
      <c r="I21" s="12"/>
      <c r="J21" s="12"/>
      <c r="K21" s="1"/>
      <c r="L21" s="1"/>
      <c r="M21" s="1"/>
      <c r="N21" s="1"/>
      <c r="O21" s="5"/>
      <c r="P21" s="20"/>
      <c r="Q21" s="5"/>
      <c r="R21" s="5"/>
    </row>
    <row r="22" spans="1:18" x14ac:dyDescent="0.3">
      <c r="A22" s="1"/>
      <c r="B22" s="1"/>
      <c r="C22" s="1"/>
      <c r="D22" s="1"/>
      <c r="E22" s="1"/>
      <c r="F22" s="1"/>
      <c r="G22" s="1"/>
      <c r="H22" s="1"/>
      <c r="I22" s="12"/>
      <c r="J22" s="12"/>
      <c r="K22" s="1"/>
      <c r="L22" s="1"/>
      <c r="M22" s="1"/>
      <c r="N22" s="1"/>
      <c r="O22" s="5"/>
      <c r="P22" s="20"/>
      <c r="Q22" s="5"/>
      <c r="R22" s="5"/>
    </row>
    <row r="23" spans="1:18" x14ac:dyDescent="0.3">
      <c r="A23" s="1"/>
      <c r="B23" s="1"/>
      <c r="C23" s="1"/>
      <c r="D23" s="1"/>
      <c r="E23" s="1"/>
      <c r="F23" s="1"/>
      <c r="G23" s="1"/>
      <c r="H23" s="1"/>
      <c r="I23" s="12"/>
      <c r="J23" s="12"/>
      <c r="K23" s="1"/>
      <c r="L23" s="1"/>
      <c r="M23" s="1"/>
      <c r="N23" s="1"/>
      <c r="O23" s="5"/>
      <c r="P23" s="20"/>
      <c r="Q23" s="5"/>
      <c r="R23" s="5"/>
    </row>
    <row r="24" spans="1:18" x14ac:dyDescent="0.3">
      <c r="A24" s="1"/>
      <c r="B24" s="1"/>
      <c r="C24" s="1"/>
      <c r="D24" s="1"/>
      <c r="E24" s="1"/>
      <c r="F24" s="1"/>
      <c r="G24" s="1"/>
      <c r="H24" s="1"/>
      <c r="I24" s="12"/>
      <c r="J24" s="12"/>
      <c r="K24" s="1"/>
      <c r="L24" s="1"/>
      <c r="M24" s="1"/>
      <c r="N24" s="1"/>
      <c r="O24" s="5"/>
      <c r="P24" s="20"/>
      <c r="Q24" s="5"/>
      <c r="R24" s="5"/>
    </row>
    <row r="25" spans="1:18" x14ac:dyDescent="0.3">
      <c r="A25" s="1"/>
      <c r="B25" s="1"/>
      <c r="C25" s="1"/>
      <c r="D25" s="1"/>
      <c r="E25" s="1"/>
      <c r="F25" s="1"/>
      <c r="G25" s="1"/>
      <c r="H25" s="1"/>
      <c r="I25" s="12"/>
      <c r="J25" s="12"/>
      <c r="K25" s="1"/>
      <c r="L25" s="1"/>
      <c r="M25" s="1"/>
      <c r="N25" s="1"/>
      <c r="O25" s="5"/>
      <c r="P25" s="20"/>
      <c r="Q25" s="5"/>
      <c r="R25" s="5"/>
    </row>
    <row r="26" spans="1:18" x14ac:dyDescent="0.3">
      <c r="A26" s="1"/>
      <c r="B26" s="1"/>
      <c r="C26" s="1"/>
      <c r="D26" s="1"/>
      <c r="E26" s="1"/>
      <c r="F26" s="1"/>
      <c r="G26" s="1"/>
      <c r="H26" s="1"/>
      <c r="I26" s="12"/>
      <c r="J26" s="12"/>
      <c r="K26" s="1"/>
      <c r="L26" s="1"/>
      <c r="M26" s="1"/>
      <c r="N26" s="1"/>
      <c r="O26" s="5"/>
      <c r="P26" s="20"/>
      <c r="Q26" s="5"/>
      <c r="R26" s="5"/>
    </row>
    <row r="27" spans="1:18" x14ac:dyDescent="0.3">
      <c r="A27" s="1"/>
      <c r="B27" s="1"/>
      <c r="C27" s="1"/>
      <c r="D27" s="1"/>
      <c r="E27" s="1"/>
      <c r="F27" s="1"/>
      <c r="G27" s="1"/>
      <c r="H27" s="1"/>
      <c r="I27" s="12"/>
      <c r="J27" s="12"/>
      <c r="K27" s="1"/>
      <c r="L27" s="1"/>
      <c r="M27" s="1"/>
      <c r="N27" s="1"/>
      <c r="O27" s="5"/>
      <c r="P27" s="20"/>
      <c r="Q27" s="5"/>
      <c r="R27" s="5"/>
    </row>
    <row r="28" spans="1:18" x14ac:dyDescent="0.3">
      <c r="A28" s="1"/>
      <c r="B28" s="1"/>
      <c r="C28" s="1"/>
      <c r="D28" s="1"/>
      <c r="E28" s="1"/>
      <c r="F28" s="1"/>
      <c r="G28" s="1"/>
      <c r="H28" s="1"/>
      <c r="I28" s="12"/>
      <c r="J28" s="12"/>
      <c r="K28" s="1"/>
      <c r="L28" s="1"/>
      <c r="M28" s="1"/>
      <c r="N28" s="1"/>
      <c r="O28" s="5"/>
      <c r="P28" s="20"/>
      <c r="Q28" s="5"/>
      <c r="R28" s="5"/>
    </row>
    <row r="29" spans="1:18" x14ac:dyDescent="0.3">
      <c r="A29" s="1"/>
      <c r="B29" s="1"/>
      <c r="C29" s="1"/>
      <c r="D29" s="1"/>
      <c r="E29" s="1"/>
      <c r="F29" s="1"/>
      <c r="G29" s="1"/>
      <c r="H29" s="1"/>
      <c r="I29" s="12"/>
      <c r="J29" s="12"/>
      <c r="K29" s="1"/>
      <c r="L29" s="1"/>
      <c r="M29" s="1"/>
      <c r="N29" s="1"/>
      <c r="O29" s="5"/>
      <c r="P29" s="20"/>
      <c r="Q29" s="5"/>
      <c r="R29" s="5"/>
    </row>
    <row r="30" spans="1:18" x14ac:dyDescent="0.3">
      <c r="A30" s="1"/>
      <c r="B30" s="1"/>
      <c r="C30" s="1"/>
      <c r="D30" s="1"/>
      <c r="E30" s="1"/>
      <c r="F30" s="1"/>
      <c r="G30" s="1"/>
      <c r="H30" s="1"/>
      <c r="I30" s="12"/>
      <c r="J30" s="12"/>
      <c r="K30" s="1"/>
      <c r="L30" s="1"/>
      <c r="M30" s="1"/>
      <c r="N30" s="1"/>
      <c r="O30" s="5"/>
      <c r="P30" s="20"/>
      <c r="Q30" s="5"/>
      <c r="R30" s="5"/>
    </row>
    <row r="31" spans="1:18" x14ac:dyDescent="0.3">
      <c r="A31" s="1"/>
      <c r="B31" s="1"/>
      <c r="C31" s="1"/>
      <c r="D31" s="1"/>
      <c r="E31" s="1"/>
      <c r="F31" s="1"/>
      <c r="G31" s="1"/>
      <c r="H31" s="1"/>
      <c r="I31" s="12"/>
      <c r="J31" s="12"/>
      <c r="K31" s="1"/>
      <c r="L31" s="1"/>
      <c r="M31" s="1"/>
      <c r="N31" s="1"/>
      <c r="O31" s="5"/>
      <c r="P31" s="20"/>
      <c r="Q31" s="5"/>
      <c r="R31" s="5"/>
    </row>
    <row r="32" spans="1:18" x14ac:dyDescent="0.3">
      <c r="A32" s="1"/>
      <c r="B32" s="1"/>
      <c r="C32" s="1"/>
      <c r="D32" s="1"/>
      <c r="E32" s="1"/>
      <c r="F32" s="1"/>
      <c r="G32" s="1"/>
      <c r="H32" s="1"/>
      <c r="I32" s="12"/>
      <c r="J32" s="12"/>
      <c r="K32" s="1"/>
      <c r="L32" s="1"/>
      <c r="M32" s="1"/>
      <c r="N32" s="1"/>
      <c r="O32" s="5"/>
      <c r="P32" s="20"/>
      <c r="Q32" s="5"/>
      <c r="R32" s="5"/>
    </row>
    <row r="33" spans="1:18" x14ac:dyDescent="0.3">
      <c r="A33" s="1"/>
      <c r="B33" s="1"/>
      <c r="C33" s="1"/>
      <c r="D33" s="1"/>
      <c r="E33" s="1"/>
      <c r="F33" s="1"/>
      <c r="G33" s="1"/>
      <c r="H33" s="1"/>
      <c r="I33" s="12"/>
      <c r="J33" s="12"/>
      <c r="K33" s="1"/>
      <c r="L33" s="1"/>
      <c r="M33" s="1"/>
      <c r="N33" s="1"/>
      <c r="O33" s="5"/>
      <c r="P33" s="20"/>
      <c r="Q33" s="5"/>
      <c r="R33" s="5"/>
    </row>
    <row r="34" spans="1:18" x14ac:dyDescent="0.3">
      <c r="A34" s="1"/>
      <c r="B34" s="1"/>
      <c r="C34" s="1"/>
      <c r="D34" s="1"/>
      <c r="E34" s="1"/>
      <c r="F34" s="1"/>
      <c r="G34" s="1"/>
      <c r="H34" s="1"/>
      <c r="I34" s="12"/>
      <c r="J34" s="12"/>
      <c r="K34" s="1"/>
      <c r="L34" s="1"/>
      <c r="M34" s="1"/>
      <c r="N34" s="1"/>
      <c r="O34" s="5"/>
      <c r="P34" s="20"/>
      <c r="Q34" s="5"/>
      <c r="R34" s="5"/>
    </row>
    <row r="35" spans="1:18" x14ac:dyDescent="0.3">
      <c r="A35" s="1"/>
      <c r="B35" s="1"/>
      <c r="C35" s="1"/>
      <c r="D35" s="1"/>
      <c r="E35" s="1"/>
      <c r="F35" s="1"/>
      <c r="G35" s="1"/>
      <c r="H35" s="1"/>
      <c r="I35" s="12"/>
      <c r="J35" s="12"/>
      <c r="K35" s="1"/>
      <c r="L35" s="1"/>
      <c r="M35" s="1"/>
      <c r="N35" s="1"/>
      <c r="O35" s="5"/>
      <c r="P35" s="20"/>
      <c r="Q35" s="5"/>
      <c r="R35" s="5"/>
    </row>
    <row r="36" spans="1:18" x14ac:dyDescent="0.3">
      <c r="A36" s="1"/>
      <c r="B36" s="1"/>
      <c r="C36" s="1"/>
      <c r="D36" s="1"/>
      <c r="E36" s="1"/>
      <c r="F36" s="1"/>
      <c r="G36" s="1"/>
      <c r="H36" s="1"/>
      <c r="I36" s="12"/>
      <c r="J36" s="12"/>
      <c r="K36" s="1"/>
      <c r="L36" s="1"/>
      <c r="M36" s="1"/>
      <c r="N36" s="1"/>
      <c r="O36" s="5"/>
      <c r="P36" s="20"/>
      <c r="Q36" s="5"/>
      <c r="R36" s="5"/>
    </row>
    <row r="37" spans="1:18" x14ac:dyDescent="0.3">
      <c r="A37" s="1"/>
      <c r="B37" s="1"/>
      <c r="C37" s="1"/>
      <c r="D37" s="1"/>
      <c r="E37" s="1"/>
      <c r="F37" s="1"/>
      <c r="G37" s="1"/>
      <c r="H37" s="1"/>
      <c r="I37" s="12"/>
      <c r="J37" s="12"/>
      <c r="K37" s="1"/>
      <c r="L37" s="1"/>
      <c r="M37" s="1"/>
      <c r="N37" s="1"/>
      <c r="O37" s="5"/>
      <c r="P37" s="20"/>
      <c r="Q37" s="5"/>
      <c r="R37" s="5"/>
    </row>
    <row r="38" spans="1:18" x14ac:dyDescent="0.3">
      <c r="A38" s="1"/>
      <c r="B38" s="1"/>
      <c r="C38" s="1"/>
      <c r="D38" s="1"/>
      <c r="E38" s="1"/>
      <c r="F38" s="1"/>
      <c r="G38" s="1"/>
      <c r="H38" s="1"/>
      <c r="I38" s="12"/>
      <c r="J38" s="12"/>
      <c r="K38" s="1"/>
      <c r="L38" s="1"/>
      <c r="M38" s="1"/>
      <c r="N38" s="1"/>
      <c r="O38" s="5"/>
      <c r="P38" s="20"/>
      <c r="Q38" s="5"/>
      <c r="R38" s="5"/>
    </row>
    <row r="39" spans="1:18" x14ac:dyDescent="0.3">
      <c r="A39" s="1"/>
      <c r="B39" s="1"/>
      <c r="C39" s="1"/>
      <c r="D39" s="1"/>
      <c r="E39" s="1"/>
      <c r="F39" s="1"/>
      <c r="G39" s="1"/>
      <c r="H39" s="1"/>
      <c r="I39" s="12"/>
      <c r="J39" s="12"/>
      <c r="K39" s="1"/>
      <c r="L39" s="1"/>
      <c r="M39" s="1"/>
      <c r="N39" s="1"/>
      <c r="O39" s="5"/>
      <c r="P39" s="20"/>
      <c r="Q39" s="5"/>
      <c r="R39" s="5"/>
    </row>
    <row r="40" spans="1:18" x14ac:dyDescent="0.3">
      <c r="A40" s="1"/>
      <c r="B40" s="1"/>
      <c r="C40" s="1"/>
      <c r="D40" s="1"/>
      <c r="E40" s="1"/>
      <c r="F40" s="1"/>
      <c r="G40" s="1"/>
      <c r="H40" s="1"/>
      <c r="I40" s="12"/>
      <c r="J40" s="12"/>
      <c r="K40" s="1"/>
      <c r="L40" s="1"/>
      <c r="M40" s="1"/>
      <c r="N40" s="1"/>
      <c r="O40" s="5"/>
      <c r="P40" s="20"/>
      <c r="Q40" s="5"/>
      <c r="R40" s="5"/>
    </row>
    <row r="41" spans="1:18" x14ac:dyDescent="0.3">
      <c r="A41" s="1"/>
      <c r="B41" s="1"/>
      <c r="C41" s="1"/>
      <c r="D41" s="1"/>
      <c r="E41" s="1"/>
      <c r="F41" s="1"/>
      <c r="G41" s="1"/>
      <c r="H41" s="1"/>
      <c r="I41" s="12"/>
      <c r="J41" s="12"/>
      <c r="K41" s="1"/>
      <c r="L41" s="1"/>
      <c r="M41" s="1"/>
      <c r="N41" s="1"/>
      <c r="O41" s="5"/>
      <c r="P41" s="20"/>
      <c r="Q41" s="5"/>
      <c r="R41" s="5"/>
    </row>
    <row r="42" spans="1:18" x14ac:dyDescent="0.3">
      <c r="A42" s="1"/>
      <c r="B42" s="1"/>
      <c r="C42" s="1"/>
      <c r="D42" s="1"/>
      <c r="E42" s="1"/>
      <c r="F42" s="1"/>
      <c r="G42" s="1"/>
      <c r="H42" s="1"/>
      <c r="I42" s="12"/>
      <c r="J42" s="12"/>
      <c r="K42" s="1"/>
      <c r="L42" s="1"/>
      <c r="M42" s="1"/>
      <c r="N42" s="1"/>
      <c r="O42" s="5"/>
      <c r="P42" s="20"/>
      <c r="Q42" s="5"/>
      <c r="R42" s="5"/>
    </row>
    <row r="43" spans="1:18" x14ac:dyDescent="0.3">
      <c r="A43" s="1"/>
      <c r="B43" s="1"/>
      <c r="C43" s="1"/>
      <c r="D43" s="1"/>
      <c r="E43" s="1"/>
      <c r="F43" s="1"/>
      <c r="G43" s="1"/>
      <c r="H43" s="1"/>
      <c r="I43" s="12"/>
      <c r="J43" s="12"/>
      <c r="K43" s="1"/>
      <c r="L43" s="1"/>
      <c r="M43" s="1"/>
      <c r="N43" s="1"/>
      <c r="O43" s="5"/>
      <c r="P43" s="20"/>
      <c r="Q43" s="5"/>
      <c r="R43" s="5"/>
    </row>
    <row r="44" spans="1:18" x14ac:dyDescent="0.3">
      <c r="A44" s="1"/>
      <c r="B44" s="1"/>
      <c r="C44" s="1"/>
      <c r="D44" s="1"/>
      <c r="E44" s="1"/>
      <c r="F44" s="1"/>
      <c r="G44" s="1"/>
      <c r="H44" s="1"/>
      <c r="I44" s="12"/>
      <c r="J44" s="12"/>
      <c r="K44" s="1"/>
      <c r="L44" s="1"/>
      <c r="M44" s="1"/>
      <c r="N44" s="1"/>
      <c r="O44" s="5"/>
      <c r="P44" s="20"/>
      <c r="Q44" s="5"/>
      <c r="R44" s="5"/>
    </row>
    <row r="45" spans="1:18" x14ac:dyDescent="0.3">
      <c r="A45" s="1"/>
      <c r="B45" s="1"/>
      <c r="C45" s="1"/>
      <c r="D45" s="1"/>
      <c r="E45" s="1"/>
      <c r="F45" s="1"/>
      <c r="G45" s="1"/>
      <c r="H45" s="1"/>
      <c r="I45" s="12"/>
      <c r="J45" s="12"/>
      <c r="K45" s="1"/>
      <c r="L45" s="1"/>
      <c r="M45" s="1"/>
      <c r="N45" s="1"/>
      <c r="O45" s="5"/>
      <c r="P45" s="20"/>
      <c r="Q45" s="5"/>
      <c r="R45" s="5"/>
    </row>
    <row r="46" spans="1:18" x14ac:dyDescent="0.3">
      <c r="A46" s="1"/>
      <c r="B46" s="1"/>
      <c r="C46" s="1"/>
      <c r="D46" s="1"/>
      <c r="E46" s="1"/>
      <c r="F46" s="1"/>
      <c r="G46" s="1"/>
      <c r="H46" s="1"/>
      <c r="I46" s="12"/>
      <c r="J46" s="12"/>
      <c r="K46" s="1"/>
      <c r="L46" s="1"/>
      <c r="M46" s="1"/>
      <c r="N46" s="1"/>
      <c r="O46" s="5"/>
      <c r="P46" s="20"/>
      <c r="Q46" s="5"/>
      <c r="R46" s="5"/>
    </row>
    <row r="47" spans="1:18" x14ac:dyDescent="0.3">
      <c r="A47" s="1"/>
      <c r="B47" s="1"/>
      <c r="C47" s="1"/>
      <c r="D47" s="1"/>
      <c r="E47" s="1"/>
      <c r="F47" s="1"/>
      <c r="G47" s="1"/>
      <c r="H47" s="1"/>
      <c r="I47" s="12"/>
      <c r="J47" s="12"/>
      <c r="K47" s="1"/>
      <c r="L47" s="1"/>
      <c r="M47" s="1"/>
      <c r="N47" s="1"/>
      <c r="O47" s="5"/>
      <c r="P47" s="20"/>
      <c r="Q47" s="5"/>
      <c r="R47" s="5"/>
    </row>
    <row r="48" spans="1:18" x14ac:dyDescent="0.3">
      <c r="A48" s="1"/>
      <c r="B48" s="1"/>
      <c r="C48" s="1"/>
      <c r="D48" s="1"/>
      <c r="E48" s="1"/>
      <c r="F48" s="1"/>
      <c r="G48" s="1"/>
      <c r="H48" s="1"/>
      <c r="I48" s="12"/>
      <c r="J48" s="12"/>
      <c r="K48" s="1"/>
      <c r="L48" s="1"/>
      <c r="M48" s="1"/>
      <c r="N48" s="1"/>
      <c r="O48" s="5"/>
      <c r="P48" s="20"/>
      <c r="Q48" s="5"/>
      <c r="R48" s="5"/>
    </row>
    <row r="49" spans="1:18" x14ac:dyDescent="0.3">
      <c r="A49" s="1"/>
      <c r="B49" s="1"/>
      <c r="C49" s="1"/>
      <c r="D49" s="1"/>
      <c r="E49" s="1"/>
      <c r="F49" s="1"/>
      <c r="G49" s="1"/>
      <c r="H49" s="1"/>
      <c r="I49" s="12"/>
      <c r="J49" s="12"/>
      <c r="K49" s="1"/>
      <c r="L49" s="1"/>
      <c r="M49" s="1"/>
      <c r="N49" s="1"/>
      <c r="O49" s="5"/>
      <c r="P49" s="20"/>
      <c r="Q49" s="5"/>
      <c r="R49" s="5"/>
    </row>
    <row r="50" spans="1:18" x14ac:dyDescent="0.3">
      <c r="A50" s="1"/>
      <c r="B50" s="1"/>
      <c r="C50" s="1"/>
      <c r="D50" s="1"/>
      <c r="E50" s="1"/>
      <c r="F50" s="1"/>
      <c r="G50" s="1"/>
      <c r="H50" s="1"/>
      <c r="I50" s="12"/>
      <c r="J50" s="12"/>
      <c r="K50" s="1"/>
      <c r="L50" s="1"/>
      <c r="M50" s="1"/>
      <c r="N50" s="1"/>
      <c r="O50" s="5"/>
      <c r="P50" s="20"/>
      <c r="Q50" s="5"/>
      <c r="R50" s="5"/>
    </row>
    <row r="51" spans="1:18" x14ac:dyDescent="0.3">
      <c r="A51" s="1"/>
      <c r="B51" s="1"/>
      <c r="C51" s="1"/>
      <c r="D51" s="1"/>
      <c r="E51" s="1"/>
      <c r="F51" s="1"/>
      <c r="G51" s="1"/>
      <c r="H51" s="1"/>
      <c r="I51" s="12"/>
      <c r="J51" s="12"/>
      <c r="K51" s="1"/>
      <c r="L51" s="1"/>
      <c r="M51" s="1"/>
      <c r="N51" s="1"/>
      <c r="O51" s="5"/>
      <c r="P51" s="20"/>
      <c r="Q51" s="5"/>
      <c r="R51" s="5"/>
    </row>
    <row r="52" spans="1:18" x14ac:dyDescent="0.3">
      <c r="A52" s="1"/>
      <c r="B52" s="1"/>
      <c r="C52" s="1"/>
      <c r="D52" s="1"/>
      <c r="E52" s="1"/>
      <c r="F52" s="1"/>
      <c r="G52" s="1"/>
      <c r="H52" s="1"/>
      <c r="I52" s="12"/>
      <c r="J52" s="12"/>
      <c r="K52" s="1"/>
      <c r="L52" s="1"/>
      <c r="M52" s="1"/>
      <c r="N52" s="1"/>
      <c r="O52" s="5"/>
      <c r="P52" s="20"/>
      <c r="Q52" s="5"/>
      <c r="R52" s="5"/>
    </row>
    <row r="53" spans="1:18" x14ac:dyDescent="0.3">
      <c r="A53" s="1"/>
      <c r="B53" s="1"/>
      <c r="C53" s="1"/>
      <c r="D53" s="1"/>
      <c r="E53" s="1"/>
      <c r="F53" s="1"/>
      <c r="G53" s="1"/>
      <c r="H53" s="1"/>
      <c r="I53" s="12"/>
      <c r="J53" s="12"/>
      <c r="K53" s="1"/>
      <c r="L53" s="1"/>
      <c r="M53" s="1"/>
      <c r="N53" s="1"/>
      <c r="O53" s="5"/>
      <c r="P53" s="20"/>
      <c r="Q53" s="5"/>
      <c r="R53" s="5"/>
    </row>
    <row r="54" spans="1:18" x14ac:dyDescent="0.3">
      <c r="A54" s="1"/>
      <c r="B54" s="1"/>
      <c r="C54" s="1"/>
      <c r="D54" s="1"/>
      <c r="E54" s="1"/>
      <c r="F54" s="1"/>
      <c r="G54" s="1"/>
      <c r="H54" s="1"/>
      <c r="I54" s="12"/>
      <c r="J54" s="12"/>
      <c r="K54" s="1"/>
      <c r="L54" s="1"/>
      <c r="M54" s="1"/>
      <c r="N54" s="1"/>
      <c r="O54" s="5"/>
      <c r="P54" s="20"/>
      <c r="Q54" s="5"/>
      <c r="R54" s="5"/>
    </row>
    <row r="55" spans="1:18" x14ac:dyDescent="0.3">
      <c r="A55" s="1"/>
      <c r="B55" s="1"/>
      <c r="C55" s="1"/>
      <c r="D55" s="1"/>
      <c r="E55" s="1"/>
      <c r="F55" s="1"/>
      <c r="G55" s="1"/>
      <c r="H55" s="1"/>
      <c r="I55" s="12"/>
      <c r="J55" s="12"/>
      <c r="K55" s="1"/>
      <c r="L55" s="1"/>
      <c r="M55" s="1"/>
      <c r="N55" s="1"/>
      <c r="O55" s="5"/>
      <c r="P55" s="20"/>
      <c r="Q55" s="5"/>
      <c r="R55" s="5"/>
    </row>
    <row r="56" spans="1:18" x14ac:dyDescent="0.3">
      <c r="A56" s="1"/>
      <c r="B56" s="1"/>
      <c r="C56" s="1"/>
      <c r="D56" s="1"/>
      <c r="E56" s="1"/>
      <c r="F56" s="1"/>
      <c r="G56" s="1"/>
      <c r="H56" s="1"/>
      <c r="I56" s="12"/>
      <c r="J56" s="12"/>
      <c r="K56" s="1"/>
      <c r="L56" s="1"/>
      <c r="M56" s="1"/>
      <c r="N56" s="1"/>
      <c r="O56" s="5"/>
      <c r="P56" s="20"/>
      <c r="Q56" s="5"/>
      <c r="R56" s="5"/>
    </row>
    <row r="57" spans="1:18" x14ac:dyDescent="0.3">
      <c r="A57" s="1"/>
      <c r="B57" s="1"/>
      <c r="C57" s="1"/>
      <c r="D57" s="1"/>
      <c r="E57" s="1"/>
      <c r="F57" s="1"/>
      <c r="G57" s="1"/>
      <c r="H57" s="1"/>
      <c r="I57" s="12"/>
      <c r="J57" s="12"/>
      <c r="K57" s="1"/>
      <c r="L57" s="1"/>
      <c r="M57" s="1"/>
      <c r="N57" s="1"/>
      <c r="O57" s="5"/>
      <c r="P57" s="20"/>
      <c r="Q57" s="5"/>
      <c r="R57" s="5"/>
    </row>
    <row r="58" spans="1:18" x14ac:dyDescent="0.3">
      <c r="A58" s="1"/>
      <c r="B58" s="1"/>
      <c r="C58" s="1"/>
      <c r="D58" s="1"/>
      <c r="E58" s="1"/>
      <c r="F58" s="1"/>
      <c r="G58" s="1"/>
      <c r="H58" s="1"/>
      <c r="I58" s="12"/>
      <c r="J58" s="12"/>
      <c r="K58" s="1"/>
      <c r="L58" s="1"/>
      <c r="M58" s="1"/>
      <c r="N58" s="1"/>
      <c r="O58" s="5"/>
      <c r="P58" s="20"/>
      <c r="Q58" s="5"/>
      <c r="R58" s="5"/>
    </row>
    <row r="59" spans="1:18" x14ac:dyDescent="0.3">
      <c r="A59" s="1"/>
      <c r="B59" s="1"/>
      <c r="C59" s="1"/>
      <c r="D59" s="1"/>
      <c r="E59" s="1"/>
      <c r="F59" s="1"/>
      <c r="G59" s="1"/>
      <c r="H59" s="1"/>
      <c r="I59" s="12"/>
      <c r="J59" s="12"/>
      <c r="K59" s="1"/>
      <c r="L59" s="1"/>
      <c r="M59" s="1"/>
      <c r="N59" s="1"/>
      <c r="O59" s="5"/>
      <c r="P59" s="20"/>
      <c r="Q59" s="5"/>
      <c r="R59" s="5"/>
    </row>
    <row r="60" spans="1:18" x14ac:dyDescent="0.3">
      <c r="A60" s="1"/>
      <c r="B60" s="1"/>
      <c r="C60" s="1"/>
      <c r="D60" s="1"/>
      <c r="E60" s="1"/>
      <c r="F60" s="1"/>
      <c r="G60" s="1"/>
      <c r="H60" s="1"/>
      <c r="I60" s="12"/>
      <c r="J60" s="12"/>
      <c r="K60" s="1"/>
      <c r="L60" s="1"/>
      <c r="M60" s="1"/>
      <c r="N60" s="1"/>
      <c r="O60" s="5"/>
      <c r="P60" s="20"/>
      <c r="Q60" s="5"/>
      <c r="R60" s="5"/>
    </row>
    <row r="61" spans="1:18" x14ac:dyDescent="0.3">
      <c r="A61" s="1"/>
      <c r="B61" s="1"/>
      <c r="C61" s="1"/>
      <c r="D61" s="1"/>
      <c r="E61" s="1"/>
      <c r="F61" s="1"/>
      <c r="G61" s="1"/>
      <c r="H61" s="1"/>
      <c r="I61" s="12"/>
      <c r="J61" s="12"/>
      <c r="K61" s="1"/>
      <c r="L61" s="1"/>
      <c r="M61" s="1"/>
      <c r="N61" s="1"/>
      <c r="O61" s="5"/>
      <c r="P61" s="20"/>
      <c r="Q61" s="5"/>
      <c r="R61" s="5"/>
    </row>
    <row r="62" spans="1:18" x14ac:dyDescent="0.3">
      <c r="A62" s="1"/>
      <c r="B62" s="1"/>
      <c r="C62" s="1"/>
      <c r="D62" s="1"/>
      <c r="E62" s="1"/>
      <c r="F62" s="1"/>
      <c r="G62" s="1"/>
      <c r="H62" s="1"/>
      <c r="I62" s="12"/>
      <c r="J62" s="12"/>
      <c r="K62" s="1"/>
      <c r="L62" s="1"/>
      <c r="M62" s="1"/>
      <c r="N62" s="1"/>
      <c r="O62" s="5"/>
      <c r="P62" s="20"/>
      <c r="Q62" s="5"/>
      <c r="R62" s="5"/>
    </row>
    <row r="63" spans="1:18" x14ac:dyDescent="0.3">
      <c r="A63" s="1"/>
      <c r="B63" s="1"/>
      <c r="C63" s="1"/>
      <c r="D63" s="1"/>
      <c r="E63" s="1"/>
      <c r="F63" s="1"/>
      <c r="G63" s="1"/>
      <c r="H63" s="1"/>
      <c r="I63" s="12"/>
      <c r="J63" s="12"/>
      <c r="K63" s="1"/>
      <c r="L63" s="1"/>
      <c r="M63" s="1"/>
      <c r="N63" s="1"/>
      <c r="O63" s="5"/>
      <c r="P63" s="20"/>
      <c r="Q63" s="5"/>
      <c r="R63" s="5"/>
    </row>
    <row r="64" spans="1:18" x14ac:dyDescent="0.3">
      <c r="A64" s="1"/>
      <c r="B64" s="1"/>
      <c r="C64" s="1"/>
      <c r="D64" s="1"/>
      <c r="E64" s="1"/>
      <c r="F64" s="1"/>
      <c r="G64" s="1"/>
      <c r="H64" s="1"/>
      <c r="I64" s="12"/>
      <c r="J64" s="12"/>
      <c r="K64" s="1"/>
      <c r="L64" s="1"/>
      <c r="M64" s="1"/>
      <c r="N64" s="1"/>
      <c r="O64" s="5"/>
      <c r="P64" s="20"/>
      <c r="Q64" s="5"/>
      <c r="R64" s="5"/>
    </row>
    <row r="65" spans="1:18" x14ac:dyDescent="0.3">
      <c r="A65" s="1"/>
      <c r="B65" s="1"/>
      <c r="C65" s="1"/>
      <c r="D65" s="1"/>
      <c r="E65" s="1"/>
      <c r="F65" s="1"/>
      <c r="G65" s="1"/>
      <c r="H65" s="1"/>
      <c r="I65" s="12"/>
      <c r="J65" s="12"/>
      <c r="K65" s="1"/>
      <c r="L65" s="1"/>
      <c r="M65" s="1"/>
      <c r="N65" s="1"/>
      <c r="O65" s="5"/>
      <c r="P65" s="20"/>
      <c r="Q65" s="5"/>
      <c r="R65" s="5"/>
    </row>
    <row r="66" spans="1:18" x14ac:dyDescent="0.3">
      <c r="A66" s="1"/>
      <c r="B66" s="1"/>
      <c r="C66" s="1"/>
      <c r="D66" s="1"/>
      <c r="E66" s="1"/>
      <c r="F66" s="1"/>
      <c r="G66" s="1"/>
      <c r="H66" s="1"/>
      <c r="I66" s="12"/>
      <c r="J66" s="12"/>
      <c r="K66" s="1"/>
      <c r="L66" s="1"/>
      <c r="M66" s="1"/>
      <c r="N66" s="1"/>
      <c r="O66" s="5"/>
      <c r="P66" s="20"/>
      <c r="Q66" s="5"/>
      <c r="R66" s="5"/>
    </row>
    <row r="67" spans="1:18" x14ac:dyDescent="0.3">
      <c r="A67" s="1"/>
      <c r="B67" s="1"/>
      <c r="C67" s="1"/>
      <c r="D67" s="1"/>
      <c r="E67" s="1"/>
      <c r="F67" s="1"/>
      <c r="G67" s="1"/>
      <c r="H67" s="1"/>
      <c r="I67" s="12"/>
      <c r="J67" s="12"/>
      <c r="K67" s="1"/>
      <c r="L67" s="1"/>
      <c r="M67" s="1"/>
      <c r="N67" s="1"/>
      <c r="O67" s="5"/>
      <c r="P67" s="20"/>
      <c r="Q67" s="5"/>
      <c r="R67" s="5"/>
    </row>
    <row r="68" spans="1:18" x14ac:dyDescent="0.3">
      <c r="A68" s="1"/>
      <c r="B68" s="1"/>
      <c r="C68" s="1"/>
      <c r="D68" s="1"/>
      <c r="E68" s="1"/>
      <c r="F68" s="1"/>
      <c r="G68" s="1"/>
      <c r="H68" s="1"/>
      <c r="I68" s="12"/>
      <c r="J68" s="12"/>
      <c r="K68" s="1"/>
      <c r="L68" s="1"/>
      <c r="M68" s="1"/>
      <c r="N68" s="1"/>
      <c r="O68" s="5"/>
      <c r="P68" s="20"/>
      <c r="Q68" s="5"/>
      <c r="R68" s="5"/>
    </row>
    <row r="69" spans="1:18" x14ac:dyDescent="0.3">
      <c r="A69" s="1"/>
      <c r="B69" s="1"/>
      <c r="C69" s="1"/>
      <c r="D69" s="1"/>
      <c r="E69" s="1"/>
      <c r="F69" s="1"/>
      <c r="G69" s="1"/>
      <c r="H69" s="1"/>
      <c r="I69" s="12"/>
      <c r="J69" s="12"/>
      <c r="K69" s="1"/>
      <c r="L69" s="1"/>
      <c r="M69" s="1"/>
      <c r="N69" s="1"/>
      <c r="O69" s="5"/>
      <c r="P69" s="20"/>
      <c r="Q69" s="5"/>
      <c r="R69" s="5"/>
    </row>
    <row r="70" spans="1:18" x14ac:dyDescent="0.3">
      <c r="A70" s="1"/>
      <c r="B70" s="1"/>
      <c r="C70" s="1"/>
      <c r="D70" s="1"/>
      <c r="E70" s="1"/>
      <c r="F70" s="1"/>
      <c r="G70" s="1"/>
      <c r="H70" s="1"/>
      <c r="I70" s="12"/>
      <c r="J70" s="12"/>
      <c r="K70" s="1"/>
      <c r="L70" s="1"/>
      <c r="M70" s="1"/>
      <c r="N70" s="1"/>
      <c r="O70" s="5"/>
      <c r="P70" s="20"/>
      <c r="Q70" s="5"/>
      <c r="R70" s="5"/>
    </row>
    <row r="71" spans="1:18" x14ac:dyDescent="0.3">
      <c r="A71" s="1"/>
      <c r="B71" s="1"/>
      <c r="C71" s="1"/>
      <c r="D71" s="1"/>
      <c r="E71" s="1"/>
      <c r="F71" s="1"/>
      <c r="G71" s="1"/>
      <c r="H71" s="1"/>
      <c r="I71" s="12"/>
      <c r="J71" s="12"/>
      <c r="K71" s="1"/>
      <c r="L71" s="1"/>
      <c r="M71" s="1"/>
      <c r="N71" s="1"/>
      <c r="O71" s="5"/>
      <c r="P71" s="20"/>
      <c r="Q71" s="5"/>
      <c r="R71" s="5"/>
    </row>
    <row r="72" spans="1:18" x14ac:dyDescent="0.3">
      <c r="A72" s="1"/>
      <c r="B72" s="1"/>
      <c r="C72" s="1"/>
      <c r="D72" s="1"/>
      <c r="E72" s="1"/>
      <c r="F72" s="1"/>
      <c r="G72" s="1"/>
      <c r="H72" s="1"/>
      <c r="I72" s="12"/>
      <c r="J72" s="12"/>
      <c r="K72" s="1"/>
      <c r="L72" s="1"/>
      <c r="M72" s="1"/>
      <c r="N72" s="1"/>
      <c r="O72" s="5"/>
      <c r="P72" s="20"/>
      <c r="Q72" s="5"/>
      <c r="R72" s="5"/>
    </row>
    <row r="73" spans="1:18" x14ac:dyDescent="0.3">
      <c r="A73" s="1"/>
      <c r="B73" s="1"/>
      <c r="C73" s="1"/>
      <c r="D73" s="1"/>
      <c r="E73" s="1"/>
      <c r="F73" s="1"/>
      <c r="G73" s="1"/>
      <c r="H73" s="1"/>
      <c r="I73" s="12"/>
      <c r="J73" s="12"/>
      <c r="K73" s="1"/>
      <c r="L73" s="1"/>
      <c r="M73" s="1"/>
      <c r="N73" s="1"/>
      <c r="O73" s="5"/>
      <c r="P73" s="20"/>
      <c r="Q73" s="5"/>
      <c r="R73" s="5"/>
    </row>
    <row r="74" spans="1:18" x14ac:dyDescent="0.3">
      <c r="A74" s="1"/>
      <c r="B74" s="1"/>
      <c r="C74" s="1"/>
      <c r="D74" s="1"/>
      <c r="E74" s="1"/>
      <c r="F74" s="1"/>
      <c r="G74" s="1"/>
      <c r="H74" s="1"/>
      <c r="I74" s="12"/>
      <c r="J74" s="12"/>
      <c r="K74" s="1"/>
      <c r="L74" s="1"/>
      <c r="M74" s="1"/>
      <c r="N74" s="1"/>
      <c r="O74" s="5"/>
      <c r="P74" s="20"/>
      <c r="Q74" s="5"/>
      <c r="R74" s="5"/>
    </row>
    <row r="75" spans="1:18" x14ac:dyDescent="0.3">
      <c r="A75" s="1"/>
      <c r="B75" s="1"/>
      <c r="C75" s="1"/>
      <c r="D75" s="1"/>
      <c r="E75" s="1"/>
      <c r="F75" s="1"/>
      <c r="G75" s="1"/>
      <c r="H75" s="1"/>
      <c r="I75" s="12"/>
      <c r="J75" s="12"/>
      <c r="K75" s="1"/>
      <c r="L75" s="1"/>
      <c r="M75" s="1"/>
      <c r="N75" s="1"/>
      <c r="O75" s="5"/>
      <c r="P75" s="20"/>
      <c r="Q75" s="5"/>
      <c r="R75" s="5"/>
    </row>
    <row r="76" spans="1:18" x14ac:dyDescent="0.3">
      <c r="A76" s="1"/>
      <c r="B76" s="1"/>
      <c r="C76" s="1"/>
      <c r="D76" s="1"/>
      <c r="E76" s="1"/>
      <c r="F76" s="1"/>
      <c r="G76" s="1"/>
      <c r="H76" s="1"/>
      <c r="I76" s="12"/>
      <c r="J76" s="12"/>
      <c r="K76" s="1"/>
      <c r="L76" s="1"/>
      <c r="M76" s="1"/>
      <c r="N76" s="1"/>
      <c r="O76" s="5"/>
      <c r="P76" s="20"/>
      <c r="Q76" s="5"/>
      <c r="R76" s="5"/>
    </row>
    <row r="77" spans="1:18" x14ac:dyDescent="0.3">
      <c r="A77" s="1"/>
      <c r="B77" s="1"/>
      <c r="C77" s="1"/>
      <c r="D77" s="1"/>
      <c r="E77" s="1"/>
      <c r="F77" s="1"/>
      <c r="G77" s="1"/>
      <c r="H77" s="1"/>
      <c r="I77" s="12"/>
      <c r="J77" s="12"/>
      <c r="K77" s="1"/>
      <c r="L77" s="1"/>
      <c r="M77" s="1"/>
      <c r="N77" s="1"/>
      <c r="O77" s="5"/>
      <c r="P77" s="20"/>
      <c r="Q77" s="5"/>
      <c r="R77" s="5"/>
    </row>
    <row r="78" spans="1:18" x14ac:dyDescent="0.3">
      <c r="A78" s="1"/>
      <c r="B78" s="1"/>
      <c r="C78" s="1"/>
      <c r="D78" s="1"/>
      <c r="E78" s="1"/>
      <c r="F78" s="1"/>
      <c r="G78" s="1"/>
      <c r="H78" s="1"/>
      <c r="I78" s="12"/>
      <c r="J78" s="12"/>
      <c r="K78" s="1"/>
      <c r="L78" s="1"/>
      <c r="M78" s="1"/>
      <c r="N78" s="1"/>
      <c r="O78" s="5"/>
      <c r="P78" s="20"/>
      <c r="Q78" s="5"/>
      <c r="R78" s="5"/>
    </row>
    <row r="79" spans="1:18" x14ac:dyDescent="0.3">
      <c r="A79" s="1"/>
      <c r="B79" s="1"/>
      <c r="C79" s="1"/>
      <c r="D79" s="1"/>
      <c r="E79" s="1"/>
      <c r="F79" s="1"/>
      <c r="G79" s="1"/>
      <c r="H79" s="1"/>
      <c r="I79" s="12"/>
      <c r="J79" s="12"/>
      <c r="K79" s="1"/>
      <c r="L79" s="1"/>
      <c r="M79" s="1"/>
      <c r="N79" s="1"/>
      <c r="O79" s="5"/>
      <c r="P79" s="20"/>
      <c r="Q79" s="5"/>
      <c r="R79" s="5"/>
    </row>
    <row r="80" spans="1:18" x14ac:dyDescent="0.3">
      <c r="A80" s="1"/>
      <c r="B80" s="1"/>
      <c r="C80" s="1"/>
      <c r="D80" s="1"/>
      <c r="E80" s="1"/>
      <c r="F80" s="1"/>
      <c r="G80" s="1"/>
      <c r="H80" s="1"/>
      <c r="I80" s="12"/>
      <c r="J80" s="12"/>
      <c r="K80" s="1"/>
      <c r="L80" s="1"/>
      <c r="M80" s="1"/>
      <c r="N80" s="1"/>
      <c r="O80" s="5"/>
      <c r="P80" s="20"/>
      <c r="Q80" s="5"/>
      <c r="R80" s="5"/>
    </row>
    <row r="81" spans="1:18" x14ac:dyDescent="0.3">
      <c r="A81" s="1"/>
      <c r="B81" s="1"/>
      <c r="C81" s="1"/>
      <c r="D81" s="1"/>
      <c r="E81" s="1"/>
      <c r="F81" s="1"/>
      <c r="G81" s="1"/>
      <c r="H81" s="1"/>
      <c r="I81" s="12"/>
      <c r="J81" s="12"/>
      <c r="K81" s="1"/>
      <c r="L81" s="1"/>
      <c r="M81" s="1"/>
      <c r="N81" s="1"/>
      <c r="O81" s="5"/>
      <c r="P81" s="20"/>
      <c r="Q81" s="5"/>
      <c r="R81" s="5"/>
    </row>
    <row r="82" spans="1:18" x14ac:dyDescent="0.3">
      <c r="A82" s="1"/>
      <c r="B82" s="1"/>
      <c r="C82" s="1"/>
      <c r="D82" s="1"/>
      <c r="E82" s="1"/>
      <c r="F82" s="1"/>
      <c r="G82" s="1"/>
      <c r="H82" s="1"/>
      <c r="I82" s="12"/>
      <c r="J82" s="12"/>
      <c r="K82" s="1"/>
      <c r="L82" s="1"/>
      <c r="M82" s="1"/>
      <c r="N82" s="1"/>
      <c r="O82" s="5"/>
      <c r="P82" s="20"/>
      <c r="Q82" s="5"/>
      <c r="R82" s="5"/>
    </row>
    <row r="83" spans="1:18" x14ac:dyDescent="0.3">
      <c r="A83" s="1"/>
      <c r="B83" s="1"/>
      <c r="C83" s="1"/>
      <c r="D83" s="1"/>
      <c r="E83" s="1"/>
      <c r="F83" s="1"/>
      <c r="G83" s="1"/>
      <c r="H83" s="1"/>
      <c r="I83" s="12"/>
      <c r="J83" s="12"/>
      <c r="K83" s="1"/>
      <c r="L83" s="1"/>
      <c r="M83" s="1"/>
      <c r="N83" s="1"/>
      <c r="O83" s="5"/>
      <c r="P83" s="20"/>
      <c r="Q83" s="5"/>
      <c r="R83" s="5"/>
    </row>
    <row r="84" spans="1:18" x14ac:dyDescent="0.3">
      <c r="A84" s="1"/>
      <c r="B84" s="1"/>
      <c r="C84" s="1"/>
      <c r="D84" s="1"/>
      <c r="E84" s="1"/>
      <c r="F84" s="1"/>
      <c r="G84" s="1"/>
      <c r="H84" s="1"/>
      <c r="I84" s="12"/>
      <c r="J84" s="12"/>
      <c r="K84" s="1"/>
      <c r="L84" s="1"/>
      <c r="M84" s="1"/>
      <c r="N84" s="1"/>
      <c r="O84" s="5"/>
      <c r="P84" s="20"/>
      <c r="Q84" s="5"/>
      <c r="R84" s="5"/>
    </row>
    <row r="85" spans="1:18" x14ac:dyDescent="0.3">
      <c r="A85" s="1"/>
      <c r="B85" s="1"/>
      <c r="C85" s="1"/>
      <c r="D85" s="1"/>
      <c r="E85" s="1"/>
      <c r="F85" s="1"/>
      <c r="G85" s="1"/>
      <c r="H85" s="1"/>
      <c r="I85" s="12"/>
      <c r="J85" s="12"/>
      <c r="K85" s="1"/>
      <c r="L85" s="1"/>
      <c r="M85" s="1"/>
      <c r="N85" s="1"/>
      <c r="O85" s="5"/>
      <c r="P85" s="20"/>
      <c r="Q85" s="5"/>
      <c r="R85" s="5"/>
    </row>
    <row r="86" spans="1:18" x14ac:dyDescent="0.3">
      <c r="A86" s="1"/>
      <c r="B86" s="1"/>
      <c r="C86" s="1"/>
      <c r="D86" s="1"/>
      <c r="E86" s="1"/>
      <c r="F86" s="1"/>
      <c r="G86" s="1"/>
      <c r="H86" s="1"/>
      <c r="I86" s="12"/>
      <c r="J86" s="12"/>
      <c r="K86" s="1"/>
      <c r="L86" s="1"/>
      <c r="M86" s="1"/>
      <c r="N86" s="1"/>
      <c r="O86" s="5"/>
      <c r="P86" s="20"/>
      <c r="Q86" s="5"/>
      <c r="R86" s="5"/>
    </row>
    <row r="87" spans="1:18" x14ac:dyDescent="0.3">
      <c r="A87" s="1"/>
      <c r="B87" s="1"/>
      <c r="C87" s="1"/>
      <c r="D87" s="1"/>
      <c r="E87" s="1"/>
      <c r="F87" s="1"/>
      <c r="G87" s="1"/>
      <c r="H87" s="1"/>
      <c r="I87" s="12"/>
      <c r="J87" s="12"/>
      <c r="K87" s="1"/>
      <c r="L87" s="1"/>
      <c r="M87" s="1"/>
      <c r="N87" s="1"/>
      <c r="O87" s="5"/>
      <c r="P87" s="20"/>
      <c r="Q87" s="5"/>
      <c r="R87" s="5"/>
    </row>
    <row r="88" spans="1:18" x14ac:dyDescent="0.3">
      <c r="A88" s="1"/>
      <c r="B88" s="1"/>
      <c r="C88" s="1"/>
      <c r="D88" s="1"/>
      <c r="E88" s="1"/>
      <c r="F88" s="1"/>
      <c r="G88" s="1"/>
      <c r="H88" s="1"/>
      <c r="I88" s="12"/>
      <c r="J88" s="12"/>
      <c r="K88" s="1"/>
      <c r="L88" s="1"/>
      <c r="M88" s="1"/>
      <c r="N88" s="1"/>
      <c r="O88" s="5"/>
      <c r="P88" s="20"/>
      <c r="Q88" s="5"/>
      <c r="R88" s="5"/>
    </row>
    <row r="89" spans="1:18" x14ac:dyDescent="0.3">
      <c r="A89" s="1"/>
      <c r="B89" s="1"/>
      <c r="C89" s="1"/>
      <c r="D89" s="1"/>
      <c r="E89" s="1"/>
      <c r="F89" s="1"/>
      <c r="G89" s="1"/>
      <c r="H89" s="1"/>
      <c r="I89" s="12"/>
      <c r="J89" s="12"/>
      <c r="K89" s="1"/>
      <c r="L89" s="1"/>
      <c r="M89" s="1"/>
      <c r="N89" s="1"/>
      <c r="O89" s="5"/>
      <c r="P89" s="20"/>
      <c r="Q89" s="5"/>
      <c r="R89" s="5"/>
    </row>
    <row r="90" spans="1:18" x14ac:dyDescent="0.3">
      <c r="A90" s="1"/>
      <c r="B90" s="1"/>
      <c r="C90" s="1"/>
      <c r="D90" s="1"/>
      <c r="E90" s="1"/>
      <c r="F90" s="1"/>
      <c r="G90" s="1"/>
      <c r="H90" s="1"/>
      <c r="I90" s="12"/>
      <c r="J90" s="12"/>
      <c r="K90" s="1"/>
      <c r="L90" s="1"/>
      <c r="M90" s="1"/>
      <c r="N90" s="1"/>
      <c r="O90" s="5"/>
      <c r="P90" s="20"/>
      <c r="Q90" s="5"/>
      <c r="R90" s="5"/>
    </row>
    <row r="91" spans="1:18" x14ac:dyDescent="0.3">
      <c r="A91" s="1"/>
      <c r="B91" s="1"/>
      <c r="C91" s="1"/>
      <c r="D91" s="1"/>
      <c r="E91" s="1"/>
      <c r="F91" s="1"/>
      <c r="G91" s="1"/>
      <c r="H91" s="1"/>
      <c r="I91" s="12"/>
      <c r="J91" s="12"/>
      <c r="K91" s="1"/>
      <c r="L91" s="1"/>
      <c r="M91" s="1"/>
      <c r="N91" s="1"/>
      <c r="O91" s="5"/>
      <c r="P91" s="20"/>
      <c r="Q91" s="5"/>
      <c r="R91" s="5"/>
    </row>
    <row r="92" spans="1:18" x14ac:dyDescent="0.3">
      <c r="A92" s="1"/>
      <c r="B92" s="1"/>
      <c r="C92" s="1"/>
      <c r="D92" s="1"/>
      <c r="E92" s="1"/>
      <c r="F92" s="1"/>
      <c r="G92" s="1"/>
      <c r="H92" s="1"/>
      <c r="I92" s="12"/>
      <c r="J92" s="12"/>
      <c r="K92" s="1"/>
      <c r="L92" s="1"/>
      <c r="M92" s="1"/>
      <c r="N92" s="1"/>
      <c r="O92" s="5"/>
      <c r="P92" s="20"/>
      <c r="Q92" s="5"/>
      <c r="R92" s="5"/>
    </row>
    <row r="93" spans="1:18" x14ac:dyDescent="0.3">
      <c r="A93" s="1"/>
      <c r="B93" s="1"/>
      <c r="C93" s="1"/>
      <c r="D93" s="1"/>
      <c r="E93" s="1"/>
      <c r="F93" s="1"/>
      <c r="G93" s="1"/>
      <c r="H93" s="1"/>
      <c r="I93" s="12"/>
      <c r="J93" s="12"/>
      <c r="K93" s="1"/>
      <c r="L93" s="1"/>
      <c r="M93" s="1"/>
      <c r="N93" s="1"/>
      <c r="O93" s="5"/>
      <c r="P93" s="20"/>
      <c r="Q93" s="5"/>
      <c r="R93" s="5"/>
    </row>
    <row r="94" spans="1:18" x14ac:dyDescent="0.3">
      <c r="A94" s="1"/>
      <c r="B94" s="1"/>
      <c r="C94" s="1"/>
      <c r="D94" s="1"/>
      <c r="E94" s="1"/>
      <c r="F94" s="1"/>
      <c r="G94" s="1"/>
      <c r="H94" s="1"/>
      <c r="I94" s="12"/>
      <c r="J94" s="12"/>
      <c r="K94" s="1"/>
      <c r="L94" s="1"/>
      <c r="M94" s="1"/>
      <c r="N94" s="1"/>
      <c r="O94" s="5"/>
      <c r="P94" s="20"/>
      <c r="Q94" s="5"/>
      <c r="R94" s="5"/>
    </row>
    <row r="95" spans="1:18" x14ac:dyDescent="0.3">
      <c r="A95" s="1"/>
      <c r="B95" s="1"/>
      <c r="C95" s="1"/>
      <c r="D95" s="1"/>
      <c r="E95" s="1"/>
      <c r="F95" s="1"/>
      <c r="G95" s="1"/>
      <c r="H95" s="1"/>
      <c r="I95" s="12"/>
      <c r="J95" s="12"/>
      <c r="K95" s="1"/>
      <c r="L95" s="1"/>
      <c r="M95" s="1"/>
      <c r="N95" s="1"/>
      <c r="O95" s="5"/>
      <c r="P95" s="20"/>
      <c r="Q95" s="5"/>
      <c r="R95" s="5"/>
    </row>
    <row r="96" spans="1:18" x14ac:dyDescent="0.3">
      <c r="A96" s="1"/>
      <c r="B96" s="1"/>
      <c r="C96" s="1"/>
      <c r="D96" s="1"/>
      <c r="E96" s="1"/>
      <c r="F96" s="1"/>
      <c r="G96" s="1"/>
      <c r="H96" s="1"/>
      <c r="I96" s="12"/>
      <c r="J96" s="12"/>
      <c r="K96" s="1"/>
      <c r="L96" s="1"/>
      <c r="M96" s="1"/>
      <c r="N96" s="1"/>
      <c r="O96" s="5"/>
      <c r="P96" s="20"/>
      <c r="Q96" s="5"/>
      <c r="R96" s="5"/>
    </row>
    <row r="97" spans="1:18" x14ac:dyDescent="0.3">
      <c r="A97" s="1"/>
      <c r="B97" s="1"/>
      <c r="C97" s="1"/>
      <c r="D97" s="1"/>
      <c r="E97" s="1"/>
      <c r="F97" s="1"/>
      <c r="G97" s="1"/>
      <c r="H97" s="1"/>
      <c r="I97" s="12"/>
      <c r="J97" s="12"/>
      <c r="K97" s="1"/>
      <c r="L97" s="1"/>
      <c r="M97" s="1"/>
      <c r="N97" s="1"/>
      <c r="O97" s="5"/>
      <c r="P97" s="20"/>
      <c r="Q97" s="5"/>
      <c r="R97" s="5"/>
    </row>
    <row r="98" spans="1:18" x14ac:dyDescent="0.3">
      <c r="A98" s="1"/>
      <c r="B98" s="1"/>
      <c r="C98" s="1"/>
      <c r="D98" s="1"/>
      <c r="E98" s="1"/>
      <c r="F98" s="1"/>
      <c r="G98" s="1"/>
      <c r="H98" s="1"/>
      <c r="I98" s="12"/>
      <c r="J98" s="12"/>
      <c r="K98" s="1"/>
      <c r="L98" s="1"/>
      <c r="M98" s="1"/>
      <c r="N98" s="1"/>
      <c r="O98" s="5"/>
      <c r="P98" s="20"/>
      <c r="Q98" s="5"/>
      <c r="R98" s="5"/>
    </row>
    <row r="99" spans="1:18" x14ac:dyDescent="0.3">
      <c r="A99" s="1"/>
      <c r="B99" s="1"/>
      <c r="C99" s="1"/>
      <c r="D99" s="1"/>
      <c r="E99" s="1"/>
      <c r="F99" s="1"/>
      <c r="G99" s="1"/>
      <c r="H99" s="1"/>
      <c r="I99" s="12"/>
      <c r="J99" s="12"/>
      <c r="K99" s="1"/>
      <c r="L99" s="1"/>
      <c r="M99" s="1"/>
      <c r="N99" s="1"/>
      <c r="O99" s="5"/>
      <c r="P99" s="20"/>
      <c r="Q99" s="5"/>
      <c r="R99" s="5"/>
    </row>
    <row r="100" spans="1:18" x14ac:dyDescent="0.3">
      <c r="A100" s="1"/>
      <c r="B100" s="1"/>
      <c r="C100" s="1"/>
      <c r="D100" s="1"/>
      <c r="E100" s="1"/>
      <c r="F100" s="1"/>
      <c r="G100" s="1"/>
      <c r="H100" s="1"/>
      <c r="I100" s="12"/>
      <c r="J100" s="12"/>
      <c r="K100" s="1"/>
      <c r="L100" s="1"/>
      <c r="M100" s="1"/>
      <c r="N100" s="1"/>
      <c r="O100" s="5"/>
      <c r="P100" s="20"/>
      <c r="Q100" s="5"/>
      <c r="R100" s="5"/>
    </row>
    <row r="101" spans="1:18" x14ac:dyDescent="0.3">
      <c r="A101" s="1"/>
      <c r="B101" s="1"/>
      <c r="C101" s="1"/>
      <c r="D101" s="1"/>
      <c r="E101" s="1"/>
      <c r="F101" s="1"/>
      <c r="G101" s="1"/>
      <c r="H101" s="1"/>
      <c r="I101" s="12"/>
      <c r="J101" s="12"/>
      <c r="K101" s="1"/>
      <c r="L101" s="1"/>
      <c r="M101" s="1"/>
      <c r="N101" s="1"/>
      <c r="O101" s="5"/>
      <c r="P101" s="20"/>
      <c r="Q101" s="5"/>
      <c r="R101" s="5"/>
    </row>
    <row r="102" spans="1:18" x14ac:dyDescent="0.3">
      <c r="A102" s="1"/>
      <c r="B102" s="1"/>
      <c r="C102" s="1"/>
      <c r="D102" s="1"/>
      <c r="E102" s="1"/>
      <c r="F102" s="1"/>
      <c r="G102" s="1"/>
      <c r="H102" s="1"/>
      <c r="I102" s="12"/>
      <c r="J102" s="12"/>
      <c r="K102" s="1"/>
      <c r="L102" s="1"/>
      <c r="M102" s="1"/>
      <c r="N102" s="1"/>
      <c r="O102" s="5"/>
      <c r="P102" s="20"/>
      <c r="Q102" s="5"/>
      <c r="R102" s="5"/>
    </row>
    <row r="103" spans="1:18" x14ac:dyDescent="0.3">
      <c r="A103" s="1"/>
      <c r="B103" s="1"/>
      <c r="C103" s="1"/>
      <c r="D103" s="1"/>
      <c r="E103" s="1"/>
      <c r="F103" s="1"/>
      <c r="G103" s="1"/>
      <c r="H103" s="1"/>
      <c r="I103" s="12"/>
      <c r="J103" s="12"/>
      <c r="K103" s="1"/>
      <c r="L103" s="1"/>
      <c r="M103" s="1"/>
      <c r="N103" s="1"/>
      <c r="O103" s="5"/>
      <c r="P103" s="20"/>
      <c r="Q103" s="5"/>
      <c r="R103" s="5"/>
    </row>
    <row r="104" spans="1:18" x14ac:dyDescent="0.3">
      <c r="A104" s="1"/>
      <c r="B104" s="1"/>
      <c r="C104" s="1"/>
      <c r="D104" s="1"/>
      <c r="E104" s="1"/>
      <c r="F104" s="1"/>
      <c r="G104" s="1"/>
      <c r="H104" s="1"/>
      <c r="I104" s="12"/>
      <c r="J104" s="12"/>
      <c r="K104" s="1"/>
      <c r="L104" s="1"/>
      <c r="M104" s="1"/>
      <c r="N104" s="1"/>
      <c r="O104" s="5"/>
      <c r="P104" s="20"/>
      <c r="Q104" s="5"/>
      <c r="R104" s="5"/>
    </row>
    <row r="105" spans="1:18" x14ac:dyDescent="0.3">
      <c r="A105" s="1"/>
      <c r="B105" s="1"/>
      <c r="C105" s="1"/>
      <c r="D105" s="1"/>
      <c r="E105" s="1"/>
      <c r="F105" s="1"/>
      <c r="G105" s="1"/>
      <c r="H105" s="1"/>
      <c r="I105" s="12"/>
      <c r="J105" s="12"/>
      <c r="K105" s="1"/>
      <c r="L105" s="1"/>
      <c r="M105" s="1"/>
      <c r="N105" s="1"/>
      <c r="O105" s="5"/>
      <c r="P105" s="20"/>
      <c r="Q105" s="5"/>
      <c r="R105" s="5"/>
    </row>
    <row r="106" spans="1:18" x14ac:dyDescent="0.3">
      <c r="A106" s="1"/>
      <c r="B106" s="1"/>
      <c r="C106" s="1"/>
      <c r="D106" s="1"/>
      <c r="E106" s="1"/>
      <c r="F106" s="1"/>
      <c r="G106" s="1"/>
      <c r="H106" s="1"/>
      <c r="I106" s="12"/>
      <c r="J106" s="12"/>
      <c r="K106" s="1"/>
      <c r="L106" s="1"/>
      <c r="M106" s="1"/>
      <c r="N106" s="1"/>
      <c r="O106" s="5"/>
      <c r="P106" s="20"/>
      <c r="Q106" s="5"/>
      <c r="R106" s="5"/>
    </row>
    <row r="107" spans="1:18" x14ac:dyDescent="0.3">
      <c r="A107" s="1"/>
      <c r="B107" s="1"/>
      <c r="C107" s="1"/>
      <c r="D107" s="1"/>
      <c r="E107" s="1"/>
      <c r="F107" s="1"/>
      <c r="G107" s="1"/>
      <c r="H107" s="1"/>
      <c r="I107" s="12"/>
      <c r="J107" s="12"/>
      <c r="K107" s="1"/>
      <c r="L107" s="1"/>
      <c r="M107" s="1"/>
      <c r="N107" s="1"/>
      <c r="O107" s="5"/>
      <c r="P107" s="20"/>
      <c r="Q107" s="5"/>
      <c r="R107" s="5"/>
    </row>
    <row r="108" spans="1:18" x14ac:dyDescent="0.3">
      <c r="A108" s="1"/>
      <c r="B108" s="1"/>
      <c r="C108" s="1"/>
      <c r="D108" s="1"/>
      <c r="E108" s="1"/>
      <c r="F108" s="1"/>
      <c r="G108" s="1"/>
      <c r="H108" s="1"/>
      <c r="I108" s="12"/>
      <c r="J108" s="12"/>
      <c r="K108" s="1"/>
      <c r="L108" s="1"/>
      <c r="M108" s="1"/>
      <c r="N108" s="1"/>
      <c r="O108" s="5"/>
      <c r="P108" s="20"/>
      <c r="Q108" s="5"/>
      <c r="R108" s="5"/>
    </row>
    <row r="109" spans="1:18" x14ac:dyDescent="0.3">
      <c r="A109" s="1"/>
      <c r="B109" s="1"/>
      <c r="C109" s="1"/>
      <c r="D109" s="1"/>
      <c r="E109" s="1"/>
      <c r="F109" s="1"/>
      <c r="G109" s="1"/>
      <c r="H109" s="1"/>
      <c r="I109" s="12"/>
      <c r="J109" s="12"/>
      <c r="K109" s="1"/>
      <c r="L109" s="1"/>
      <c r="M109" s="1"/>
      <c r="N109" s="1"/>
      <c r="O109" s="5"/>
      <c r="P109" s="20"/>
      <c r="Q109" s="5"/>
      <c r="R109" s="5"/>
    </row>
    <row r="110" spans="1:18" x14ac:dyDescent="0.3">
      <c r="A110" s="1"/>
      <c r="B110" s="1"/>
      <c r="C110" s="1"/>
      <c r="D110" s="1"/>
      <c r="E110" s="1"/>
      <c r="F110" s="1"/>
      <c r="G110" s="1"/>
      <c r="H110" s="1"/>
      <c r="I110" s="12"/>
      <c r="J110" s="12"/>
      <c r="K110" s="1"/>
      <c r="L110" s="1"/>
      <c r="M110" s="1"/>
      <c r="N110" s="1"/>
      <c r="O110" s="5"/>
      <c r="P110" s="20"/>
      <c r="Q110" s="5"/>
      <c r="R110" s="5"/>
    </row>
    <row r="111" spans="1:18" x14ac:dyDescent="0.3">
      <c r="A111" s="1"/>
      <c r="B111" s="1"/>
      <c r="C111" s="1"/>
      <c r="D111" s="1"/>
      <c r="E111" s="1"/>
      <c r="F111" s="1"/>
      <c r="G111" s="1"/>
      <c r="H111" s="1"/>
      <c r="I111" s="12"/>
      <c r="J111" s="12"/>
      <c r="K111" s="1"/>
      <c r="L111" s="1"/>
      <c r="M111" s="1"/>
      <c r="N111" s="1"/>
      <c r="O111" s="5"/>
      <c r="P111" s="20"/>
      <c r="Q111" s="5"/>
      <c r="R111" s="5"/>
    </row>
    <row r="112" spans="1:18" x14ac:dyDescent="0.3">
      <c r="A112" s="1"/>
      <c r="B112" s="1"/>
      <c r="C112" s="1"/>
      <c r="D112" s="1"/>
      <c r="E112" s="1"/>
      <c r="F112" s="1"/>
      <c r="G112" s="1"/>
      <c r="H112" s="1"/>
      <c r="I112" s="12"/>
      <c r="J112" s="12"/>
      <c r="K112" s="1"/>
      <c r="L112" s="1"/>
      <c r="M112" s="1"/>
      <c r="N112" s="1"/>
      <c r="O112" s="5"/>
      <c r="P112" s="20"/>
      <c r="Q112" s="5"/>
      <c r="R112" s="5"/>
    </row>
    <row r="113" spans="1:18" x14ac:dyDescent="0.3">
      <c r="A113" s="1"/>
      <c r="B113" s="1"/>
      <c r="C113" s="1"/>
      <c r="D113" s="1"/>
      <c r="E113" s="1"/>
      <c r="F113" s="1"/>
      <c r="G113" s="1"/>
      <c r="H113" s="1"/>
      <c r="I113" s="12"/>
      <c r="J113" s="12"/>
      <c r="K113" s="1"/>
      <c r="L113" s="1"/>
      <c r="M113" s="1"/>
      <c r="N113" s="1"/>
      <c r="O113" s="5"/>
      <c r="P113" s="20"/>
      <c r="Q113" s="5"/>
      <c r="R113" s="5"/>
    </row>
    <row r="114" spans="1:18" x14ac:dyDescent="0.3">
      <c r="A114" s="1"/>
      <c r="B114" s="1"/>
      <c r="C114" s="1"/>
      <c r="D114" s="1"/>
      <c r="E114" s="1"/>
      <c r="F114" s="1"/>
      <c r="G114" s="1"/>
      <c r="H114" s="1"/>
      <c r="I114" s="12"/>
      <c r="J114" s="12"/>
      <c r="K114" s="1"/>
      <c r="L114" s="1"/>
      <c r="M114" s="1"/>
      <c r="N114" s="1"/>
      <c r="O114" s="5"/>
      <c r="P114" s="20"/>
      <c r="Q114" s="5"/>
      <c r="R114" s="5"/>
    </row>
    <row r="115" spans="1:18" x14ac:dyDescent="0.3">
      <c r="A115" s="1"/>
      <c r="B115" s="1"/>
      <c r="C115" s="1"/>
      <c r="D115" s="1"/>
      <c r="E115" s="1"/>
      <c r="F115" s="1"/>
      <c r="G115" s="1"/>
      <c r="H115" s="1"/>
      <c r="I115" s="12"/>
      <c r="J115" s="12"/>
      <c r="K115" s="1"/>
      <c r="L115" s="1"/>
      <c r="M115" s="1"/>
      <c r="N115" s="1"/>
      <c r="O115" s="5"/>
      <c r="P115" s="20"/>
      <c r="Q115" s="5"/>
      <c r="R115" s="5"/>
    </row>
    <row r="116" spans="1:18" x14ac:dyDescent="0.3">
      <c r="A116" s="1"/>
      <c r="B116" s="1"/>
      <c r="C116" s="1"/>
      <c r="D116" s="1"/>
      <c r="E116" s="1"/>
      <c r="F116" s="1"/>
      <c r="G116" s="1"/>
      <c r="H116" s="1"/>
      <c r="I116" s="12"/>
      <c r="J116" s="12"/>
      <c r="K116" s="1"/>
      <c r="L116" s="1"/>
      <c r="M116" s="1"/>
      <c r="N116" s="1"/>
      <c r="O116" s="5"/>
      <c r="P116" s="20"/>
      <c r="Q116" s="5"/>
      <c r="R116" s="5"/>
    </row>
    <row r="117" spans="1:18" x14ac:dyDescent="0.3">
      <c r="A117" s="1"/>
      <c r="B117" s="1"/>
      <c r="C117" s="1"/>
      <c r="D117" s="1"/>
      <c r="E117" s="1"/>
      <c r="F117" s="1"/>
      <c r="G117" s="1"/>
      <c r="H117" s="1"/>
      <c r="I117" s="12"/>
      <c r="J117" s="12"/>
      <c r="K117" s="1"/>
      <c r="L117" s="1"/>
      <c r="M117" s="1"/>
      <c r="N117" s="1"/>
      <c r="O117" s="5"/>
      <c r="P117" s="20"/>
      <c r="Q117" s="5"/>
      <c r="R117" s="5"/>
    </row>
    <row r="118" spans="1:18" x14ac:dyDescent="0.3">
      <c r="A118" s="1"/>
      <c r="B118" s="1"/>
      <c r="C118" s="1"/>
      <c r="D118" s="1"/>
      <c r="E118" s="1"/>
      <c r="F118" s="1"/>
      <c r="G118" s="1"/>
      <c r="H118" s="1"/>
      <c r="I118" s="12"/>
      <c r="J118" s="12"/>
      <c r="K118" s="1"/>
      <c r="L118" s="1"/>
      <c r="M118" s="1"/>
      <c r="N118" s="1"/>
      <c r="O118" s="5"/>
      <c r="P118" s="20"/>
      <c r="Q118" s="5"/>
      <c r="R118" s="5"/>
    </row>
    <row r="119" spans="1:18" x14ac:dyDescent="0.3">
      <c r="A119" s="1"/>
      <c r="B119" s="1"/>
      <c r="C119" s="1"/>
      <c r="D119" s="1"/>
      <c r="E119" s="1"/>
      <c r="F119" s="1"/>
      <c r="G119" s="1"/>
      <c r="H119" s="1"/>
      <c r="I119" s="12"/>
      <c r="J119" s="12"/>
      <c r="K119" s="1"/>
      <c r="L119" s="1"/>
      <c r="M119" s="1"/>
      <c r="N119" s="1"/>
      <c r="O119" s="5"/>
      <c r="P119" s="20"/>
      <c r="Q119" s="5"/>
      <c r="R119" s="5"/>
    </row>
    <row r="120" spans="1:18" x14ac:dyDescent="0.3">
      <c r="A120" s="1"/>
      <c r="B120" s="1"/>
      <c r="C120" s="1"/>
      <c r="D120" s="1"/>
      <c r="E120" s="1"/>
      <c r="F120" s="1"/>
      <c r="G120" s="1"/>
      <c r="H120" s="1"/>
      <c r="I120" s="12"/>
      <c r="J120" s="12"/>
      <c r="K120" s="1"/>
      <c r="L120" s="1"/>
      <c r="M120" s="1"/>
      <c r="N120" s="1"/>
      <c r="O120" s="5"/>
      <c r="P120" s="20"/>
      <c r="Q120" s="5"/>
      <c r="R120" s="5"/>
    </row>
    <row r="121" spans="1:18" x14ac:dyDescent="0.3">
      <c r="A121" s="1"/>
      <c r="B121" s="1"/>
      <c r="C121" s="1"/>
      <c r="D121" s="1"/>
      <c r="E121" s="1"/>
      <c r="F121" s="1"/>
      <c r="G121" s="1"/>
      <c r="H121" s="1"/>
      <c r="I121" s="12"/>
      <c r="J121" s="12"/>
      <c r="K121" s="1"/>
      <c r="L121" s="1"/>
      <c r="M121" s="1"/>
      <c r="N121" s="1"/>
      <c r="O121" s="5"/>
      <c r="P121" s="20"/>
      <c r="Q121" s="5"/>
      <c r="R121" s="5"/>
    </row>
    <row r="122" spans="1:18" x14ac:dyDescent="0.3">
      <c r="A122" s="1"/>
      <c r="B122" s="1"/>
      <c r="C122" s="1"/>
      <c r="D122" s="1"/>
      <c r="E122" s="1"/>
      <c r="F122" s="1"/>
      <c r="G122" s="1"/>
      <c r="H122" s="1"/>
      <c r="I122" s="12"/>
      <c r="J122" s="12"/>
      <c r="K122" s="1"/>
      <c r="L122" s="1"/>
      <c r="M122" s="1"/>
      <c r="N122" s="1"/>
      <c r="O122" s="5"/>
      <c r="P122" s="20"/>
      <c r="Q122" s="5"/>
      <c r="R122" s="5"/>
    </row>
    <row r="123" spans="1:18" x14ac:dyDescent="0.3">
      <c r="A123" s="1"/>
      <c r="B123" s="1"/>
      <c r="C123" s="1"/>
      <c r="D123" s="1"/>
      <c r="E123" s="1"/>
      <c r="F123" s="1"/>
      <c r="G123" s="1"/>
      <c r="H123" s="1"/>
      <c r="I123" s="12"/>
      <c r="J123" s="12"/>
      <c r="K123" s="1"/>
      <c r="L123" s="1"/>
      <c r="M123" s="1"/>
      <c r="N123" s="1"/>
      <c r="O123" s="5"/>
      <c r="P123" s="20"/>
      <c r="Q123" s="5"/>
      <c r="R123" s="5"/>
    </row>
    <row r="124" spans="1:18" x14ac:dyDescent="0.3">
      <c r="A124" s="1"/>
      <c r="B124" s="1"/>
      <c r="C124" s="1"/>
      <c r="D124" s="1"/>
      <c r="E124" s="1"/>
      <c r="F124" s="1"/>
      <c r="G124" s="1"/>
      <c r="H124" s="1"/>
      <c r="I124" s="12"/>
      <c r="J124" s="12"/>
      <c r="K124" s="1"/>
      <c r="L124" s="1"/>
      <c r="M124" s="1"/>
      <c r="N124" s="1"/>
      <c r="O124" s="5"/>
      <c r="P124" s="20"/>
      <c r="Q124" s="5"/>
      <c r="R124" s="5"/>
    </row>
    <row r="125" spans="1:18" x14ac:dyDescent="0.3">
      <c r="A125" s="1"/>
      <c r="B125" s="1"/>
      <c r="C125" s="1"/>
      <c r="D125" s="1"/>
      <c r="E125" s="1"/>
      <c r="F125" s="1"/>
      <c r="G125" s="1"/>
      <c r="H125" s="1"/>
      <c r="I125" s="12"/>
      <c r="J125" s="12"/>
      <c r="K125" s="1"/>
      <c r="L125" s="1"/>
      <c r="M125" s="1"/>
      <c r="N125" s="1"/>
      <c r="O125" s="5"/>
      <c r="P125" s="20"/>
      <c r="Q125" s="5"/>
      <c r="R125" s="5"/>
    </row>
    <row r="126" spans="1:18" x14ac:dyDescent="0.3">
      <c r="A126" s="1"/>
      <c r="B126" s="1"/>
      <c r="C126" s="1"/>
      <c r="D126" s="1"/>
      <c r="E126" s="1"/>
      <c r="F126" s="1"/>
      <c r="G126" s="1"/>
      <c r="H126" s="1"/>
      <c r="I126" s="12"/>
      <c r="J126" s="12"/>
      <c r="K126" s="1"/>
      <c r="L126" s="1"/>
      <c r="M126" s="1"/>
      <c r="N126" s="1"/>
      <c r="O126" s="5"/>
      <c r="P126" s="20"/>
      <c r="Q126" s="5"/>
      <c r="R126" s="5"/>
    </row>
    <row r="127" spans="1:18" x14ac:dyDescent="0.3">
      <c r="A127" s="1"/>
      <c r="B127" s="1"/>
      <c r="C127" s="1"/>
      <c r="D127" s="1"/>
      <c r="E127" s="1"/>
      <c r="F127" s="1"/>
      <c r="G127" s="1"/>
      <c r="H127" s="1"/>
      <c r="I127" s="12"/>
      <c r="J127" s="12"/>
      <c r="K127" s="1"/>
      <c r="L127" s="1"/>
      <c r="M127" s="1"/>
      <c r="N127" s="1"/>
      <c r="O127" s="5"/>
      <c r="P127" s="20"/>
      <c r="Q127" s="5"/>
      <c r="R127" s="5"/>
    </row>
    <row r="128" spans="1:18" x14ac:dyDescent="0.3">
      <c r="A128" s="1"/>
      <c r="B128" s="1"/>
      <c r="C128" s="1"/>
      <c r="D128" s="1"/>
      <c r="E128" s="1"/>
      <c r="F128" s="1"/>
      <c r="G128" s="1"/>
      <c r="H128" s="1"/>
      <c r="I128" s="12"/>
      <c r="J128" s="12"/>
      <c r="K128" s="1"/>
      <c r="L128" s="1"/>
      <c r="M128" s="1"/>
      <c r="N128" s="1"/>
      <c r="O128" s="5"/>
      <c r="P128" s="20"/>
      <c r="Q128" s="5"/>
      <c r="R128" s="5"/>
    </row>
    <row r="129" spans="1:18" x14ac:dyDescent="0.3">
      <c r="A129" s="1"/>
      <c r="B129" s="1"/>
      <c r="C129" s="1"/>
      <c r="D129" s="1"/>
      <c r="E129" s="1"/>
      <c r="F129" s="1"/>
      <c r="G129" s="1"/>
      <c r="H129" s="1"/>
      <c r="I129" s="12"/>
      <c r="J129" s="12"/>
      <c r="K129" s="1"/>
      <c r="L129" s="1"/>
      <c r="M129" s="1"/>
      <c r="N129" s="1"/>
      <c r="O129" s="5"/>
      <c r="P129" s="20"/>
      <c r="Q129" s="5"/>
      <c r="R129" s="5"/>
    </row>
    <row r="130" spans="1:18" x14ac:dyDescent="0.3">
      <c r="A130" s="1"/>
      <c r="B130" s="1"/>
      <c r="C130" s="1"/>
      <c r="D130" s="1"/>
      <c r="E130" s="1"/>
      <c r="F130" s="1"/>
      <c r="G130" s="1"/>
      <c r="H130" s="1"/>
      <c r="I130" s="12"/>
      <c r="J130" s="12"/>
      <c r="K130" s="1"/>
      <c r="L130" s="1"/>
      <c r="M130" s="1"/>
      <c r="N130" s="1"/>
      <c r="O130" s="5"/>
      <c r="P130" s="20"/>
      <c r="Q130" s="5"/>
      <c r="R130" s="5"/>
    </row>
    <row r="131" spans="1:18" x14ac:dyDescent="0.3">
      <c r="A131" s="1"/>
      <c r="B131" s="1"/>
      <c r="C131" s="1"/>
      <c r="D131" s="1"/>
      <c r="E131" s="1"/>
      <c r="F131" s="1"/>
      <c r="G131" s="1"/>
      <c r="H131" s="1"/>
      <c r="I131" s="12"/>
      <c r="J131" s="12"/>
      <c r="K131" s="1"/>
      <c r="L131" s="1"/>
      <c r="M131" s="1"/>
      <c r="N131" s="1"/>
      <c r="O131" s="5"/>
      <c r="P131" s="20"/>
      <c r="Q131" s="5"/>
      <c r="R131" s="5"/>
    </row>
    <row r="132" spans="1:18" x14ac:dyDescent="0.3">
      <c r="A132" s="1"/>
      <c r="B132" s="1"/>
      <c r="C132" s="1"/>
      <c r="D132" s="1"/>
      <c r="E132" s="1"/>
      <c r="F132" s="1"/>
      <c r="G132" s="1"/>
      <c r="H132" s="1"/>
      <c r="I132" s="12"/>
      <c r="J132" s="12"/>
      <c r="K132" s="1"/>
      <c r="L132" s="1"/>
      <c r="M132" s="1"/>
      <c r="N132" s="1"/>
      <c r="O132" s="5"/>
      <c r="P132" s="20"/>
      <c r="Q132" s="5"/>
      <c r="R132" s="5"/>
    </row>
    <row r="133" spans="1:18" x14ac:dyDescent="0.3">
      <c r="A133" s="1"/>
      <c r="B133" s="1"/>
      <c r="C133" s="1"/>
      <c r="D133" s="1"/>
      <c r="E133" s="1"/>
      <c r="F133" s="1"/>
      <c r="G133" s="1"/>
      <c r="H133" s="1"/>
      <c r="I133" s="12"/>
      <c r="J133" s="12"/>
      <c r="K133" s="1"/>
      <c r="L133" s="1"/>
      <c r="M133" s="1"/>
      <c r="N133" s="1"/>
      <c r="O133" s="5"/>
      <c r="P133" s="20"/>
      <c r="Q133" s="5"/>
      <c r="R133" s="5"/>
    </row>
    <row r="134" spans="1:18" x14ac:dyDescent="0.3">
      <c r="A134" s="1"/>
      <c r="B134" s="1"/>
      <c r="C134" s="1"/>
      <c r="D134" s="1"/>
      <c r="E134" s="1"/>
      <c r="F134" s="1"/>
      <c r="G134" s="1"/>
      <c r="H134" s="1"/>
      <c r="I134" s="12"/>
      <c r="J134" s="12"/>
      <c r="K134" s="1"/>
      <c r="L134" s="1"/>
      <c r="M134" s="1"/>
      <c r="N134" s="1"/>
      <c r="O134" s="5"/>
      <c r="P134" s="20"/>
      <c r="Q134" s="5"/>
      <c r="R134" s="5"/>
    </row>
    <row r="135" spans="1:18" x14ac:dyDescent="0.3">
      <c r="A135" s="1"/>
      <c r="B135" s="1"/>
      <c r="C135" s="1"/>
      <c r="D135" s="1"/>
      <c r="E135" s="1"/>
      <c r="F135" s="1"/>
      <c r="G135" s="1"/>
      <c r="H135" s="1"/>
      <c r="I135" s="12"/>
      <c r="J135" s="12"/>
      <c r="K135" s="1"/>
      <c r="L135" s="1"/>
      <c r="M135" s="1"/>
      <c r="N135" s="1"/>
      <c r="O135" s="5"/>
      <c r="P135" s="20"/>
      <c r="Q135" s="5"/>
      <c r="R135" s="5"/>
    </row>
    <row r="136" spans="1:18" x14ac:dyDescent="0.3">
      <c r="A136" s="1"/>
      <c r="B136" s="1"/>
      <c r="C136" s="1"/>
      <c r="D136" s="1"/>
      <c r="E136" s="1"/>
      <c r="F136" s="1"/>
      <c r="G136" s="1"/>
      <c r="H136" s="1"/>
      <c r="I136" s="12"/>
      <c r="J136" s="12"/>
      <c r="K136" s="1"/>
      <c r="L136" s="1"/>
      <c r="M136" s="1"/>
      <c r="N136" s="1"/>
      <c r="O136" s="5"/>
      <c r="P136" s="20"/>
      <c r="Q136" s="5"/>
      <c r="R136" s="5"/>
    </row>
    <row r="137" spans="1:18" x14ac:dyDescent="0.3">
      <c r="A137" s="1"/>
      <c r="B137" s="1"/>
      <c r="C137" s="1"/>
      <c r="D137" s="1"/>
      <c r="E137" s="1"/>
      <c r="F137" s="1"/>
      <c r="G137" s="1"/>
      <c r="H137" s="1"/>
      <c r="I137" s="12"/>
      <c r="J137" s="12"/>
      <c r="K137" s="1"/>
      <c r="L137" s="1"/>
      <c r="M137" s="1"/>
      <c r="N137" s="1"/>
      <c r="O137" s="5"/>
      <c r="P137" s="20"/>
      <c r="Q137" s="5"/>
      <c r="R137" s="5"/>
    </row>
    <row r="138" spans="1:18" x14ac:dyDescent="0.3">
      <c r="A138" s="1"/>
      <c r="B138" s="1"/>
      <c r="C138" s="1"/>
      <c r="D138" s="1"/>
      <c r="E138" s="1"/>
      <c r="F138" s="1"/>
      <c r="G138" s="1"/>
      <c r="H138" s="1"/>
      <c r="I138" s="12"/>
      <c r="J138" s="12"/>
      <c r="K138" s="1"/>
      <c r="L138" s="1"/>
      <c r="M138" s="1"/>
      <c r="N138" s="1"/>
      <c r="O138" s="5"/>
      <c r="P138" s="20"/>
      <c r="Q138" s="5"/>
      <c r="R138" s="5"/>
    </row>
    <row r="139" spans="1:18" x14ac:dyDescent="0.3">
      <c r="A139" s="1"/>
      <c r="B139" s="1"/>
      <c r="C139" s="1"/>
      <c r="D139" s="1"/>
      <c r="E139" s="1"/>
      <c r="F139" s="1"/>
      <c r="G139" s="1"/>
      <c r="H139" s="1"/>
      <c r="I139" s="12"/>
      <c r="J139" s="12"/>
      <c r="K139" s="1"/>
      <c r="L139" s="1"/>
      <c r="M139" s="1"/>
      <c r="N139" s="1"/>
      <c r="O139" s="5"/>
      <c r="P139" s="20"/>
      <c r="Q139" s="5"/>
      <c r="R139" s="5"/>
    </row>
    <row r="140" spans="1:18" x14ac:dyDescent="0.3">
      <c r="A140" s="1"/>
      <c r="B140" s="1"/>
      <c r="C140" s="1"/>
      <c r="D140" s="1"/>
      <c r="E140" s="1"/>
      <c r="F140" s="1"/>
      <c r="G140" s="1"/>
      <c r="H140" s="1"/>
      <c r="I140" s="12"/>
      <c r="J140" s="12"/>
      <c r="K140" s="1"/>
      <c r="L140" s="1"/>
      <c r="M140" s="1"/>
      <c r="N140" s="1"/>
      <c r="O140" s="5"/>
      <c r="P140" s="20"/>
      <c r="Q140" s="5"/>
      <c r="R140" s="5"/>
    </row>
    <row r="141" spans="1:18" x14ac:dyDescent="0.3">
      <c r="A141" s="1"/>
      <c r="B141" s="1"/>
      <c r="C141" s="1"/>
      <c r="D141" s="1"/>
      <c r="E141" s="1"/>
      <c r="F141" s="1"/>
      <c r="G141" s="1"/>
      <c r="H141" s="1"/>
      <c r="I141" s="12"/>
      <c r="J141" s="12"/>
      <c r="K141" s="1"/>
      <c r="L141" s="1"/>
      <c r="M141" s="1"/>
      <c r="N141" s="1"/>
      <c r="O141" s="5"/>
      <c r="P141" s="20"/>
      <c r="Q141" s="5"/>
      <c r="R141" s="5"/>
    </row>
    <row r="142" spans="1:18" x14ac:dyDescent="0.3">
      <c r="A142" s="1"/>
      <c r="B142" s="1"/>
      <c r="C142" s="1"/>
      <c r="D142" s="1"/>
      <c r="E142" s="1"/>
      <c r="F142" s="1"/>
      <c r="G142" s="1"/>
      <c r="H142" s="1"/>
      <c r="I142" s="12"/>
      <c r="J142" s="12"/>
      <c r="K142" s="1"/>
      <c r="L142" s="1"/>
      <c r="M142" s="1"/>
      <c r="N142" s="1"/>
      <c r="O142" s="5"/>
      <c r="P142" s="20"/>
      <c r="Q142" s="5"/>
      <c r="R142" s="5"/>
    </row>
    <row r="143" spans="1:18" x14ac:dyDescent="0.3">
      <c r="A143" s="1"/>
      <c r="B143" s="1"/>
      <c r="C143" s="1"/>
      <c r="D143" s="1"/>
      <c r="E143" s="1"/>
      <c r="F143" s="1"/>
      <c r="G143" s="1"/>
      <c r="H143" s="1"/>
      <c r="I143" s="12"/>
      <c r="J143" s="12"/>
      <c r="K143" s="1"/>
      <c r="L143" s="1"/>
      <c r="M143" s="1"/>
      <c r="N143" s="1"/>
      <c r="O143" s="5"/>
      <c r="P143" s="20"/>
      <c r="Q143" s="5"/>
      <c r="R143" s="5"/>
    </row>
    <row r="144" spans="1:18" x14ac:dyDescent="0.3">
      <c r="A144" s="1"/>
      <c r="B144" s="1"/>
      <c r="C144" s="1"/>
      <c r="D144" s="1"/>
      <c r="E144" s="1"/>
      <c r="F144" s="1"/>
      <c r="G144" s="1"/>
      <c r="H144" s="1"/>
      <c r="I144" s="12"/>
      <c r="J144" s="12"/>
      <c r="K144" s="1"/>
      <c r="L144" s="1"/>
      <c r="M144" s="1"/>
      <c r="N144" s="1"/>
      <c r="O144" s="5"/>
      <c r="P144" s="20"/>
      <c r="Q144" s="5"/>
      <c r="R144" s="5"/>
    </row>
    <row r="145" spans="1:18" x14ac:dyDescent="0.3">
      <c r="A145" s="1"/>
      <c r="B145" s="1"/>
      <c r="C145" s="1"/>
      <c r="D145" s="1"/>
      <c r="E145" s="1"/>
      <c r="F145" s="1"/>
      <c r="G145" s="1"/>
      <c r="H145" s="1"/>
      <c r="I145" s="12"/>
      <c r="J145" s="12"/>
      <c r="K145" s="1"/>
      <c r="L145" s="1"/>
      <c r="M145" s="1"/>
      <c r="N145" s="1"/>
      <c r="O145" s="5"/>
      <c r="P145" s="20"/>
      <c r="Q145" s="5"/>
      <c r="R145" s="5"/>
    </row>
    <row r="146" spans="1:18" x14ac:dyDescent="0.3">
      <c r="A146" s="1"/>
      <c r="B146" s="1"/>
      <c r="C146" s="1"/>
      <c r="D146" s="1"/>
      <c r="E146" s="1"/>
      <c r="F146" s="1"/>
      <c r="G146" s="1"/>
      <c r="H146" s="1"/>
      <c r="I146" s="12"/>
      <c r="J146" s="12"/>
      <c r="K146" s="1"/>
      <c r="L146" s="1"/>
      <c r="M146" s="1"/>
      <c r="N146" s="1"/>
      <c r="O146" s="5"/>
      <c r="P146" s="20"/>
      <c r="Q146" s="5"/>
      <c r="R146" s="5"/>
    </row>
    <row r="147" spans="1:18" x14ac:dyDescent="0.3">
      <c r="A147" s="1"/>
      <c r="B147" s="1"/>
      <c r="C147" s="1"/>
      <c r="D147" s="1"/>
      <c r="E147" s="1"/>
      <c r="F147" s="1"/>
      <c r="G147" s="1"/>
      <c r="H147" s="1"/>
      <c r="I147" s="12"/>
      <c r="J147" s="12"/>
      <c r="K147" s="1"/>
      <c r="L147" s="1"/>
      <c r="M147" s="1"/>
      <c r="N147" s="1"/>
      <c r="O147" s="5"/>
      <c r="P147" s="20"/>
      <c r="Q147" s="5"/>
      <c r="R147" s="5"/>
    </row>
    <row r="148" spans="1:18" x14ac:dyDescent="0.3">
      <c r="A148" s="1"/>
      <c r="B148" s="1"/>
      <c r="C148" s="1"/>
      <c r="D148" s="1"/>
      <c r="E148" s="1"/>
      <c r="F148" s="1"/>
      <c r="G148" s="1"/>
      <c r="H148" s="1"/>
      <c r="I148" s="12"/>
      <c r="J148" s="12"/>
      <c r="K148" s="1"/>
      <c r="L148" s="1"/>
      <c r="M148" s="1"/>
      <c r="N148" s="1"/>
      <c r="O148" s="5"/>
      <c r="P148" s="20"/>
      <c r="Q148" s="5"/>
      <c r="R148" s="5"/>
    </row>
    <row r="149" spans="1:18" x14ac:dyDescent="0.3">
      <c r="A149" s="1"/>
      <c r="B149" s="1"/>
      <c r="C149" s="1"/>
      <c r="D149" s="1"/>
      <c r="E149" s="1"/>
      <c r="F149" s="1"/>
      <c r="G149" s="1"/>
      <c r="H149" s="1"/>
      <c r="I149" s="12"/>
      <c r="J149" s="12"/>
      <c r="K149" s="1"/>
      <c r="L149" s="1"/>
      <c r="M149" s="1"/>
      <c r="N149" s="1"/>
      <c r="O149" s="5"/>
      <c r="P149" s="20"/>
      <c r="Q149" s="5"/>
      <c r="R149" s="5"/>
    </row>
    <row r="150" spans="1:18" x14ac:dyDescent="0.3">
      <c r="A150" s="1"/>
      <c r="B150" s="1"/>
      <c r="C150" s="1"/>
      <c r="D150" s="1"/>
      <c r="E150" s="1"/>
      <c r="F150" s="1"/>
      <c r="G150" s="1"/>
      <c r="H150" s="1"/>
      <c r="I150" s="12"/>
      <c r="J150" s="12"/>
      <c r="K150" s="1"/>
      <c r="L150" s="1"/>
      <c r="M150" s="1"/>
      <c r="N150" s="1"/>
      <c r="O150" s="5"/>
      <c r="P150" s="20"/>
      <c r="Q150" s="5"/>
      <c r="R150" s="5"/>
    </row>
    <row r="151" spans="1:18" x14ac:dyDescent="0.3">
      <c r="R151" s="5"/>
    </row>
    <row r="152" spans="1:18" x14ac:dyDescent="0.3">
      <c r="R152" s="5"/>
    </row>
    <row r="153" spans="1:18" x14ac:dyDescent="0.3">
      <c r="R153" s="5"/>
    </row>
    <row r="154" spans="1:18" x14ac:dyDescent="0.3">
      <c r="R154" s="5"/>
    </row>
    <row r="155" spans="1:18" x14ac:dyDescent="0.3">
      <c r="R155" s="5"/>
    </row>
    <row r="156" spans="1:18" x14ac:dyDescent="0.3">
      <c r="R156" s="5"/>
    </row>
    <row r="157" spans="1:18" x14ac:dyDescent="0.3">
      <c r="R157" s="5"/>
    </row>
    <row r="158" spans="1:18" x14ac:dyDescent="0.3">
      <c r="R158" s="5"/>
    </row>
    <row r="159" spans="1:18" x14ac:dyDescent="0.3">
      <c r="R159" s="5"/>
    </row>
    <row r="160" spans="1:18" x14ac:dyDescent="0.3">
      <c r="R160" s="5"/>
    </row>
    <row r="161" spans="18:18" x14ac:dyDescent="0.3">
      <c r="R161" s="5"/>
    </row>
    <row r="162" spans="18:18" x14ac:dyDescent="0.3">
      <c r="R162" s="5"/>
    </row>
    <row r="163" spans="18:18" x14ac:dyDescent="0.3">
      <c r="R163" s="5"/>
    </row>
    <row r="164" spans="18:18" x14ac:dyDescent="0.3">
      <c r="R164" s="5"/>
    </row>
    <row r="165" spans="18:18" x14ac:dyDescent="0.3">
      <c r="R165" s="5"/>
    </row>
    <row r="166" spans="18:18" x14ac:dyDescent="0.3">
      <c r="R166" s="5"/>
    </row>
    <row r="167" spans="18:18" x14ac:dyDescent="0.3">
      <c r="R167" s="5"/>
    </row>
    <row r="168" spans="18:18" x14ac:dyDescent="0.3">
      <c r="R168" s="5"/>
    </row>
    <row r="169" spans="18:18" x14ac:dyDescent="0.3">
      <c r="R169" s="5"/>
    </row>
    <row r="170" spans="18:18" x14ac:dyDescent="0.3">
      <c r="R170" s="5"/>
    </row>
    <row r="171" spans="18:18" x14ac:dyDescent="0.3">
      <c r="R171" s="5"/>
    </row>
    <row r="172" spans="18:18" x14ac:dyDescent="0.3">
      <c r="R172" s="5"/>
    </row>
    <row r="173" spans="18:18" x14ac:dyDescent="0.3">
      <c r="R173" s="5"/>
    </row>
    <row r="174" spans="18:18" x14ac:dyDescent="0.3">
      <c r="R174" s="5"/>
    </row>
    <row r="175" spans="18:18" x14ac:dyDescent="0.3">
      <c r="R175" s="5"/>
    </row>
    <row r="176" spans="18:18" x14ac:dyDescent="0.3">
      <c r="R176" s="5"/>
    </row>
    <row r="177" spans="18:18" x14ac:dyDescent="0.3">
      <c r="R177" s="5"/>
    </row>
    <row r="178" spans="18:18" x14ac:dyDescent="0.3">
      <c r="R178" s="5"/>
    </row>
    <row r="179" spans="18:18" x14ac:dyDescent="0.3">
      <c r="R179" s="5"/>
    </row>
    <row r="180" spans="18:18" x14ac:dyDescent="0.3">
      <c r="R180" s="5"/>
    </row>
    <row r="181" spans="18:18" x14ac:dyDescent="0.3">
      <c r="R181" s="5"/>
    </row>
    <row r="182" spans="18:18" x14ac:dyDescent="0.3">
      <c r="R182" s="5"/>
    </row>
    <row r="183" spans="18:18" x14ac:dyDescent="0.3">
      <c r="R183" s="5"/>
    </row>
    <row r="184" spans="18:18" x14ac:dyDescent="0.3">
      <c r="R184" s="5"/>
    </row>
    <row r="185" spans="18:18" x14ac:dyDescent="0.3">
      <c r="R185" s="5"/>
    </row>
    <row r="186" spans="18:18" x14ac:dyDescent="0.3">
      <c r="R186" s="5"/>
    </row>
    <row r="187" spans="18:18" x14ac:dyDescent="0.3">
      <c r="R187" s="5"/>
    </row>
    <row r="188" spans="18:18" x14ac:dyDescent="0.3">
      <c r="R188" s="5"/>
    </row>
    <row r="189" spans="18:18" x14ac:dyDescent="0.3">
      <c r="R189" s="5"/>
    </row>
    <row r="190" spans="18:18" x14ac:dyDescent="0.3">
      <c r="R190" s="5"/>
    </row>
    <row r="191" spans="18:18" x14ac:dyDescent="0.3">
      <c r="R191" s="5"/>
    </row>
    <row r="192" spans="18:18" x14ac:dyDescent="0.3">
      <c r="R192" s="5"/>
    </row>
    <row r="193" spans="18:18" x14ac:dyDescent="0.3">
      <c r="R193" s="5"/>
    </row>
    <row r="194" spans="18:18" x14ac:dyDescent="0.3">
      <c r="R194" s="5"/>
    </row>
    <row r="195" spans="18:18" x14ac:dyDescent="0.3">
      <c r="R195" s="5"/>
    </row>
    <row r="196" spans="18:18" x14ac:dyDescent="0.3">
      <c r="R196" s="5"/>
    </row>
    <row r="197" spans="18:18" x14ac:dyDescent="0.3">
      <c r="R197" s="5"/>
    </row>
    <row r="198" spans="18:18" x14ac:dyDescent="0.3">
      <c r="R198" s="5"/>
    </row>
    <row r="199" spans="18:18" x14ac:dyDescent="0.3">
      <c r="R199" s="5"/>
    </row>
    <row r="200" spans="18:18" x14ac:dyDescent="0.3">
      <c r="R200" s="5"/>
    </row>
    <row r="201" spans="18:18" x14ac:dyDescent="0.3">
      <c r="R201" s="5"/>
    </row>
    <row r="202" spans="18:18" x14ac:dyDescent="0.3">
      <c r="R202" s="5"/>
    </row>
    <row r="203" spans="18:18" x14ac:dyDescent="0.3">
      <c r="R203" s="5"/>
    </row>
    <row r="204" spans="18:18" x14ac:dyDescent="0.3">
      <c r="R204" s="5"/>
    </row>
    <row r="205" spans="18:18" x14ac:dyDescent="0.3">
      <c r="R205" s="5"/>
    </row>
    <row r="206" spans="18:18" x14ac:dyDescent="0.3">
      <c r="R206" s="5"/>
    </row>
    <row r="207" spans="18:18" x14ac:dyDescent="0.3">
      <c r="R207" s="5"/>
    </row>
    <row r="208" spans="18:18" x14ac:dyDescent="0.3">
      <c r="R208" s="5"/>
    </row>
    <row r="209" spans="18:18" x14ac:dyDescent="0.3">
      <c r="R209" s="5"/>
    </row>
    <row r="210" spans="18:18" x14ac:dyDescent="0.3">
      <c r="R210" s="5"/>
    </row>
    <row r="211" spans="18:18" x14ac:dyDescent="0.3">
      <c r="R211" s="5"/>
    </row>
    <row r="212" spans="18:18" x14ac:dyDescent="0.3">
      <c r="R212" s="5"/>
    </row>
    <row r="213" spans="18:18" x14ac:dyDescent="0.3">
      <c r="R213" s="5"/>
    </row>
    <row r="214" spans="18:18" x14ac:dyDescent="0.3">
      <c r="R214" s="5"/>
    </row>
    <row r="215" spans="18:18" x14ac:dyDescent="0.3">
      <c r="R215" s="5"/>
    </row>
    <row r="216" spans="18:18" x14ac:dyDescent="0.3">
      <c r="R216" s="5"/>
    </row>
    <row r="217" spans="18:18" x14ac:dyDescent="0.3">
      <c r="R217" s="5"/>
    </row>
    <row r="218" spans="18:18" x14ac:dyDescent="0.3">
      <c r="R218" s="5"/>
    </row>
    <row r="219" spans="18:18" x14ac:dyDescent="0.3">
      <c r="R219" s="5"/>
    </row>
    <row r="220" spans="18:18" x14ac:dyDescent="0.3">
      <c r="R220" s="5"/>
    </row>
    <row r="221" spans="18:18" x14ac:dyDescent="0.3">
      <c r="R221" s="5"/>
    </row>
    <row r="222" spans="18:18" x14ac:dyDescent="0.3">
      <c r="R222" s="5"/>
    </row>
    <row r="223" spans="18:18" x14ac:dyDescent="0.3">
      <c r="R223" s="5"/>
    </row>
    <row r="224" spans="18:18" x14ac:dyDescent="0.3">
      <c r="R224" s="5"/>
    </row>
    <row r="225" spans="18:18" x14ac:dyDescent="0.3">
      <c r="R225" s="5"/>
    </row>
    <row r="226" spans="18:18" x14ac:dyDescent="0.3">
      <c r="R226" s="5"/>
    </row>
    <row r="227" spans="18:18" x14ac:dyDescent="0.3">
      <c r="R227" s="5"/>
    </row>
    <row r="228" spans="18:18" x14ac:dyDescent="0.3">
      <c r="R228" s="5"/>
    </row>
    <row r="229" spans="18:18" x14ac:dyDescent="0.3">
      <c r="R229" s="5"/>
    </row>
    <row r="230" spans="18:18" x14ac:dyDescent="0.3">
      <c r="R230" s="5"/>
    </row>
    <row r="231" spans="18:18" x14ac:dyDescent="0.3">
      <c r="R231" s="5"/>
    </row>
    <row r="232" spans="18:18" x14ac:dyDescent="0.3">
      <c r="R232" s="5"/>
    </row>
    <row r="233" spans="18:18" x14ac:dyDescent="0.3">
      <c r="R233" s="5"/>
    </row>
    <row r="234" spans="18:18" x14ac:dyDescent="0.3">
      <c r="R234" s="5"/>
    </row>
    <row r="235" spans="18:18" x14ac:dyDescent="0.3">
      <c r="R235" s="5"/>
    </row>
    <row r="236" spans="18:18" x14ac:dyDescent="0.3">
      <c r="R236" s="5"/>
    </row>
    <row r="237" spans="18:18" x14ac:dyDescent="0.3">
      <c r="R237" s="5"/>
    </row>
    <row r="238" spans="18:18" x14ac:dyDescent="0.3">
      <c r="R238" s="5"/>
    </row>
    <row r="239" spans="18:18" x14ac:dyDescent="0.3">
      <c r="R239" s="5"/>
    </row>
    <row r="240" spans="18:18" x14ac:dyDescent="0.3">
      <c r="R240" s="5"/>
    </row>
    <row r="241" spans="18:18" x14ac:dyDescent="0.3">
      <c r="R241" s="5"/>
    </row>
    <row r="242" spans="18:18" x14ac:dyDescent="0.3">
      <c r="R242" s="5"/>
    </row>
    <row r="243" spans="18:18" x14ac:dyDescent="0.3">
      <c r="R243" s="5"/>
    </row>
    <row r="244" spans="18:18" x14ac:dyDescent="0.3">
      <c r="R244" s="5"/>
    </row>
    <row r="245" spans="18:18" x14ac:dyDescent="0.3">
      <c r="R245" s="5"/>
    </row>
    <row r="246" spans="18:18" x14ac:dyDescent="0.3">
      <c r="R246" s="5"/>
    </row>
    <row r="247" spans="18:18" x14ac:dyDescent="0.3">
      <c r="R247" s="5"/>
    </row>
    <row r="248" spans="18:18" x14ac:dyDescent="0.3">
      <c r="R248" s="5"/>
    </row>
    <row r="249" spans="18:18" x14ac:dyDescent="0.3">
      <c r="R249" s="5"/>
    </row>
    <row r="250" spans="18:18" x14ac:dyDescent="0.3">
      <c r="R250" s="5"/>
    </row>
    <row r="251" spans="18:18" x14ac:dyDescent="0.3">
      <c r="R251" s="5"/>
    </row>
    <row r="252" spans="18:18" x14ac:dyDescent="0.3">
      <c r="R252" s="5"/>
    </row>
    <row r="253" spans="18:18" x14ac:dyDescent="0.3">
      <c r="R253" s="5"/>
    </row>
    <row r="254" spans="18:18" x14ac:dyDescent="0.3">
      <c r="R254" s="5"/>
    </row>
    <row r="255" spans="18:18" x14ac:dyDescent="0.3">
      <c r="R255" s="5"/>
    </row>
    <row r="256" spans="18:18" x14ac:dyDescent="0.3">
      <c r="R256" s="5"/>
    </row>
    <row r="257" spans="18:18" x14ac:dyDescent="0.3">
      <c r="R257" s="5"/>
    </row>
    <row r="258" spans="18:18" x14ac:dyDescent="0.3">
      <c r="R258" s="5"/>
    </row>
    <row r="259" spans="18:18" x14ac:dyDescent="0.3">
      <c r="R259" s="5"/>
    </row>
    <row r="260" spans="18:18" x14ac:dyDescent="0.3">
      <c r="R260" s="5"/>
    </row>
    <row r="261" spans="18:18" x14ac:dyDescent="0.3">
      <c r="R261" s="5"/>
    </row>
    <row r="262" spans="18:18" x14ac:dyDescent="0.3">
      <c r="R262" s="5"/>
    </row>
    <row r="263" spans="18:18" x14ac:dyDescent="0.3">
      <c r="R263" s="5"/>
    </row>
    <row r="264" spans="18:18" x14ac:dyDescent="0.3">
      <c r="R264" s="5"/>
    </row>
    <row r="265" spans="18:18" x14ac:dyDescent="0.3">
      <c r="R265" s="5"/>
    </row>
    <row r="266" spans="18:18" x14ac:dyDescent="0.3">
      <c r="R266" s="5"/>
    </row>
    <row r="267" spans="18:18" x14ac:dyDescent="0.3">
      <c r="R267" s="5"/>
    </row>
    <row r="268" spans="18:18" x14ac:dyDescent="0.3">
      <c r="R268" s="5"/>
    </row>
    <row r="269" spans="18:18" x14ac:dyDescent="0.3">
      <c r="R269" s="5"/>
    </row>
    <row r="270" spans="18:18" x14ac:dyDescent="0.3">
      <c r="R270" s="5"/>
    </row>
    <row r="271" spans="18:18" x14ac:dyDescent="0.3">
      <c r="R271" s="5"/>
    </row>
    <row r="272" spans="18:18" x14ac:dyDescent="0.3">
      <c r="R272" s="5"/>
    </row>
    <row r="273" spans="18:18" x14ac:dyDescent="0.3">
      <c r="R273" s="5"/>
    </row>
    <row r="274" spans="18:18" x14ac:dyDescent="0.3">
      <c r="R274" s="5"/>
    </row>
    <row r="275" spans="18:18" x14ac:dyDescent="0.3">
      <c r="R275" s="5"/>
    </row>
    <row r="276" spans="18:18" x14ac:dyDescent="0.3">
      <c r="R276" s="5"/>
    </row>
    <row r="277" spans="18:18" x14ac:dyDescent="0.3">
      <c r="R277" s="5"/>
    </row>
    <row r="278" spans="18:18" x14ac:dyDescent="0.3">
      <c r="R278" s="5"/>
    </row>
    <row r="279" spans="18:18" x14ac:dyDescent="0.3">
      <c r="R279" s="5"/>
    </row>
    <row r="280" spans="18:18" x14ac:dyDescent="0.3">
      <c r="R280" s="5"/>
    </row>
    <row r="281" spans="18:18" x14ac:dyDescent="0.3">
      <c r="R281" s="5"/>
    </row>
    <row r="282" spans="18:18" x14ac:dyDescent="0.3">
      <c r="R282" s="5"/>
    </row>
    <row r="283" spans="18:18" x14ac:dyDescent="0.3">
      <c r="R283" s="5"/>
    </row>
    <row r="284" spans="18:18" x14ac:dyDescent="0.3">
      <c r="R284" s="5"/>
    </row>
    <row r="285" spans="18:18" x14ac:dyDescent="0.3">
      <c r="R285" s="5"/>
    </row>
    <row r="286" spans="18:18" x14ac:dyDescent="0.3">
      <c r="R286" s="5"/>
    </row>
    <row r="287" spans="18:18" x14ac:dyDescent="0.3">
      <c r="R287" s="5"/>
    </row>
    <row r="288" spans="18:18" x14ac:dyDescent="0.3">
      <c r="R288" s="5"/>
    </row>
    <row r="289" spans="18:18" x14ac:dyDescent="0.3">
      <c r="R289" s="5"/>
    </row>
    <row r="290" spans="18:18" x14ac:dyDescent="0.3">
      <c r="R290" s="5"/>
    </row>
    <row r="291" spans="18:18" x14ac:dyDescent="0.3">
      <c r="R291" s="5"/>
    </row>
    <row r="292" spans="18:18" x14ac:dyDescent="0.3">
      <c r="R292" s="5"/>
    </row>
    <row r="293" spans="18:18" x14ac:dyDescent="0.3">
      <c r="R293" s="5"/>
    </row>
    <row r="294" spans="18:18" x14ac:dyDescent="0.3">
      <c r="R294" s="5"/>
    </row>
    <row r="295" spans="18:18" x14ac:dyDescent="0.3">
      <c r="R295" s="5"/>
    </row>
    <row r="296" spans="18:18" x14ac:dyDescent="0.3">
      <c r="R296" s="5"/>
    </row>
    <row r="297" spans="18:18" x14ac:dyDescent="0.3">
      <c r="R297" s="5"/>
    </row>
    <row r="298" spans="18:18" x14ac:dyDescent="0.3">
      <c r="R298" s="5"/>
    </row>
    <row r="299" spans="18:18" x14ac:dyDescent="0.3">
      <c r="R299" s="5"/>
    </row>
    <row r="300" spans="18:18" x14ac:dyDescent="0.3">
      <c r="R300" s="5"/>
    </row>
    <row r="301" spans="18:18" x14ac:dyDescent="0.3">
      <c r="R301" s="5"/>
    </row>
    <row r="302" spans="18:18" x14ac:dyDescent="0.3">
      <c r="R302" s="5"/>
    </row>
    <row r="303" spans="18:18" x14ac:dyDescent="0.3">
      <c r="R303" s="5"/>
    </row>
    <row r="304" spans="18:18" x14ac:dyDescent="0.3">
      <c r="R304" s="5"/>
    </row>
    <row r="305" spans="18:18" x14ac:dyDescent="0.3">
      <c r="R305" s="5"/>
    </row>
    <row r="306" spans="18:18" x14ac:dyDescent="0.3">
      <c r="R306" s="5"/>
    </row>
    <row r="307" spans="18:18" x14ac:dyDescent="0.3">
      <c r="R307" s="5"/>
    </row>
    <row r="308" spans="18:18" x14ac:dyDescent="0.3">
      <c r="R308" s="5"/>
    </row>
    <row r="309" spans="18:18" x14ac:dyDescent="0.3">
      <c r="R309" s="5"/>
    </row>
    <row r="310" spans="18:18" x14ac:dyDescent="0.3">
      <c r="R310" s="5"/>
    </row>
    <row r="311" spans="18:18" x14ac:dyDescent="0.3">
      <c r="R311" s="5"/>
    </row>
    <row r="312" spans="18:18" x14ac:dyDescent="0.3">
      <c r="R312" s="5"/>
    </row>
    <row r="313" spans="18:18" x14ac:dyDescent="0.3">
      <c r="R313" s="5"/>
    </row>
    <row r="314" spans="18:18" x14ac:dyDescent="0.3">
      <c r="R314" s="5"/>
    </row>
    <row r="315" spans="18:18" x14ac:dyDescent="0.3">
      <c r="R315" s="5"/>
    </row>
    <row r="316" spans="18:18" x14ac:dyDescent="0.3">
      <c r="R316" s="5"/>
    </row>
    <row r="317" spans="18:18" x14ac:dyDescent="0.3">
      <c r="R317" s="5"/>
    </row>
    <row r="318" spans="18:18" x14ac:dyDescent="0.3">
      <c r="R318" s="5"/>
    </row>
    <row r="319" spans="18:18" x14ac:dyDescent="0.3">
      <c r="R319" s="5"/>
    </row>
    <row r="320" spans="18:18" x14ac:dyDescent="0.3">
      <c r="R320" s="5"/>
    </row>
    <row r="321" spans="18:18" x14ac:dyDescent="0.3">
      <c r="R321" s="5"/>
    </row>
    <row r="322" spans="18:18" x14ac:dyDescent="0.3">
      <c r="R322" s="5"/>
    </row>
    <row r="323" spans="18:18" x14ac:dyDescent="0.3">
      <c r="R323" s="5"/>
    </row>
    <row r="324" spans="18:18" x14ac:dyDescent="0.3">
      <c r="R324" s="5"/>
    </row>
    <row r="325" spans="18:18" x14ac:dyDescent="0.3">
      <c r="R325" s="5"/>
    </row>
    <row r="326" spans="18:18" x14ac:dyDescent="0.3">
      <c r="R326" s="5"/>
    </row>
    <row r="327" spans="18:18" x14ac:dyDescent="0.3">
      <c r="R327" s="5"/>
    </row>
    <row r="328" spans="18:18" x14ac:dyDescent="0.3">
      <c r="R328" s="5"/>
    </row>
    <row r="329" spans="18:18" x14ac:dyDescent="0.3">
      <c r="R329" s="5"/>
    </row>
    <row r="330" spans="18:18" x14ac:dyDescent="0.3">
      <c r="R330" s="5"/>
    </row>
    <row r="331" spans="18:18" x14ac:dyDescent="0.3">
      <c r="R331" s="5"/>
    </row>
    <row r="332" spans="18:18" x14ac:dyDescent="0.3">
      <c r="R332" s="5"/>
    </row>
    <row r="333" spans="18:18" x14ac:dyDescent="0.3">
      <c r="R333" s="5"/>
    </row>
    <row r="334" spans="18:18" x14ac:dyDescent="0.3">
      <c r="R334" s="5"/>
    </row>
    <row r="335" spans="18:18" x14ac:dyDescent="0.3">
      <c r="R335" s="5"/>
    </row>
    <row r="336" spans="18:18" x14ac:dyDescent="0.3">
      <c r="R336" s="5"/>
    </row>
    <row r="337" spans="18:18" x14ac:dyDescent="0.3">
      <c r="R337" s="5"/>
    </row>
    <row r="338" spans="18:18" x14ac:dyDescent="0.3">
      <c r="R338" s="5"/>
    </row>
    <row r="339" spans="18:18" x14ac:dyDescent="0.3">
      <c r="R339" s="5"/>
    </row>
    <row r="340" spans="18:18" x14ac:dyDescent="0.3">
      <c r="R340" s="5"/>
    </row>
    <row r="341" spans="18:18" x14ac:dyDescent="0.3">
      <c r="R341" s="5"/>
    </row>
    <row r="342" spans="18:18" x14ac:dyDescent="0.3">
      <c r="R342" s="5"/>
    </row>
    <row r="343" spans="18:18" x14ac:dyDescent="0.3">
      <c r="R343" s="5"/>
    </row>
    <row r="344" spans="18:18" x14ac:dyDescent="0.3">
      <c r="R344" s="5"/>
    </row>
    <row r="345" spans="18:18" x14ac:dyDescent="0.3">
      <c r="R345" s="5"/>
    </row>
    <row r="346" spans="18:18" x14ac:dyDescent="0.3">
      <c r="R346" s="5"/>
    </row>
    <row r="347" spans="18:18" x14ac:dyDescent="0.3">
      <c r="R347" s="5"/>
    </row>
    <row r="348" spans="18:18" x14ac:dyDescent="0.3">
      <c r="R348" s="5"/>
    </row>
    <row r="349" spans="18:18" x14ac:dyDescent="0.3">
      <c r="R349" s="5"/>
    </row>
    <row r="350" spans="18:18" x14ac:dyDescent="0.3">
      <c r="R350" s="5"/>
    </row>
    <row r="351" spans="18:18" x14ac:dyDescent="0.3">
      <c r="R351" s="5"/>
    </row>
    <row r="352" spans="18:18" x14ac:dyDescent="0.3">
      <c r="R352" s="5"/>
    </row>
    <row r="353" spans="18:18" x14ac:dyDescent="0.3">
      <c r="R353" s="5"/>
    </row>
    <row r="354" spans="18:18" x14ac:dyDescent="0.3">
      <c r="R354" s="5"/>
    </row>
    <row r="355" spans="18:18" x14ac:dyDescent="0.3">
      <c r="R355" s="5"/>
    </row>
    <row r="356" spans="18:18" x14ac:dyDescent="0.3">
      <c r="R356" s="5"/>
    </row>
    <row r="357" spans="18:18" x14ac:dyDescent="0.3">
      <c r="R357" s="5"/>
    </row>
    <row r="358" spans="18:18" x14ac:dyDescent="0.3">
      <c r="R358" s="5"/>
    </row>
    <row r="359" spans="18:18" x14ac:dyDescent="0.3">
      <c r="R359" s="5"/>
    </row>
    <row r="360" spans="18:18" x14ac:dyDescent="0.3">
      <c r="R360" s="5"/>
    </row>
    <row r="361" spans="18:18" x14ac:dyDescent="0.3">
      <c r="R361" s="5"/>
    </row>
    <row r="362" spans="18:18" x14ac:dyDescent="0.3">
      <c r="R362" s="5"/>
    </row>
    <row r="363" spans="18:18" x14ac:dyDescent="0.3">
      <c r="R363" s="5"/>
    </row>
    <row r="364" spans="18:18" x14ac:dyDescent="0.3">
      <c r="R364" s="5"/>
    </row>
    <row r="365" spans="18:18" x14ac:dyDescent="0.3">
      <c r="R365" s="5"/>
    </row>
    <row r="366" spans="18:18" x14ac:dyDescent="0.3">
      <c r="R366" s="5"/>
    </row>
    <row r="367" spans="18:18" x14ac:dyDescent="0.3">
      <c r="R367" s="5"/>
    </row>
    <row r="368" spans="18:18" x14ac:dyDescent="0.3">
      <c r="R368" s="5"/>
    </row>
    <row r="369" spans="18:18" x14ac:dyDescent="0.3">
      <c r="R369" s="5"/>
    </row>
    <row r="370" spans="18:18" x14ac:dyDescent="0.3">
      <c r="R370" s="5"/>
    </row>
    <row r="371" spans="18:18" x14ac:dyDescent="0.3">
      <c r="R371" s="5"/>
    </row>
    <row r="372" spans="18:18" x14ac:dyDescent="0.3">
      <c r="R372" s="5"/>
    </row>
    <row r="373" spans="18:18" x14ac:dyDescent="0.3">
      <c r="R373" s="5"/>
    </row>
    <row r="374" spans="18:18" x14ac:dyDescent="0.3">
      <c r="R374" s="5"/>
    </row>
    <row r="375" spans="18:18" x14ac:dyDescent="0.3">
      <c r="R375" s="5"/>
    </row>
    <row r="376" spans="18:18" x14ac:dyDescent="0.3">
      <c r="R376" s="5"/>
    </row>
    <row r="377" spans="18:18" x14ac:dyDescent="0.3">
      <c r="R377" s="5"/>
    </row>
    <row r="378" spans="18:18" x14ac:dyDescent="0.3">
      <c r="R378" s="5"/>
    </row>
    <row r="379" spans="18:18" x14ac:dyDescent="0.3">
      <c r="R379" s="5"/>
    </row>
    <row r="380" spans="18:18" x14ac:dyDescent="0.3">
      <c r="R380" s="5"/>
    </row>
    <row r="381" spans="18:18" x14ac:dyDescent="0.3">
      <c r="R381" s="5"/>
    </row>
    <row r="382" spans="18:18" x14ac:dyDescent="0.3">
      <c r="R382" s="5"/>
    </row>
    <row r="383" spans="18:18" x14ac:dyDescent="0.3">
      <c r="R383" s="5"/>
    </row>
    <row r="384" spans="18:18" x14ac:dyDescent="0.3">
      <c r="R384" s="5"/>
    </row>
    <row r="385" spans="18:18" x14ac:dyDescent="0.3">
      <c r="R385" s="5"/>
    </row>
    <row r="386" spans="18:18" x14ac:dyDescent="0.3">
      <c r="R386" s="5"/>
    </row>
    <row r="387" spans="18:18" x14ac:dyDescent="0.3">
      <c r="R387" s="5"/>
    </row>
    <row r="388" spans="18:18" x14ac:dyDescent="0.3">
      <c r="R388" s="5"/>
    </row>
    <row r="389" spans="18:18" x14ac:dyDescent="0.3">
      <c r="R389" s="5"/>
    </row>
    <row r="390" spans="18:18" x14ac:dyDescent="0.3">
      <c r="R390" s="5"/>
    </row>
    <row r="391" spans="18:18" x14ac:dyDescent="0.3">
      <c r="R391" s="5"/>
    </row>
    <row r="392" spans="18:18" x14ac:dyDescent="0.3">
      <c r="R392" s="5"/>
    </row>
    <row r="393" spans="18:18" x14ac:dyDescent="0.3">
      <c r="R393" s="5"/>
    </row>
    <row r="394" spans="18:18" x14ac:dyDescent="0.3">
      <c r="R394" s="5"/>
    </row>
    <row r="395" spans="18:18" x14ac:dyDescent="0.3">
      <c r="R395" s="5"/>
    </row>
    <row r="396" spans="18:18" x14ac:dyDescent="0.3">
      <c r="R396" s="5"/>
    </row>
    <row r="397" spans="18:18" x14ac:dyDescent="0.3">
      <c r="R397" s="5"/>
    </row>
    <row r="398" spans="18:18" x14ac:dyDescent="0.3">
      <c r="R398" s="5"/>
    </row>
    <row r="399" spans="18:18" x14ac:dyDescent="0.3">
      <c r="R399" s="5"/>
    </row>
    <row r="400" spans="18:18" x14ac:dyDescent="0.3">
      <c r="R400" s="5"/>
    </row>
    <row r="401" spans="18:18" x14ac:dyDescent="0.3">
      <c r="R401" s="5"/>
    </row>
    <row r="402" spans="18:18" x14ac:dyDescent="0.3">
      <c r="R402" s="5"/>
    </row>
    <row r="403" spans="18:18" x14ac:dyDescent="0.3">
      <c r="R403" s="5"/>
    </row>
    <row r="404" spans="18:18" x14ac:dyDescent="0.3">
      <c r="R404" s="5"/>
    </row>
    <row r="405" spans="18:18" x14ac:dyDescent="0.3">
      <c r="R405" s="5"/>
    </row>
    <row r="406" spans="18:18" x14ac:dyDescent="0.3">
      <c r="R406" s="5"/>
    </row>
    <row r="407" spans="18:18" x14ac:dyDescent="0.3">
      <c r="R407" s="5"/>
    </row>
    <row r="408" spans="18:18" x14ac:dyDescent="0.3">
      <c r="R408" s="5"/>
    </row>
    <row r="409" spans="18:18" x14ac:dyDescent="0.3">
      <c r="R409" s="5"/>
    </row>
    <row r="410" spans="18:18" x14ac:dyDescent="0.3">
      <c r="R410" s="5"/>
    </row>
    <row r="411" spans="18:18" x14ac:dyDescent="0.3">
      <c r="R411" s="5"/>
    </row>
    <row r="412" spans="18:18" x14ac:dyDescent="0.3">
      <c r="R412" s="5"/>
    </row>
    <row r="413" spans="18:18" x14ac:dyDescent="0.3">
      <c r="R413" s="5"/>
    </row>
    <row r="414" spans="18:18" x14ac:dyDescent="0.3">
      <c r="R414" s="5"/>
    </row>
    <row r="415" spans="18:18" x14ac:dyDescent="0.3">
      <c r="R415" s="5"/>
    </row>
    <row r="416" spans="18:18" x14ac:dyDescent="0.3">
      <c r="R416" s="5"/>
    </row>
    <row r="417" spans="18:18" x14ac:dyDescent="0.3">
      <c r="R417" s="5"/>
    </row>
    <row r="418" spans="18:18" x14ac:dyDescent="0.3">
      <c r="R418" s="5"/>
    </row>
    <row r="419" spans="18:18" x14ac:dyDescent="0.3">
      <c r="R419" s="5"/>
    </row>
    <row r="420" spans="18:18" x14ac:dyDescent="0.3">
      <c r="R420" s="5"/>
    </row>
    <row r="421" spans="18:18" x14ac:dyDescent="0.3">
      <c r="R421" s="5"/>
    </row>
    <row r="422" spans="18:18" x14ac:dyDescent="0.3">
      <c r="R422" s="5"/>
    </row>
    <row r="423" spans="18:18" x14ac:dyDescent="0.3">
      <c r="R423" s="5"/>
    </row>
    <row r="424" spans="18:18" x14ac:dyDescent="0.3">
      <c r="R424" s="5"/>
    </row>
    <row r="425" spans="18:18" x14ac:dyDescent="0.3">
      <c r="R425" s="5"/>
    </row>
    <row r="426" spans="18:18" x14ac:dyDescent="0.3">
      <c r="R426" s="5"/>
    </row>
    <row r="427" spans="18:18" x14ac:dyDescent="0.3">
      <c r="R427" s="5"/>
    </row>
    <row r="428" spans="18:18" x14ac:dyDescent="0.3">
      <c r="R428" s="5"/>
    </row>
    <row r="429" spans="18:18" x14ac:dyDescent="0.3">
      <c r="R429" s="5"/>
    </row>
    <row r="430" spans="18:18" x14ac:dyDescent="0.3">
      <c r="R430" s="5"/>
    </row>
    <row r="431" spans="18:18" x14ac:dyDescent="0.3">
      <c r="R431" s="5"/>
    </row>
    <row r="432" spans="18:18" x14ac:dyDescent="0.3">
      <c r="R432" s="5"/>
    </row>
    <row r="433" spans="18:18" x14ac:dyDescent="0.3">
      <c r="R433" s="5"/>
    </row>
    <row r="434" spans="18:18" x14ac:dyDescent="0.3">
      <c r="R434" s="5"/>
    </row>
    <row r="435" spans="18:18" x14ac:dyDescent="0.3">
      <c r="R435" s="5"/>
    </row>
    <row r="436" spans="18:18" x14ac:dyDescent="0.3">
      <c r="R436" s="5"/>
    </row>
    <row r="437" spans="18:18" x14ac:dyDescent="0.3">
      <c r="R437" s="5"/>
    </row>
    <row r="438" spans="18:18" x14ac:dyDescent="0.3">
      <c r="R438" s="5"/>
    </row>
    <row r="439" spans="18:18" x14ac:dyDescent="0.3">
      <c r="R439" s="5"/>
    </row>
    <row r="440" spans="18:18" x14ac:dyDescent="0.3">
      <c r="R440" s="5"/>
    </row>
    <row r="441" spans="18:18" x14ac:dyDescent="0.3">
      <c r="R441" s="5"/>
    </row>
    <row r="442" spans="18:18" x14ac:dyDescent="0.3">
      <c r="R442" s="5"/>
    </row>
    <row r="443" spans="18:18" x14ac:dyDescent="0.3">
      <c r="R443" s="5"/>
    </row>
    <row r="444" spans="18:18" x14ac:dyDescent="0.3">
      <c r="R444" s="5"/>
    </row>
    <row r="445" spans="18:18" x14ac:dyDescent="0.3">
      <c r="R445" s="5"/>
    </row>
    <row r="446" spans="18:18" x14ac:dyDescent="0.3">
      <c r="R446" s="5"/>
    </row>
    <row r="447" spans="18:18" x14ac:dyDescent="0.3">
      <c r="R447" s="5"/>
    </row>
    <row r="448" spans="18:18" x14ac:dyDescent="0.3">
      <c r="R448" s="5"/>
    </row>
    <row r="449" spans="18:18" x14ac:dyDescent="0.3">
      <c r="R449" s="5"/>
    </row>
    <row r="450" spans="18:18" x14ac:dyDescent="0.3">
      <c r="R450" s="5"/>
    </row>
    <row r="451" spans="18:18" x14ac:dyDescent="0.3">
      <c r="R451" s="5"/>
    </row>
    <row r="452" spans="18:18" x14ac:dyDescent="0.3">
      <c r="R452" s="5"/>
    </row>
    <row r="453" spans="18:18" x14ac:dyDescent="0.3">
      <c r="R453" s="5"/>
    </row>
    <row r="454" spans="18:18" x14ac:dyDescent="0.3">
      <c r="R454" s="5"/>
    </row>
    <row r="455" spans="18:18" x14ac:dyDescent="0.3">
      <c r="R455" s="5"/>
    </row>
    <row r="456" spans="18:18" x14ac:dyDescent="0.3">
      <c r="R456" s="5"/>
    </row>
    <row r="457" spans="18:18" x14ac:dyDescent="0.3">
      <c r="R457" s="5"/>
    </row>
    <row r="458" spans="18:18" x14ac:dyDescent="0.3">
      <c r="R458" s="5"/>
    </row>
    <row r="459" spans="18:18" x14ac:dyDescent="0.3">
      <c r="R459" s="5"/>
    </row>
    <row r="460" spans="18:18" x14ac:dyDescent="0.3">
      <c r="R460" s="5"/>
    </row>
    <row r="461" spans="18:18" x14ac:dyDescent="0.3">
      <c r="R461" s="5"/>
    </row>
    <row r="462" spans="18:18" x14ac:dyDescent="0.3">
      <c r="R462" s="5"/>
    </row>
    <row r="463" spans="18:18" x14ac:dyDescent="0.3">
      <c r="R463" s="5"/>
    </row>
    <row r="464" spans="18:18" x14ac:dyDescent="0.3">
      <c r="R464" s="5"/>
    </row>
    <row r="465" spans="18:18" x14ac:dyDescent="0.3">
      <c r="R465" s="5"/>
    </row>
    <row r="466" spans="18:18" x14ac:dyDescent="0.3">
      <c r="R466" s="5"/>
    </row>
    <row r="467" spans="18:18" x14ac:dyDescent="0.3">
      <c r="R467" s="5"/>
    </row>
    <row r="468" spans="18:18" x14ac:dyDescent="0.3">
      <c r="R468" s="5"/>
    </row>
    <row r="469" spans="18:18" x14ac:dyDescent="0.3">
      <c r="R469" s="5"/>
    </row>
    <row r="470" spans="18:18" x14ac:dyDescent="0.3">
      <c r="R470" s="5"/>
    </row>
    <row r="471" spans="18:18" x14ac:dyDescent="0.3">
      <c r="R471" s="5"/>
    </row>
    <row r="472" spans="18:18" x14ac:dyDescent="0.3">
      <c r="R472" s="5"/>
    </row>
    <row r="473" spans="18:18" x14ac:dyDescent="0.3">
      <c r="R473" s="5"/>
    </row>
    <row r="474" spans="18:18" x14ac:dyDescent="0.3">
      <c r="R474" s="5"/>
    </row>
    <row r="475" spans="18:18" x14ac:dyDescent="0.3">
      <c r="R475" s="5"/>
    </row>
    <row r="476" spans="18:18" x14ac:dyDescent="0.3">
      <c r="R476" s="5"/>
    </row>
    <row r="477" spans="18:18" x14ac:dyDescent="0.3">
      <c r="R477" s="5"/>
    </row>
    <row r="478" spans="18:18" x14ac:dyDescent="0.3">
      <c r="R478" s="5"/>
    </row>
    <row r="479" spans="18:18" x14ac:dyDescent="0.3">
      <c r="R479" s="5"/>
    </row>
    <row r="480" spans="18:18" x14ac:dyDescent="0.3">
      <c r="R480" s="5"/>
    </row>
    <row r="481" spans="18:18" x14ac:dyDescent="0.3">
      <c r="R481" s="5"/>
    </row>
    <row r="482" spans="18:18" x14ac:dyDescent="0.3">
      <c r="R482" s="5"/>
    </row>
    <row r="483" spans="18:18" x14ac:dyDescent="0.3">
      <c r="R483" s="5"/>
    </row>
    <row r="484" spans="18:18" x14ac:dyDescent="0.3">
      <c r="R484" s="5"/>
    </row>
    <row r="485" spans="18:18" x14ac:dyDescent="0.3">
      <c r="R485" s="5"/>
    </row>
    <row r="486" spans="18:18" x14ac:dyDescent="0.3">
      <c r="R486" s="5"/>
    </row>
    <row r="487" spans="18:18" x14ac:dyDescent="0.3">
      <c r="R487" s="5"/>
    </row>
    <row r="488" spans="18:18" x14ac:dyDescent="0.3">
      <c r="R488" s="5"/>
    </row>
    <row r="489" spans="18:18" x14ac:dyDescent="0.3">
      <c r="R489" s="5"/>
    </row>
    <row r="490" spans="18:18" x14ac:dyDescent="0.3">
      <c r="R490" s="5"/>
    </row>
    <row r="491" spans="18:18" x14ac:dyDescent="0.3">
      <c r="R491" s="5"/>
    </row>
    <row r="492" spans="18:18" x14ac:dyDescent="0.3">
      <c r="R492" s="5"/>
    </row>
    <row r="493" spans="18:18" x14ac:dyDescent="0.3">
      <c r="R493" s="5"/>
    </row>
    <row r="494" spans="18:18" x14ac:dyDescent="0.3">
      <c r="R494" s="5"/>
    </row>
    <row r="495" spans="18:18" x14ac:dyDescent="0.3">
      <c r="R495" s="5"/>
    </row>
    <row r="496" spans="18:18" x14ac:dyDescent="0.3">
      <c r="R496" s="5"/>
    </row>
    <row r="497" spans="18:18" x14ac:dyDescent="0.3">
      <c r="R497" s="5"/>
    </row>
    <row r="498" spans="18:18" x14ac:dyDescent="0.3">
      <c r="R498" s="5"/>
    </row>
    <row r="499" spans="18:18" x14ac:dyDescent="0.3">
      <c r="R499" s="5"/>
    </row>
    <row r="500" spans="18:18" x14ac:dyDescent="0.3">
      <c r="R500" s="5"/>
    </row>
    <row r="501" spans="18:18" x14ac:dyDescent="0.3">
      <c r="R501" s="5"/>
    </row>
    <row r="502" spans="18:18" x14ac:dyDescent="0.3">
      <c r="R502" s="5"/>
    </row>
    <row r="503" spans="18:18" x14ac:dyDescent="0.3">
      <c r="R503" s="5"/>
    </row>
    <row r="504" spans="18:18" x14ac:dyDescent="0.3">
      <c r="R504" s="5"/>
    </row>
    <row r="505" spans="18:18" x14ac:dyDescent="0.3">
      <c r="R505" s="5"/>
    </row>
    <row r="506" spans="18:18" x14ac:dyDescent="0.3">
      <c r="R506" s="5"/>
    </row>
    <row r="507" spans="18:18" x14ac:dyDescent="0.3">
      <c r="R507" s="5"/>
    </row>
    <row r="508" spans="18:18" x14ac:dyDescent="0.3">
      <c r="R508" s="5"/>
    </row>
    <row r="509" spans="18:18" x14ac:dyDescent="0.3">
      <c r="R509" s="5"/>
    </row>
    <row r="510" spans="18:18" x14ac:dyDescent="0.3">
      <c r="R510" s="5"/>
    </row>
    <row r="511" spans="18:18" x14ac:dyDescent="0.3">
      <c r="R511" s="5"/>
    </row>
    <row r="512" spans="18:18" x14ac:dyDescent="0.3">
      <c r="R512" s="5"/>
    </row>
    <row r="513" spans="18:18" x14ac:dyDescent="0.3">
      <c r="R513" s="5"/>
    </row>
    <row r="514" spans="18:18" x14ac:dyDescent="0.3">
      <c r="R514" s="5"/>
    </row>
    <row r="515" spans="18:18" x14ac:dyDescent="0.3">
      <c r="R515" s="5"/>
    </row>
    <row r="516" spans="18:18" x14ac:dyDescent="0.3">
      <c r="R516" s="5"/>
    </row>
    <row r="517" spans="18:18" x14ac:dyDescent="0.3">
      <c r="R517" s="5"/>
    </row>
    <row r="518" spans="18:18" x14ac:dyDescent="0.3">
      <c r="R518" s="5"/>
    </row>
    <row r="519" spans="18:18" x14ac:dyDescent="0.3">
      <c r="R519" s="5"/>
    </row>
    <row r="520" spans="18:18" x14ac:dyDescent="0.3">
      <c r="R520" s="5"/>
    </row>
    <row r="521" spans="18:18" x14ac:dyDescent="0.3">
      <c r="R521" s="5"/>
    </row>
    <row r="522" spans="18:18" x14ac:dyDescent="0.3">
      <c r="R522" s="5"/>
    </row>
    <row r="523" spans="18:18" x14ac:dyDescent="0.3">
      <c r="R523" s="5"/>
    </row>
    <row r="524" spans="18:18" x14ac:dyDescent="0.3">
      <c r="R524" s="5"/>
    </row>
    <row r="525" spans="18:18" x14ac:dyDescent="0.3">
      <c r="R525" s="5"/>
    </row>
    <row r="526" spans="18:18" x14ac:dyDescent="0.3">
      <c r="R526" s="5"/>
    </row>
    <row r="527" spans="18:18" x14ac:dyDescent="0.3">
      <c r="R527" s="5"/>
    </row>
    <row r="528" spans="18:18" x14ac:dyDescent="0.3">
      <c r="R528" s="5"/>
    </row>
    <row r="529" spans="18:18" x14ac:dyDescent="0.3">
      <c r="R529" s="5"/>
    </row>
    <row r="530" spans="18:18" x14ac:dyDescent="0.3">
      <c r="R530" s="5"/>
    </row>
    <row r="531" spans="18:18" x14ac:dyDescent="0.3">
      <c r="R531" s="5"/>
    </row>
    <row r="532" spans="18:18" x14ac:dyDescent="0.3">
      <c r="R532" s="5"/>
    </row>
    <row r="533" spans="18:18" x14ac:dyDescent="0.3">
      <c r="R533" s="5"/>
    </row>
    <row r="534" spans="18:18" x14ac:dyDescent="0.3">
      <c r="R534" s="5"/>
    </row>
    <row r="535" spans="18:18" x14ac:dyDescent="0.3">
      <c r="R535" s="5"/>
    </row>
    <row r="536" spans="18:18" x14ac:dyDescent="0.3">
      <c r="R536" s="5"/>
    </row>
    <row r="537" spans="18:18" x14ac:dyDescent="0.3">
      <c r="R537" s="5"/>
    </row>
    <row r="538" spans="18:18" x14ac:dyDescent="0.3">
      <c r="R538" s="5"/>
    </row>
    <row r="539" spans="18:18" x14ac:dyDescent="0.3">
      <c r="R539" s="5"/>
    </row>
    <row r="540" spans="18:18" x14ac:dyDescent="0.3">
      <c r="R540" s="5"/>
    </row>
    <row r="541" spans="18:18" x14ac:dyDescent="0.3">
      <c r="R541" s="5"/>
    </row>
    <row r="542" spans="18:18" x14ac:dyDescent="0.3">
      <c r="R542" s="5"/>
    </row>
    <row r="543" spans="18:18" x14ac:dyDescent="0.3">
      <c r="R543" s="5"/>
    </row>
    <row r="544" spans="18:18" x14ac:dyDescent="0.3">
      <c r="R544" s="5"/>
    </row>
    <row r="545" spans="18:18" x14ac:dyDescent="0.3">
      <c r="R545" s="5"/>
    </row>
    <row r="546" spans="18:18" x14ac:dyDescent="0.3">
      <c r="R546" s="5"/>
    </row>
    <row r="547" spans="18:18" x14ac:dyDescent="0.3">
      <c r="R547" s="5"/>
    </row>
    <row r="548" spans="18:18" x14ac:dyDescent="0.3">
      <c r="R548" s="5"/>
    </row>
    <row r="549" spans="18:18" x14ac:dyDescent="0.3">
      <c r="R549" s="5"/>
    </row>
    <row r="550" spans="18:18" x14ac:dyDescent="0.3">
      <c r="R550" s="5"/>
    </row>
    <row r="551" spans="18:18" x14ac:dyDescent="0.3">
      <c r="R551" s="5"/>
    </row>
    <row r="552" spans="18:18" x14ac:dyDescent="0.3">
      <c r="R552" s="5"/>
    </row>
    <row r="553" spans="18:18" x14ac:dyDescent="0.3">
      <c r="R553" s="5"/>
    </row>
    <row r="554" spans="18:18" x14ac:dyDescent="0.3">
      <c r="R554" s="5"/>
    </row>
    <row r="555" spans="18:18" x14ac:dyDescent="0.3">
      <c r="R555" s="5"/>
    </row>
    <row r="556" spans="18:18" x14ac:dyDescent="0.3">
      <c r="R556" s="5"/>
    </row>
    <row r="557" spans="18:18" x14ac:dyDescent="0.3">
      <c r="R557" s="5"/>
    </row>
    <row r="558" spans="18:18" x14ac:dyDescent="0.3">
      <c r="R558" s="5"/>
    </row>
    <row r="559" spans="18:18" x14ac:dyDescent="0.3">
      <c r="R559" s="5"/>
    </row>
    <row r="560" spans="18:18" x14ac:dyDescent="0.3">
      <c r="R560" s="5"/>
    </row>
    <row r="561" spans="18:18" x14ac:dyDescent="0.3">
      <c r="R561" s="5"/>
    </row>
    <row r="562" spans="18:18" x14ac:dyDescent="0.3">
      <c r="R562" s="5"/>
    </row>
    <row r="563" spans="18:18" x14ac:dyDescent="0.3">
      <c r="R563" s="5"/>
    </row>
    <row r="564" spans="18:18" x14ac:dyDescent="0.3">
      <c r="R564" s="5"/>
    </row>
    <row r="565" spans="18:18" x14ac:dyDescent="0.3">
      <c r="R565" s="5"/>
    </row>
    <row r="566" spans="18:18" x14ac:dyDescent="0.3">
      <c r="R566" s="5"/>
    </row>
    <row r="567" spans="18:18" x14ac:dyDescent="0.3">
      <c r="R567" s="5"/>
    </row>
    <row r="568" spans="18:18" x14ac:dyDescent="0.3">
      <c r="R568" s="5"/>
    </row>
    <row r="569" spans="18:18" x14ac:dyDescent="0.3">
      <c r="R569" s="5"/>
    </row>
    <row r="570" spans="18:18" x14ac:dyDescent="0.3">
      <c r="R570" s="5"/>
    </row>
    <row r="571" spans="18:18" x14ac:dyDescent="0.3">
      <c r="R571" s="5"/>
    </row>
    <row r="572" spans="18:18" x14ac:dyDescent="0.3">
      <c r="R572" s="5"/>
    </row>
    <row r="573" spans="18:18" x14ac:dyDescent="0.3">
      <c r="R573" s="5"/>
    </row>
    <row r="574" spans="18:18" x14ac:dyDescent="0.3">
      <c r="R574" s="5"/>
    </row>
    <row r="575" spans="18:18" x14ac:dyDescent="0.3">
      <c r="R575" s="5"/>
    </row>
    <row r="576" spans="18:18" x14ac:dyDescent="0.3">
      <c r="R576" s="5"/>
    </row>
    <row r="577" spans="18:18" x14ac:dyDescent="0.3">
      <c r="R577" s="5"/>
    </row>
    <row r="578" spans="18:18" x14ac:dyDescent="0.3">
      <c r="R578" s="5"/>
    </row>
    <row r="579" spans="18:18" x14ac:dyDescent="0.3">
      <c r="R579" s="5"/>
    </row>
    <row r="580" spans="18:18" x14ac:dyDescent="0.3">
      <c r="R580" s="5"/>
    </row>
    <row r="581" spans="18:18" x14ac:dyDescent="0.3">
      <c r="R581" s="5"/>
    </row>
    <row r="582" spans="18:18" x14ac:dyDescent="0.3">
      <c r="R582" s="5"/>
    </row>
    <row r="583" spans="18:18" x14ac:dyDescent="0.3">
      <c r="R583" s="5"/>
    </row>
    <row r="584" spans="18:18" x14ac:dyDescent="0.3">
      <c r="R584" s="5"/>
    </row>
    <row r="585" spans="18:18" x14ac:dyDescent="0.3">
      <c r="R585" s="5"/>
    </row>
    <row r="586" spans="18:18" x14ac:dyDescent="0.3">
      <c r="R586" s="5"/>
    </row>
    <row r="587" spans="18:18" x14ac:dyDescent="0.3">
      <c r="R587" s="5"/>
    </row>
    <row r="588" spans="18:18" x14ac:dyDescent="0.3">
      <c r="R588" s="5"/>
    </row>
    <row r="589" spans="18:18" x14ac:dyDescent="0.3">
      <c r="R589" s="5"/>
    </row>
    <row r="590" spans="18:18" x14ac:dyDescent="0.3">
      <c r="R590" s="5"/>
    </row>
    <row r="591" spans="18:18" x14ac:dyDescent="0.3">
      <c r="R591" s="5"/>
    </row>
    <row r="592" spans="18:18" x14ac:dyDescent="0.3">
      <c r="R592" s="5"/>
    </row>
    <row r="593" spans="18:18" x14ac:dyDescent="0.3">
      <c r="R593" s="5"/>
    </row>
    <row r="594" spans="18:18" x14ac:dyDescent="0.3">
      <c r="R594" s="5"/>
    </row>
    <row r="595" spans="18:18" x14ac:dyDescent="0.3">
      <c r="R595" s="5"/>
    </row>
    <row r="596" spans="18:18" x14ac:dyDescent="0.3">
      <c r="R596" s="5"/>
    </row>
    <row r="597" spans="18:18" x14ac:dyDescent="0.3">
      <c r="R597" s="5"/>
    </row>
    <row r="598" spans="18:18" x14ac:dyDescent="0.3">
      <c r="R598" s="5"/>
    </row>
    <row r="599" spans="18:18" x14ac:dyDescent="0.3">
      <c r="R599" s="5"/>
    </row>
    <row r="600" spans="18:18" x14ac:dyDescent="0.3">
      <c r="R600" s="5"/>
    </row>
    <row r="601" spans="18:18" x14ac:dyDescent="0.3">
      <c r="R601" s="5"/>
    </row>
    <row r="602" spans="18:18" x14ac:dyDescent="0.3">
      <c r="R602" s="5"/>
    </row>
    <row r="603" spans="18:18" x14ac:dyDescent="0.3">
      <c r="R603" s="5"/>
    </row>
    <row r="604" spans="18:18" x14ac:dyDescent="0.3">
      <c r="R604" s="5"/>
    </row>
    <row r="605" spans="18:18" x14ac:dyDescent="0.3">
      <c r="R605" s="5"/>
    </row>
    <row r="606" spans="18:18" x14ac:dyDescent="0.3">
      <c r="R606" s="5"/>
    </row>
    <row r="607" spans="18:18" x14ac:dyDescent="0.3">
      <c r="R607" s="5"/>
    </row>
    <row r="608" spans="18:18" x14ac:dyDescent="0.3">
      <c r="R608" s="5"/>
    </row>
    <row r="609" spans="18:18" x14ac:dyDescent="0.3">
      <c r="R609" s="5"/>
    </row>
    <row r="610" spans="18:18" x14ac:dyDescent="0.3">
      <c r="R610" s="5"/>
    </row>
    <row r="611" spans="18:18" x14ac:dyDescent="0.3">
      <c r="R611" s="5"/>
    </row>
    <row r="612" spans="18:18" x14ac:dyDescent="0.3">
      <c r="R612" s="5"/>
    </row>
    <row r="613" spans="18:18" x14ac:dyDescent="0.3">
      <c r="R613" s="5"/>
    </row>
    <row r="614" spans="18:18" x14ac:dyDescent="0.3">
      <c r="R614" s="5"/>
    </row>
    <row r="615" spans="18:18" x14ac:dyDescent="0.3">
      <c r="R615" s="5"/>
    </row>
    <row r="616" spans="18:18" x14ac:dyDescent="0.3">
      <c r="R616" s="5"/>
    </row>
    <row r="617" spans="18:18" x14ac:dyDescent="0.3">
      <c r="R617" s="5"/>
    </row>
    <row r="618" spans="18:18" x14ac:dyDescent="0.3">
      <c r="R618" s="5"/>
    </row>
    <row r="619" spans="18:18" x14ac:dyDescent="0.3">
      <c r="R619" s="5"/>
    </row>
    <row r="620" spans="18:18" x14ac:dyDescent="0.3">
      <c r="R620" s="5"/>
    </row>
    <row r="621" spans="18:18" x14ac:dyDescent="0.3">
      <c r="R621" s="5"/>
    </row>
    <row r="622" spans="18:18" x14ac:dyDescent="0.3">
      <c r="R622" s="5"/>
    </row>
    <row r="623" spans="18:18" x14ac:dyDescent="0.3">
      <c r="R623" s="5"/>
    </row>
    <row r="624" spans="18:18" x14ac:dyDescent="0.3">
      <c r="R624" s="5"/>
    </row>
    <row r="625" spans="18:18" x14ac:dyDescent="0.3">
      <c r="R625" s="5"/>
    </row>
    <row r="626" spans="18:18" x14ac:dyDescent="0.3">
      <c r="R626" s="5"/>
    </row>
    <row r="627" spans="18:18" x14ac:dyDescent="0.3">
      <c r="R627" s="5"/>
    </row>
    <row r="628" spans="18:18" x14ac:dyDescent="0.3">
      <c r="R628" s="5"/>
    </row>
    <row r="629" spans="18:18" x14ac:dyDescent="0.3">
      <c r="R629" s="5"/>
    </row>
    <row r="630" spans="18:18" x14ac:dyDescent="0.3">
      <c r="R630" s="5"/>
    </row>
    <row r="631" spans="18:18" x14ac:dyDescent="0.3">
      <c r="R631" s="5"/>
    </row>
    <row r="632" spans="18:18" x14ac:dyDescent="0.3">
      <c r="R632" s="5"/>
    </row>
    <row r="633" spans="18:18" x14ac:dyDescent="0.3">
      <c r="R633" s="5"/>
    </row>
    <row r="634" spans="18:18" x14ac:dyDescent="0.3">
      <c r="R634" s="5"/>
    </row>
    <row r="635" spans="18:18" x14ac:dyDescent="0.3">
      <c r="R635" s="5"/>
    </row>
    <row r="636" spans="18:18" x14ac:dyDescent="0.3">
      <c r="R636" s="5"/>
    </row>
    <row r="637" spans="18:18" x14ac:dyDescent="0.3">
      <c r="R637" s="5"/>
    </row>
    <row r="638" spans="18:18" x14ac:dyDescent="0.3">
      <c r="R638" s="5"/>
    </row>
    <row r="639" spans="18:18" x14ac:dyDescent="0.3">
      <c r="R639" s="5"/>
    </row>
    <row r="640" spans="18:18" x14ac:dyDescent="0.3">
      <c r="R640" s="5"/>
    </row>
    <row r="641" spans="18:18" x14ac:dyDescent="0.3">
      <c r="R641" s="5"/>
    </row>
    <row r="642" spans="18:18" x14ac:dyDescent="0.3">
      <c r="R642" s="5"/>
    </row>
    <row r="643" spans="18:18" x14ac:dyDescent="0.3">
      <c r="R643" s="5"/>
    </row>
    <row r="644" spans="18:18" x14ac:dyDescent="0.3">
      <c r="R644" s="5"/>
    </row>
    <row r="645" spans="18:18" x14ac:dyDescent="0.3">
      <c r="R645" s="5"/>
    </row>
    <row r="646" spans="18:18" x14ac:dyDescent="0.3">
      <c r="R646" s="5"/>
    </row>
    <row r="647" spans="18:18" x14ac:dyDescent="0.3">
      <c r="R647" s="5"/>
    </row>
    <row r="648" spans="18:18" x14ac:dyDescent="0.3">
      <c r="R648" s="5"/>
    </row>
    <row r="649" spans="18:18" x14ac:dyDescent="0.3">
      <c r="R649" s="5"/>
    </row>
    <row r="650" spans="18:18" x14ac:dyDescent="0.3">
      <c r="R650" s="5"/>
    </row>
    <row r="651" spans="18:18" x14ac:dyDescent="0.3">
      <c r="R651" s="5"/>
    </row>
    <row r="652" spans="18:18" x14ac:dyDescent="0.3">
      <c r="R652" s="5"/>
    </row>
    <row r="653" spans="18:18" x14ac:dyDescent="0.3">
      <c r="R653" s="5"/>
    </row>
    <row r="654" spans="18:18" x14ac:dyDescent="0.3">
      <c r="R654" s="5"/>
    </row>
    <row r="655" spans="18:18" x14ac:dyDescent="0.3">
      <c r="R655" s="5"/>
    </row>
    <row r="656" spans="18:18" x14ac:dyDescent="0.3">
      <c r="R656" s="5"/>
    </row>
    <row r="657" spans="18:18" x14ac:dyDescent="0.3">
      <c r="R657" s="5"/>
    </row>
    <row r="658" spans="18:18" x14ac:dyDescent="0.3">
      <c r="R658" s="5"/>
    </row>
    <row r="659" spans="18:18" x14ac:dyDescent="0.3">
      <c r="R659" s="5"/>
    </row>
    <row r="660" spans="18:18" x14ac:dyDescent="0.3">
      <c r="R660" s="5"/>
    </row>
    <row r="661" spans="18:18" x14ac:dyDescent="0.3">
      <c r="R661" s="5"/>
    </row>
    <row r="662" spans="18:18" x14ac:dyDescent="0.3">
      <c r="R662" s="5"/>
    </row>
    <row r="663" spans="18:18" x14ac:dyDescent="0.3">
      <c r="R663" s="5"/>
    </row>
    <row r="664" spans="18:18" x14ac:dyDescent="0.3">
      <c r="R664" s="5"/>
    </row>
    <row r="665" spans="18:18" x14ac:dyDescent="0.3">
      <c r="R665" s="5"/>
    </row>
    <row r="666" spans="18:18" x14ac:dyDescent="0.3">
      <c r="R666" s="5"/>
    </row>
    <row r="667" spans="18:18" x14ac:dyDescent="0.3">
      <c r="R667" s="5"/>
    </row>
    <row r="668" spans="18:18" x14ac:dyDescent="0.3">
      <c r="R668" s="5"/>
    </row>
    <row r="669" spans="18:18" x14ac:dyDescent="0.3">
      <c r="R669" s="5"/>
    </row>
    <row r="670" spans="18:18" x14ac:dyDescent="0.3">
      <c r="R670" s="5"/>
    </row>
    <row r="671" spans="18:18" x14ac:dyDescent="0.3">
      <c r="R671" s="5"/>
    </row>
    <row r="672" spans="18:18" x14ac:dyDescent="0.3">
      <c r="R672" s="5"/>
    </row>
    <row r="673" spans="18:18" x14ac:dyDescent="0.3">
      <c r="R673" s="5"/>
    </row>
    <row r="674" spans="18:18" x14ac:dyDescent="0.3">
      <c r="R674" s="5"/>
    </row>
    <row r="675" spans="18:18" x14ac:dyDescent="0.3">
      <c r="R675" s="5"/>
    </row>
    <row r="676" spans="18:18" x14ac:dyDescent="0.3">
      <c r="R676" s="5"/>
    </row>
    <row r="677" spans="18:18" x14ac:dyDescent="0.3">
      <c r="R677" s="5"/>
    </row>
    <row r="678" spans="18:18" x14ac:dyDescent="0.3">
      <c r="R678" s="5"/>
    </row>
    <row r="679" spans="18:18" x14ac:dyDescent="0.3">
      <c r="R679" s="5"/>
    </row>
    <row r="680" spans="18:18" x14ac:dyDescent="0.3">
      <c r="R680" s="5"/>
    </row>
    <row r="681" spans="18:18" x14ac:dyDescent="0.3">
      <c r="R681" s="5"/>
    </row>
    <row r="682" spans="18:18" x14ac:dyDescent="0.3">
      <c r="R682" s="5"/>
    </row>
    <row r="683" spans="18:18" x14ac:dyDescent="0.3">
      <c r="R683" s="5"/>
    </row>
    <row r="684" spans="18:18" x14ac:dyDescent="0.3">
      <c r="R684" s="5"/>
    </row>
    <row r="685" spans="18:18" x14ac:dyDescent="0.3">
      <c r="R685" s="5"/>
    </row>
    <row r="686" spans="18:18" x14ac:dyDescent="0.3">
      <c r="R686" s="5"/>
    </row>
    <row r="687" spans="18:18" x14ac:dyDescent="0.3">
      <c r="R687" s="5"/>
    </row>
    <row r="688" spans="18:18" x14ac:dyDescent="0.3">
      <c r="R688" s="5"/>
    </row>
    <row r="689" spans="18:18" x14ac:dyDescent="0.3">
      <c r="R689" s="5"/>
    </row>
    <row r="690" spans="18:18" x14ac:dyDescent="0.3">
      <c r="R690" s="5"/>
    </row>
    <row r="691" spans="18:18" x14ac:dyDescent="0.3">
      <c r="R691" s="5"/>
    </row>
    <row r="692" spans="18:18" x14ac:dyDescent="0.3">
      <c r="R692" s="5"/>
    </row>
    <row r="693" spans="18:18" x14ac:dyDescent="0.3">
      <c r="R693" s="5"/>
    </row>
    <row r="694" spans="18:18" x14ac:dyDescent="0.3">
      <c r="R694" s="5"/>
    </row>
    <row r="695" spans="18:18" x14ac:dyDescent="0.3">
      <c r="R695" s="5"/>
    </row>
    <row r="696" spans="18:18" x14ac:dyDescent="0.3">
      <c r="R696" s="5"/>
    </row>
    <row r="697" spans="18:18" x14ac:dyDescent="0.3">
      <c r="R697" s="5"/>
    </row>
    <row r="698" spans="18:18" x14ac:dyDescent="0.3">
      <c r="R698" s="5"/>
    </row>
    <row r="699" spans="18:18" x14ac:dyDescent="0.3">
      <c r="R699" s="5"/>
    </row>
    <row r="700" spans="18:18" x14ac:dyDescent="0.3">
      <c r="R700" s="5"/>
    </row>
    <row r="701" spans="18:18" x14ac:dyDescent="0.3">
      <c r="R701" s="5"/>
    </row>
    <row r="702" spans="18:18" x14ac:dyDescent="0.3">
      <c r="R702" s="5"/>
    </row>
    <row r="703" spans="18:18" x14ac:dyDescent="0.3">
      <c r="R703" s="5"/>
    </row>
    <row r="704" spans="18:18" x14ac:dyDescent="0.3">
      <c r="R704" s="5"/>
    </row>
    <row r="705" spans="18:18" x14ac:dyDescent="0.3">
      <c r="R705" s="5"/>
    </row>
    <row r="706" spans="18:18" x14ac:dyDescent="0.3">
      <c r="R706" s="5"/>
    </row>
    <row r="707" spans="18:18" x14ac:dyDescent="0.3">
      <c r="R707" s="5"/>
    </row>
    <row r="708" spans="18:18" x14ac:dyDescent="0.3">
      <c r="R708" s="5"/>
    </row>
    <row r="709" spans="18:18" x14ac:dyDescent="0.3">
      <c r="R709" s="5"/>
    </row>
    <row r="710" spans="18:18" x14ac:dyDescent="0.3">
      <c r="R710" s="5"/>
    </row>
    <row r="711" spans="18:18" x14ac:dyDescent="0.3">
      <c r="R711" s="5"/>
    </row>
    <row r="712" spans="18:18" x14ac:dyDescent="0.3">
      <c r="R712" s="5"/>
    </row>
    <row r="713" spans="18:18" x14ac:dyDescent="0.3">
      <c r="R713" s="5"/>
    </row>
    <row r="714" spans="18:18" x14ac:dyDescent="0.3">
      <c r="R714" s="5"/>
    </row>
    <row r="715" spans="18:18" x14ac:dyDescent="0.3">
      <c r="R715" s="5"/>
    </row>
    <row r="716" spans="18:18" x14ac:dyDescent="0.3">
      <c r="R716" s="5"/>
    </row>
    <row r="717" spans="18:18" x14ac:dyDescent="0.3">
      <c r="R717" s="5"/>
    </row>
    <row r="718" spans="18:18" x14ac:dyDescent="0.3">
      <c r="R718" s="5"/>
    </row>
    <row r="719" spans="18:18" x14ac:dyDescent="0.3">
      <c r="R719" s="5"/>
    </row>
    <row r="720" spans="18:18" x14ac:dyDescent="0.3">
      <c r="R720" s="5"/>
    </row>
    <row r="721" spans="18:18" x14ac:dyDescent="0.3">
      <c r="R721" s="5"/>
    </row>
    <row r="722" spans="18:18" x14ac:dyDescent="0.3">
      <c r="R722" s="5"/>
    </row>
    <row r="723" spans="18:18" x14ac:dyDescent="0.3">
      <c r="R723" s="5"/>
    </row>
    <row r="724" spans="18:18" x14ac:dyDescent="0.3">
      <c r="R724" s="5"/>
    </row>
    <row r="725" spans="18:18" x14ac:dyDescent="0.3">
      <c r="R725" s="5"/>
    </row>
    <row r="726" spans="18:18" x14ac:dyDescent="0.3">
      <c r="R726" s="5"/>
    </row>
    <row r="727" spans="18:18" x14ac:dyDescent="0.3">
      <c r="R727" s="5"/>
    </row>
    <row r="728" spans="18:18" x14ac:dyDescent="0.3">
      <c r="R728" s="5"/>
    </row>
    <row r="729" spans="18:18" x14ac:dyDescent="0.3">
      <c r="R729" s="5"/>
    </row>
    <row r="730" spans="18:18" x14ac:dyDescent="0.3">
      <c r="R730" s="5"/>
    </row>
    <row r="731" spans="18:18" x14ac:dyDescent="0.3">
      <c r="R731" s="5"/>
    </row>
    <row r="732" spans="18:18" x14ac:dyDescent="0.3">
      <c r="R732" s="5"/>
    </row>
    <row r="733" spans="18:18" x14ac:dyDescent="0.3">
      <c r="R733" s="5"/>
    </row>
    <row r="734" spans="18:18" x14ac:dyDescent="0.3">
      <c r="R734" s="5"/>
    </row>
    <row r="735" spans="18:18" x14ac:dyDescent="0.3">
      <c r="R735" s="5"/>
    </row>
    <row r="736" spans="18:18" x14ac:dyDescent="0.3">
      <c r="R736" s="5"/>
    </row>
    <row r="737" spans="18:18" x14ac:dyDescent="0.3">
      <c r="R737" s="5"/>
    </row>
    <row r="738" spans="18:18" x14ac:dyDescent="0.3">
      <c r="R738" s="5"/>
    </row>
    <row r="739" spans="18:18" x14ac:dyDescent="0.3">
      <c r="R739" s="5"/>
    </row>
    <row r="740" spans="18:18" x14ac:dyDescent="0.3">
      <c r="R740" s="5"/>
    </row>
    <row r="741" spans="18:18" x14ac:dyDescent="0.3">
      <c r="R741" s="5"/>
    </row>
    <row r="742" spans="18:18" x14ac:dyDescent="0.3">
      <c r="R742" s="5"/>
    </row>
    <row r="743" spans="18:18" x14ac:dyDescent="0.3">
      <c r="R743" s="5"/>
    </row>
    <row r="744" spans="18:18" x14ac:dyDescent="0.3">
      <c r="R744" s="5"/>
    </row>
    <row r="745" spans="18:18" x14ac:dyDescent="0.3">
      <c r="R745" s="5"/>
    </row>
    <row r="746" spans="18:18" x14ac:dyDescent="0.3">
      <c r="R746" s="5"/>
    </row>
    <row r="747" spans="18:18" x14ac:dyDescent="0.3">
      <c r="R747" s="5"/>
    </row>
    <row r="748" spans="18:18" x14ac:dyDescent="0.3">
      <c r="R748" s="5"/>
    </row>
    <row r="749" spans="18:18" x14ac:dyDescent="0.3">
      <c r="R749" s="5"/>
    </row>
    <row r="750" spans="18:18" x14ac:dyDescent="0.3">
      <c r="R750" s="5"/>
    </row>
    <row r="751" spans="18:18" x14ac:dyDescent="0.3">
      <c r="R751" s="5"/>
    </row>
    <row r="752" spans="18:18" x14ac:dyDescent="0.3">
      <c r="R752" s="5"/>
    </row>
    <row r="753" spans="18:18" x14ac:dyDescent="0.3">
      <c r="R753" s="5"/>
    </row>
    <row r="754" spans="18:18" x14ac:dyDescent="0.3">
      <c r="R754" s="5"/>
    </row>
    <row r="755" spans="18:18" x14ac:dyDescent="0.3">
      <c r="R755" s="5"/>
    </row>
    <row r="756" spans="18:18" x14ac:dyDescent="0.3">
      <c r="R756" s="5"/>
    </row>
    <row r="757" spans="18:18" x14ac:dyDescent="0.3">
      <c r="R757" s="5"/>
    </row>
    <row r="758" spans="18:18" x14ac:dyDescent="0.3">
      <c r="R758" s="5"/>
    </row>
    <row r="759" spans="18:18" x14ac:dyDescent="0.3">
      <c r="R759" s="5"/>
    </row>
    <row r="760" spans="18:18" x14ac:dyDescent="0.3">
      <c r="R760" s="5"/>
    </row>
    <row r="761" spans="18:18" x14ac:dyDescent="0.3">
      <c r="R761" s="5"/>
    </row>
    <row r="762" spans="18:18" x14ac:dyDescent="0.3">
      <c r="R762" s="5"/>
    </row>
    <row r="763" spans="18:18" x14ac:dyDescent="0.3">
      <c r="R763" s="5"/>
    </row>
    <row r="764" spans="18:18" x14ac:dyDescent="0.3">
      <c r="R764" s="5"/>
    </row>
    <row r="765" spans="18:18" x14ac:dyDescent="0.3">
      <c r="R765" s="5"/>
    </row>
    <row r="766" spans="18:18" x14ac:dyDescent="0.3">
      <c r="R766" s="5"/>
    </row>
    <row r="767" spans="18:18" x14ac:dyDescent="0.3">
      <c r="R767" s="5"/>
    </row>
    <row r="768" spans="18:18" x14ac:dyDescent="0.3">
      <c r="R768" s="5"/>
    </row>
    <row r="769" spans="18:18" x14ac:dyDescent="0.3">
      <c r="R769" s="5"/>
    </row>
    <row r="770" spans="18:18" x14ac:dyDescent="0.3">
      <c r="R770" s="5"/>
    </row>
    <row r="771" spans="18:18" x14ac:dyDescent="0.3">
      <c r="R771" s="5"/>
    </row>
    <row r="772" spans="18:18" x14ac:dyDescent="0.3">
      <c r="R772" s="5"/>
    </row>
    <row r="773" spans="18:18" x14ac:dyDescent="0.3">
      <c r="R773" s="5"/>
    </row>
    <row r="774" spans="18:18" x14ac:dyDescent="0.3">
      <c r="R774" s="5"/>
    </row>
    <row r="775" spans="18:18" x14ac:dyDescent="0.3">
      <c r="R775" s="5"/>
    </row>
    <row r="776" spans="18:18" x14ac:dyDescent="0.3">
      <c r="R776" s="5"/>
    </row>
    <row r="777" spans="18:18" x14ac:dyDescent="0.3">
      <c r="R777" s="5"/>
    </row>
    <row r="778" spans="18:18" x14ac:dyDescent="0.3">
      <c r="R778" s="5"/>
    </row>
    <row r="779" spans="18:18" x14ac:dyDescent="0.3">
      <c r="R779" s="5"/>
    </row>
    <row r="780" spans="18:18" x14ac:dyDescent="0.3">
      <c r="R780" s="5"/>
    </row>
    <row r="781" spans="18:18" x14ac:dyDescent="0.3">
      <c r="R781" s="5"/>
    </row>
    <row r="782" spans="18:18" x14ac:dyDescent="0.3">
      <c r="R782" s="5"/>
    </row>
    <row r="783" spans="18:18" x14ac:dyDescent="0.3">
      <c r="R783" s="5"/>
    </row>
    <row r="784" spans="18:18" x14ac:dyDescent="0.3">
      <c r="R784" s="5"/>
    </row>
    <row r="785" spans="18:18" x14ac:dyDescent="0.3">
      <c r="R785" s="5"/>
    </row>
    <row r="786" spans="18:18" x14ac:dyDescent="0.3">
      <c r="R786" s="5"/>
    </row>
    <row r="787" spans="18:18" x14ac:dyDescent="0.3">
      <c r="R787" s="5"/>
    </row>
    <row r="788" spans="18:18" x14ac:dyDescent="0.3">
      <c r="R788" s="5"/>
    </row>
    <row r="789" spans="18:18" x14ac:dyDescent="0.3">
      <c r="R789" s="5"/>
    </row>
    <row r="790" spans="18:18" x14ac:dyDescent="0.3">
      <c r="R790" s="5"/>
    </row>
    <row r="791" spans="18:18" x14ac:dyDescent="0.3">
      <c r="R791" s="5"/>
    </row>
    <row r="792" spans="18:18" x14ac:dyDescent="0.3">
      <c r="R792" s="5"/>
    </row>
    <row r="793" spans="18:18" x14ac:dyDescent="0.3">
      <c r="R793" s="5"/>
    </row>
    <row r="794" spans="18:18" x14ac:dyDescent="0.3">
      <c r="R794" s="5"/>
    </row>
    <row r="795" spans="18:18" x14ac:dyDescent="0.3">
      <c r="R795" s="5"/>
    </row>
    <row r="796" spans="18:18" x14ac:dyDescent="0.3">
      <c r="R796" s="5"/>
    </row>
    <row r="797" spans="18:18" x14ac:dyDescent="0.3">
      <c r="R797" s="5"/>
    </row>
    <row r="798" spans="18:18" x14ac:dyDescent="0.3">
      <c r="R798" s="5"/>
    </row>
    <row r="799" spans="18:18" x14ac:dyDescent="0.3">
      <c r="R799" s="5"/>
    </row>
    <row r="800" spans="18:18" x14ac:dyDescent="0.3">
      <c r="R800" s="5"/>
    </row>
    <row r="801" spans="18:18" x14ac:dyDescent="0.3">
      <c r="R801" s="5"/>
    </row>
    <row r="802" spans="18:18" x14ac:dyDescent="0.3">
      <c r="R802" s="5"/>
    </row>
    <row r="803" spans="18:18" x14ac:dyDescent="0.3">
      <c r="R803" s="5"/>
    </row>
    <row r="804" spans="18:18" x14ac:dyDescent="0.3">
      <c r="R804" s="5"/>
    </row>
    <row r="805" spans="18:18" x14ac:dyDescent="0.3">
      <c r="R805" s="5"/>
    </row>
    <row r="806" spans="18:18" x14ac:dyDescent="0.3">
      <c r="R806" s="5"/>
    </row>
    <row r="807" spans="18:18" x14ac:dyDescent="0.3">
      <c r="R807" s="5"/>
    </row>
    <row r="808" spans="18:18" x14ac:dyDescent="0.3">
      <c r="R808" s="5"/>
    </row>
    <row r="809" spans="18:18" x14ac:dyDescent="0.3">
      <c r="R809" s="5"/>
    </row>
    <row r="810" spans="18:18" x14ac:dyDescent="0.3">
      <c r="R810" s="5"/>
    </row>
    <row r="811" spans="18:18" x14ac:dyDescent="0.3">
      <c r="R811" s="5"/>
    </row>
    <row r="812" spans="18:18" x14ac:dyDescent="0.3">
      <c r="R812" s="5"/>
    </row>
    <row r="813" spans="18:18" x14ac:dyDescent="0.3">
      <c r="R813" s="5"/>
    </row>
    <row r="814" spans="18:18" x14ac:dyDescent="0.3">
      <c r="R814" s="5"/>
    </row>
    <row r="815" spans="18:18" x14ac:dyDescent="0.3">
      <c r="R815" s="5"/>
    </row>
    <row r="816" spans="18:18" x14ac:dyDescent="0.3">
      <c r="R816" s="5"/>
    </row>
    <row r="817" spans="18:18" x14ac:dyDescent="0.3">
      <c r="R817" s="5"/>
    </row>
    <row r="818" spans="18:18" x14ac:dyDescent="0.3">
      <c r="R818" s="5"/>
    </row>
    <row r="819" spans="18:18" x14ac:dyDescent="0.3">
      <c r="R819" s="5"/>
    </row>
    <row r="820" spans="18:18" x14ac:dyDescent="0.3">
      <c r="R820" s="5"/>
    </row>
    <row r="821" spans="18:18" x14ac:dyDescent="0.3">
      <c r="R821" s="5"/>
    </row>
    <row r="822" spans="18:18" x14ac:dyDescent="0.3">
      <c r="R822" s="5"/>
    </row>
    <row r="823" spans="18:18" x14ac:dyDescent="0.3">
      <c r="R823" s="5"/>
    </row>
    <row r="824" spans="18:18" x14ac:dyDescent="0.3">
      <c r="R824" s="5"/>
    </row>
    <row r="825" spans="18:18" x14ac:dyDescent="0.3">
      <c r="R825" s="5"/>
    </row>
    <row r="826" spans="18:18" x14ac:dyDescent="0.3">
      <c r="R826" s="5"/>
    </row>
    <row r="827" spans="18:18" x14ac:dyDescent="0.3">
      <c r="R827" s="5"/>
    </row>
    <row r="828" spans="18:18" x14ac:dyDescent="0.3">
      <c r="R828" s="5"/>
    </row>
    <row r="829" spans="18:18" x14ac:dyDescent="0.3">
      <c r="R829" s="5"/>
    </row>
    <row r="830" spans="18:18" x14ac:dyDescent="0.3">
      <c r="R830" s="5"/>
    </row>
    <row r="831" spans="18:18" x14ac:dyDescent="0.3">
      <c r="R831" s="5"/>
    </row>
    <row r="832" spans="18:18" x14ac:dyDescent="0.3">
      <c r="R832" s="5"/>
    </row>
    <row r="833" spans="18:18" x14ac:dyDescent="0.3">
      <c r="R833" s="5"/>
    </row>
    <row r="834" spans="18:18" x14ac:dyDescent="0.3">
      <c r="R834" s="5"/>
    </row>
    <row r="835" spans="18:18" x14ac:dyDescent="0.3">
      <c r="R835" s="5"/>
    </row>
    <row r="836" spans="18:18" x14ac:dyDescent="0.3">
      <c r="R836" s="5"/>
    </row>
    <row r="837" spans="18:18" x14ac:dyDescent="0.3">
      <c r="R837" s="5"/>
    </row>
    <row r="838" spans="18:18" x14ac:dyDescent="0.3">
      <c r="R838" s="5"/>
    </row>
    <row r="839" spans="18:18" x14ac:dyDescent="0.3">
      <c r="R839" s="5"/>
    </row>
    <row r="840" spans="18:18" x14ac:dyDescent="0.3">
      <c r="R840" s="5"/>
    </row>
    <row r="841" spans="18:18" x14ac:dyDescent="0.3">
      <c r="R841" s="5"/>
    </row>
    <row r="842" spans="18:18" x14ac:dyDescent="0.3">
      <c r="R842" s="5"/>
    </row>
    <row r="843" spans="18:18" x14ac:dyDescent="0.3">
      <c r="R843" s="5"/>
    </row>
    <row r="844" spans="18:18" x14ac:dyDescent="0.3">
      <c r="R844" s="5"/>
    </row>
    <row r="845" spans="18:18" x14ac:dyDescent="0.3">
      <c r="R845" s="5"/>
    </row>
    <row r="846" spans="18:18" x14ac:dyDescent="0.3">
      <c r="R846" s="5"/>
    </row>
    <row r="847" spans="18:18" x14ac:dyDescent="0.3">
      <c r="R847" s="5"/>
    </row>
    <row r="848" spans="18:18" x14ac:dyDescent="0.3">
      <c r="R848" s="5"/>
    </row>
    <row r="849" spans="18:18" x14ac:dyDescent="0.3">
      <c r="R849" s="5"/>
    </row>
    <row r="850" spans="18:18" x14ac:dyDescent="0.3">
      <c r="R850" s="5"/>
    </row>
    <row r="851" spans="18:18" x14ac:dyDescent="0.3">
      <c r="R851" s="5"/>
    </row>
    <row r="852" spans="18:18" x14ac:dyDescent="0.3">
      <c r="R852" s="5"/>
    </row>
    <row r="853" spans="18:18" x14ac:dyDescent="0.3">
      <c r="R853" s="5"/>
    </row>
    <row r="854" spans="18:18" x14ac:dyDescent="0.3">
      <c r="R854" s="5"/>
    </row>
    <row r="855" spans="18:18" x14ac:dyDescent="0.3">
      <c r="R855" s="5"/>
    </row>
    <row r="856" spans="18:18" x14ac:dyDescent="0.3">
      <c r="R856" s="5"/>
    </row>
    <row r="857" spans="18:18" x14ac:dyDescent="0.3">
      <c r="R857" s="5"/>
    </row>
    <row r="858" spans="18:18" x14ac:dyDescent="0.3">
      <c r="R858" s="5"/>
    </row>
    <row r="859" spans="18:18" x14ac:dyDescent="0.3">
      <c r="R859" s="5"/>
    </row>
    <row r="860" spans="18:18" x14ac:dyDescent="0.3">
      <c r="R860" s="5"/>
    </row>
    <row r="861" spans="18:18" x14ac:dyDescent="0.3">
      <c r="R861" s="5"/>
    </row>
    <row r="862" spans="18:18" x14ac:dyDescent="0.3">
      <c r="R862" s="5"/>
    </row>
    <row r="863" spans="18:18" x14ac:dyDescent="0.3">
      <c r="R863" s="5"/>
    </row>
    <row r="864" spans="18:18" x14ac:dyDescent="0.3">
      <c r="R864" s="5"/>
    </row>
    <row r="865" spans="18:18" x14ac:dyDescent="0.3">
      <c r="R865" s="5"/>
    </row>
    <row r="866" spans="18:18" x14ac:dyDescent="0.3">
      <c r="R866" s="5"/>
    </row>
    <row r="867" spans="18:18" x14ac:dyDescent="0.3">
      <c r="R867" s="5"/>
    </row>
    <row r="868" spans="18:18" x14ac:dyDescent="0.3">
      <c r="R868" s="5"/>
    </row>
    <row r="869" spans="18:18" x14ac:dyDescent="0.3">
      <c r="R869" s="5"/>
    </row>
    <row r="870" spans="18:18" x14ac:dyDescent="0.3">
      <c r="R870" s="5"/>
    </row>
    <row r="871" spans="18:18" x14ac:dyDescent="0.3">
      <c r="R871" s="5"/>
    </row>
    <row r="872" spans="18:18" x14ac:dyDescent="0.3">
      <c r="R872" s="5"/>
    </row>
    <row r="873" spans="18:18" x14ac:dyDescent="0.3">
      <c r="R873" s="5"/>
    </row>
    <row r="874" spans="18:18" x14ac:dyDescent="0.3">
      <c r="R874" s="5"/>
    </row>
    <row r="875" spans="18:18" x14ac:dyDescent="0.3">
      <c r="R875" s="5"/>
    </row>
    <row r="876" spans="18:18" x14ac:dyDescent="0.3">
      <c r="R876" s="5"/>
    </row>
    <row r="877" spans="18:18" x14ac:dyDescent="0.3">
      <c r="R877" s="5"/>
    </row>
    <row r="878" spans="18:18" x14ac:dyDescent="0.3">
      <c r="R878" s="5"/>
    </row>
    <row r="879" spans="18:18" x14ac:dyDescent="0.3">
      <c r="R879" s="5"/>
    </row>
    <row r="880" spans="18:18" x14ac:dyDescent="0.3">
      <c r="R880" s="5"/>
    </row>
    <row r="881" spans="18:18" x14ac:dyDescent="0.3">
      <c r="R881" s="5"/>
    </row>
    <row r="882" spans="18:18" x14ac:dyDescent="0.3">
      <c r="R882" s="5"/>
    </row>
    <row r="883" spans="18:18" x14ac:dyDescent="0.3">
      <c r="R883" s="5"/>
    </row>
    <row r="884" spans="18:18" x14ac:dyDescent="0.3">
      <c r="R884" s="5"/>
    </row>
    <row r="885" spans="18:18" x14ac:dyDescent="0.3">
      <c r="R885" s="5"/>
    </row>
    <row r="886" spans="18:18" x14ac:dyDescent="0.3">
      <c r="R886" s="5"/>
    </row>
    <row r="887" spans="18:18" x14ac:dyDescent="0.3">
      <c r="R887" s="5"/>
    </row>
    <row r="888" spans="18:18" x14ac:dyDescent="0.3">
      <c r="R888" s="5"/>
    </row>
    <row r="889" spans="18:18" x14ac:dyDescent="0.3">
      <c r="R889" s="5"/>
    </row>
    <row r="890" spans="18:18" x14ac:dyDescent="0.3">
      <c r="R890" s="5"/>
    </row>
    <row r="891" spans="18:18" x14ac:dyDescent="0.3">
      <c r="R891" s="5"/>
    </row>
    <row r="892" spans="18:18" x14ac:dyDescent="0.3">
      <c r="R892" s="5"/>
    </row>
    <row r="893" spans="18:18" x14ac:dyDescent="0.3">
      <c r="R893" s="5"/>
    </row>
    <row r="894" spans="18:18" x14ac:dyDescent="0.3">
      <c r="R894" s="5"/>
    </row>
    <row r="895" spans="18:18" x14ac:dyDescent="0.3">
      <c r="R895" s="5"/>
    </row>
    <row r="896" spans="18:18" x14ac:dyDescent="0.3">
      <c r="R896" s="5"/>
    </row>
    <row r="897" spans="18:18" x14ac:dyDescent="0.3">
      <c r="R897" s="5"/>
    </row>
    <row r="898" spans="18:18" x14ac:dyDescent="0.3">
      <c r="R898" s="5"/>
    </row>
    <row r="899" spans="18:18" x14ac:dyDescent="0.3">
      <c r="R899" s="5"/>
    </row>
    <row r="900" spans="18:18" x14ac:dyDescent="0.3">
      <c r="R900" s="5"/>
    </row>
    <row r="901" spans="18:18" x14ac:dyDescent="0.3">
      <c r="R901" s="5"/>
    </row>
    <row r="902" spans="18:18" x14ac:dyDescent="0.3">
      <c r="R902" s="5"/>
    </row>
    <row r="903" spans="18:18" x14ac:dyDescent="0.3">
      <c r="R903" s="5"/>
    </row>
    <row r="904" spans="18:18" x14ac:dyDescent="0.3">
      <c r="R904" s="5"/>
    </row>
    <row r="905" spans="18:18" x14ac:dyDescent="0.3">
      <c r="R905" s="5"/>
    </row>
    <row r="906" spans="18:18" x14ac:dyDescent="0.3">
      <c r="R906" s="5"/>
    </row>
    <row r="907" spans="18:18" x14ac:dyDescent="0.3">
      <c r="R907" s="5"/>
    </row>
    <row r="908" spans="18:18" x14ac:dyDescent="0.3">
      <c r="R908" s="5"/>
    </row>
    <row r="909" spans="18:18" x14ac:dyDescent="0.3">
      <c r="R909" s="5"/>
    </row>
    <row r="910" spans="18:18" x14ac:dyDescent="0.3">
      <c r="R910" s="5"/>
    </row>
    <row r="911" spans="18:18" x14ac:dyDescent="0.3">
      <c r="R911" s="5"/>
    </row>
    <row r="912" spans="18:18" x14ac:dyDescent="0.3">
      <c r="R912" s="5"/>
    </row>
    <row r="913" spans="18:18" x14ac:dyDescent="0.3">
      <c r="R913" s="5"/>
    </row>
    <row r="914" spans="18:18" x14ac:dyDescent="0.3">
      <c r="R914" s="5"/>
    </row>
    <row r="915" spans="18:18" x14ac:dyDescent="0.3">
      <c r="R915" s="5"/>
    </row>
    <row r="916" spans="18:18" x14ac:dyDescent="0.3">
      <c r="R916" s="5"/>
    </row>
    <row r="917" spans="18:18" x14ac:dyDescent="0.3">
      <c r="R917" s="5"/>
    </row>
    <row r="918" spans="18:18" x14ac:dyDescent="0.3">
      <c r="R918" s="5"/>
    </row>
    <row r="919" spans="18:18" x14ac:dyDescent="0.3">
      <c r="R919" s="5"/>
    </row>
    <row r="920" spans="18:18" x14ac:dyDescent="0.3">
      <c r="R920" s="5"/>
    </row>
    <row r="921" spans="18:18" x14ac:dyDescent="0.3">
      <c r="R921" s="5"/>
    </row>
    <row r="922" spans="18:18" x14ac:dyDescent="0.3">
      <c r="R922" s="5"/>
    </row>
    <row r="923" spans="18:18" x14ac:dyDescent="0.3">
      <c r="R923" s="5"/>
    </row>
    <row r="924" spans="18:18" x14ac:dyDescent="0.3">
      <c r="R924" s="5"/>
    </row>
    <row r="925" spans="18:18" x14ac:dyDescent="0.3">
      <c r="R925" s="5"/>
    </row>
    <row r="926" spans="18:18" x14ac:dyDescent="0.3">
      <c r="R926" s="5"/>
    </row>
    <row r="927" spans="18:18" x14ac:dyDescent="0.3">
      <c r="R927" s="5"/>
    </row>
    <row r="928" spans="18:18" x14ac:dyDescent="0.3">
      <c r="R928" s="5"/>
    </row>
    <row r="929" spans="18:18" x14ac:dyDescent="0.3">
      <c r="R929" s="5"/>
    </row>
    <row r="930" spans="18:18" x14ac:dyDescent="0.3">
      <c r="R930" s="5"/>
    </row>
    <row r="931" spans="18:18" x14ac:dyDescent="0.3">
      <c r="R931" s="5"/>
    </row>
    <row r="932" spans="18:18" x14ac:dyDescent="0.3">
      <c r="R932" s="5"/>
    </row>
    <row r="933" spans="18:18" x14ac:dyDescent="0.3">
      <c r="R933" s="5"/>
    </row>
    <row r="934" spans="18:18" x14ac:dyDescent="0.3">
      <c r="R934" s="5"/>
    </row>
    <row r="935" spans="18:18" x14ac:dyDescent="0.3">
      <c r="R935" s="5"/>
    </row>
    <row r="936" spans="18:18" x14ac:dyDescent="0.3">
      <c r="R936" s="5"/>
    </row>
    <row r="937" spans="18:18" x14ac:dyDescent="0.3">
      <c r="R937" s="5"/>
    </row>
    <row r="938" spans="18:18" x14ac:dyDescent="0.3">
      <c r="R938" s="5"/>
    </row>
    <row r="939" spans="18:18" x14ac:dyDescent="0.3">
      <c r="R939" s="5"/>
    </row>
    <row r="940" spans="18:18" x14ac:dyDescent="0.3">
      <c r="R940" s="5"/>
    </row>
    <row r="941" spans="18:18" x14ac:dyDescent="0.3">
      <c r="R941" s="5"/>
    </row>
    <row r="942" spans="18:18" x14ac:dyDescent="0.3">
      <c r="R942" s="5"/>
    </row>
    <row r="943" spans="18:18" x14ac:dyDescent="0.3">
      <c r="R943" s="5"/>
    </row>
    <row r="944" spans="18:18" x14ac:dyDescent="0.3">
      <c r="R944" s="5"/>
    </row>
    <row r="945" spans="18:18" x14ac:dyDescent="0.3">
      <c r="R945" s="5"/>
    </row>
    <row r="946" spans="18:18" x14ac:dyDescent="0.3">
      <c r="R946" s="5"/>
    </row>
    <row r="947" spans="18:18" x14ac:dyDescent="0.3">
      <c r="R947" s="5"/>
    </row>
    <row r="948" spans="18:18" x14ac:dyDescent="0.3">
      <c r="R948" s="5"/>
    </row>
    <row r="949" spans="18:18" x14ac:dyDescent="0.3">
      <c r="R949" s="5"/>
    </row>
    <row r="950" spans="18:18" x14ac:dyDescent="0.3">
      <c r="R950" s="5"/>
    </row>
    <row r="951" spans="18:18" x14ac:dyDescent="0.3">
      <c r="R951" s="5"/>
    </row>
    <row r="952" spans="18:18" x14ac:dyDescent="0.3">
      <c r="R952" s="5"/>
    </row>
    <row r="953" spans="18:18" x14ac:dyDescent="0.3">
      <c r="R953" s="5"/>
    </row>
    <row r="954" spans="18:18" x14ac:dyDescent="0.3">
      <c r="R954" s="5"/>
    </row>
    <row r="955" spans="18:18" x14ac:dyDescent="0.3">
      <c r="R955" s="5"/>
    </row>
    <row r="956" spans="18:18" x14ac:dyDescent="0.3">
      <c r="R956" s="5"/>
    </row>
    <row r="957" spans="18:18" x14ac:dyDescent="0.3">
      <c r="R957" s="5"/>
    </row>
    <row r="958" spans="18:18" x14ac:dyDescent="0.3">
      <c r="R958" s="5"/>
    </row>
    <row r="959" spans="18:18" x14ac:dyDescent="0.3">
      <c r="R959" s="5"/>
    </row>
    <row r="960" spans="18:18" x14ac:dyDescent="0.3">
      <c r="R960" s="5"/>
    </row>
    <row r="961" spans="18:18" x14ac:dyDescent="0.3">
      <c r="R961" s="5"/>
    </row>
    <row r="962" spans="18:18" x14ac:dyDescent="0.3">
      <c r="R962" s="5"/>
    </row>
    <row r="963" spans="18:18" x14ac:dyDescent="0.3">
      <c r="R963" s="5"/>
    </row>
    <row r="964" spans="18:18" x14ac:dyDescent="0.3">
      <c r="R964" s="5"/>
    </row>
    <row r="965" spans="18:18" x14ac:dyDescent="0.3">
      <c r="R965" s="5"/>
    </row>
    <row r="966" spans="18:18" x14ac:dyDescent="0.3">
      <c r="R966" s="5"/>
    </row>
    <row r="967" spans="18:18" x14ac:dyDescent="0.3">
      <c r="R967" s="5"/>
    </row>
    <row r="968" spans="18:18" x14ac:dyDescent="0.3">
      <c r="R968" s="5"/>
    </row>
    <row r="969" spans="18:18" x14ac:dyDescent="0.3">
      <c r="R969" s="5"/>
    </row>
    <row r="970" spans="18:18" x14ac:dyDescent="0.3">
      <c r="R970" s="5"/>
    </row>
    <row r="971" spans="18:18" x14ac:dyDescent="0.3">
      <c r="R971" s="5"/>
    </row>
    <row r="972" spans="18:18" x14ac:dyDescent="0.3">
      <c r="R972" s="5"/>
    </row>
    <row r="973" spans="18:18" x14ac:dyDescent="0.3">
      <c r="R973" s="5"/>
    </row>
    <row r="974" spans="18:18" x14ac:dyDescent="0.3">
      <c r="R974" s="5"/>
    </row>
    <row r="975" spans="18:18" x14ac:dyDescent="0.3">
      <c r="R975" s="5"/>
    </row>
    <row r="976" spans="18:18" x14ac:dyDescent="0.3">
      <c r="R976" s="5"/>
    </row>
    <row r="977" spans="18:18" x14ac:dyDescent="0.3">
      <c r="R977" s="5"/>
    </row>
    <row r="978" spans="18:18" x14ac:dyDescent="0.3">
      <c r="R978" s="5"/>
    </row>
    <row r="979" spans="18:18" x14ac:dyDescent="0.3">
      <c r="R979" s="5"/>
    </row>
    <row r="980" spans="18:18" x14ac:dyDescent="0.3">
      <c r="R980" s="5"/>
    </row>
    <row r="981" spans="18:18" x14ac:dyDescent="0.3">
      <c r="R981" s="5"/>
    </row>
    <row r="982" spans="18:18" x14ac:dyDescent="0.3">
      <c r="R982" s="5"/>
    </row>
    <row r="983" spans="18:18" x14ac:dyDescent="0.3">
      <c r="R983" s="5"/>
    </row>
    <row r="984" spans="18:18" x14ac:dyDescent="0.3">
      <c r="R984" s="5"/>
    </row>
    <row r="985" spans="18:18" x14ac:dyDescent="0.3">
      <c r="R985" s="5"/>
    </row>
    <row r="986" spans="18:18" x14ac:dyDescent="0.3">
      <c r="R986" s="5"/>
    </row>
    <row r="987" spans="18:18" x14ac:dyDescent="0.3">
      <c r="R987" s="5"/>
    </row>
    <row r="988" spans="18:18" x14ac:dyDescent="0.3">
      <c r="R988" s="5"/>
    </row>
    <row r="989" spans="18:18" x14ac:dyDescent="0.3">
      <c r="R989" s="5"/>
    </row>
    <row r="990" spans="18:18" x14ac:dyDescent="0.3">
      <c r="R990" s="5"/>
    </row>
    <row r="991" spans="18:18" x14ac:dyDescent="0.3">
      <c r="R991" s="5"/>
    </row>
    <row r="992" spans="18:18" x14ac:dyDescent="0.3">
      <c r="R992" s="5"/>
    </row>
    <row r="993" spans="18:18" x14ac:dyDescent="0.3">
      <c r="R993" s="5"/>
    </row>
    <row r="994" spans="18:18" x14ac:dyDescent="0.3">
      <c r="R994" s="5"/>
    </row>
    <row r="995" spans="18:18" x14ac:dyDescent="0.3">
      <c r="R995" s="5"/>
    </row>
    <row r="996" spans="18:18" x14ac:dyDescent="0.3">
      <c r="R996" s="5"/>
    </row>
    <row r="997" spans="18:18" x14ac:dyDescent="0.3">
      <c r="R997" s="5"/>
    </row>
    <row r="998" spans="18:18" x14ac:dyDescent="0.3">
      <c r="R998" s="5"/>
    </row>
    <row r="999" spans="18:18" x14ac:dyDescent="0.3">
      <c r="R999" s="5"/>
    </row>
    <row r="1000" spans="18:18" x14ac:dyDescent="0.3">
      <c r="R1000" s="5"/>
    </row>
  </sheetData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error="Используйте значение из выпадающего списка" prompt="Выберите значение из списка" xr:uid="{00000000-0002-0000-0600-000000000000}">
          <x14:formula1>
            <xm:f>DICTIONARIES!$A$2:$A$17</xm:f>
          </x14:formula1>
          <xm:sqref>E2:E1000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600-000001000000}">
          <x14:formula1>
            <xm:f>DICTIONARIES!$B$2:$B$7</xm:f>
          </x14:formula1>
          <xm:sqref>G2:G1000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600-000002000000}">
          <x14:formula1>
            <xm:f>DICTIONARIES!$C$2:$C$15</xm:f>
          </x14:formula1>
          <xm:sqref>H2:H1000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600-000003000000}">
          <x14:formula1>
            <xm:f>DICTIONARIES!$O$2:$O$9</xm:f>
          </x14:formula1>
          <xm:sqref>K2:K1000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600-000004000000}">
          <x14:formula1>
            <xm:f>DICTIONARIES!$D$2:$D$4</xm:f>
          </x14:formula1>
          <xm:sqref>L2:L1000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600-000005000000}">
          <x14:formula1>
            <xm:f>DICTIONARIES!$G$2:$G$3</xm:f>
          </x14:formula1>
          <xm:sqref>M2:M1000</xm:sqref>
        </x14:dataValidation>
        <x14:dataValidation type="list" allowBlank="1" xr:uid="{00000000-0002-0000-0600-000006000000}">
          <x14:formula1>
            <xm:f>DICTIONARIES!$AC$2:$AC$9</xm:f>
          </x14:formula1>
          <xm:sqref>O2:O1000</xm:sqref>
        </x14:dataValidation>
        <x14:dataValidation type="list" allowBlank="1" xr:uid="{00000000-0002-0000-0600-000007000000}">
          <x14:formula1>
            <xm:f>DICTIONARIES!$AE$2:$AE$5</xm:f>
          </x14:formula1>
          <xm:sqref>Q2:Q1000</xm:sqref>
        </x14:dataValidation>
        <x14:dataValidation type="list" allowBlank="1" xr:uid="{00000000-0002-0000-0600-000008000000}">
          <x14:formula1>
            <xm:f>DICTIONARIES!$G$2:$G$3</xm:f>
          </x14:formula1>
          <xm:sqref>R2:R1000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50"/>
  <sheetViews>
    <sheetView workbookViewId="0"/>
  </sheetViews>
  <sheetFormatPr defaultRowHeight="14.4" x14ac:dyDescent="0.3"/>
  <cols>
    <col min="1" max="1" width="18" customWidth="1"/>
    <col min="2" max="2" width="16" customWidth="1"/>
    <col min="3" max="4" width="12" customWidth="1"/>
    <col min="5" max="6" width="14" customWidth="1"/>
    <col min="7" max="7" width="20" customWidth="1"/>
    <col min="8" max="8" width="18" customWidth="1"/>
    <col min="9" max="9" width="14" customWidth="1"/>
    <col min="10" max="10" width="30" customWidth="1"/>
    <col min="11" max="11" width="24" customWidth="1"/>
    <col min="12" max="13" width="10" customWidth="1"/>
    <col min="14" max="14" width="32" customWidth="1"/>
    <col min="15" max="15" width="14" customWidth="1"/>
    <col min="16" max="16" width="22" customWidth="1"/>
    <col min="17" max="17" width="12" customWidth="1"/>
    <col min="18" max="18" width="18" customWidth="1"/>
    <col min="19" max="19" width="12" customWidth="1"/>
    <col min="20" max="20" width="16" customWidth="1"/>
    <col min="21" max="22" width="14" customWidth="1"/>
    <col min="23" max="23" width="12" customWidth="1"/>
    <col min="24" max="24" width="10" customWidth="1"/>
    <col min="25" max="25" width="12" customWidth="1"/>
  </cols>
  <sheetData>
    <row r="1" spans="1:25" ht="28.8" x14ac:dyDescent="0.3">
      <c r="A1" s="3" t="s">
        <v>467</v>
      </c>
      <c r="B1" s="3" t="s">
        <v>344</v>
      </c>
      <c r="C1" s="3" t="s">
        <v>524</v>
      </c>
      <c r="D1" s="3" t="s">
        <v>525</v>
      </c>
      <c r="E1" s="3" t="s">
        <v>199</v>
      </c>
      <c r="F1" s="3" t="s">
        <v>200</v>
      </c>
      <c r="G1" s="3" t="s">
        <v>198</v>
      </c>
      <c r="H1" s="3" t="s">
        <v>526</v>
      </c>
      <c r="I1" s="3" t="s">
        <v>527</v>
      </c>
      <c r="J1" s="3" t="s">
        <v>528</v>
      </c>
      <c r="K1" s="3" t="s">
        <v>433</v>
      </c>
      <c r="L1" s="3" t="s">
        <v>474</v>
      </c>
      <c r="M1" s="3" t="s">
        <v>436</v>
      </c>
      <c r="N1" s="3" t="s">
        <v>116</v>
      </c>
      <c r="O1" s="3" t="s">
        <v>529</v>
      </c>
      <c r="P1" s="3" t="s">
        <v>530</v>
      </c>
      <c r="Q1" s="3" t="s">
        <v>531</v>
      </c>
      <c r="R1" s="3" t="s">
        <v>532</v>
      </c>
      <c r="S1" s="3" t="s">
        <v>533</v>
      </c>
      <c r="T1" s="3" t="s">
        <v>438</v>
      </c>
      <c r="U1" s="3" t="s">
        <v>439</v>
      </c>
      <c r="V1" s="3" t="s">
        <v>440</v>
      </c>
      <c r="W1" s="3" t="s">
        <v>441</v>
      </c>
      <c r="X1" s="3" t="s">
        <v>534</v>
      </c>
      <c r="Y1" s="3" t="s">
        <v>535</v>
      </c>
    </row>
    <row r="2" spans="1:25" ht="28.8" x14ac:dyDescent="0.3">
      <c r="A2" s="24" t="s">
        <v>536</v>
      </c>
      <c r="B2" s="24" t="s">
        <v>493</v>
      </c>
      <c r="C2" s="28">
        <v>40</v>
      </c>
      <c r="D2" s="24" t="s">
        <v>251</v>
      </c>
      <c r="E2" s="24" t="s">
        <v>249</v>
      </c>
      <c r="F2" s="24" t="s">
        <v>250</v>
      </c>
      <c r="G2" s="24" t="s">
        <v>248</v>
      </c>
      <c r="H2" s="24"/>
      <c r="I2" s="25">
        <v>0</v>
      </c>
      <c r="J2" s="24" t="s">
        <v>537</v>
      </c>
      <c r="K2" s="24" t="s">
        <v>242</v>
      </c>
      <c r="L2" s="24" t="s">
        <v>255</v>
      </c>
      <c r="M2" s="24" t="s">
        <v>245</v>
      </c>
      <c r="N2" s="24" t="s">
        <v>538</v>
      </c>
      <c r="O2" s="24" t="s">
        <v>241</v>
      </c>
      <c r="P2" s="24">
        <v>1</v>
      </c>
      <c r="Q2" s="24" t="s">
        <v>241</v>
      </c>
      <c r="R2" s="17" t="s">
        <v>539</v>
      </c>
      <c r="S2" s="17">
        <v>5</v>
      </c>
      <c r="T2" s="17" t="s">
        <v>280</v>
      </c>
      <c r="U2" s="26">
        <v>46082</v>
      </c>
      <c r="V2" s="26">
        <v>46112</v>
      </c>
      <c r="W2" s="17" t="s">
        <v>311</v>
      </c>
      <c r="X2" s="17">
        <v>10</v>
      </c>
      <c r="Y2" s="17">
        <v>10</v>
      </c>
    </row>
    <row r="3" spans="1:25" ht="28.8" x14ac:dyDescent="0.3">
      <c r="A3" s="24" t="s">
        <v>540</v>
      </c>
      <c r="B3" s="24" t="s">
        <v>493</v>
      </c>
      <c r="C3" s="28">
        <v>60</v>
      </c>
      <c r="D3" s="24" t="s">
        <v>251</v>
      </c>
      <c r="E3" s="24" t="s">
        <v>249</v>
      </c>
      <c r="F3" s="24" t="s">
        <v>250</v>
      </c>
      <c r="G3" s="24" t="s">
        <v>288</v>
      </c>
      <c r="H3" s="24"/>
      <c r="I3" s="25">
        <v>0</v>
      </c>
      <c r="J3" s="24" t="s">
        <v>541</v>
      </c>
      <c r="K3" s="24" t="s">
        <v>242</v>
      </c>
      <c r="L3" s="24" t="s">
        <v>245</v>
      </c>
      <c r="M3" s="24" t="s">
        <v>245</v>
      </c>
      <c r="N3" s="24" t="s">
        <v>542</v>
      </c>
      <c r="O3" s="24" t="s">
        <v>241</v>
      </c>
      <c r="P3" s="24">
        <v>1</v>
      </c>
      <c r="Q3" s="24" t="s">
        <v>241</v>
      </c>
      <c r="R3" s="17"/>
      <c r="S3" s="17"/>
      <c r="T3" s="17"/>
      <c r="U3" s="26"/>
      <c r="V3" s="26"/>
      <c r="W3" s="17"/>
      <c r="X3" s="17"/>
      <c r="Y3" s="17"/>
    </row>
    <row r="4" spans="1:25" ht="28.8" x14ac:dyDescent="0.3">
      <c r="A4" s="24" t="s">
        <v>543</v>
      </c>
      <c r="B4" s="24" t="s">
        <v>493</v>
      </c>
      <c r="C4" s="28">
        <v>80</v>
      </c>
      <c r="D4" s="24" t="s">
        <v>251</v>
      </c>
      <c r="E4" s="24" t="s">
        <v>249</v>
      </c>
      <c r="F4" s="24" t="s">
        <v>250</v>
      </c>
      <c r="G4" s="24" t="s">
        <v>327</v>
      </c>
      <c r="H4" s="24"/>
      <c r="I4" s="25">
        <v>0</v>
      </c>
      <c r="J4" s="24" t="s">
        <v>544</v>
      </c>
      <c r="K4" s="24" t="s">
        <v>242</v>
      </c>
      <c r="L4" s="24" t="s">
        <v>255</v>
      </c>
      <c r="M4" s="24" t="s">
        <v>245</v>
      </c>
      <c r="N4" s="24"/>
      <c r="O4" s="24" t="s">
        <v>241</v>
      </c>
      <c r="P4" s="24">
        <v>1</v>
      </c>
      <c r="Q4" s="24" t="s">
        <v>241</v>
      </c>
      <c r="R4" s="17"/>
      <c r="S4" s="17"/>
      <c r="T4" s="17"/>
      <c r="U4" s="26"/>
      <c r="V4" s="26"/>
      <c r="W4" s="17"/>
      <c r="X4" s="17"/>
      <c r="Y4" s="17"/>
    </row>
    <row r="5" spans="1:25" ht="28.8" x14ac:dyDescent="0.3">
      <c r="A5" s="17" t="s">
        <v>545</v>
      </c>
      <c r="B5" s="17" t="s">
        <v>501</v>
      </c>
      <c r="C5" s="29"/>
      <c r="D5" s="17"/>
      <c r="E5" s="17"/>
      <c r="F5" s="17"/>
      <c r="G5" s="17"/>
      <c r="H5" s="17"/>
      <c r="I5" s="27">
        <v>0</v>
      </c>
      <c r="J5" s="17" t="s">
        <v>503</v>
      </c>
      <c r="K5" s="17" t="s">
        <v>268</v>
      </c>
      <c r="L5" s="17" t="s">
        <v>245</v>
      </c>
      <c r="M5" s="17" t="s">
        <v>245</v>
      </c>
      <c r="N5" s="17" t="s">
        <v>546</v>
      </c>
      <c r="O5" s="24" t="s">
        <v>343</v>
      </c>
      <c r="P5" s="24">
        <v>0</v>
      </c>
      <c r="Q5" s="24" t="s">
        <v>241</v>
      </c>
      <c r="R5" s="17"/>
      <c r="S5" s="17"/>
      <c r="T5" s="17"/>
      <c r="U5" s="26"/>
      <c r="V5" s="26"/>
      <c r="W5" s="17"/>
      <c r="X5" s="17"/>
      <c r="Y5" s="17"/>
    </row>
    <row r="6" spans="1:25" ht="28.8" x14ac:dyDescent="0.3">
      <c r="A6" s="17" t="s">
        <v>547</v>
      </c>
      <c r="B6" s="17" t="s">
        <v>506</v>
      </c>
      <c r="C6" s="29"/>
      <c r="D6" s="17"/>
      <c r="E6" s="17"/>
      <c r="F6" s="17"/>
      <c r="G6" s="17"/>
      <c r="H6" s="17"/>
      <c r="I6" s="27">
        <v>0</v>
      </c>
      <c r="J6" s="17" t="s">
        <v>508</v>
      </c>
      <c r="K6" s="17" t="s">
        <v>242</v>
      </c>
      <c r="L6" s="17" t="s">
        <v>245</v>
      </c>
      <c r="M6" s="17" t="s">
        <v>245</v>
      </c>
      <c r="N6" s="17" t="s">
        <v>548</v>
      </c>
      <c r="O6" s="24" t="s">
        <v>343</v>
      </c>
      <c r="P6" s="24">
        <v>0</v>
      </c>
      <c r="Q6" s="24" t="s">
        <v>241</v>
      </c>
      <c r="R6" s="17"/>
      <c r="S6" s="17"/>
      <c r="T6" s="17"/>
      <c r="U6" s="26"/>
      <c r="V6" s="26"/>
      <c r="W6" s="17"/>
      <c r="X6" s="17"/>
      <c r="Y6" s="17"/>
    </row>
    <row r="7" spans="1:25" ht="28.8" x14ac:dyDescent="0.3">
      <c r="A7" s="17" t="s">
        <v>549</v>
      </c>
      <c r="B7" s="17" t="s">
        <v>510</v>
      </c>
      <c r="C7" s="29"/>
      <c r="D7" s="17"/>
      <c r="E7" s="17"/>
      <c r="F7" s="17"/>
      <c r="G7" s="17"/>
      <c r="H7" s="17"/>
      <c r="I7" s="27">
        <v>0</v>
      </c>
      <c r="J7" s="17" t="s">
        <v>511</v>
      </c>
      <c r="K7" s="17" t="s">
        <v>268</v>
      </c>
      <c r="L7" s="17" t="s">
        <v>245</v>
      </c>
      <c r="M7" s="17" t="s">
        <v>245</v>
      </c>
      <c r="N7" s="17" t="s">
        <v>550</v>
      </c>
      <c r="O7" s="24" t="s">
        <v>343</v>
      </c>
      <c r="P7" s="24">
        <v>0</v>
      </c>
      <c r="Q7" s="24" t="s">
        <v>241</v>
      </c>
      <c r="R7" s="17"/>
      <c r="S7" s="17"/>
      <c r="T7" s="17"/>
      <c r="U7" s="26"/>
      <c r="V7" s="26"/>
      <c r="W7" s="17"/>
      <c r="X7" s="17"/>
      <c r="Y7" s="17"/>
    </row>
    <row r="8" spans="1:25" ht="28.8" x14ac:dyDescent="0.3">
      <c r="A8" s="17" t="s">
        <v>551</v>
      </c>
      <c r="B8" s="17" t="s">
        <v>514</v>
      </c>
      <c r="C8" s="29"/>
      <c r="D8" s="17"/>
      <c r="E8" s="17"/>
      <c r="F8" s="17"/>
      <c r="G8" s="17"/>
      <c r="H8" s="17"/>
      <c r="I8" s="27">
        <v>0</v>
      </c>
      <c r="J8" s="17" t="s">
        <v>516</v>
      </c>
      <c r="K8" s="17" t="s">
        <v>242</v>
      </c>
      <c r="L8" s="17" t="s">
        <v>245</v>
      </c>
      <c r="M8" s="17" t="s">
        <v>245</v>
      </c>
      <c r="N8" s="17" t="s">
        <v>552</v>
      </c>
      <c r="O8" s="24" t="s">
        <v>394</v>
      </c>
      <c r="P8" s="24">
        <v>0</v>
      </c>
      <c r="Q8" s="24" t="s">
        <v>241</v>
      </c>
      <c r="R8" s="17"/>
      <c r="S8" s="17"/>
      <c r="T8" s="17"/>
      <c r="U8" s="26"/>
      <c r="V8" s="26"/>
      <c r="W8" s="17"/>
      <c r="X8" s="17"/>
      <c r="Y8" s="17"/>
    </row>
    <row r="9" spans="1:25" ht="28.8" x14ac:dyDescent="0.3">
      <c r="A9" s="17" t="s">
        <v>553</v>
      </c>
      <c r="B9" s="17" t="s">
        <v>519</v>
      </c>
      <c r="C9" s="29"/>
      <c r="D9" s="17"/>
      <c r="E9" s="17"/>
      <c r="F9" s="17"/>
      <c r="G9" s="17"/>
      <c r="H9" s="17"/>
      <c r="I9" s="27">
        <v>0</v>
      </c>
      <c r="J9" s="17" t="s">
        <v>520</v>
      </c>
      <c r="K9" s="17" t="s">
        <v>268</v>
      </c>
      <c r="L9" s="17" t="s">
        <v>245</v>
      </c>
      <c r="M9" s="17" t="s">
        <v>245</v>
      </c>
      <c r="N9" s="17" t="s">
        <v>554</v>
      </c>
      <c r="O9" s="24" t="s">
        <v>362</v>
      </c>
      <c r="P9" s="24">
        <v>1</v>
      </c>
      <c r="Q9" s="24" t="s">
        <v>362</v>
      </c>
      <c r="R9" s="17"/>
      <c r="S9" s="17"/>
      <c r="T9" s="17"/>
      <c r="U9" s="26"/>
      <c r="V9" s="26"/>
      <c r="W9" s="17"/>
      <c r="X9" s="17"/>
      <c r="Y9" s="17"/>
    </row>
    <row r="10" spans="1:25" x14ac:dyDescent="0.3">
      <c r="A10" s="17"/>
      <c r="B10" s="17"/>
      <c r="C10" s="29"/>
      <c r="D10" s="17"/>
      <c r="E10" s="17"/>
      <c r="F10" s="17"/>
      <c r="G10" s="17"/>
      <c r="H10" s="17"/>
      <c r="I10" s="27"/>
      <c r="J10" s="17"/>
      <c r="K10" s="17"/>
      <c r="L10" s="17"/>
      <c r="M10" s="17"/>
      <c r="N10" s="17"/>
      <c r="O10" s="24"/>
      <c r="P10" s="24"/>
      <c r="Q10" s="24"/>
      <c r="R10" s="17"/>
      <c r="S10" s="17"/>
      <c r="T10" s="17"/>
      <c r="U10" s="17"/>
      <c r="V10" s="17"/>
      <c r="W10" s="17"/>
      <c r="X10" s="17"/>
      <c r="Y10" s="17"/>
    </row>
    <row r="11" spans="1:25" x14ac:dyDescent="0.3">
      <c r="A11" s="17"/>
      <c r="B11" s="17"/>
      <c r="C11" s="29"/>
      <c r="D11" s="17"/>
      <c r="E11" s="17"/>
      <c r="F11" s="17"/>
      <c r="G11" s="17"/>
      <c r="H11" s="17"/>
      <c r="I11" s="27"/>
      <c r="J11" s="17"/>
      <c r="K11" s="17"/>
      <c r="L11" s="17"/>
      <c r="M11" s="17"/>
      <c r="N11" s="17"/>
      <c r="O11" s="24"/>
      <c r="P11" s="24"/>
      <c r="Q11" s="24"/>
      <c r="R11" s="17"/>
      <c r="S11" s="17"/>
      <c r="T11" s="17"/>
      <c r="U11" s="17"/>
      <c r="V11" s="17"/>
      <c r="W11" s="17"/>
      <c r="X11" s="17"/>
      <c r="Y11" s="17"/>
    </row>
    <row r="12" spans="1:25" x14ac:dyDescent="0.3">
      <c r="A12" s="17"/>
      <c r="B12" s="17"/>
      <c r="C12" s="29"/>
      <c r="D12" s="17"/>
      <c r="E12" s="17"/>
      <c r="F12" s="17"/>
      <c r="G12" s="17"/>
      <c r="H12" s="17"/>
      <c r="I12" s="27"/>
      <c r="J12" s="17"/>
      <c r="K12" s="17"/>
      <c r="L12" s="17"/>
      <c r="M12" s="17"/>
      <c r="N12" s="17"/>
      <c r="O12" s="24"/>
      <c r="P12" s="24"/>
      <c r="Q12" s="24"/>
      <c r="R12" s="17"/>
      <c r="S12" s="17"/>
      <c r="T12" s="17"/>
      <c r="U12" s="17"/>
      <c r="V12" s="17"/>
      <c r="W12" s="17"/>
      <c r="X12" s="17"/>
      <c r="Y12" s="17"/>
    </row>
    <row r="13" spans="1:25" x14ac:dyDescent="0.3">
      <c r="A13" s="17"/>
      <c r="B13" s="17"/>
      <c r="C13" s="29"/>
      <c r="D13" s="17"/>
      <c r="E13" s="17"/>
      <c r="F13" s="17"/>
      <c r="G13" s="17"/>
      <c r="H13" s="17"/>
      <c r="I13" s="27"/>
      <c r="J13" s="17"/>
      <c r="K13" s="17"/>
      <c r="L13" s="17"/>
      <c r="M13" s="17"/>
      <c r="N13" s="17"/>
      <c r="O13" s="24"/>
      <c r="P13" s="24"/>
      <c r="Q13" s="24"/>
      <c r="R13" s="17"/>
      <c r="S13" s="17"/>
      <c r="T13" s="17"/>
      <c r="U13" s="17"/>
      <c r="V13" s="17"/>
      <c r="W13" s="17"/>
      <c r="X13" s="17"/>
      <c r="Y13" s="17"/>
    </row>
    <row r="14" spans="1:25" x14ac:dyDescent="0.3">
      <c r="A14" s="17"/>
      <c r="B14" s="17"/>
      <c r="C14" s="29"/>
      <c r="D14" s="17"/>
      <c r="E14" s="17"/>
      <c r="F14" s="17"/>
      <c r="G14" s="17"/>
      <c r="H14" s="17"/>
      <c r="I14" s="27"/>
      <c r="J14" s="17"/>
      <c r="K14" s="17"/>
      <c r="L14" s="17"/>
      <c r="M14" s="17"/>
      <c r="N14" s="17"/>
      <c r="O14" s="24"/>
      <c r="P14" s="24"/>
      <c r="Q14" s="24"/>
      <c r="R14" s="17"/>
      <c r="S14" s="17"/>
      <c r="T14" s="17"/>
      <c r="U14" s="17"/>
      <c r="V14" s="17"/>
      <c r="W14" s="17"/>
      <c r="X14" s="17"/>
      <c r="Y14" s="17"/>
    </row>
    <row r="15" spans="1:25" x14ac:dyDescent="0.3">
      <c r="A15" s="17"/>
      <c r="B15" s="17"/>
      <c r="C15" s="29"/>
      <c r="D15" s="17"/>
      <c r="E15" s="17"/>
      <c r="F15" s="17"/>
      <c r="G15" s="17"/>
      <c r="H15" s="17"/>
      <c r="I15" s="27"/>
      <c r="J15" s="17"/>
      <c r="K15" s="17"/>
      <c r="L15" s="17"/>
      <c r="M15" s="17"/>
      <c r="N15" s="17"/>
      <c r="O15" s="24"/>
      <c r="P15" s="24"/>
      <c r="Q15" s="24"/>
      <c r="R15" s="17"/>
      <c r="S15" s="17"/>
      <c r="T15" s="17"/>
      <c r="U15" s="17"/>
      <c r="V15" s="17"/>
      <c r="W15" s="17"/>
      <c r="X15" s="17"/>
      <c r="Y15" s="17"/>
    </row>
    <row r="16" spans="1:25" x14ac:dyDescent="0.3">
      <c r="A16" s="17"/>
      <c r="B16" s="17"/>
      <c r="C16" s="29"/>
      <c r="D16" s="17"/>
      <c r="E16" s="17"/>
      <c r="F16" s="17"/>
      <c r="G16" s="17"/>
      <c r="H16" s="17"/>
      <c r="I16" s="27"/>
      <c r="J16" s="17"/>
      <c r="K16" s="17"/>
      <c r="L16" s="17"/>
      <c r="M16" s="17"/>
      <c r="N16" s="17"/>
      <c r="O16" s="24"/>
      <c r="P16" s="24"/>
      <c r="Q16" s="24"/>
      <c r="R16" s="17"/>
      <c r="S16" s="17"/>
      <c r="T16" s="17"/>
      <c r="U16" s="17"/>
      <c r="V16" s="17"/>
      <c r="W16" s="17"/>
      <c r="X16" s="17"/>
      <c r="Y16" s="17"/>
    </row>
    <row r="17" spans="1:25" x14ac:dyDescent="0.3">
      <c r="A17" s="17"/>
      <c r="B17" s="17"/>
      <c r="C17" s="29"/>
      <c r="D17" s="17"/>
      <c r="E17" s="17"/>
      <c r="F17" s="17"/>
      <c r="G17" s="17"/>
      <c r="H17" s="17"/>
      <c r="I17" s="27"/>
      <c r="J17" s="17"/>
      <c r="K17" s="17"/>
      <c r="L17" s="17"/>
      <c r="M17" s="17"/>
      <c r="N17" s="17"/>
      <c r="O17" s="24"/>
      <c r="P17" s="24"/>
      <c r="Q17" s="24"/>
      <c r="R17" s="17"/>
      <c r="S17" s="17"/>
      <c r="T17" s="17"/>
      <c r="U17" s="17"/>
      <c r="V17" s="17"/>
      <c r="W17" s="17"/>
      <c r="X17" s="17"/>
      <c r="Y17" s="17"/>
    </row>
    <row r="18" spans="1:25" x14ac:dyDescent="0.3">
      <c r="A18" s="17"/>
      <c r="B18" s="17"/>
      <c r="C18" s="29"/>
      <c r="D18" s="17"/>
      <c r="E18" s="17"/>
      <c r="F18" s="17"/>
      <c r="G18" s="17"/>
      <c r="H18" s="17"/>
      <c r="I18" s="27"/>
      <c r="J18" s="17"/>
      <c r="K18" s="17"/>
      <c r="L18" s="17"/>
      <c r="M18" s="17"/>
      <c r="N18" s="17"/>
      <c r="O18" s="24"/>
      <c r="P18" s="24"/>
      <c r="Q18" s="24"/>
      <c r="R18" s="17"/>
      <c r="S18" s="17"/>
      <c r="T18" s="17"/>
      <c r="U18" s="17"/>
      <c r="V18" s="17"/>
      <c r="W18" s="17"/>
      <c r="X18" s="17"/>
      <c r="Y18" s="17"/>
    </row>
    <row r="19" spans="1:25" x14ac:dyDescent="0.3">
      <c r="A19" s="17"/>
      <c r="B19" s="17"/>
      <c r="C19" s="29"/>
      <c r="D19" s="17"/>
      <c r="E19" s="17"/>
      <c r="F19" s="17"/>
      <c r="G19" s="17"/>
      <c r="H19" s="17"/>
      <c r="I19" s="27"/>
      <c r="J19" s="17"/>
      <c r="K19" s="17"/>
      <c r="L19" s="17"/>
      <c r="M19" s="17"/>
      <c r="N19" s="17"/>
      <c r="O19" s="24"/>
      <c r="P19" s="24"/>
      <c r="Q19" s="24"/>
      <c r="R19" s="17"/>
      <c r="S19" s="17"/>
      <c r="T19" s="17"/>
      <c r="U19" s="17"/>
      <c r="V19" s="17"/>
      <c r="W19" s="17"/>
      <c r="X19" s="17"/>
      <c r="Y19" s="17"/>
    </row>
    <row r="20" spans="1:25" x14ac:dyDescent="0.3">
      <c r="A20" s="17"/>
      <c r="B20" s="17"/>
      <c r="C20" s="29"/>
      <c r="D20" s="17"/>
      <c r="E20" s="17"/>
      <c r="F20" s="17"/>
      <c r="G20" s="17"/>
      <c r="H20" s="17"/>
      <c r="I20" s="27"/>
      <c r="J20" s="17"/>
      <c r="K20" s="17"/>
      <c r="L20" s="17"/>
      <c r="M20" s="17"/>
      <c r="N20" s="17"/>
      <c r="O20" s="24"/>
      <c r="P20" s="24"/>
      <c r="Q20" s="24"/>
      <c r="R20" s="17"/>
      <c r="S20" s="17"/>
      <c r="T20" s="17"/>
      <c r="U20" s="17"/>
      <c r="V20" s="17"/>
      <c r="W20" s="17"/>
      <c r="X20" s="17"/>
      <c r="Y20" s="17"/>
    </row>
    <row r="21" spans="1:25" x14ac:dyDescent="0.3">
      <c r="A21" s="17"/>
      <c r="B21" s="17"/>
      <c r="C21" s="29"/>
      <c r="D21" s="17"/>
      <c r="E21" s="17"/>
      <c r="F21" s="17"/>
      <c r="G21" s="17"/>
      <c r="H21" s="17"/>
      <c r="I21" s="27"/>
      <c r="J21" s="17"/>
      <c r="K21" s="17"/>
      <c r="L21" s="17"/>
      <c r="M21" s="17"/>
      <c r="N21" s="17"/>
      <c r="O21" s="24"/>
      <c r="P21" s="24"/>
      <c r="Q21" s="24"/>
      <c r="R21" s="17"/>
      <c r="S21" s="17"/>
      <c r="T21" s="17"/>
      <c r="U21" s="17"/>
      <c r="V21" s="17"/>
      <c r="W21" s="17"/>
      <c r="X21" s="17"/>
      <c r="Y21" s="17"/>
    </row>
    <row r="22" spans="1:25" x14ac:dyDescent="0.3">
      <c r="A22" s="17"/>
      <c r="B22" s="17"/>
      <c r="C22" s="29"/>
      <c r="D22" s="17"/>
      <c r="E22" s="17"/>
      <c r="F22" s="17"/>
      <c r="G22" s="17"/>
      <c r="H22" s="17"/>
      <c r="I22" s="27"/>
      <c r="J22" s="17"/>
      <c r="K22" s="17"/>
      <c r="L22" s="17"/>
      <c r="M22" s="17"/>
      <c r="N22" s="17"/>
      <c r="O22" s="24"/>
      <c r="P22" s="24"/>
      <c r="Q22" s="24"/>
      <c r="R22" s="17"/>
      <c r="S22" s="17"/>
      <c r="T22" s="17"/>
      <c r="U22" s="17"/>
      <c r="V22" s="17"/>
      <c r="W22" s="17"/>
      <c r="X22" s="17"/>
      <c r="Y22" s="17"/>
    </row>
    <row r="23" spans="1:25" x14ac:dyDescent="0.3">
      <c r="A23" s="17"/>
      <c r="B23" s="17"/>
      <c r="C23" s="29"/>
      <c r="D23" s="17"/>
      <c r="E23" s="17"/>
      <c r="F23" s="17"/>
      <c r="G23" s="17"/>
      <c r="H23" s="17"/>
      <c r="I23" s="27"/>
      <c r="J23" s="17"/>
      <c r="K23" s="17"/>
      <c r="L23" s="17"/>
      <c r="M23" s="17"/>
      <c r="N23" s="17"/>
      <c r="O23" s="24"/>
      <c r="P23" s="24"/>
      <c r="Q23" s="24"/>
      <c r="R23" s="17"/>
      <c r="S23" s="17"/>
      <c r="T23" s="17"/>
      <c r="U23" s="17"/>
      <c r="V23" s="17"/>
      <c r="W23" s="17"/>
      <c r="X23" s="17"/>
      <c r="Y23" s="17"/>
    </row>
    <row r="24" spans="1:25" x14ac:dyDescent="0.3">
      <c r="A24" s="17"/>
      <c r="B24" s="17"/>
      <c r="C24" s="29"/>
      <c r="D24" s="17"/>
      <c r="E24" s="17"/>
      <c r="F24" s="17"/>
      <c r="G24" s="17"/>
      <c r="H24" s="17"/>
      <c r="I24" s="27"/>
      <c r="J24" s="17"/>
      <c r="K24" s="17"/>
      <c r="L24" s="17"/>
      <c r="M24" s="17"/>
      <c r="N24" s="17"/>
      <c r="O24" s="24"/>
      <c r="P24" s="24"/>
      <c r="Q24" s="24"/>
      <c r="R24" s="17"/>
      <c r="S24" s="17"/>
      <c r="T24" s="17"/>
      <c r="U24" s="17"/>
      <c r="V24" s="17"/>
      <c r="W24" s="17"/>
      <c r="X24" s="17"/>
      <c r="Y24" s="17"/>
    </row>
    <row r="25" spans="1:25" x14ac:dyDescent="0.3">
      <c r="A25" s="17"/>
      <c r="B25" s="17"/>
      <c r="C25" s="29"/>
      <c r="D25" s="17"/>
      <c r="E25" s="17"/>
      <c r="F25" s="17"/>
      <c r="G25" s="17"/>
      <c r="H25" s="17"/>
      <c r="I25" s="27"/>
      <c r="J25" s="17"/>
      <c r="K25" s="17"/>
      <c r="L25" s="17"/>
      <c r="M25" s="17"/>
      <c r="N25" s="17"/>
      <c r="O25" s="24"/>
      <c r="P25" s="24"/>
      <c r="Q25" s="24"/>
      <c r="R25" s="17"/>
      <c r="S25" s="17"/>
      <c r="T25" s="17"/>
      <c r="U25" s="17"/>
      <c r="V25" s="17"/>
      <c r="W25" s="17"/>
      <c r="X25" s="17"/>
      <c r="Y25" s="17"/>
    </row>
    <row r="26" spans="1:25" x14ac:dyDescent="0.3">
      <c r="A26" s="17"/>
      <c r="B26" s="17"/>
      <c r="C26" s="29"/>
      <c r="D26" s="17"/>
      <c r="E26" s="17"/>
      <c r="F26" s="17"/>
      <c r="G26" s="17"/>
      <c r="H26" s="17"/>
      <c r="I26" s="27"/>
      <c r="J26" s="17"/>
      <c r="K26" s="17"/>
      <c r="L26" s="17"/>
      <c r="M26" s="17"/>
      <c r="N26" s="17"/>
      <c r="O26" s="24"/>
      <c r="P26" s="24"/>
      <c r="Q26" s="24"/>
      <c r="R26" s="17"/>
      <c r="S26" s="17"/>
      <c r="T26" s="17"/>
      <c r="U26" s="17"/>
      <c r="V26" s="17"/>
      <c r="W26" s="17"/>
      <c r="X26" s="17"/>
      <c r="Y26" s="17"/>
    </row>
    <row r="27" spans="1:25" x14ac:dyDescent="0.3">
      <c r="A27" s="17"/>
      <c r="B27" s="17"/>
      <c r="C27" s="29"/>
      <c r="D27" s="17"/>
      <c r="E27" s="17"/>
      <c r="F27" s="17"/>
      <c r="G27" s="17"/>
      <c r="H27" s="17"/>
      <c r="I27" s="27"/>
      <c r="J27" s="17"/>
      <c r="K27" s="17"/>
      <c r="L27" s="17"/>
      <c r="M27" s="17"/>
      <c r="N27" s="17"/>
      <c r="O27" s="24"/>
      <c r="P27" s="24"/>
      <c r="Q27" s="24"/>
      <c r="R27" s="17"/>
      <c r="S27" s="17"/>
      <c r="T27" s="17"/>
      <c r="U27" s="17"/>
      <c r="V27" s="17"/>
      <c r="W27" s="17"/>
      <c r="X27" s="17"/>
      <c r="Y27" s="17"/>
    </row>
    <row r="28" spans="1:25" x14ac:dyDescent="0.3">
      <c r="A28" s="17"/>
      <c r="B28" s="17"/>
      <c r="C28" s="29"/>
      <c r="D28" s="17"/>
      <c r="E28" s="17"/>
      <c r="F28" s="17"/>
      <c r="G28" s="17"/>
      <c r="H28" s="17"/>
      <c r="I28" s="27"/>
      <c r="J28" s="17"/>
      <c r="K28" s="17"/>
      <c r="L28" s="17"/>
      <c r="M28" s="17"/>
      <c r="N28" s="17"/>
      <c r="O28" s="24"/>
      <c r="P28" s="24"/>
      <c r="Q28" s="24"/>
      <c r="R28" s="17"/>
      <c r="S28" s="17"/>
      <c r="T28" s="17"/>
      <c r="U28" s="17"/>
      <c r="V28" s="17"/>
      <c r="W28" s="17"/>
      <c r="X28" s="17"/>
      <c r="Y28" s="17"/>
    </row>
    <row r="29" spans="1:25" x14ac:dyDescent="0.3">
      <c r="A29" s="17"/>
      <c r="B29" s="17"/>
      <c r="C29" s="29"/>
      <c r="D29" s="17"/>
      <c r="E29" s="17"/>
      <c r="F29" s="17"/>
      <c r="G29" s="17"/>
      <c r="H29" s="17"/>
      <c r="I29" s="27"/>
      <c r="J29" s="17"/>
      <c r="K29" s="17"/>
      <c r="L29" s="17"/>
      <c r="M29" s="17"/>
      <c r="N29" s="17"/>
      <c r="O29" s="24"/>
      <c r="P29" s="24"/>
      <c r="Q29" s="24"/>
      <c r="R29" s="17"/>
      <c r="S29" s="17"/>
      <c r="T29" s="17"/>
      <c r="U29" s="17"/>
      <c r="V29" s="17"/>
      <c r="W29" s="17"/>
      <c r="X29" s="17"/>
      <c r="Y29" s="17"/>
    </row>
    <row r="30" spans="1:25" x14ac:dyDescent="0.3">
      <c r="A30" s="17"/>
      <c r="B30" s="17"/>
      <c r="C30" s="29"/>
      <c r="D30" s="17"/>
      <c r="E30" s="17"/>
      <c r="F30" s="17"/>
      <c r="G30" s="17"/>
      <c r="H30" s="17"/>
      <c r="I30" s="27"/>
      <c r="J30" s="17"/>
      <c r="K30" s="17"/>
      <c r="L30" s="17"/>
      <c r="M30" s="17"/>
      <c r="N30" s="17"/>
      <c r="O30" s="24"/>
      <c r="P30" s="24"/>
      <c r="Q30" s="24"/>
      <c r="R30" s="17"/>
      <c r="S30" s="17"/>
      <c r="T30" s="17"/>
      <c r="U30" s="17"/>
      <c r="V30" s="17"/>
      <c r="W30" s="17"/>
      <c r="X30" s="17"/>
      <c r="Y30" s="17"/>
    </row>
    <row r="31" spans="1:25" x14ac:dyDescent="0.3">
      <c r="A31" s="17"/>
      <c r="B31" s="17"/>
      <c r="C31" s="29"/>
      <c r="D31" s="17"/>
      <c r="E31" s="17"/>
      <c r="F31" s="17"/>
      <c r="G31" s="17"/>
      <c r="H31" s="17"/>
      <c r="I31" s="27"/>
      <c r="J31" s="17"/>
      <c r="K31" s="17"/>
      <c r="L31" s="17"/>
      <c r="M31" s="17"/>
      <c r="N31" s="17"/>
      <c r="O31" s="24"/>
      <c r="P31" s="24"/>
      <c r="Q31" s="24"/>
      <c r="R31" s="17"/>
      <c r="S31" s="17"/>
      <c r="T31" s="17"/>
      <c r="U31" s="17"/>
      <c r="V31" s="17"/>
      <c r="W31" s="17"/>
      <c r="X31" s="17"/>
      <c r="Y31" s="17"/>
    </row>
    <row r="32" spans="1:25" x14ac:dyDescent="0.3">
      <c r="A32" s="17"/>
      <c r="B32" s="17"/>
      <c r="C32" s="29"/>
      <c r="D32" s="17"/>
      <c r="E32" s="17"/>
      <c r="F32" s="17"/>
      <c r="G32" s="17"/>
      <c r="H32" s="17"/>
      <c r="I32" s="27"/>
      <c r="J32" s="17"/>
      <c r="K32" s="17"/>
      <c r="L32" s="17"/>
      <c r="M32" s="17"/>
      <c r="N32" s="17"/>
      <c r="O32" s="24"/>
      <c r="P32" s="24"/>
      <c r="Q32" s="24"/>
      <c r="R32" s="17"/>
      <c r="S32" s="17"/>
      <c r="T32" s="17"/>
      <c r="U32" s="17"/>
      <c r="V32" s="17"/>
      <c r="W32" s="17"/>
      <c r="X32" s="17"/>
      <c r="Y32" s="17"/>
    </row>
    <row r="33" spans="1:25" x14ac:dyDescent="0.3">
      <c r="A33" s="17"/>
      <c r="B33" s="17"/>
      <c r="C33" s="29"/>
      <c r="D33" s="17"/>
      <c r="E33" s="17"/>
      <c r="F33" s="17"/>
      <c r="G33" s="17"/>
      <c r="H33" s="17"/>
      <c r="I33" s="27"/>
      <c r="J33" s="17"/>
      <c r="K33" s="17"/>
      <c r="L33" s="17"/>
      <c r="M33" s="17"/>
      <c r="N33" s="17"/>
      <c r="O33" s="24"/>
      <c r="P33" s="24"/>
      <c r="Q33" s="24"/>
      <c r="R33" s="17"/>
      <c r="S33" s="17"/>
      <c r="T33" s="17"/>
      <c r="U33" s="17"/>
      <c r="V33" s="17"/>
      <c r="W33" s="17"/>
      <c r="X33" s="17"/>
      <c r="Y33" s="17"/>
    </row>
    <row r="34" spans="1:25" x14ac:dyDescent="0.3">
      <c r="A34" s="17"/>
      <c r="B34" s="17"/>
      <c r="C34" s="29"/>
      <c r="D34" s="17"/>
      <c r="E34" s="17"/>
      <c r="F34" s="17"/>
      <c r="G34" s="17"/>
      <c r="H34" s="17"/>
      <c r="I34" s="27"/>
      <c r="J34" s="17"/>
      <c r="K34" s="17"/>
      <c r="L34" s="17"/>
      <c r="M34" s="17"/>
      <c r="N34" s="17"/>
      <c r="O34" s="24"/>
      <c r="P34" s="24"/>
      <c r="Q34" s="24"/>
      <c r="R34" s="17"/>
      <c r="S34" s="17"/>
      <c r="T34" s="17"/>
      <c r="U34" s="17"/>
      <c r="V34" s="17"/>
      <c r="W34" s="17"/>
      <c r="X34" s="17"/>
      <c r="Y34" s="17"/>
    </row>
    <row r="35" spans="1:25" x14ac:dyDescent="0.3">
      <c r="A35" s="17"/>
      <c r="B35" s="17"/>
      <c r="C35" s="29"/>
      <c r="D35" s="17"/>
      <c r="E35" s="17"/>
      <c r="F35" s="17"/>
      <c r="G35" s="17"/>
      <c r="H35" s="17"/>
      <c r="I35" s="27"/>
      <c r="J35" s="17"/>
      <c r="K35" s="17"/>
      <c r="L35" s="17"/>
      <c r="M35" s="17"/>
      <c r="N35" s="17"/>
      <c r="O35" s="24"/>
      <c r="P35" s="24"/>
      <c r="Q35" s="24"/>
      <c r="R35" s="17"/>
      <c r="S35" s="17"/>
      <c r="T35" s="17"/>
      <c r="U35" s="17"/>
      <c r="V35" s="17"/>
      <c r="W35" s="17"/>
      <c r="X35" s="17"/>
      <c r="Y35" s="17"/>
    </row>
    <row r="36" spans="1:25" x14ac:dyDescent="0.3">
      <c r="A36" s="17"/>
      <c r="B36" s="17"/>
      <c r="C36" s="29"/>
      <c r="D36" s="17"/>
      <c r="E36" s="17"/>
      <c r="F36" s="17"/>
      <c r="G36" s="17"/>
      <c r="H36" s="17"/>
      <c r="I36" s="27"/>
      <c r="J36" s="17"/>
      <c r="K36" s="17"/>
      <c r="L36" s="17"/>
      <c r="M36" s="17"/>
      <c r="N36" s="17"/>
      <c r="O36" s="24"/>
      <c r="P36" s="24"/>
      <c r="Q36" s="24"/>
      <c r="R36" s="17"/>
      <c r="S36" s="17"/>
      <c r="T36" s="17"/>
      <c r="U36" s="17"/>
      <c r="V36" s="17"/>
      <c r="W36" s="17"/>
      <c r="X36" s="17"/>
      <c r="Y36" s="17"/>
    </row>
    <row r="37" spans="1:25" x14ac:dyDescent="0.3">
      <c r="A37" s="17"/>
      <c r="B37" s="17"/>
      <c r="C37" s="29"/>
      <c r="D37" s="17"/>
      <c r="E37" s="17"/>
      <c r="F37" s="17"/>
      <c r="G37" s="17"/>
      <c r="H37" s="17"/>
      <c r="I37" s="27"/>
      <c r="J37" s="17"/>
      <c r="K37" s="17"/>
      <c r="L37" s="17"/>
      <c r="M37" s="17"/>
      <c r="N37" s="17"/>
      <c r="O37" s="24"/>
      <c r="P37" s="24"/>
      <c r="Q37" s="24"/>
      <c r="R37" s="17"/>
      <c r="S37" s="17"/>
      <c r="T37" s="17"/>
      <c r="U37" s="17"/>
      <c r="V37" s="17"/>
      <c r="W37" s="17"/>
      <c r="X37" s="17"/>
      <c r="Y37" s="17"/>
    </row>
    <row r="38" spans="1:25" x14ac:dyDescent="0.3">
      <c r="A38" s="17"/>
      <c r="B38" s="17"/>
      <c r="C38" s="29"/>
      <c r="D38" s="17"/>
      <c r="E38" s="17"/>
      <c r="F38" s="17"/>
      <c r="G38" s="17"/>
      <c r="H38" s="17"/>
      <c r="I38" s="27"/>
      <c r="J38" s="17"/>
      <c r="K38" s="17"/>
      <c r="L38" s="17"/>
      <c r="M38" s="17"/>
      <c r="N38" s="17"/>
      <c r="O38" s="24"/>
      <c r="P38" s="24"/>
      <c r="Q38" s="24"/>
      <c r="R38" s="17"/>
      <c r="S38" s="17"/>
      <c r="T38" s="17"/>
      <c r="U38" s="17"/>
      <c r="V38" s="17"/>
      <c r="W38" s="17"/>
      <c r="X38" s="17"/>
      <c r="Y38" s="17"/>
    </row>
    <row r="39" spans="1:25" x14ac:dyDescent="0.3">
      <c r="A39" s="17"/>
      <c r="B39" s="17"/>
      <c r="C39" s="29"/>
      <c r="D39" s="17"/>
      <c r="E39" s="17"/>
      <c r="F39" s="17"/>
      <c r="G39" s="17"/>
      <c r="H39" s="17"/>
      <c r="I39" s="27"/>
      <c r="J39" s="17"/>
      <c r="K39" s="17"/>
      <c r="L39" s="17"/>
      <c r="M39" s="17"/>
      <c r="N39" s="17"/>
      <c r="O39" s="24"/>
      <c r="P39" s="24"/>
      <c r="Q39" s="24"/>
      <c r="R39" s="17"/>
      <c r="S39" s="17"/>
      <c r="T39" s="17"/>
      <c r="U39" s="17"/>
      <c r="V39" s="17"/>
      <c r="W39" s="17"/>
      <c r="X39" s="17"/>
      <c r="Y39" s="17"/>
    </row>
    <row r="40" spans="1:25" x14ac:dyDescent="0.3">
      <c r="A40" s="17"/>
      <c r="B40" s="17"/>
      <c r="C40" s="29"/>
      <c r="D40" s="17"/>
      <c r="E40" s="17"/>
      <c r="F40" s="17"/>
      <c r="G40" s="17"/>
      <c r="H40" s="17"/>
      <c r="I40" s="27"/>
      <c r="J40" s="17"/>
      <c r="K40" s="17"/>
      <c r="L40" s="17"/>
      <c r="M40" s="17"/>
      <c r="N40" s="17"/>
      <c r="O40" s="24"/>
      <c r="P40" s="24"/>
      <c r="Q40" s="24"/>
      <c r="R40" s="17"/>
      <c r="S40" s="17"/>
      <c r="T40" s="17"/>
      <c r="U40" s="17"/>
      <c r="V40" s="17"/>
      <c r="W40" s="17"/>
      <c r="X40" s="17"/>
      <c r="Y40" s="17"/>
    </row>
    <row r="41" spans="1:25" x14ac:dyDescent="0.3">
      <c r="A41" s="17"/>
      <c r="B41" s="17"/>
      <c r="C41" s="29"/>
      <c r="D41" s="17"/>
      <c r="E41" s="17"/>
      <c r="F41" s="17"/>
      <c r="G41" s="17"/>
      <c r="H41" s="17"/>
      <c r="I41" s="27"/>
      <c r="J41" s="17"/>
      <c r="K41" s="17"/>
      <c r="L41" s="17"/>
      <c r="M41" s="17"/>
      <c r="N41" s="17"/>
      <c r="O41" s="24"/>
      <c r="P41" s="24"/>
      <c r="Q41" s="24"/>
      <c r="R41" s="17"/>
      <c r="S41" s="17"/>
      <c r="T41" s="17"/>
      <c r="U41" s="17"/>
      <c r="V41" s="17"/>
      <c r="W41" s="17"/>
      <c r="X41" s="17"/>
      <c r="Y41" s="17"/>
    </row>
    <row r="42" spans="1:25" x14ac:dyDescent="0.3">
      <c r="A42" s="17"/>
      <c r="B42" s="17"/>
      <c r="C42" s="29"/>
      <c r="D42" s="17"/>
      <c r="E42" s="17"/>
      <c r="F42" s="17"/>
      <c r="G42" s="17"/>
      <c r="H42" s="17"/>
      <c r="I42" s="27"/>
      <c r="J42" s="17"/>
      <c r="K42" s="17"/>
      <c r="L42" s="17"/>
      <c r="M42" s="17"/>
      <c r="N42" s="17"/>
      <c r="O42" s="24"/>
      <c r="P42" s="24"/>
      <c r="Q42" s="24"/>
      <c r="R42" s="17"/>
      <c r="S42" s="17"/>
      <c r="T42" s="17"/>
      <c r="U42" s="17"/>
      <c r="V42" s="17"/>
      <c r="W42" s="17"/>
      <c r="X42" s="17"/>
      <c r="Y42" s="17"/>
    </row>
    <row r="43" spans="1:25" x14ac:dyDescent="0.3">
      <c r="A43" s="17"/>
      <c r="B43" s="17"/>
      <c r="C43" s="29"/>
      <c r="D43" s="17"/>
      <c r="E43" s="17"/>
      <c r="F43" s="17"/>
      <c r="G43" s="17"/>
      <c r="H43" s="17"/>
      <c r="I43" s="27"/>
      <c r="J43" s="17"/>
      <c r="K43" s="17"/>
      <c r="L43" s="17"/>
      <c r="M43" s="17"/>
      <c r="N43" s="17"/>
      <c r="O43" s="24"/>
      <c r="P43" s="24"/>
      <c r="Q43" s="24"/>
      <c r="R43" s="17"/>
      <c r="S43" s="17"/>
      <c r="T43" s="17"/>
      <c r="U43" s="17"/>
      <c r="V43" s="17"/>
      <c r="W43" s="17"/>
      <c r="X43" s="17"/>
      <c r="Y43" s="17"/>
    </row>
    <row r="44" spans="1:25" x14ac:dyDescent="0.3">
      <c r="A44" s="17"/>
      <c r="B44" s="17"/>
      <c r="C44" s="29"/>
      <c r="D44" s="17"/>
      <c r="E44" s="17"/>
      <c r="F44" s="17"/>
      <c r="G44" s="17"/>
      <c r="H44" s="17"/>
      <c r="I44" s="27"/>
      <c r="J44" s="17"/>
      <c r="K44" s="17"/>
      <c r="L44" s="17"/>
      <c r="M44" s="17"/>
      <c r="N44" s="17"/>
      <c r="O44" s="24"/>
      <c r="P44" s="24"/>
      <c r="Q44" s="24"/>
      <c r="R44" s="17"/>
      <c r="S44" s="17"/>
      <c r="T44" s="17"/>
      <c r="U44" s="17"/>
      <c r="V44" s="17"/>
      <c r="W44" s="17"/>
      <c r="X44" s="17"/>
      <c r="Y44" s="17"/>
    </row>
    <row r="45" spans="1:25" x14ac:dyDescent="0.3">
      <c r="A45" s="17"/>
      <c r="B45" s="17"/>
      <c r="C45" s="29"/>
      <c r="D45" s="17"/>
      <c r="E45" s="17"/>
      <c r="F45" s="17"/>
      <c r="G45" s="17"/>
      <c r="H45" s="17"/>
      <c r="I45" s="27"/>
      <c r="J45" s="17"/>
      <c r="K45" s="17"/>
      <c r="L45" s="17"/>
      <c r="M45" s="17"/>
      <c r="N45" s="17"/>
      <c r="O45" s="24"/>
      <c r="P45" s="24"/>
      <c r="Q45" s="24"/>
      <c r="R45" s="17"/>
      <c r="S45" s="17"/>
      <c r="T45" s="17"/>
      <c r="U45" s="17"/>
      <c r="V45" s="17"/>
      <c r="W45" s="17"/>
      <c r="X45" s="17"/>
      <c r="Y45" s="17"/>
    </row>
    <row r="46" spans="1:25" x14ac:dyDescent="0.3">
      <c r="A46" s="17"/>
      <c r="B46" s="17"/>
      <c r="C46" s="29"/>
      <c r="D46" s="17"/>
      <c r="E46" s="17"/>
      <c r="F46" s="17"/>
      <c r="G46" s="17"/>
      <c r="H46" s="17"/>
      <c r="I46" s="27"/>
      <c r="J46" s="17"/>
      <c r="K46" s="17"/>
      <c r="L46" s="17"/>
      <c r="M46" s="17"/>
      <c r="N46" s="17"/>
      <c r="O46" s="24"/>
      <c r="P46" s="24"/>
      <c r="Q46" s="24"/>
      <c r="R46" s="17"/>
      <c r="S46" s="17"/>
      <c r="T46" s="17"/>
      <c r="U46" s="17"/>
      <c r="V46" s="17"/>
      <c r="W46" s="17"/>
      <c r="X46" s="17"/>
      <c r="Y46" s="17"/>
    </row>
    <row r="47" spans="1:25" x14ac:dyDescent="0.3">
      <c r="A47" s="17"/>
      <c r="B47" s="17"/>
      <c r="C47" s="29"/>
      <c r="D47" s="17"/>
      <c r="E47" s="17"/>
      <c r="F47" s="17"/>
      <c r="G47" s="17"/>
      <c r="H47" s="17"/>
      <c r="I47" s="27"/>
      <c r="J47" s="17"/>
      <c r="K47" s="17"/>
      <c r="L47" s="17"/>
      <c r="M47" s="17"/>
      <c r="N47" s="17"/>
      <c r="O47" s="24"/>
      <c r="P47" s="24"/>
      <c r="Q47" s="24"/>
      <c r="R47" s="17"/>
      <c r="S47" s="17"/>
      <c r="T47" s="17"/>
      <c r="U47" s="17"/>
      <c r="V47" s="17"/>
      <c r="W47" s="17"/>
      <c r="X47" s="17"/>
      <c r="Y47" s="17"/>
    </row>
    <row r="48" spans="1:25" x14ac:dyDescent="0.3">
      <c r="A48" s="17"/>
      <c r="B48" s="17"/>
      <c r="C48" s="29"/>
      <c r="D48" s="17"/>
      <c r="E48" s="17"/>
      <c r="F48" s="17"/>
      <c r="G48" s="17"/>
      <c r="H48" s="17"/>
      <c r="I48" s="27"/>
      <c r="J48" s="17"/>
      <c r="K48" s="17"/>
      <c r="L48" s="17"/>
      <c r="M48" s="17"/>
      <c r="N48" s="17"/>
      <c r="O48" s="24"/>
      <c r="P48" s="24"/>
      <c r="Q48" s="24"/>
      <c r="R48" s="17"/>
      <c r="S48" s="17"/>
      <c r="T48" s="17"/>
      <c r="U48" s="17"/>
      <c r="V48" s="17"/>
      <c r="W48" s="17"/>
      <c r="X48" s="17"/>
      <c r="Y48" s="17"/>
    </row>
    <row r="49" spans="1:25" x14ac:dyDescent="0.3">
      <c r="A49" s="17"/>
      <c r="B49" s="17"/>
      <c r="C49" s="29"/>
      <c r="D49" s="17"/>
      <c r="E49" s="17"/>
      <c r="F49" s="17"/>
      <c r="G49" s="17"/>
      <c r="H49" s="17"/>
      <c r="I49" s="27"/>
      <c r="J49" s="17"/>
      <c r="K49" s="17"/>
      <c r="L49" s="17"/>
      <c r="M49" s="17"/>
      <c r="N49" s="17"/>
      <c r="O49" s="24"/>
      <c r="P49" s="24"/>
      <c r="Q49" s="24"/>
      <c r="R49" s="17"/>
      <c r="S49" s="17"/>
      <c r="T49" s="17"/>
      <c r="U49" s="17"/>
      <c r="V49" s="17"/>
      <c r="W49" s="17"/>
      <c r="X49" s="17"/>
      <c r="Y49" s="17"/>
    </row>
    <row r="50" spans="1:25" x14ac:dyDescent="0.3">
      <c r="A50" s="17"/>
      <c r="B50" s="17"/>
      <c r="C50" s="29"/>
      <c r="D50" s="17"/>
      <c r="E50" s="17"/>
      <c r="F50" s="17"/>
      <c r="G50" s="17"/>
      <c r="H50" s="17"/>
      <c r="I50" s="27"/>
      <c r="J50" s="17"/>
      <c r="K50" s="17"/>
      <c r="L50" s="17"/>
      <c r="M50" s="17"/>
      <c r="N50" s="17"/>
      <c r="O50" s="24"/>
      <c r="P50" s="24"/>
      <c r="Q50" s="24"/>
      <c r="R50" s="17"/>
      <c r="S50" s="17"/>
      <c r="T50" s="17"/>
      <c r="U50" s="17"/>
      <c r="V50" s="17"/>
      <c r="W50" s="17"/>
      <c r="X50" s="17"/>
      <c r="Y50" s="17"/>
    </row>
    <row r="51" spans="1:25" x14ac:dyDescent="0.3">
      <c r="A51" s="17"/>
      <c r="B51" s="17"/>
      <c r="C51" s="29"/>
      <c r="D51" s="17"/>
      <c r="E51" s="17"/>
      <c r="F51" s="17"/>
      <c r="G51" s="17"/>
      <c r="H51" s="17"/>
      <c r="I51" s="27"/>
      <c r="J51" s="17"/>
      <c r="K51" s="17"/>
      <c r="L51" s="17"/>
      <c r="M51" s="17"/>
      <c r="N51" s="17"/>
      <c r="O51" s="24"/>
      <c r="P51" s="24"/>
      <c r="Q51" s="24"/>
      <c r="R51" s="17"/>
      <c r="S51" s="17"/>
      <c r="T51" s="17"/>
      <c r="U51" s="17"/>
      <c r="V51" s="17"/>
      <c r="W51" s="17"/>
      <c r="X51" s="17"/>
      <c r="Y51" s="17"/>
    </row>
    <row r="52" spans="1:25" x14ac:dyDescent="0.3">
      <c r="A52" s="17"/>
      <c r="B52" s="17"/>
      <c r="C52" s="29"/>
      <c r="D52" s="17"/>
      <c r="E52" s="17"/>
      <c r="F52" s="17"/>
      <c r="G52" s="17"/>
      <c r="H52" s="17"/>
      <c r="I52" s="27"/>
      <c r="J52" s="17"/>
      <c r="K52" s="17"/>
      <c r="L52" s="17"/>
      <c r="M52" s="17"/>
      <c r="N52" s="17"/>
      <c r="O52" s="24"/>
      <c r="P52" s="24"/>
      <c r="Q52" s="24"/>
      <c r="R52" s="17"/>
      <c r="S52" s="17"/>
      <c r="T52" s="17"/>
      <c r="U52" s="17"/>
      <c r="V52" s="17"/>
      <c r="W52" s="17"/>
      <c r="X52" s="17"/>
      <c r="Y52" s="17"/>
    </row>
    <row r="53" spans="1:25" x14ac:dyDescent="0.3">
      <c r="A53" s="17"/>
      <c r="B53" s="17"/>
      <c r="C53" s="29"/>
      <c r="D53" s="17"/>
      <c r="E53" s="17"/>
      <c r="F53" s="17"/>
      <c r="G53" s="17"/>
      <c r="H53" s="17"/>
      <c r="I53" s="27"/>
      <c r="J53" s="17"/>
      <c r="K53" s="17"/>
      <c r="L53" s="17"/>
      <c r="M53" s="17"/>
      <c r="N53" s="17"/>
      <c r="O53" s="24"/>
      <c r="P53" s="24"/>
      <c r="Q53" s="24"/>
      <c r="R53" s="17"/>
      <c r="S53" s="17"/>
      <c r="T53" s="17"/>
      <c r="U53" s="17"/>
      <c r="V53" s="17"/>
      <c r="W53" s="17"/>
      <c r="X53" s="17"/>
      <c r="Y53" s="17"/>
    </row>
    <row r="54" spans="1:25" x14ac:dyDescent="0.3">
      <c r="A54" s="17"/>
      <c r="B54" s="17"/>
      <c r="C54" s="29"/>
      <c r="D54" s="17"/>
      <c r="E54" s="17"/>
      <c r="F54" s="17"/>
      <c r="G54" s="17"/>
      <c r="H54" s="17"/>
      <c r="I54" s="27"/>
      <c r="J54" s="17"/>
      <c r="K54" s="17"/>
      <c r="L54" s="17"/>
      <c r="M54" s="17"/>
      <c r="N54" s="17"/>
      <c r="O54" s="24"/>
      <c r="P54" s="24"/>
      <c r="Q54" s="24"/>
      <c r="R54" s="17"/>
      <c r="S54" s="17"/>
      <c r="T54" s="17"/>
      <c r="U54" s="17"/>
      <c r="V54" s="17"/>
      <c r="W54" s="17"/>
      <c r="X54" s="17"/>
      <c r="Y54" s="17"/>
    </row>
    <row r="55" spans="1:25" x14ac:dyDescent="0.3">
      <c r="A55" s="17"/>
      <c r="B55" s="17"/>
      <c r="C55" s="29"/>
      <c r="D55" s="17"/>
      <c r="E55" s="17"/>
      <c r="F55" s="17"/>
      <c r="G55" s="17"/>
      <c r="H55" s="17"/>
      <c r="I55" s="27"/>
      <c r="J55" s="17"/>
      <c r="K55" s="17"/>
      <c r="L55" s="17"/>
      <c r="M55" s="17"/>
      <c r="N55" s="17"/>
      <c r="O55" s="24"/>
      <c r="P55" s="24"/>
      <c r="Q55" s="24"/>
      <c r="R55" s="17"/>
      <c r="S55" s="17"/>
      <c r="T55" s="17"/>
      <c r="U55" s="17"/>
      <c r="V55" s="17"/>
      <c r="W55" s="17"/>
      <c r="X55" s="17"/>
      <c r="Y55" s="17"/>
    </row>
    <row r="56" spans="1:25" x14ac:dyDescent="0.3">
      <c r="A56" s="17"/>
      <c r="B56" s="17"/>
      <c r="C56" s="29"/>
      <c r="D56" s="17"/>
      <c r="E56" s="17"/>
      <c r="F56" s="17"/>
      <c r="G56" s="17"/>
      <c r="H56" s="17"/>
      <c r="I56" s="27"/>
      <c r="J56" s="17"/>
      <c r="K56" s="17"/>
      <c r="L56" s="17"/>
      <c r="M56" s="17"/>
      <c r="N56" s="17"/>
      <c r="O56" s="24"/>
      <c r="P56" s="24"/>
      <c r="Q56" s="24"/>
      <c r="R56" s="17"/>
      <c r="S56" s="17"/>
      <c r="T56" s="17"/>
      <c r="U56" s="17"/>
      <c r="V56" s="17"/>
      <c r="W56" s="17"/>
      <c r="X56" s="17"/>
      <c r="Y56" s="17"/>
    </row>
    <row r="57" spans="1:25" x14ac:dyDescent="0.3">
      <c r="A57" s="17"/>
      <c r="B57" s="17"/>
      <c r="C57" s="29"/>
      <c r="D57" s="17"/>
      <c r="E57" s="17"/>
      <c r="F57" s="17"/>
      <c r="G57" s="17"/>
      <c r="H57" s="17"/>
      <c r="I57" s="27"/>
      <c r="J57" s="17"/>
      <c r="K57" s="17"/>
      <c r="L57" s="17"/>
      <c r="M57" s="17"/>
      <c r="N57" s="17"/>
      <c r="O57" s="24"/>
      <c r="P57" s="24"/>
      <c r="Q57" s="24"/>
      <c r="R57" s="17"/>
      <c r="S57" s="17"/>
      <c r="T57" s="17"/>
      <c r="U57" s="17"/>
      <c r="V57" s="17"/>
      <c r="W57" s="17"/>
      <c r="X57" s="17"/>
      <c r="Y57" s="17"/>
    </row>
    <row r="58" spans="1:25" x14ac:dyDescent="0.3">
      <c r="A58" s="17"/>
      <c r="B58" s="17"/>
      <c r="C58" s="29"/>
      <c r="D58" s="17"/>
      <c r="E58" s="17"/>
      <c r="F58" s="17"/>
      <c r="G58" s="17"/>
      <c r="H58" s="17"/>
      <c r="I58" s="27"/>
      <c r="J58" s="17"/>
      <c r="K58" s="17"/>
      <c r="L58" s="17"/>
      <c r="M58" s="17"/>
      <c r="N58" s="17"/>
      <c r="O58" s="24"/>
      <c r="P58" s="24"/>
      <c r="Q58" s="24"/>
      <c r="R58" s="17"/>
      <c r="S58" s="17"/>
      <c r="T58" s="17"/>
      <c r="U58" s="17"/>
      <c r="V58" s="17"/>
      <c r="W58" s="17"/>
      <c r="X58" s="17"/>
      <c r="Y58" s="17"/>
    </row>
    <row r="59" spans="1:25" x14ac:dyDescent="0.3">
      <c r="A59" s="17"/>
      <c r="B59" s="17"/>
      <c r="C59" s="29"/>
      <c r="D59" s="17"/>
      <c r="E59" s="17"/>
      <c r="F59" s="17"/>
      <c r="G59" s="17"/>
      <c r="H59" s="17"/>
      <c r="I59" s="27"/>
      <c r="J59" s="17"/>
      <c r="K59" s="17"/>
      <c r="L59" s="17"/>
      <c r="M59" s="17"/>
      <c r="N59" s="17"/>
      <c r="O59" s="24"/>
      <c r="P59" s="24"/>
      <c r="Q59" s="24"/>
      <c r="R59" s="17"/>
      <c r="S59" s="17"/>
      <c r="T59" s="17"/>
      <c r="U59" s="17"/>
      <c r="V59" s="17"/>
      <c r="W59" s="17"/>
      <c r="X59" s="17"/>
      <c r="Y59" s="17"/>
    </row>
    <row r="60" spans="1:25" x14ac:dyDescent="0.3">
      <c r="A60" s="17"/>
      <c r="B60" s="17"/>
      <c r="C60" s="29"/>
      <c r="D60" s="17"/>
      <c r="E60" s="17"/>
      <c r="F60" s="17"/>
      <c r="G60" s="17"/>
      <c r="H60" s="17"/>
      <c r="I60" s="27"/>
      <c r="J60" s="17"/>
      <c r="K60" s="17"/>
      <c r="L60" s="17"/>
      <c r="M60" s="17"/>
      <c r="N60" s="17"/>
      <c r="O60" s="24"/>
      <c r="P60" s="24"/>
      <c r="Q60" s="24"/>
      <c r="R60" s="17"/>
      <c r="S60" s="17"/>
      <c r="T60" s="17"/>
      <c r="U60" s="17"/>
      <c r="V60" s="17"/>
      <c r="W60" s="17"/>
      <c r="X60" s="17"/>
      <c r="Y60" s="17"/>
    </row>
    <row r="61" spans="1:25" x14ac:dyDescent="0.3">
      <c r="A61" s="1"/>
      <c r="B61" s="1"/>
      <c r="C61" s="12"/>
      <c r="D61" s="1"/>
      <c r="E61" s="1"/>
      <c r="F61" s="1"/>
      <c r="G61" s="1"/>
      <c r="H61" s="1"/>
      <c r="I61" s="7"/>
      <c r="J61" s="1"/>
      <c r="K61" s="1"/>
      <c r="L61" s="1"/>
      <c r="M61" s="1"/>
      <c r="N61" s="1"/>
      <c r="O61" s="5"/>
      <c r="P61" s="5"/>
      <c r="Q61" s="5"/>
    </row>
    <row r="62" spans="1:25" x14ac:dyDescent="0.3">
      <c r="A62" s="1"/>
      <c r="B62" s="1"/>
      <c r="C62" s="12"/>
      <c r="D62" s="1"/>
      <c r="E62" s="1"/>
      <c r="F62" s="1"/>
      <c r="G62" s="1"/>
      <c r="H62" s="1"/>
      <c r="I62" s="7"/>
      <c r="J62" s="1"/>
      <c r="K62" s="1"/>
      <c r="L62" s="1"/>
      <c r="M62" s="1"/>
      <c r="N62" s="1"/>
      <c r="O62" s="5"/>
      <c r="P62" s="5"/>
      <c r="Q62" s="5"/>
    </row>
    <row r="63" spans="1:25" x14ac:dyDescent="0.3">
      <c r="A63" s="1"/>
      <c r="B63" s="1"/>
      <c r="C63" s="12"/>
      <c r="D63" s="1"/>
      <c r="E63" s="1"/>
      <c r="F63" s="1"/>
      <c r="G63" s="1"/>
      <c r="H63" s="1"/>
      <c r="I63" s="7"/>
      <c r="J63" s="1"/>
      <c r="K63" s="1"/>
      <c r="L63" s="1"/>
      <c r="M63" s="1"/>
      <c r="N63" s="1"/>
      <c r="O63" s="5"/>
      <c r="P63" s="5"/>
      <c r="Q63" s="5"/>
    </row>
    <row r="64" spans="1:25" x14ac:dyDescent="0.3">
      <c r="A64" s="1"/>
      <c r="B64" s="1"/>
      <c r="C64" s="12"/>
      <c r="D64" s="1"/>
      <c r="E64" s="1"/>
      <c r="F64" s="1"/>
      <c r="G64" s="1"/>
      <c r="H64" s="1"/>
      <c r="I64" s="7"/>
      <c r="J64" s="1"/>
      <c r="K64" s="1"/>
      <c r="L64" s="1"/>
      <c r="M64" s="1"/>
      <c r="N64" s="1"/>
      <c r="O64" s="5"/>
      <c r="P64" s="5"/>
      <c r="Q64" s="5"/>
    </row>
    <row r="65" spans="1:17" x14ac:dyDescent="0.3">
      <c r="A65" s="1"/>
      <c r="B65" s="1"/>
      <c r="C65" s="12"/>
      <c r="D65" s="1"/>
      <c r="E65" s="1"/>
      <c r="F65" s="1"/>
      <c r="G65" s="1"/>
      <c r="H65" s="1"/>
      <c r="I65" s="7"/>
      <c r="J65" s="1"/>
      <c r="K65" s="1"/>
      <c r="L65" s="1"/>
      <c r="M65" s="1"/>
      <c r="N65" s="1"/>
      <c r="O65" s="5"/>
      <c r="P65" s="5"/>
      <c r="Q65" s="5"/>
    </row>
    <row r="66" spans="1:17" x14ac:dyDescent="0.3">
      <c r="A66" s="1"/>
      <c r="B66" s="1"/>
      <c r="C66" s="12"/>
      <c r="D66" s="1"/>
      <c r="E66" s="1"/>
      <c r="F66" s="1"/>
      <c r="G66" s="1"/>
      <c r="H66" s="1"/>
      <c r="I66" s="7"/>
      <c r="J66" s="1"/>
      <c r="K66" s="1"/>
      <c r="L66" s="1"/>
      <c r="M66" s="1"/>
      <c r="N66" s="1"/>
      <c r="O66" s="5"/>
      <c r="P66" s="5"/>
      <c r="Q66" s="5"/>
    </row>
    <row r="67" spans="1:17" x14ac:dyDescent="0.3">
      <c r="A67" s="1"/>
      <c r="B67" s="1"/>
      <c r="C67" s="12"/>
      <c r="D67" s="1"/>
      <c r="E67" s="1"/>
      <c r="F67" s="1"/>
      <c r="G67" s="1"/>
      <c r="H67" s="1"/>
      <c r="I67" s="7"/>
      <c r="J67" s="1"/>
      <c r="K67" s="1"/>
      <c r="L67" s="1"/>
      <c r="M67" s="1"/>
      <c r="N67" s="1"/>
      <c r="O67" s="5"/>
      <c r="P67" s="5"/>
      <c r="Q67" s="5"/>
    </row>
    <row r="68" spans="1:17" x14ac:dyDescent="0.3">
      <c r="A68" s="1"/>
      <c r="B68" s="1"/>
      <c r="C68" s="12"/>
      <c r="D68" s="1"/>
      <c r="E68" s="1"/>
      <c r="F68" s="1"/>
      <c r="G68" s="1"/>
      <c r="H68" s="1"/>
      <c r="I68" s="7"/>
      <c r="J68" s="1"/>
      <c r="K68" s="1"/>
      <c r="L68" s="1"/>
      <c r="M68" s="1"/>
      <c r="N68" s="1"/>
      <c r="O68" s="5"/>
      <c r="P68" s="5"/>
      <c r="Q68" s="5"/>
    </row>
    <row r="69" spans="1:17" x14ac:dyDescent="0.3">
      <c r="A69" s="1"/>
      <c r="B69" s="1"/>
      <c r="C69" s="12"/>
      <c r="D69" s="1"/>
      <c r="E69" s="1"/>
      <c r="F69" s="1"/>
      <c r="G69" s="1"/>
      <c r="H69" s="1"/>
      <c r="I69" s="7"/>
      <c r="J69" s="1"/>
      <c r="K69" s="1"/>
      <c r="L69" s="1"/>
      <c r="M69" s="1"/>
      <c r="N69" s="1"/>
      <c r="O69" s="5"/>
      <c r="P69" s="5"/>
      <c r="Q69" s="5"/>
    </row>
    <row r="70" spans="1:17" x14ac:dyDescent="0.3">
      <c r="A70" s="1"/>
      <c r="B70" s="1"/>
      <c r="C70" s="12"/>
      <c r="D70" s="1"/>
      <c r="E70" s="1"/>
      <c r="F70" s="1"/>
      <c r="G70" s="1"/>
      <c r="H70" s="1"/>
      <c r="I70" s="7"/>
      <c r="J70" s="1"/>
      <c r="K70" s="1"/>
      <c r="L70" s="1"/>
      <c r="M70" s="1"/>
      <c r="N70" s="1"/>
      <c r="O70" s="5"/>
      <c r="P70" s="5"/>
      <c r="Q70" s="5"/>
    </row>
    <row r="71" spans="1:17" x14ac:dyDescent="0.3">
      <c r="A71" s="1"/>
      <c r="B71" s="1"/>
      <c r="C71" s="12"/>
      <c r="D71" s="1"/>
      <c r="E71" s="1"/>
      <c r="F71" s="1"/>
      <c r="G71" s="1"/>
      <c r="H71" s="1"/>
      <c r="I71" s="7"/>
      <c r="J71" s="1"/>
      <c r="K71" s="1"/>
      <c r="L71" s="1"/>
      <c r="M71" s="1"/>
      <c r="N71" s="1"/>
      <c r="O71" s="5"/>
      <c r="P71" s="5"/>
      <c r="Q71" s="5"/>
    </row>
    <row r="72" spans="1:17" x14ac:dyDescent="0.3">
      <c r="A72" s="1"/>
      <c r="B72" s="1"/>
      <c r="C72" s="12"/>
      <c r="D72" s="1"/>
      <c r="E72" s="1"/>
      <c r="F72" s="1"/>
      <c r="G72" s="1"/>
      <c r="H72" s="1"/>
      <c r="I72" s="7"/>
      <c r="J72" s="1"/>
      <c r="K72" s="1"/>
      <c r="L72" s="1"/>
      <c r="M72" s="1"/>
      <c r="N72" s="1"/>
      <c r="O72" s="5"/>
      <c r="P72" s="5"/>
      <c r="Q72" s="5"/>
    </row>
    <row r="73" spans="1:17" x14ac:dyDescent="0.3">
      <c r="A73" s="1"/>
      <c r="B73" s="1"/>
      <c r="C73" s="12"/>
      <c r="D73" s="1"/>
      <c r="E73" s="1"/>
      <c r="F73" s="1"/>
      <c r="G73" s="1"/>
      <c r="H73" s="1"/>
      <c r="I73" s="7"/>
      <c r="J73" s="1"/>
      <c r="K73" s="1"/>
      <c r="L73" s="1"/>
      <c r="M73" s="1"/>
      <c r="N73" s="1"/>
      <c r="O73" s="5"/>
      <c r="P73" s="5"/>
      <c r="Q73" s="5"/>
    </row>
    <row r="74" spans="1:17" x14ac:dyDescent="0.3">
      <c r="A74" s="1"/>
      <c r="B74" s="1"/>
      <c r="C74" s="12"/>
      <c r="D74" s="1"/>
      <c r="E74" s="1"/>
      <c r="F74" s="1"/>
      <c r="G74" s="1"/>
      <c r="H74" s="1"/>
      <c r="I74" s="7"/>
      <c r="J74" s="1"/>
      <c r="K74" s="1"/>
      <c r="L74" s="1"/>
      <c r="M74" s="1"/>
      <c r="N74" s="1"/>
      <c r="O74" s="5"/>
      <c r="P74" s="5"/>
      <c r="Q74" s="5"/>
    </row>
    <row r="75" spans="1:17" x14ac:dyDescent="0.3">
      <c r="A75" s="1"/>
      <c r="B75" s="1"/>
      <c r="C75" s="12"/>
      <c r="D75" s="1"/>
      <c r="E75" s="1"/>
      <c r="F75" s="1"/>
      <c r="G75" s="1"/>
      <c r="H75" s="1"/>
      <c r="I75" s="7"/>
      <c r="J75" s="1"/>
      <c r="K75" s="1"/>
      <c r="L75" s="1"/>
      <c r="M75" s="1"/>
      <c r="N75" s="1"/>
      <c r="O75" s="5"/>
      <c r="P75" s="5"/>
      <c r="Q75" s="5"/>
    </row>
    <row r="76" spans="1:17" x14ac:dyDescent="0.3">
      <c r="A76" s="1"/>
      <c r="B76" s="1"/>
      <c r="C76" s="12"/>
      <c r="D76" s="1"/>
      <c r="E76" s="1"/>
      <c r="F76" s="1"/>
      <c r="G76" s="1"/>
      <c r="H76" s="1"/>
      <c r="I76" s="7"/>
      <c r="J76" s="1"/>
      <c r="K76" s="1"/>
      <c r="L76" s="1"/>
      <c r="M76" s="1"/>
      <c r="N76" s="1"/>
      <c r="O76" s="5"/>
      <c r="P76" s="5"/>
      <c r="Q76" s="5"/>
    </row>
    <row r="77" spans="1:17" x14ac:dyDescent="0.3">
      <c r="A77" s="1"/>
      <c r="B77" s="1"/>
      <c r="C77" s="12"/>
      <c r="D77" s="1"/>
      <c r="E77" s="1"/>
      <c r="F77" s="1"/>
      <c r="G77" s="1"/>
      <c r="H77" s="1"/>
      <c r="I77" s="7"/>
      <c r="J77" s="1"/>
      <c r="K77" s="1"/>
      <c r="L77" s="1"/>
      <c r="M77" s="1"/>
      <c r="N77" s="1"/>
      <c r="O77" s="5"/>
      <c r="P77" s="5"/>
      <c r="Q77" s="5"/>
    </row>
    <row r="78" spans="1:17" x14ac:dyDescent="0.3">
      <c r="A78" s="1"/>
      <c r="B78" s="1"/>
      <c r="C78" s="12"/>
      <c r="D78" s="1"/>
      <c r="E78" s="1"/>
      <c r="F78" s="1"/>
      <c r="G78" s="1"/>
      <c r="H78" s="1"/>
      <c r="I78" s="7"/>
      <c r="J78" s="1"/>
      <c r="K78" s="1"/>
      <c r="L78" s="1"/>
      <c r="M78" s="1"/>
      <c r="N78" s="1"/>
      <c r="O78" s="5"/>
      <c r="P78" s="5"/>
      <c r="Q78" s="5"/>
    </row>
    <row r="79" spans="1:17" x14ac:dyDescent="0.3">
      <c r="A79" s="1"/>
      <c r="B79" s="1"/>
      <c r="C79" s="12"/>
      <c r="D79" s="1"/>
      <c r="E79" s="1"/>
      <c r="F79" s="1"/>
      <c r="G79" s="1"/>
      <c r="H79" s="1"/>
      <c r="I79" s="7"/>
      <c r="J79" s="1"/>
      <c r="K79" s="1"/>
      <c r="L79" s="1"/>
      <c r="M79" s="1"/>
      <c r="N79" s="1"/>
      <c r="O79" s="5"/>
      <c r="P79" s="5"/>
      <c r="Q79" s="5"/>
    </row>
    <row r="80" spans="1:17" x14ac:dyDescent="0.3">
      <c r="A80" s="1"/>
      <c r="B80" s="1"/>
      <c r="C80" s="12"/>
      <c r="D80" s="1"/>
      <c r="E80" s="1"/>
      <c r="F80" s="1"/>
      <c r="G80" s="1"/>
      <c r="H80" s="1"/>
      <c r="I80" s="7"/>
      <c r="J80" s="1"/>
      <c r="K80" s="1"/>
      <c r="L80" s="1"/>
      <c r="M80" s="1"/>
      <c r="N80" s="1"/>
      <c r="O80" s="5"/>
      <c r="P80" s="5"/>
      <c r="Q80" s="5"/>
    </row>
    <row r="81" spans="1:17" x14ac:dyDescent="0.3">
      <c r="A81" s="1"/>
      <c r="B81" s="1"/>
      <c r="C81" s="12"/>
      <c r="D81" s="1"/>
      <c r="E81" s="1"/>
      <c r="F81" s="1"/>
      <c r="G81" s="1"/>
      <c r="H81" s="1"/>
      <c r="I81" s="7"/>
      <c r="J81" s="1"/>
      <c r="K81" s="1"/>
      <c r="L81" s="1"/>
      <c r="M81" s="1"/>
      <c r="N81" s="1"/>
      <c r="O81" s="5"/>
      <c r="P81" s="5"/>
      <c r="Q81" s="5"/>
    </row>
    <row r="82" spans="1:17" x14ac:dyDescent="0.3">
      <c r="A82" s="1"/>
      <c r="B82" s="1"/>
      <c r="C82" s="12"/>
      <c r="D82" s="1"/>
      <c r="E82" s="1"/>
      <c r="F82" s="1"/>
      <c r="G82" s="1"/>
      <c r="H82" s="1"/>
      <c r="I82" s="7"/>
      <c r="J82" s="1"/>
      <c r="K82" s="1"/>
      <c r="L82" s="1"/>
      <c r="M82" s="1"/>
      <c r="N82" s="1"/>
      <c r="O82" s="5"/>
      <c r="P82" s="5"/>
      <c r="Q82" s="5"/>
    </row>
    <row r="83" spans="1:17" x14ac:dyDescent="0.3">
      <c r="A83" s="1"/>
      <c r="B83" s="1"/>
      <c r="C83" s="12"/>
      <c r="D83" s="1"/>
      <c r="E83" s="1"/>
      <c r="F83" s="1"/>
      <c r="G83" s="1"/>
      <c r="H83" s="1"/>
      <c r="I83" s="7"/>
      <c r="J83" s="1"/>
      <c r="K83" s="1"/>
      <c r="L83" s="1"/>
      <c r="M83" s="1"/>
      <c r="N83" s="1"/>
      <c r="O83" s="5"/>
      <c r="P83" s="5"/>
      <c r="Q83" s="5"/>
    </row>
    <row r="84" spans="1:17" x14ac:dyDescent="0.3">
      <c r="A84" s="1"/>
      <c r="B84" s="1"/>
      <c r="C84" s="12"/>
      <c r="D84" s="1"/>
      <c r="E84" s="1"/>
      <c r="F84" s="1"/>
      <c r="G84" s="1"/>
      <c r="H84" s="1"/>
      <c r="I84" s="7"/>
      <c r="J84" s="1"/>
      <c r="K84" s="1"/>
      <c r="L84" s="1"/>
      <c r="M84" s="1"/>
      <c r="N84" s="1"/>
      <c r="O84" s="5"/>
      <c r="P84" s="5"/>
      <c r="Q84" s="5"/>
    </row>
    <row r="85" spans="1:17" x14ac:dyDescent="0.3">
      <c r="A85" s="1"/>
      <c r="B85" s="1"/>
      <c r="C85" s="12"/>
      <c r="D85" s="1"/>
      <c r="E85" s="1"/>
      <c r="F85" s="1"/>
      <c r="G85" s="1"/>
      <c r="H85" s="1"/>
      <c r="I85" s="7"/>
      <c r="J85" s="1"/>
      <c r="K85" s="1"/>
      <c r="L85" s="1"/>
      <c r="M85" s="1"/>
      <c r="N85" s="1"/>
      <c r="O85" s="5"/>
      <c r="P85" s="5"/>
      <c r="Q85" s="5"/>
    </row>
    <row r="86" spans="1:17" x14ac:dyDescent="0.3">
      <c r="A86" s="1"/>
      <c r="B86" s="1"/>
      <c r="C86" s="12"/>
      <c r="D86" s="1"/>
      <c r="E86" s="1"/>
      <c r="F86" s="1"/>
      <c r="G86" s="1"/>
      <c r="H86" s="1"/>
      <c r="I86" s="7"/>
      <c r="J86" s="1"/>
      <c r="K86" s="1"/>
      <c r="L86" s="1"/>
      <c r="M86" s="1"/>
      <c r="N86" s="1"/>
      <c r="O86" s="5"/>
      <c r="P86" s="5"/>
      <c r="Q86" s="5"/>
    </row>
    <row r="87" spans="1:17" x14ac:dyDescent="0.3">
      <c r="A87" s="1"/>
      <c r="B87" s="1"/>
      <c r="C87" s="12"/>
      <c r="D87" s="1"/>
      <c r="E87" s="1"/>
      <c r="F87" s="1"/>
      <c r="G87" s="1"/>
      <c r="H87" s="1"/>
      <c r="I87" s="7"/>
      <c r="J87" s="1"/>
      <c r="K87" s="1"/>
      <c r="L87" s="1"/>
      <c r="M87" s="1"/>
      <c r="N87" s="1"/>
      <c r="O87" s="5"/>
      <c r="P87" s="5"/>
      <c r="Q87" s="5"/>
    </row>
    <row r="88" spans="1:17" x14ac:dyDescent="0.3">
      <c r="A88" s="1"/>
      <c r="B88" s="1"/>
      <c r="C88" s="12"/>
      <c r="D88" s="1"/>
      <c r="E88" s="1"/>
      <c r="F88" s="1"/>
      <c r="G88" s="1"/>
      <c r="H88" s="1"/>
      <c r="I88" s="7"/>
      <c r="J88" s="1"/>
      <c r="K88" s="1"/>
      <c r="L88" s="1"/>
      <c r="M88" s="1"/>
      <c r="N88" s="1"/>
      <c r="O88" s="5"/>
      <c r="P88" s="5"/>
      <c r="Q88" s="5"/>
    </row>
    <row r="89" spans="1:17" x14ac:dyDescent="0.3">
      <c r="A89" s="1"/>
      <c r="B89" s="1"/>
      <c r="C89" s="12"/>
      <c r="D89" s="1"/>
      <c r="E89" s="1"/>
      <c r="F89" s="1"/>
      <c r="G89" s="1"/>
      <c r="H89" s="1"/>
      <c r="I89" s="7"/>
      <c r="J89" s="1"/>
      <c r="K89" s="1"/>
      <c r="L89" s="1"/>
      <c r="M89" s="1"/>
      <c r="N89" s="1"/>
      <c r="O89" s="5"/>
      <c r="P89" s="5"/>
      <c r="Q89" s="5"/>
    </row>
    <row r="90" spans="1:17" x14ac:dyDescent="0.3">
      <c r="A90" s="1"/>
      <c r="B90" s="1"/>
      <c r="C90" s="12"/>
      <c r="D90" s="1"/>
      <c r="E90" s="1"/>
      <c r="F90" s="1"/>
      <c r="G90" s="1"/>
      <c r="H90" s="1"/>
      <c r="I90" s="7"/>
      <c r="J90" s="1"/>
      <c r="K90" s="1"/>
      <c r="L90" s="1"/>
      <c r="M90" s="1"/>
      <c r="N90" s="1"/>
      <c r="O90" s="5"/>
      <c r="P90" s="5"/>
      <c r="Q90" s="5"/>
    </row>
    <row r="91" spans="1:17" x14ac:dyDescent="0.3">
      <c r="A91" s="1"/>
      <c r="B91" s="1"/>
      <c r="C91" s="12"/>
      <c r="D91" s="1"/>
      <c r="E91" s="1"/>
      <c r="F91" s="1"/>
      <c r="G91" s="1"/>
      <c r="H91" s="1"/>
      <c r="I91" s="7"/>
      <c r="J91" s="1"/>
      <c r="K91" s="1"/>
      <c r="L91" s="1"/>
      <c r="M91" s="1"/>
      <c r="N91" s="1"/>
      <c r="O91" s="5"/>
      <c r="P91" s="5"/>
      <c r="Q91" s="5"/>
    </row>
    <row r="92" spans="1:17" x14ac:dyDescent="0.3">
      <c r="A92" s="1"/>
      <c r="B92" s="1"/>
      <c r="C92" s="12"/>
      <c r="D92" s="1"/>
      <c r="E92" s="1"/>
      <c r="F92" s="1"/>
      <c r="G92" s="1"/>
      <c r="H92" s="1"/>
      <c r="I92" s="7"/>
      <c r="J92" s="1"/>
      <c r="K92" s="1"/>
      <c r="L92" s="1"/>
      <c r="M92" s="1"/>
      <c r="N92" s="1"/>
      <c r="O92" s="5"/>
      <c r="P92" s="5"/>
      <c r="Q92" s="5"/>
    </row>
    <row r="93" spans="1:17" x14ac:dyDescent="0.3">
      <c r="A93" s="1"/>
      <c r="B93" s="1"/>
      <c r="C93" s="12"/>
      <c r="D93" s="1"/>
      <c r="E93" s="1"/>
      <c r="F93" s="1"/>
      <c r="G93" s="1"/>
      <c r="H93" s="1"/>
      <c r="I93" s="7"/>
      <c r="J93" s="1"/>
      <c r="K93" s="1"/>
      <c r="L93" s="1"/>
      <c r="M93" s="1"/>
      <c r="N93" s="1"/>
      <c r="O93" s="5"/>
      <c r="P93" s="5"/>
      <c r="Q93" s="5"/>
    </row>
    <row r="94" spans="1:17" x14ac:dyDescent="0.3">
      <c r="A94" s="1"/>
      <c r="B94" s="1"/>
      <c r="C94" s="12"/>
      <c r="D94" s="1"/>
      <c r="E94" s="1"/>
      <c r="F94" s="1"/>
      <c r="G94" s="1"/>
      <c r="H94" s="1"/>
      <c r="I94" s="7"/>
      <c r="J94" s="1"/>
      <c r="K94" s="1"/>
      <c r="L94" s="1"/>
      <c r="M94" s="1"/>
      <c r="N94" s="1"/>
      <c r="O94" s="5"/>
      <c r="P94" s="5"/>
      <c r="Q94" s="5"/>
    </row>
    <row r="95" spans="1:17" x14ac:dyDescent="0.3">
      <c r="A95" s="1"/>
      <c r="B95" s="1"/>
      <c r="C95" s="12"/>
      <c r="D95" s="1"/>
      <c r="E95" s="1"/>
      <c r="F95" s="1"/>
      <c r="G95" s="1"/>
      <c r="H95" s="1"/>
      <c r="I95" s="7"/>
      <c r="J95" s="1"/>
      <c r="K95" s="1"/>
      <c r="L95" s="1"/>
      <c r="M95" s="1"/>
      <c r="N95" s="1"/>
      <c r="O95" s="5"/>
      <c r="P95" s="5"/>
      <c r="Q95" s="5"/>
    </row>
    <row r="96" spans="1:17" x14ac:dyDescent="0.3">
      <c r="A96" s="1"/>
      <c r="B96" s="1"/>
      <c r="C96" s="12"/>
      <c r="D96" s="1"/>
      <c r="E96" s="1"/>
      <c r="F96" s="1"/>
      <c r="G96" s="1"/>
      <c r="H96" s="1"/>
      <c r="I96" s="7"/>
      <c r="J96" s="1"/>
      <c r="K96" s="1"/>
      <c r="L96" s="1"/>
      <c r="M96" s="1"/>
      <c r="N96" s="1"/>
      <c r="O96" s="5"/>
      <c r="P96" s="5"/>
      <c r="Q96" s="5"/>
    </row>
    <row r="97" spans="1:17" x14ac:dyDescent="0.3">
      <c r="A97" s="1"/>
      <c r="B97" s="1"/>
      <c r="C97" s="12"/>
      <c r="D97" s="1"/>
      <c r="E97" s="1"/>
      <c r="F97" s="1"/>
      <c r="G97" s="1"/>
      <c r="H97" s="1"/>
      <c r="I97" s="7"/>
      <c r="J97" s="1"/>
      <c r="K97" s="1"/>
      <c r="L97" s="1"/>
      <c r="M97" s="1"/>
      <c r="N97" s="1"/>
      <c r="O97" s="5"/>
      <c r="P97" s="5"/>
      <c r="Q97" s="5"/>
    </row>
    <row r="98" spans="1:17" x14ac:dyDescent="0.3">
      <c r="A98" s="1"/>
      <c r="B98" s="1"/>
      <c r="C98" s="12"/>
      <c r="D98" s="1"/>
      <c r="E98" s="1"/>
      <c r="F98" s="1"/>
      <c r="G98" s="1"/>
      <c r="H98" s="1"/>
      <c r="I98" s="7"/>
      <c r="J98" s="1"/>
      <c r="K98" s="1"/>
      <c r="L98" s="1"/>
      <c r="M98" s="1"/>
      <c r="N98" s="1"/>
      <c r="O98" s="5"/>
      <c r="P98" s="5"/>
      <c r="Q98" s="5"/>
    </row>
    <row r="99" spans="1:17" x14ac:dyDescent="0.3">
      <c r="A99" s="1"/>
      <c r="B99" s="1"/>
      <c r="C99" s="12"/>
      <c r="D99" s="1"/>
      <c r="E99" s="1"/>
      <c r="F99" s="1"/>
      <c r="G99" s="1"/>
      <c r="H99" s="1"/>
      <c r="I99" s="7"/>
      <c r="J99" s="1"/>
      <c r="K99" s="1"/>
      <c r="L99" s="1"/>
      <c r="M99" s="1"/>
      <c r="N99" s="1"/>
      <c r="O99" s="5"/>
      <c r="P99" s="5"/>
      <c r="Q99" s="5"/>
    </row>
    <row r="100" spans="1:17" x14ac:dyDescent="0.3">
      <c r="A100" s="1"/>
      <c r="B100" s="1"/>
      <c r="C100" s="12"/>
      <c r="D100" s="1"/>
      <c r="E100" s="1"/>
      <c r="F100" s="1"/>
      <c r="G100" s="1"/>
      <c r="H100" s="1"/>
      <c r="I100" s="7"/>
      <c r="J100" s="1"/>
      <c r="K100" s="1"/>
      <c r="L100" s="1"/>
      <c r="M100" s="1"/>
      <c r="N100" s="1"/>
      <c r="O100" s="5"/>
      <c r="P100" s="5"/>
      <c r="Q100" s="5"/>
    </row>
    <row r="101" spans="1:17" x14ac:dyDescent="0.3">
      <c r="A101" s="1"/>
      <c r="B101" s="1"/>
      <c r="C101" s="12"/>
      <c r="D101" s="1"/>
      <c r="E101" s="1"/>
      <c r="F101" s="1"/>
      <c r="G101" s="1"/>
      <c r="H101" s="1"/>
      <c r="I101" s="7"/>
      <c r="J101" s="1"/>
      <c r="K101" s="1"/>
      <c r="L101" s="1"/>
      <c r="M101" s="1"/>
      <c r="N101" s="1"/>
      <c r="O101" s="5"/>
      <c r="P101" s="5"/>
      <c r="Q101" s="5"/>
    </row>
    <row r="102" spans="1:17" x14ac:dyDescent="0.3">
      <c r="A102" s="1"/>
      <c r="B102" s="1"/>
      <c r="C102" s="12"/>
      <c r="D102" s="1"/>
      <c r="E102" s="1"/>
      <c r="F102" s="1"/>
      <c r="G102" s="1"/>
      <c r="H102" s="1"/>
      <c r="I102" s="7"/>
      <c r="J102" s="1"/>
      <c r="K102" s="1"/>
      <c r="L102" s="1"/>
      <c r="M102" s="1"/>
      <c r="N102" s="1"/>
      <c r="O102" s="5"/>
      <c r="P102" s="5"/>
      <c r="Q102" s="5"/>
    </row>
    <row r="103" spans="1:17" x14ac:dyDescent="0.3">
      <c r="A103" s="1"/>
      <c r="B103" s="1"/>
      <c r="C103" s="12"/>
      <c r="D103" s="1"/>
      <c r="E103" s="1"/>
      <c r="F103" s="1"/>
      <c r="G103" s="1"/>
      <c r="H103" s="1"/>
      <c r="I103" s="7"/>
      <c r="J103" s="1"/>
      <c r="K103" s="1"/>
      <c r="L103" s="1"/>
      <c r="M103" s="1"/>
      <c r="N103" s="1"/>
      <c r="O103" s="5"/>
      <c r="P103" s="5"/>
      <c r="Q103" s="5"/>
    </row>
    <row r="104" spans="1:17" x14ac:dyDescent="0.3">
      <c r="A104" s="1"/>
      <c r="B104" s="1"/>
      <c r="C104" s="12"/>
      <c r="D104" s="1"/>
      <c r="E104" s="1"/>
      <c r="F104" s="1"/>
      <c r="G104" s="1"/>
      <c r="H104" s="1"/>
      <c r="I104" s="7"/>
      <c r="J104" s="1"/>
      <c r="K104" s="1"/>
      <c r="L104" s="1"/>
      <c r="M104" s="1"/>
      <c r="N104" s="1"/>
      <c r="O104" s="5"/>
      <c r="P104" s="5"/>
      <c r="Q104" s="5"/>
    </row>
    <row r="105" spans="1:17" x14ac:dyDescent="0.3">
      <c r="A105" s="1"/>
      <c r="B105" s="1"/>
      <c r="C105" s="12"/>
      <c r="D105" s="1"/>
      <c r="E105" s="1"/>
      <c r="F105" s="1"/>
      <c r="G105" s="1"/>
      <c r="H105" s="1"/>
      <c r="I105" s="7"/>
      <c r="J105" s="1"/>
      <c r="K105" s="1"/>
      <c r="L105" s="1"/>
      <c r="M105" s="1"/>
      <c r="N105" s="1"/>
      <c r="O105" s="5"/>
      <c r="P105" s="5"/>
      <c r="Q105" s="5"/>
    </row>
    <row r="106" spans="1:17" x14ac:dyDescent="0.3">
      <c r="A106" s="1"/>
      <c r="B106" s="1"/>
      <c r="C106" s="12"/>
      <c r="D106" s="1"/>
      <c r="E106" s="1"/>
      <c r="F106" s="1"/>
      <c r="G106" s="1"/>
      <c r="H106" s="1"/>
      <c r="I106" s="7"/>
      <c r="J106" s="1"/>
      <c r="K106" s="1"/>
      <c r="L106" s="1"/>
      <c r="M106" s="1"/>
      <c r="N106" s="1"/>
      <c r="O106" s="5"/>
      <c r="P106" s="5"/>
      <c r="Q106" s="5"/>
    </row>
    <row r="107" spans="1:17" x14ac:dyDescent="0.3">
      <c r="A107" s="1"/>
      <c r="B107" s="1"/>
      <c r="C107" s="12"/>
      <c r="D107" s="1"/>
      <c r="E107" s="1"/>
      <c r="F107" s="1"/>
      <c r="G107" s="1"/>
      <c r="H107" s="1"/>
      <c r="I107" s="7"/>
      <c r="J107" s="1"/>
      <c r="K107" s="1"/>
      <c r="L107" s="1"/>
      <c r="M107" s="1"/>
      <c r="N107" s="1"/>
      <c r="O107" s="5"/>
      <c r="P107" s="5"/>
      <c r="Q107" s="5"/>
    </row>
    <row r="108" spans="1:17" x14ac:dyDescent="0.3">
      <c r="A108" s="1"/>
      <c r="B108" s="1"/>
      <c r="C108" s="12"/>
      <c r="D108" s="1"/>
      <c r="E108" s="1"/>
      <c r="F108" s="1"/>
      <c r="G108" s="1"/>
      <c r="H108" s="1"/>
      <c r="I108" s="7"/>
      <c r="J108" s="1"/>
      <c r="K108" s="1"/>
      <c r="L108" s="1"/>
      <c r="M108" s="1"/>
      <c r="N108" s="1"/>
      <c r="O108" s="5"/>
      <c r="P108" s="5"/>
      <c r="Q108" s="5"/>
    </row>
    <row r="109" spans="1:17" x14ac:dyDescent="0.3">
      <c r="A109" s="1"/>
      <c r="B109" s="1"/>
      <c r="C109" s="12"/>
      <c r="D109" s="1"/>
      <c r="E109" s="1"/>
      <c r="F109" s="1"/>
      <c r="G109" s="1"/>
      <c r="H109" s="1"/>
      <c r="I109" s="7"/>
      <c r="J109" s="1"/>
      <c r="K109" s="1"/>
      <c r="L109" s="1"/>
      <c r="M109" s="1"/>
      <c r="N109" s="1"/>
      <c r="O109" s="5"/>
      <c r="P109" s="5"/>
      <c r="Q109" s="5"/>
    </row>
    <row r="110" spans="1:17" x14ac:dyDescent="0.3">
      <c r="A110" s="1"/>
      <c r="B110" s="1"/>
      <c r="C110" s="12"/>
      <c r="D110" s="1"/>
      <c r="E110" s="1"/>
      <c r="F110" s="1"/>
      <c r="G110" s="1"/>
      <c r="H110" s="1"/>
      <c r="I110" s="7"/>
      <c r="J110" s="1"/>
      <c r="K110" s="1"/>
      <c r="L110" s="1"/>
      <c r="M110" s="1"/>
      <c r="N110" s="1"/>
      <c r="O110" s="5"/>
      <c r="P110" s="5"/>
      <c r="Q110" s="5"/>
    </row>
    <row r="111" spans="1:17" x14ac:dyDescent="0.3">
      <c r="A111" s="1"/>
      <c r="B111" s="1"/>
      <c r="C111" s="12"/>
      <c r="D111" s="1"/>
      <c r="E111" s="1"/>
      <c r="F111" s="1"/>
      <c r="G111" s="1"/>
      <c r="H111" s="1"/>
      <c r="I111" s="7"/>
      <c r="J111" s="1"/>
      <c r="K111" s="1"/>
      <c r="L111" s="1"/>
      <c r="M111" s="1"/>
      <c r="N111" s="1"/>
      <c r="O111" s="5"/>
      <c r="P111" s="5"/>
      <c r="Q111" s="5"/>
    </row>
    <row r="112" spans="1:17" x14ac:dyDescent="0.3">
      <c r="A112" s="1"/>
      <c r="B112" s="1"/>
      <c r="C112" s="12"/>
      <c r="D112" s="1"/>
      <c r="E112" s="1"/>
      <c r="F112" s="1"/>
      <c r="G112" s="1"/>
      <c r="H112" s="1"/>
      <c r="I112" s="7"/>
      <c r="J112" s="1"/>
      <c r="K112" s="1"/>
      <c r="L112" s="1"/>
      <c r="M112" s="1"/>
      <c r="N112" s="1"/>
      <c r="O112" s="5"/>
      <c r="P112" s="5"/>
      <c r="Q112" s="5"/>
    </row>
    <row r="113" spans="1:17" x14ac:dyDescent="0.3">
      <c r="A113" s="1"/>
      <c r="B113" s="1"/>
      <c r="C113" s="12"/>
      <c r="D113" s="1"/>
      <c r="E113" s="1"/>
      <c r="F113" s="1"/>
      <c r="G113" s="1"/>
      <c r="H113" s="1"/>
      <c r="I113" s="7"/>
      <c r="J113" s="1"/>
      <c r="K113" s="1"/>
      <c r="L113" s="1"/>
      <c r="M113" s="1"/>
      <c r="N113" s="1"/>
      <c r="O113" s="5"/>
      <c r="P113" s="5"/>
      <c r="Q113" s="5"/>
    </row>
    <row r="114" spans="1:17" x14ac:dyDescent="0.3">
      <c r="A114" s="1"/>
      <c r="B114" s="1"/>
      <c r="C114" s="12"/>
      <c r="D114" s="1"/>
      <c r="E114" s="1"/>
      <c r="F114" s="1"/>
      <c r="G114" s="1"/>
      <c r="H114" s="1"/>
      <c r="I114" s="7"/>
      <c r="J114" s="1"/>
      <c r="K114" s="1"/>
      <c r="L114" s="1"/>
      <c r="M114" s="1"/>
      <c r="N114" s="1"/>
      <c r="O114" s="5"/>
      <c r="P114" s="5"/>
      <c r="Q114" s="5"/>
    </row>
    <row r="115" spans="1:17" x14ac:dyDescent="0.3">
      <c r="A115" s="1"/>
      <c r="B115" s="1"/>
      <c r="C115" s="12"/>
      <c r="D115" s="1"/>
      <c r="E115" s="1"/>
      <c r="F115" s="1"/>
      <c r="G115" s="1"/>
      <c r="H115" s="1"/>
      <c r="I115" s="7"/>
      <c r="J115" s="1"/>
      <c r="K115" s="1"/>
      <c r="L115" s="1"/>
      <c r="M115" s="1"/>
      <c r="N115" s="1"/>
      <c r="O115" s="5"/>
      <c r="P115" s="5"/>
      <c r="Q115" s="5"/>
    </row>
    <row r="116" spans="1:17" x14ac:dyDescent="0.3">
      <c r="A116" s="1"/>
      <c r="B116" s="1"/>
      <c r="C116" s="12"/>
      <c r="D116" s="1"/>
      <c r="E116" s="1"/>
      <c r="F116" s="1"/>
      <c r="G116" s="1"/>
      <c r="H116" s="1"/>
      <c r="I116" s="7"/>
      <c r="J116" s="1"/>
      <c r="K116" s="1"/>
      <c r="L116" s="1"/>
      <c r="M116" s="1"/>
      <c r="N116" s="1"/>
      <c r="O116" s="5"/>
      <c r="P116" s="5"/>
      <c r="Q116" s="5"/>
    </row>
    <row r="117" spans="1:17" x14ac:dyDescent="0.3">
      <c r="A117" s="1"/>
      <c r="B117" s="1"/>
      <c r="C117" s="12"/>
      <c r="D117" s="1"/>
      <c r="E117" s="1"/>
      <c r="F117" s="1"/>
      <c r="G117" s="1"/>
      <c r="H117" s="1"/>
      <c r="I117" s="7"/>
      <c r="J117" s="1"/>
      <c r="K117" s="1"/>
      <c r="L117" s="1"/>
      <c r="M117" s="1"/>
      <c r="N117" s="1"/>
      <c r="O117" s="5"/>
      <c r="P117" s="5"/>
      <c r="Q117" s="5"/>
    </row>
    <row r="118" spans="1:17" x14ac:dyDescent="0.3">
      <c r="A118" s="1"/>
      <c r="B118" s="1"/>
      <c r="C118" s="12"/>
      <c r="D118" s="1"/>
      <c r="E118" s="1"/>
      <c r="F118" s="1"/>
      <c r="G118" s="1"/>
      <c r="H118" s="1"/>
      <c r="I118" s="7"/>
      <c r="J118" s="1"/>
      <c r="K118" s="1"/>
      <c r="L118" s="1"/>
      <c r="M118" s="1"/>
      <c r="N118" s="1"/>
      <c r="O118" s="5"/>
      <c r="P118" s="5"/>
      <c r="Q118" s="5"/>
    </row>
    <row r="119" spans="1:17" x14ac:dyDescent="0.3">
      <c r="A119" s="1"/>
      <c r="B119" s="1"/>
      <c r="C119" s="12"/>
      <c r="D119" s="1"/>
      <c r="E119" s="1"/>
      <c r="F119" s="1"/>
      <c r="G119" s="1"/>
      <c r="H119" s="1"/>
      <c r="I119" s="7"/>
      <c r="J119" s="1"/>
      <c r="K119" s="1"/>
      <c r="L119" s="1"/>
      <c r="M119" s="1"/>
      <c r="N119" s="1"/>
      <c r="O119" s="5"/>
      <c r="P119" s="5"/>
      <c r="Q119" s="5"/>
    </row>
    <row r="120" spans="1:17" x14ac:dyDescent="0.3">
      <c r="A120" s="1"/>
      <c r="B120" s="1"/>
      <c r="C120" s="12"/>
      <c r="D120" s="1"/>
      <c r="E120" s="1"/>
      <c r="F120" s="1"/>
      <c r="G120" s="1"/>
      <c r="H120" s="1"/>
      <c r="I120" s="7"/>
      <c r="J120" s="1"/>
      <c r="K120" s="1"/>
      <c r="L120" s="1"/>
      <c r="M120" s="1"/>
      <c r="N120" s="1"/>
      <c r="O120" s="5"/>
      <c r="P120" s="5"/>
      <c r="Q120" s="5"/>
    </row>
    <row r="121" spans="1:17" x14ac:dyDescent="0.3">
      <c r="A121" s="1"/>
      <c r="B121" s="1"/>
      <c r="C121" s="12"/>
      <c r="D121" s="1"/>
      <c r="E121" s="1"/>
      <c r="F121" s="1"/>
      <c r="G121" s="1"/>
      <c r="H121" s="1"/>
      <c r="I121" s="7"/>
      <c r="J121" s="1"/>
      <c r="K121" s="1"/>
      <c r="L121" s="1"/>
      <c r="M121" s="1"/>
      <c r="N121" s="1"/>
      <c r="O121" s="5"/>
      <c r="P121" s="5"/>
      <c r="Q121" s="5"/>
    </row>
    <row r="122" spans="1:17" x14ac:dyDescent="0.3">
      <c r="A122" s="1"/>
      <c r="B122" s="1"/>
      <c r="C122" s="12"/>
      <c r="D122" s="1"/>
      <c r="E122" s="1"/>
      <c r="F122" s="1"/>
      <c r="G122" s="1"/>
      <c r="H122" s="1"/>
      <c r="I122" s="7"/>
      <c r="J122" s="1"/>
      <c r="K122" s="1"/>
      <c r="L122" s="1"/>
      <c r="M122" s="1"/>
      <c r="N122" s="1"/>
      <c r="O122" s="5"/>
      <c r="P122" s="5"/>
      <c r="Q122" s="5"/>
    </row>
    <row r="123" spans="1:17" x14ac:dyDescent="0.3">
      <c r="A123" s="1"/>
      <c r="B123" s="1"/>
      <c r="C123" s="12"/>
      <c r="D123" s="1"/>
      <c r="E123" s="1"/>
      <c r="F123" s="1"/>
      <c r="G123" s="1"/>
      <c r="H123" s="1"/>
      <c r="I123" s="7"/>
      <c r="J123" s="1"/>
      <c r="K123" s="1"/>
      <c r="L123" s="1"/>
      <c r="M123" s="1"/>
      <c r="N123" s="1"/>
      <c r="O123" s="5"/>
      <c r="P123" s="5"/>
      <c r="Q123" s="5"/>
    </row>
    <row r="124" spans="1:17" x14ac:dyDescent="0.3">
      <c r="A124" s="1"/>
      <c r="B124" s="1"/>
      <c r="C124" s="12"/>
      <c r="D124" s="1"/>
      <c r="E124" s="1"/>
      <c r="F124" s="1"/>
      <c r="G124" s="1"/>
      <c r="H124" s="1"/>
      <c r="I124" s="7"/>
      <c r="J124" s="1"/>
      <c r="K124" s="1"/>
      <c r="L124" s="1"/>
      <c r="M124" s="1"/>
      <c r="N124" s="1"/>
      <c r="O124" s="5"/>
      <c r="P124" s="5"/>
      <c r="Q124" s="5"/>
    </row>
    <row r="125" spans="1:17" x14ac:dyDescent="0.3">
      <c r="A125" s="1"/>
      <c r="B125" s="1"/>
      <c r="C125" s="12"/>
      <c r="D125" s="1"/>
      <c r="E125" s="1"/>
      <c r="F125" s="1"/>
      <c r="G125" s="1"/>
      <c r="H125" s="1"/>
      <c r="I125" s="7"/>
      <c r="J125" s="1"/>
      <c r="K125" s="1"/>
      <c r="L125" s="1"/>
      <c r="M125" s="1"/>
      <c r="N125" s="1"/>
      <c r="O125" s="5"/>
      <c r="P125" s="5"/>
      <c r="Q125" s="5"/>
    </row>
    <row r="126" spans="1:17" x14ac:dyDescent="0.3">
      <c r="A126" s="1"/>
      <c r="B126" s="1"/>
      <c r="C126" s="12"/>
      <c r="D126" s="1"/>
      <c r="E126" s="1"/>
      <c r="F126" s="1"/>
      <c r="G126" s="1"/>
      <c r="H126" s="1"/>
      <c r="I126" s="7"/>
      <c r="J126" s="1"/>
      <c r="K126" s="1"/>
      <c r="L126" s="1"/>
      <c r="M126" s="1"/>
      <c r="N126" s="1"/>
      <c r="O126" s="5"/>
      <c r="P126" s="5"/>
      <c r="Q126" s="5"/>
    </row>
    <row r="127" spans="1:17" x14ac:dyDescent="0.3">
      <c r="A127" s="1"/>
      <c r="B127" s="1"/>
      <c r="C127" s="12"/>
      <c r="D127" s="1"/>
      <c r="E127" s="1"/>
      <c r="F127" s="1"/>
      <c r="G127" s="1"/>
      <c r="H127" s="1"/>
      <c r="I127" s="7"/>
      <c r="J127" s="1"/>
      <c r="K127" s="1"/>
      <c r="L127" s="1"/>
      <c r="M127" s="1"/>
      <c r="N127" s="1"/>
      <c r="O127" s="5"/>
      <c r="P127" s="5"/>
      <c r="Q127" s="5"/>
    </row>
    <row r="128" spans="1:17" x14ac:dyDescent="0.3">
      <c r="A128" s="1"/>
      <c r="B128" s="1"/>
      <c r="C128" s="12"/>
      <c r="D128" s="1"/>
      <c r="E128" s="1"/>
      <c r="F128" s="1"/>
      <c r="G128" s="1"/>
      <c r="H128" s="1"/>
      <c r="I128" s="7"/>
      <c r="J128" s="1"/>
      <c r="K128" s="1"/>
      <c r="L128" s="1"/>
      <c r="M128" s="1"/>
      <c r="N128" s="1"/>
      <c r="O128" s="5"/>
      <c r="P128" s="5"/>
      <c r="Q128" s="5"/>
    </row>
    <row r="129" spans="1:17" x14ac:dyDescent="0.3">
      <c r="A129" s="1"/>
      <c r="B129" s="1"/>
      <c r="C129" s="12"/>
      <c r="D129" s="1"/>
      <c r="E129" s="1"/>
      <c r="F129" s="1"/>
      <c r="G129" s="1"/>
      <c r="H129" s="1"/>
      <c r="I129" s="7"/>
      <c r="J129" s="1"/>
      <c r="K129" s="1"/>
      <c r="L129" s="1"/>
      <c r="M129" s="1"/>
      <c r="N129" s="1"/>
      <c r="O129" s="5"/>
      <c r="P129" s="5"/>
      <c r="Q129" s="5"/>
    </row>
    <row r="130" spans="1:17" x14ac:dyDescent="0.3">
      <c r="A130" s="1"/>
      <c r="B130" s="1"/>
      <c r="C130" s="12"/>
      <c r="D130" s="1"/>
      <c r="E130" s="1"/>
      <c r="F130" s="1"/>
      <c r="G130" s="1"/>
      <c r="H130" s="1"/>
      <c r="I130" s="7"/>
      <c r="J130" s="1"/>
      <c r="K130" s="1"/>
      <c r="L130" s="1"/>
      <c r="M130" s="1"/>
      <c r="N130" s="1"/>
      <c r="O130" s="5"/>
      <c r="P130" s="5"/>
      <c r="Q130" s="5"/>
    </row>
    <row r="131" spans="1:17" x14ac:dyDescent="0.3">
      <c r="A131" s="1"/>
      <c r="B131" s="1"/>
      <c r="C131" s="12"/>
      <c r="D131" s="1"/>
      <c r="E131" s="1"/>
      <c r="F131" s="1"/>
      <c r="G131" s="1"/>
      <c r="H131" s="1"/>
      <c r="I131" s="7"/>
      <c r="J131" s="1"/>
      <c r="K131" s="1"/>
      <c r="L131" s="1"/>
      <c r="M131" s="1"/>
      <c r="N131" s="1"/>
      <c r="O131" s="5"/>
      <c r="P131" s="5"/>
      <c r="Q131" s="5"/>
    </row>
    <row r="132" spans="1:17" x14ac:dyDescent="0.3">
      <c r="A132" s="1"/>
      <c r="B132" s="1"/>
      <c r="C132" s="12"/>
      <c r="D132" s="1"/>
      <c r="E132" s="1"/>
      <c r="F132" s="1"/>
      <c r="G132" s="1"/>
      <c r="H132" s="1"/>
      <c r="I132" s="7"/>
      <c r="J132" s="1"/>
      <c r="K132" s="1"/>
      <c r="L132" s="1"/>
      <c r="M132" s="1"/>
      <c r="N132" s="1"/>
      <c r="O132" s="5"/>
      <c r="P132" s="5"/>
      <c r="Q132" s="5"/>
    </row>
    <row r="133" spans="1:17" x14ac:dyDescent="0.3">
      <c r="A133" s="1"/>
      <c r="B133" s="1"/>
      <c r="C133" s="12"/>
      <c r="D133" s="1"/>
      <c r="E133" s="1"/>
      <c r="F133" s="1"/>
      <c r="G133" s="1"/>
      <c r="H133" s="1"/>
      <c r="I133" s="7"/>
      <c r="J133" s="1"/>
      <c r="K133" s="1"/>
      <c r="L133" s="1"/>
      <c r="M133" s="1"/>
      <c r="N133" s="1"/>
      <c r="O133" s="5"/>
      <c r="P133" s="5"/>
      <c r="Q133" s="5"/>
    </row>
    <row r="134" spans="1:17" x14ac:dyDescent="0.3">
      <c r="A134" s="1"/>
      <c r="B134" s="1"/>
      <c r="C134" s="12"/>
      <c r="D134" s="1"/>
      <c r="E134" s="1"/>
      <c r="F134" s="1"/>
      <c r="G134" s="1"/>
      <c r="H134" s="1"/>
      <c r="I134" s="7"/>
      <c r="J134" s="1"/>
      <c r="K134" s="1"/>
      <c r="L134" s="1"/>
      <c r="M134" s="1"/>
      <c r="N134" s="1"/>
      <c r="O134" s="5"/>
      <c r="P134" s="5"/>
      <c r="Q134" s="5"/>
    </row>
    <row r="135" spans="1:17" x14ac:dyDescent="0.3">
      <c r="A135" s="1"/>
      <c r="B135" s="1"/>
      <c r="C135" s="12"/>
      <c r="D135" s="1"/>
      <c r="E135" s="1"/>
      <c r="F135" s="1"/>
      <c r="G135" s="1"/>
      <c r="H135" s="1"/>
      <c r="I135" s="7"/>
      <c r="J135" s="1"/>
      <c r="K135" s="1"/>
      <c r="L135" s="1"/>
      <c r="M135" s="1"/>
      <c r="N135" s="1"/>
      <c r="O135" s="5"/>
      <c r="P135" s="5"/>
      <c r="Q135" s="5"/>
    </row>
    <row r="136" spans="1:17" x14ac:dyDescent="0.3">
      <c r="A136" s="1"/>
      <c r="B136" s="1"/>
      <c r="C136" s="12"/>
      <c r="D136" s="1"/>
      <c r="E136" s="1"/>
      <c r="F136" s="1"/>
      <c r="G136" s="1"/>
      <c r="H136" s="1"/>
      <c r="I136" s="7"/>
      <c r="J136" s="1"/>
      <c r="K136" s="1"/>
      <c r="L136" s="1"/>
      <c r="M136" s="1"/>
      <c r="N136" s="1"/>
      <c r="O136" s="5"/>
      <c r="P136" s="5"/>
      <c r="Q136" s="5"/>
    </row>
    <row r="137" spans="1:17" x14ac:dyDescent="0.3">
      <c r="A137" s="1"/>
      <c r="B137" s="1"/>
      <c r="C137" s="12"/>
      <c r="D137" s="1"/>
      <c r="E137" s="1"/>
      <c r="F137" s="1"/>
      <c r="G137" s="1"/>
      <c r="H137" s="1"/>
      <c r="I137" s="7"/>
      <c r="J137" s="1"/>
      <c r="K137" s="1"/>
      <c r="L137" s="1"/>
      <c r="M137" s="1"/>
      <c r="N137" s="1"/>
      <c r="O137" s="5"/>
      <c r="P137" s="5"/>
      <c r="Q137" s="5"/>
    </row>
    <row r="138" spans="1:17" x14ac:dyDescent="0.3">
      <c r="A138" s="1"/>
      <c r="B138" s="1"/>
      <c r="C138" s="12"/>
      <c r="D138" s="1"/>
      <c r="E138" s="1"/>
      <c r="F138" s="1"/>
      <c r="G138" s="1"/>
      <c r="H138" s="1"/>
      <c r="I138" s="7"/>
      <c r="J138" s="1"/>
      <c r="K138" s="1"/>
      <c r="L138" s="1"/>
      <c r="M138" s="1"/>
      <c r="N138" s="1"/>
      <c r="O138" s="5"/>
      <c r="P138" s="5"/>
      <c r="Q138" s="5"/>
    </row>
    <row r="139" spans="1:17" x14ac:dyDescent="0.3">
      <c r="A139" s="1"/>
      <c r="B139" s="1"/>
      <c r="C139" s="12"/>
      <c r="D139" s="1"/>
      <c r="E139" s="1"/>
      <c r="F139" s="1"/>
      <c r="G139" s="1"/>
      <c r="H139" s="1"/>
      <c r="I139" s="7"/>
      <c r="J139" s="1"/>
      <c r="K139" s="1"/>
      <c r="L139" s="1"/>
      <c r="M139" s="1"/>
      <c r="N139" s="1"/>
      <c r="O139" s="5"/>
      <c r="P139" s="5"/>
      <c r="Q139" s="5"/>
    </row>
    <row r="140" spans="1:17" x14ac:dyDescent="0.3">
      <c r="A140" s="1"/>
      <c r="B140" s="1"/>
      <c r="C140" s="12"/>
      <c r="D140" s="1"/>
      <c r="E140" s="1"/>
      <c r="F140" s="1"/>
      <c r="G140" s="1"/>
      <c r="H140" s="1"/>
      <c r="I140" s="7"/>
      <c r="J140" s="1"/>
      <c r="K140" s="1"/>
      <c r="L140" s="1"/>
      <c r="M140" s="1"/>
      <c r="N140" s="1"/>
      <c r="O140" s="5"/>
      <c r="P140" s="5"/>
      <c r="Q140" s="5"/>
    </row>
    <row r="141" spans="1:17" x14ac:dyDescent="0.3">
      <c r="A141" s="1"/>
      <c r="B141" s="1"/>
      <c r="C141" s="12"/>
      <c r="D141" s="1"/>
      <c r="E141" s="1"/>
      <c r="F141" s="1"/>
      <c r="G141" s="1"/>
      <c r="H141" s="1"/>
      <c r="I141" s="7"/>
      <c r="J141" s="1"/>
      <c r="K141" s="1"/>
      <c r="L141" s="1"/>
      <c r="M141" s="1"/>
      <c r="N141" s="1"/>
      <c r="O141" s="5"/>
      <c r="P141" s="5"/>
      <c r="Q141" s="5"/>
    </row>
    <row r="142" spans="1:17" x14ac:dyDescent="0.3">
      <c r="A142" s="1"/>
      <c r="B142" s="1"/>
      <c r="C142" s="12"/>
      <c r="D142" s="1"/>
      <c r="E142" s="1"/>
      <c r="F142" s="1"/>
      <c r="G142" s="1"/>
      <c r="H142" s="1"/>
      <c r="I142" s="7"/>
      <c r="J142" s="1"/>
      <c r="K142" s="1"/>
      <c r="L142" s="1"/>
      <c r="M142" s="1"/>
      <c r="N142" s="1"/>
      <c r="O142" s="5"/>
      <c r="P142" s="5"/>
      <c r="Q142" s="5"/>
    </row>
    <row r="143" spans="1:17" x14ac:dyDescent="0.3">
      <c r="A143" s="1"/>
      <c r="B143" s="1"/>
      <c r="C143" s="12"/>
      <c r="D143" s="1"/>
      <c r="E143" s="1"/>
      <c r="F143" s="1"/>
      <c r="G143" s="1"/>
      <c r="H143" s="1"/>
      <c r="I143" s="7"/>
      <c r="J143" s="1"/>
      <c r="K143" s="1"/>
      <c r="L143" s="1"/>
      <c r="M143" s="1"/>
      <c r="N143" s="1"/>
      <c r="O143" s="5"/>
      <c r="P143" s="5"/>
      <c r="Q143" s="5"/>
    </row>
    <row r="144" spans="1:17" x14ac:dyDescent="0.3">
      <c r="A144" s="1"/>
      <c r="B144" s="1"/>
      <c r="C144" s="12"/>
      <c r="D144" s="1"/>
      <c r="E144" s="1"/>
      <c r="F144" s="1"/>
      <c r="G144" s="1"/>
      <c r="H144" s="1"/>
      <c r="I144" s="7"/>
      <c r="J144" s="1"/>
      <c r="K144" s="1"/>
      <c r="L144" s="1"/>
      <c r="M144" s="1"/>
      <c r="N144" s="1"/>
      <c r="O144" s="5"/>
      <c r="P144" s="5"/>
      <c r="Q144" s="5"/>
    </row>
    <row r="145" spans="1:17" x14ac:dyDescent="0.3">
      <c r="A145" s="1"/>
      <c r="B145" s="1"/>
      <c r="C145" s="12"/>
      <c r="D145" s="1"/>
      <c r="E145" s="1"/>
      <c r="F145" s="1"/>
      <c r="G145" s="1"/>
      <c r="H145" s="1"/>
      <c r="I145" s="7"/>
      <c r="J145" s="1"/>
      <c r="K145" s="1"/>
      <c r="L145" s="1"/>
      <c r="M145" s="1"/>
      <c r="N145" s="1"/>
      <c r="O145" s="5"/>
      <c r="P145" s="5"/>
      <c r="Q145" s="5"/>
    </row>
    <row r="146" spans="1:17" x14ac:dyDescent="0.3">
      <c r="A146" s="1"/>
      <c r="B146" s="1"/>
      <c r="C146" s="12"/>
      <c r="D146" s="1"/>
      <c r="E146" s="1"/>
      <c r="F146" s="1"/>
      <c r="G146" s="1"/>
      <c r="H146" s="1"/>
      <c r="I146" s="7"/>
      <c r="J146" s="1"/>
      <c r="K146" s="1"/>
      <c r="L146" s="1"/>
      <c r="M146" s="1"/>
      <c r="N146" s="1"/>
      <c r="O146" s="5"/>
      <c r="P146" s="5"/>
      <c r="Q146" s="5"/>
    </row>
    <row r="147" spans="1:17" x14ac:dyDescent="0.3">
      <c r="A147" s="1"/>
      <c r="B147" s="1"/>
      <c r="C147" s="12"/>
      <c r="D147" s="1"/>
      <c r="E147" s="1"/>
      <c r="F147" s="1"/>
      <c r="G147" s="1"/>
      <c r="H147" s="1"/>
      <c r="I147" s="7"/>
      <c r="J147" s="1"/>
      <c r="K147" s="1"/>
      <c r="L147" s="1"/>
      <c r="M147" s="1"/>
      <c r="N147" s="1"/>
      <c r="O147" s="5"/>
      <c r="P147" s="5"/>
      <c r="Q147" s="5"/>
    </row>
    <row r="148" spans="1:17" x14ac:dyDescent="0.3">
      <c r="A148" s="1"/>
      <c r="B148" s="1"/>
      <c r="C148" s="12"/>
      <c r="D148" s="1"/>
      <c r="E148" s="1"/>
      <c r="F148" s="1"/>
      <c r="G148" s="1"/>
      <c r="H148" s="1"/>
      <c r="I148" s="7"/>
      <c r="J148" s="1"/>
      <c r="K148" s="1"/>
      <c r="L148" s="1"/>
      <c r="M148" s="1"/>
      <c r="N148" s="1"/>
      <c r="O148" s="5"/>
      <c r="P148" s="5"/>
      <c r="Q148" s="5"/>
    </row>
    <row r="149" spans="1:17" x14ac:dyDescent="0.3">
      <c r="A149" s="1"/>
      <c r="B149" s="1"/>
      <c r="C149" s="12"/>
      <c r="D149" s="1"/>
      <c r="E149" s="1"/>
      <c r="F149" s="1"/>
      <c r="G149" s="1"/>
      <c r="H149" s="1"/>
      <c r="I149" s="7"/>
      <c r="J149" s="1"/>
      <c r="K149" s="1"/>
      <c r="L149" s="1"/>
      <c r="M149" s="1"/>
      <c r="N149" s="1"/>
      <c r="O149" s="5"/>
      <c r="P149" s="5"/>
      <c r="Q149" s="5"/>
    </row>
    <row r="150" spans="1:17" x14ac:dyDescent="0.3">
      <c r="A150" s="1"/>
      <c r="B150" s="1"/>
      <c r="C150" s="12"/>
      <c r="D150" s="1"/>
      <c r="E150" s="1"/>
      <c r="F150" s="1"/>
      <c r="G150" s="1"/>
      <c r="H150" s="1"/>
      <c r="I150" s="7"/>
      <c r="J150" s="1"/>
      <c r="K150" s="1"/>
      <c r="L150" s="1"/>
      <c r="M150" s="1"/>
      <c r="N150" s="1"/>
      <c r="O150" s="5"/>
      <c r="P150" s="5"/>
      <c r="Q150" s="5"/>
    </row>
  </sheetData>
  <autoFilter ref="A1:Y150" xr:uid="{00000000-0009-0000-0000-000007000000}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error="Используйте значение из выпадающего списка" prompt="Выберите значение из списка" xr:uid="{00000000-0002-0000-0700-000000000000}">
          <x14:formula1>
            <xm:f>DICTIONARIES!$N$2:$N$6</xm:f>
          </x14:formula1>
          <xm:sqref>D2:D1000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700-000001000000}">
          <x14:formula1>
            <xm:f>DICTIONARIES!$L$2:$L$4</xm:f>
          </x14:formula1>
          <xm:sqref>E2:E1000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700-000002000000}">
          <x14:formula1>
            <xm:f>DICTIONARIES!$M$2:$M$4</xm:f>
          </x14:formula1>
          <xm:sqref>F2:F1000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700-000003000000}">
          <x14:formula1>
            <xm:f>DICTIONARIES!$K$2:$K$5</xm:f>
          </x14:formula1>
          <xm:sqref>G2:G1000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700-000004000000}">
          <x14:formula1>
            <xm:f>DICTIONARIES!$D$2:$D$4</xm:f>
          </x14:formula1>
          <xm:sqref>K2:K1000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700-000005000000}">
          <x14:formula1>
            <xm:f>DICTIONARIES!$G$2:$G$3</xm:f>
          </x14:formula1>
          <xm:sqref>L2:M1000</xm:sqref>
        </x14:dataValidation>
        <x14:dataValidation type="list" allowBlank="1" xr:uid="{00000000-0002-0000-0700-000007000000}">
          <x14:formula1>
            <xm:f>DICTIONARIES!$AG$2:$AG$8</xm:f>
          </x14:formula1>
          <xm:sqref>O2:O1000</xm:sqref>
        </x14:dataValidation>
        <x14:dataValidation type="list" allowBlank="1" xr:uid="{00000000-0002-0000-0700-000008000000}">
          <x14:formula1>
            <xm:f>DICTIONARIES!$C$2:$C$15</xm:f>
          </x14:formula1>
          <xm:sqref>Q2:Q1000</xm:sqref>
        </x14:dataValidation>
        <x14:dataValidation type="list" allowBlank="1" xr:uid="{00000000-0002-0000-0700-000009000000}">
          <x14:formula1>
            <xm:f>DICTIONARIES!$AY$2:$AY$5</xm:f>
          </x14:formula1>
          <xm:sqref>T2:T1000</xm:sqref>
        </x14:dataValidation>
        <x14:dataValidation type="list" allowBlank="1" xr:uid="{00000000-0002-0000-0700-00000A000000}">
          <x14:formula1>
            <xm:f>DICTIONARIES!$AP$2:$AP$4</xm:f>
          </x14:formula1>
          <xm:sqref>W2:W1000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50"/>
  <sheetViews>
    <sheetView workbookViewId="0"/>
  </sheetViews>
  <sheetFormatPr defaultRowHeight="14.4" x14ac:dyDescent="0.3"/>
  <cols>
    <col min="1" max="1" width="14" customWidth="1"/>
    <col min="2" max="2" width="36" customWidth="1"/>
    <col min="3" max="4" width="16" customWidth="1"/>
    <col min="5" max="5" width="24" customWidth="1"/>
    <col min="6" max="6" width="12" customWidth="1"/>
    <col min="7" max="8" width="16" customWidth="1"/>
    <col min="9" max="9" width="18" customWidth="1"/>
    <col min="10" max="10" width="14" customWidth="1"/>
    <col min="11" max="11" width="12" customWidth="1"/>
    <col min="12" max="12" width="34" customWidth="1"/>
  </cols>
  <sheetData>
    <row r="1" spans="1:12" ht="28.8" x14ac:dyDescent="0.3">
      <c r="A1" s="3" t="s">
        <v>555</v>
      </c>
      <c r="B1" s="3" t="s">
        <v>556</v>
      </c>
      <c r="C1" s="3" t="s">
        <v>557</v>
      </c>
      <c r="D1" s="3" t="s">
        <v>558</v>
      </c>
      <c r="E1" s="3" t="s">
        <v>559</v>
      </c>
      <c r="F1" s="3" t="s">
        <v>560</v>
      </c>
      <c r="G1" s="3" t="s">
        <v>561</v>
      </c>
      <c r="H1" s="3" t="s">
        <v>467</v>
      </c>
      <c r="I1" s="3" t="s">
        <v>196</v>
      </c>
      <c r="J1" s="3" t="s">
        <v>197</v>
      </c>
      <c r="K1" s="3" t="s">
        <v>562</v>
      </c>
      <c r="L1" s="3" t="s">
        <v>116</v>
      </c>
    </row>
    <row r="2" spans="1:12" x14ac:dyDescent="0.3">
      <c r="A2" s="5" t="s">
        <v>563</v>
      </c>
      <c r="B2" s="5" t="s">
        <v>445</v>
      </c>
      <c r="C2" s="5" t="s">
        <v>564</v>
      </c>
      <c r="D2" s="5">
        <v>101</v>
      </c>
      <c r="E2" s="5" t="s">
        <v>239</v>
      </c>
      <c r="F2" s="5" t="s">
        <v>246</v>
      </c>
      <c r="G2" s="5" t="s">
        <v>444</v>
      </c>
      <c r="H2" s="5"/>
      <c r="I2" s="5" t="s">
        <v>71</v>
      </c>
      <c r="J2" s="5" t="s">
        <v>247</v>
      </c>
      <c r="K2" s="5" t="s">
        <v>255</v>
      </c>
      <c r="L2" s="5" t="s">
        <v>565</v>
      </c>
    </row>
    <row r="3" spans="1:12" x14ac:dyDescent="0.3">
      <c r="A3" s="5" t="s">
        <v>566</v>
      </c>
      <c r="B3" s="5" t="s">
        <v>452</v>
      </c>
      <c r="C3" s="5" t="s">
        <v>564</v>
      </c>
      <c r="D3" s="5">
        <v>205</v>
      </c>
      <c r="E3" s="5" t="s">
        <v>281</v>
      </c>
      <c r="F3" s="5" t="s">
        <v>246</v>
      </c>
      <c r="G3" s="5" t="s">
        <v>451</v>
      </c>
      <c r="H3" s="5"/>
      <c r="I3" s="5" t="s">
        <v>71</v>
      </c>
      <c r="J3" s="5" t="s">
        <v>247</v>
      </c>
      <c r="K3" s="5" t="s">
        <v>255</v>
      </c>
      <c r="L3" s="5" t="s">
        <v>565</v>
      </c>
    </row>
    <row r="4" spans="1:12" ht="28.8" x14ac:dyDescent="0.3">
      <c r="A4" s="5" t="s">
        <v>567</v>
      </c>
      <c r="B4" s="5" t="s">
        <v>568</v>
      </c>
      <c r="C4" s="5" t="s">
        <v>564</v>
      </c>
      <c r="D4" s="5">
        <v>305</v>
      </c>
      <c r="E4" s="5" t="s">
        <v>239</v>
      </c>
      <c r="F4" s="5" t="s">
        <v>286</v>
      </c>
      <c r="G4" s="5" t="s">
        <v>493</v>
      </c>
      <c r="H4" s="5" t="s">
        <v>540</v>
      </c>
      <c r="I4" s="5" t="s">
        <v>71</v>
      </c>
      <c r="J4" s="5" t="s">
        <v>247</v>
      </c>
      <c r="K4" s="5" t="s">
        <v>255</v>
      </c>
      <c r="L4" s="5" t="s">
        <v>569</v>
      </c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  <row r="81" spans="1:12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  <row r="82" spans="1:12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</row>
    <row r="83" spans="1:12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</row>
    <row r="84" spans="1:12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spans="1:12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spans="1:12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spans="1:12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spans="1:12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spans="1:12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 spans="1:12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 spans="1:12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</row>
    <row r="92" spans="1:12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</row>
    <row r="93" spans="1:12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</row>
    <row r="94" spans="1:12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spans="1:12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spans="1:12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spans="1:12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spans="1:12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1:12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1:12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1:12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1:12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1:12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1:12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1:12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1:12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1:12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1:12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1:12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1:12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1:12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1:12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1:12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1:12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1:12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1:12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1:12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1:12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1:12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1:12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1:12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1:12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1:12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1:12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1:12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1:12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1:12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1:12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1:12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</row>
    <row r="132" spans="1:12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</row>
    <row r="133" spans="1:12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</row>
    <row r="134" spans="1:12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</row>
    <row r="135" spans="1:12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</row>
    <row r="136" spans="1:12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</row>
    <row r="137" spans="1:12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</row>
    <row r="138" spans="1:12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</row>
    <row r="139" spans="1:12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</row>
    <row r="140" spans="1:12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</row>
    <row r="141" spans="1:12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</row>
    <row r="142" spans="1:12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</row>
    <row r="143" spans="1:12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</row>
    <row r="144" spans="1:12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</row>
    <row r="145" spans="1:12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1:12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</row>
    <row r="147" spans="1:12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</row>
    <row r="148" spans="1:12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1:12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1:12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</row>
  </sheetData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error="Используйте значение из выпадающего списка" prompt="Выберите значение из списка" xr:uid="{00000000-0002-0000-0800-000000000000}">
          <x14:formula1>
            <xm:f>DICTIONARIES!$H$2:$H$3</xm:f>
          </x14:formula1>
          <xm:sqref>F2:F1000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800-000001000000}">
          <x14:formula1>
            <xm:f>DICTIONARIES!$I$2:$I$4</xm:f>
          </x14:formula1>
          <xm:sqref>I2:I1000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800-000002000000}">
          <x14:formula1>
            <xm:f>DICTIONARIES!$J$2:$J$4</xm:f>
          </x14:formula1>
          <xm:sqref>J2:J1000</xm:sqref>
        </x14:dataValidation>
        <x14:dataValidation type="list" allowBlank="1" error="Используйте значение из выпадающего списка" prompt="Выберите значение из списка" xr:uid="{00000000-0002-0000-0800-000003000000}">
          <x14:formula1>
            <xm:f>DICTIONARIES!$G$2:$G$3</xm:f>
          </x14:formula1>
          <xm:sqref>K2:K1000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12" customWidth="1"/>
    <col min="3" max="3" width="14" customWidth="1"/>
    <col min="4" max="4" width="22" customWidth="1"/>
    <col min="5" max="5" width="24" customWidth="1"/>
    <col min="6" max="6" width="10" customWidth="1"/>
    <col min="7" max="7" width="28" customWidth="1"/>
    <col min="8" max="8" width="22" customWidth="1"/>
    <col min="9" max="9" width="20" customWidth="1"/>
  </cols>
  <sheetData>
    <row r="1" spans="1:9" x14ac:dyDescent="0.3">
      <c r="A1" s="3" t="s">
        <v>570</v>
      </c>
      <c r="B1" s="3" t="s">
        <v>571</v>
      </c>
      <c r="C1" s="3" t="s">
        <v>572</v>
      </c>
      <c r="D1" s="3" t="s">
        <v>573</v>
      </c>
      <c r="E1" s="3" t="s">
        <v>574</v>
      </c>
      <c r="F1" s="3" t="s">
        <v>231</v>
      </c>
      <c r="G1" s="3" t="s">
        <v>575</v>
      </c>
      <c r="H1" s="3" t="s">
        <v>576</v>
      </c>
      <c r="I1" s="3" t="s">
        <v>116</v>
      </c>
    </row>
    <row r="2" spans="1:9" ht="43.2" x14ac:dyDescent="0.3">
      <c r="A2" s="17" t="s">
        <v>577</v>
      </c>
      <c r="B2" s="17" t="s">
        <v>578</v>
      </c>
      <c r="C2" s="17" t="s">
        <v>276</v>
      </c>
      <c r="D2" s="17" t="s">
        <v>579</v>
      </c>
      <c r="E2" s="17" t="s">
        <v>580</v>
      </c>
      <c r="F2" s="17" t="s">
        <v>353</v>
      </c>
      <c r="G2" s="17" t="s">
        <v>581</v>
      </c>
      <c r="H2" s="17" t="s">
        <v>582</v>
      </c>
      <c r="I2" s="17"/>
    </row>
    <row r="3" spans="1:9" x14ac:dyDescent="0.3">
      <c r="A3" s="17" t="s">
        <v>583</v>
      </c>
      <c r="B3" s="17" t="s">
        <v>578</v>
      </c>
      <c r="C3" s="17" t="s">
        <v>276</v>
      </c>
      <c r="D3" s="17" t="s">
        <v>441</v>
      </c>
      <c r="E3" s="17" t="s">
        <v>580</v>
      </c>
      <c r="F3" s="17" t="s">
        <v>353</v>
      </c>
      <c r="G3" s="17" t="s">
        <v>584</v>
      </c>
      <c r="H3" s="17" t="s">
        <v>585</v>
      </c>
      <c r="I3" s="17"/>
    </row>
    <row r="4" spans="1:9" ht="28.8" x14ac:dyDescent="0.3">
      <c r="A4" s="17" t="s">
        <v>586</v>
      </c>
      <c r="B4" s="17" t="s">
        <v>578</v>
      </c>
      <c r="C4" s="17" t="s">
        <v>276</v>
      </c>
      <c r="D4" s="17" t="s">
        <v>227</v>
      </c>
      <c r="E4" s="17" t="s">
        <v>587</v>
      </c>
      <c r="F4" s="17" t="s">
        <v>314</v>
      </c>
      <c r="G4" s="17" t="s">
        <v>588</v>
      </c>
      <c r="H4" s="17" t="s">
        <v>589</v>
      </c>
      <c r="I4" s="17"/>
    </row>
    <row r="5" spans="1:9" ht="28.8" x14ac:dyDescent="0.3">
      <c r="A5" s="17" t="s">
        <v>590</v>
      </c>
      <c r="B5" s="17" t="s">
        <v>591</v>
      </c>
      <c r="C5" s="17" t="s">
        <v>354</v>
      </c>
      <c r="D5" s="17" t="s">
        <v>431</v>
      </c>
      <c r="E5" s="17" t="s">
        <v>580</v>
      </c>
      <c r="F5" s="17" t="s">
        <v>353</v>
      </c>
      <c r="G5" s="17" t="s">
        <v>592</v>
      </c>
      <c r="H5" s="17" t="s">
        <v>593</v>
      </c>
      <c r="I5" s="17"/>
    </row>
    <row r="6" spans="1:9" ht="57.6" x14ac:dyDescent="0.3">
      <c r="A6" s="17" t="s">
        <v>594</v>
      </c>
      <c r="B6" s="17" t="s">
        <v>595</v>
      </c>
      <c r="C6" s="17" t="s">
        <v>381</v>
      </c>
      <c r="D6" s="17" t="s">
        <v>596</v>
      </c>
      <c r="E6" s="17" t="s">
        <v>597</v>
      </c>
      <c r="F6" s="17" t="s">
        <v>314</v>
      </c>
      <c r="G6" s="17" t="s">
        <v>598</v>
      </c>
      <c r="H6" s="17" t="s">
        <v>599</v>
      </c>
      <c r="I6" s="17"/>
    </row>
    <row r="7" spans="1:9" ht="28.8" x14ac:dyDescent="0.3">
      <c r="A7" s="17" t="s">
        <v>600</v>
      </c>
      <c r="B7" s="17" t="s">
        <v>595</v>
      </c>
      <c r="C7" s="17" t="s">
        <v>381</v>
      </c>
      <c r="D7" s="17" t="s">
        <v>601</v>
      </c>
      <c r="E7" s="17" t="s">
        <v>597</v>
      </c>
      <c r="F7" s="17" t="s">
        <v>314</v>
      </c>
      <c r="G7" s="17" t="s">
        <v>602</v>
      </c>
      <c r="H7" s="17" t="s">
        <v>603</v>
      </c>
      <c r="I7" s="17"/>
    </row>
    <row r="8" spans="1:9" ht="28.8" x14ac:dyDescent="0.3">
      <c r="A8" s="17" t="s">
        <v>604</v>
      </c>
      <c r="B8" s="17" t="s">
        <v>605</v>
      </c>
      <c r="C8" s="17" t="s">
        <v>397</v>
      </c>
      <c r="D8" s="17" t="s">
        <v>606</v>
      </c>
      <c r="E8" s="17" t="s">
        <v>607</v>
      </c>
      <c r="F8" s="17" t="s">
        <v>314</v>
      </c>
      <c r="G8" s="17" t="s">
        <v>608</v>
      </c>
      <c r="H8" s="17" t="s">
        <v>609</v>
      </c>
      <c r="I8" s="17"/>
    </row>
  </sheetData>
  <autoFilter ref="A1:I8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  <col min="3" max="3" width="24" customWidth="1"/>
    <col min="4" max="4" width="10" customWidth="1"/>
    <col min="5" max="5" width="12" customWidth="1"/>
    <col min="6" max="6" width="16" customWidth="1"/>
    <col min="7" max="7" width="18" customWidth="1"/>
    <col min="8" max="8" width="28" customWidth="1"/>
    <col min="9" max="9" width="18" customWidth="1"/>
  </cols>
  <sheetData>
    <row r="1" spans="1:9" x14ac:dyDescent="0.3">
      <c r="A1" s="3" t="s">
        <v>610</v>
      </c>
      <c r="B1" s="3" t="s">
        <v>611</v>
      </c>
      <c r="C1" s="3" t="s">
        <v>612</v>
      </c>
      <c r="D1" s="3" t="s">
        <v>231</v>
      </c>
      <c r="E1" s="3" t="s">
        <v>613</v>
      </c>
      <c r="F1" s="3" t="s">
        <v>614</v>
      </c>
      <c r="G1" s="3" t="s">
        <v>615</v>
      </c>
      <c r="H1" s="3" t="s">
        <v>575</v>
      </c>
      <c r="I1" s="3" t="s">
        <v>616</v>
      </c>
    </row>
    <row r="2" spans="1:9" ht="28.8" x14ac:dyDescent="0.3">
      <c r="A2" s="17" t="s">
        <v>617</v>
      </c>
      <c r="B2" s="17">
        <f>IF($A2="","",INDEX(OBJECT_CONDITIONS!$X:$X,MATCH($A2,OBJECT_CONDITIONS!$A:$A,0)))</f>
        <v>0</v>
      </c>
      <c r="C2" s="17" t="s">
        <v>618</v>
      </c>
      <c r="D2" s="17" t="s">
        <v>353</v>
      </c>
      <c r="E2" s="17" t="str">
        <f>IF($A2="","",IF($B2="","TRIGGER","OK"))</f>
        <v>OK</v>
      </c>
      <c r="F2" s="17">
        <f>IF($A2="","",IF($B2="","", $B2))</f>
        <v>0</v>
      </c>
      <c r="G2" s="17" t="s">
        <v>619</v>
      </c>
      <c r="H2" s="17" t="s">
        <v>620</v>
      </c>
      <c r="I2" s="17"/>
    </row>
    <row r="3" spans="1:9" ht="28.8" x14ac:dyDescent="0.3">
      <c r="A3" s="17" t="s">
        <v>617</v>
      </c>
      <c r="B3" s="17" t="str">
        <f>IF($A3="","",INDEX(OBJECT_CONDITIONS!$AM:$AM,MATCH($A3,OBJECT_CONDITIONS!$A:$A,0)))</f>
        <v>С НДС 20%</v>
      </c>
      <c r="C3" s="17" t="s">
        <v>621</v>
      </c>
      <c r="D3" s="17" t="s">
        <v>353</v>
      </c>
      <c r="E3" s="17" t="str">
        <f>IF($A3="","",IF($B3="","TRIGGER","OK"))</f>
        <v>OK</v>
      </c>
      <c r="F3" s="17" t="str">
        <f>IF($A3="","",IF($B3="","",$B3))</f>
        <v>С НДС 20%</v>
      </c>
      <c r="G3" s="17" t="s">
        <v>622</v>
      </c>
      <c r="H3" s="17" t="s">
        <v>623</v>
      </c>
      <c r="I3" s="17"/>
    </row>
    <row r="4" spans="1:9" ht="28.8" x14ac:dyDescent="0.3">
      <c r="A4" s="17" t="s">
        <v>617</v>
      </c>
      <c r="B4" s="17" t="str">
        <f>IF($A4="","",INDEX(OBJECT_CONDITIONS!$AG:$AG,MATCH($A4,OBJECT_CONDITIONS!$A:$A,0)))</f>
        <v>30-60 км</v>
      </c>
      <c r="C4" s="17" t="s">
        <v>624</v>
      </c>
      <c r="D4" s="17" t="s">
        <v>314</v>
      </c>
      <c r="E4" s="17" t="str">
        <f>IF($A4="","",IF($B4="","TRIGGER","OK"))</f>
        <v>OK</v>
      </c>
      <c r="F4" s="17" t="str">
        <f>IF($A4="","",IF($B4="","",$B4))</f>
        <v>30-60 км</v>
      </c>
      <c r="G4" s="17" t="s">
        <v>625</v>
      </c>
      <c r="H4" s="17" t="s">
        <v>626</v>
      </c>
      <c r="I4" s="17"/>
    </row>
    <row r="5" spans="1:9" ht="28.8" x14ac:dyDescent="0.3">
      <c r="A5" s="17" t="s">
        <v>617</v>
      </c>
      <c r="B5" s="17" t="s">
        <v>346</v>
      </c>
      <c r="C5" s="17" t="s">
        <v>627</v>
      </c>
      <c r="D5" s="17" t="s">
        <v>314</v>
      </c>
      <c r="E5" s="17" t="str">
        <f>IF(SUM(KP_ENGINE_V5_EXAMPLE!$U$2:$U$20)&lt;INDEX(COMMERCIAL_POLICY!$B:$B,MATCH($B5,COMMERCIAL_POLICY!$A:$A,0)),"TRIGGER","OK")</f>
        <v>TRIGGER</v>
      </c>
      <c r="F5" s="17">
        <f>SUM(KP_ENGINE_V5_EXAMPLE!$U$2:$U$20)</f>
        <v>0</v>
      </c>
      <c r="G5" s="17">
        <f>INDEX(COMMERCIAL_POLICY!$B:$B,MATCH($B5,COMMERCIAL_POLICY!$A:$A,0))</f>
        <v>400000</v>
      </c>
      <c r="H5" s="17" t="s">
        <v>628</v>
      </c>
      <c r="I5" s="17"/>
    </row>
  </sheetData>
  <autoFilter ref="A1:I5" xr:uid="{00000000-0009-0000-0000-00000A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P1000"/>
  <sheetViews>
    <sheetView workbookViewId="0"/>
  </sheetViews>
  <sheetFormatPr defaultRowHeight="14.4" x14ac:dyDescent="0.3"/>
  <cols>
    <col min="1" max="1" width="14" customWidth="1"/>
    <col min="2" max="2" width="26" customWidth="1"/>
    <col min="3" max="3" width="18" customWidth="1"/>
    <col min="4" max="4" width="11" customWidth="1"/>
    <col min="5" max="5" width="18" customWidth="1"/>
    <col min="6" max="6" width="12" customWidth="1"/>
    <col min="7" max="7" width="14" customWidth="1"/>
    <col min="8" max="8" width="11" customWidth="1"/>
    <col min="9" max="9" width="14" customWidth="1"/>
    <col min="10" max="10" width="11" customWidth="1"/>
    <col min="11" max="11" width="18" customWidth="1"/>
    <col min="12" max="12" width="13" customWidth="1"/>
    <col min="13" max="13" width="18" customWidth="1"/>
    <col min="14" max="14" width="11" customWidth="1"/>
    <col min="15" max="15" width="14" customWidth="1"/>
    <col min="16" max="16" width="12" customWidth="1"/>
    <col min="17" max="17" width="20" customWidth="1"/>
    <col min="18" max="18" width="13" customWidth="1"/>
    <col min="19" max="19" width="18" customWidth="1"/>
    <col min="20" max="20" width="13" customWidth="1"/>
    <col min="21" max="21" width="36" customWidth="1"/>
    <col min="22" max="22" width="18" customWidth="1"/>
    <col min="23" max="23" width="12" customWidth="1"/>
    <col min="24" max="31" width="18" customWidth="1"/>
    <col min="32" max="32" width="14" customWidth="1"/>
    <col min="33" max="33" width="16" customWidth="1"/>
    <col min="34" max="34" width="12" customWidth="1"/>
    <col min="35" max="35" width="14" customWidth="1"/>
    <col min="36" max="36" width="12" customWidth="1"/>
    <col min="37" max="37" width="14" customWidth="1"/>
    <col min="38" max="38" width="12" customWidth="1"/>
    <col min="39" max="39" width="14" customWidth="1"/>
    <col min="40" max="40" width="10" customWidth="1"/>
    <col min="41" max="41" width="12" customWidth="1"/>
    <col min="42" max="42" width="16" customWidth="1"/>
  </cols>
  <sheetData>
    <row r="1" spans="1:42" ht="28.8" x14ac:dyDescent="0.3">
      <c r="A1" s="3" t="s">
        <v>610</v>
      </c>
      <c r="B1" s="3" t="s">
        <v>629</v>
      </c>
      <c r="C1" s="3" t="s">
        <v>203</v>
      </c>
      <c r="D1" s="3" t="s">
        <v>630</v>
      </c>
      <c r="E1" s="3" t="s">
        <v>204</v>
      </c>
      <c r="F1" s="3" t="s">
        <v>631</v>
      </c>
      <c r="G1" s="3" t="s">
        <v>205</v>
      </c>
      <c r="H1" s="3" t="s">
        <v>632</v>
      </c>
      <c r="I1" s="3" t="s">
        <v>206</v>
      </c>
      <c r="J1" s="3" t="s">
        <v>633</v>
      </c>
      <c r="K1" s="3" t="s">
        <v>345</v>
      </c>
      <c r="L1" s="3" t="s">
        <v>634</v>
      </c>
      <c r="M1" s="3" t="s">
        <v>208</v>
      </c>
      <c r="N1" s="3" t="s">
        <v>635</v>
      </c>
      <c r="O1" s="3" t="s">
        <v>209</v>
      </c>
      <c r="P1" s="3" t="s">
        <v>636</v>
      </c>
      <c r="Q1" s="3" t="s">
        <v>395</v>
      </c>
      <c r="R1" s="3" t="s">
        <v>637</v>
      </c>
      <c r="S1" s="3" t="s">
        <v>211</v>
      </c>
      <c r="T1" s="3" t="s">
        <v>638</v>
      </c>
      <c r="U1" s="3" t="s">
        <v>116</v>
      </c>
      <c r="V1" s="3" t="s">
        <v>218</v>
      </c>
      <c r="W1" s="3" t="s">
        <v>639</v>
      </c>
      <c r="X1" s="3" t="s">
        <v>579</v>
      </c>
      <c r="Y1" s="3" t="s">
        <v>640</v>
      </c>
      <c r="Z1" s="3" t="s">
        <v>641</v>
      </c>
      <c r="AA1" s="3" t="s">
        <v>642</v>
      </c>
      <c r="AB1" s="3" t="s">
        <v>643</v>
      </c>
      <c r="AC1" s="3" t="s">
        <v>644</v>
      </c>
      <c r="AD1" s="3" t="s">
        <v>224</v>
      </c>
      <c r="AE1" s="3" t="s">
        <v>645</v>
      </c>
      <c r="AF1" s="3" t="s">
        <v>646</v>
      </c>
      <c r="AG1" s="3" t="s">
        <v>227</v>
      </c>
      <c r="AH1" s="3" t="s">
        <v>647</v>
      </c>
      <c r="AI1" s="3" t="s">
        <v>225</v>
      </c>
      <c r="AJ1" s="3" t="s">
        <v>648</v>
      </c>
      <c r="AK1" s="3" t="s">
        <v>226</v>
      </c>
      <c r="AL1" s="3" t="s">
        <v>649</v>
      </c>
      <c r="AM1" s="3" t="s">
        <v>441</v>
      </c>
      <c r="AN1" s="3" t="s">
        <v>650</v>
      </c>
      <c r="AO1" s="3" t="s">
        <v>651</v>
      </c>
      <c r="AP1" s="3" t="s">
        <v>652</v>
      </c>
    </row>
    <row r="2" spans="1:42" ht="28.8" x14ac:dyDescent="0.3">
      <c r="A2" s="19" t="s">
        <v>617</v>
      </c>
      <c r="B2" s="19" t="s">
        <v>653</v>
      </c>
      <c r="C2" s="19" t="s">
        <v>331</v>
      </c>
      <c r="D2" s="30">
        <f>IF($C2="","",SUMIFS(SITE_COEFFS!$C:$C,SITE_COEFFS!$A:$A,"SoilWorkability",SITE_COEFFS!$B:$B,$C2))</f>
        <v>1.1200000000000001</v>
      </c>
      <c r="E2" s="19" t="s">
        <v>332</v>
      </c>
      <c r="F2" s="30">
        <f>IF($E2="","",SUMIFS(SITE_COEFFS!$C:$C,SITE_COEFFS!$A:$A,"SoilMoisture",SITE_COEFFS!$B:$B,$E2))</f>
        <v>1.06</v>
      </c>
      <c r="G2" s="19" t="s">
        <v>295</v>
      </c>
      <c r="H2" s="30">
        <f>IF($G2="","",SUMIFS(SITE_COEFFS!$C:$C,SITE_COEFFS!$A:$A,"DebrisLevel",SITE_COEFFS!$B:$B,$G2))</f>
        <v>1.08</v>
      </c>
      <c r="I2" s="19" t="s">
        <v>334</v>
      </c>
      <c r="J2" s="30">
        <f>IF($I2="","",SUMIFS(SITE_COEFFS!$C:$C,SITE_COEFFS!$A:$A,"SlopeClass",SITE_COEFFS!$B:$B,$I2))</f>
        <v>1.1200000000000001</v>
      </c>
      <c r="K2" s="19" t="s">
        <v>293</v>
      </c>
      <c r="L2" s="30">
        <f>IF($K2="","",SUMIFS(SITE_COEFFS!$C:$C,SITE_COEFFS!$A:$A,"SurfaceUnevenness",SITE_COEFFS!$B:$B,$K2))</f>
        <v>1.05</v>
      </c>
      <c r="M2" s="19" t="s">
        <v>297</v>
      </c>
      <c r="N2" s="30">
        <f>IF($M2="","",SUMIFS(SITE_COEFFS!$C:$C,SITE_COEFFS!$A:$A,"AccessClass",SITE_COEFFS!$B:$B,$M2))</f>
        <v>1.08</v>
      </c>
      <c r="O2" s="19" t="s">
        <v>298</v>
      </c>
      <c r="P2" s="30">
        <f>IF($O2="","",SUMIFS(SITE_COEFFS!$C:$C,SITE_COEFFS!$A:$A,"TurnSpace",SITE_COEFFS!$B:$B,$O2))</f>
        <v>1.06</v>
      </c>
      <c r="Q2" s="19" t="s">
        <v>299</v>
      </c>
      <c r="R2" s="30">
        <f>IF($Q2="","",SUMIFS(SITE_COEFFS!$C:$C,SITE_COEFFS!$A:$A,"ProximityToBuildings",SITE_COEFFS!$B:$B,$Q2))</f>
        <v>1.06</v>
      </c>
      <c r="S2" s="19" t="s">
        <v>300</v>
      </c>
      <c r="T2" s="30">
        <f>IF($S2="","",SUMIFS(SITE_COEFFS!$C:$C,SITE_COEFFS!$A:$A,"MachineryAllowed",SITE_COEFFS!$B:$B,$S2))</f>
        <v>1.1000000000000001</v>
      </c>
      <c r="U2" s="19" t="s">
        <v>654</v>
      </c>
      <c r="V2" s="19" t="s">
        <v>342</v>
      </c>
      <c r="W2" s="30">
        <f>IF($V2="","",SUMIFS(SITE_COEFFS!$C:$C,SITE_COEFFS!$A:$A,"GeometryComplexity",SITE_COEFFS!$B:$B,$V2))</f>
        <v>1.07</v>
      </c>
      <c r="X2" s="19"/>
      <c r="Y2" s="19" t="str">
        <f>IF($X2="","",SUMIFS(TARIFF_PROFILES!$D:$D,TARIFF_PROFILES!$A:$A,$X2))</f>
        <v/>
      </c>
      <c r="Z2" s="19" t="str">
        <f>IF($X2="","",SUMIFS(TARIFF_PROFILES!$E:$E,TARIFF_PROFILES!$A:$A,$X2))</f>
        <v/>
      </c>
      <c r="AA2" s="19" t="str">
        <f>IF($X2="","",SUMIFS(TARIFF_PROFILES!$F:$F,TARIFF_PROFILES!$A:$A,$X2))</f>
        <v/>
      </c>
      <c r="AB2" s="19" t="str">
        <f>IF($X2="","",SUMIFS(TARIFF_PROFILES!$G:$G,TARIFF_PROFILES!$A:$A,$X2))</f>
        <v/>
      </c>
      <c r="AC2" s="19" t="str">
        <f>IF($X2="","",SUMIFS(TARIFF_PROFILES!$H:$H,TARIFF_PROFILES!$A:$A,$X2))</f>
        <v/>
      </c>
      <c r="AD2" s="19" t="str">
        <f>IF($X2="","",INDEX(TARIFF_PROFILES!$J:$J,MATCH($X2,TARIFF_PROFILES!$A:$A,0)))</f>
        <v/>
      </c>
      <c r="AE2" s="19" t="str">
        <f>IF($X2="","",INDEX(TARIFF_PROFILES!$K:$K,MATCH($X2,TARIFF_PROFILES!$A:$A,0)))</f>
        <v/>
      </c>
      <c r="AF2" s="17">
        <v>35</v>
      </c>
      <c r="AG2" s="17" t="s">
        <v>349</v>
      </c>
      <c r="AH2" s="17">
        <f>IF($AG2="","",SUMIFS(OPERATING_COEFFS!$C:$C,OPERATING_COEFFS!$A:$A,"DistanceClass",OPERATING_COEFFS!$B:$B,$AG2))</f>
        <v>1.1200000000000001</v>
      </c>
      <c r="AI2" s="17" t="s">
        <v>347</v>
      </c>
      <c r="AJ2" s="17">
        <f>IF($AI2="","",SUMIFS(OPERATING_COEFFS!$C:$C,OPERATING_COEFFS!$A:$A,"SeasonClass",OPERATING_COEFFS!$B:$B,$AI2))</f>
        <v>1.08</v>
      </c>
      <c r="AK2" s="17" t="s">
        <v>309</v>
      </c>
      <c r="AL2" s="17">
        <f>IF($AK2="","",SUMIFS(OPERATING_COEFFS!$C:$C,OPERATING_COEFFS!$A:$A,"UrgencyClass",OPERATING_COEFFS!$B:$B,$AK2))</f>
        <v>1.07</v>
      </c>
      <c r="AM2" s="17" t="s">
        <v>311</v>
      </c>
      <c r="AN2" s="17">
        <f>IF($AM2="","",INDEX(TAX_MODES!$B:$B,MATCH($AM2,TAX_MODES!$A:$A,0)))</f>
        <v>0.2</v>
      </c>
      <c r="AO2" s="17">
        <v>3</v>
      </c>
      <c r="AP2" s="17">
        <v>25</v>
      </c>
    </row>
    <row r="3" spans="1:42" ht="28.8" x14ac:dyDescent="0.3">
      <c r="A3" s="19" t="s">
        <v>655</v>
      </c>
      <c r="B3" s="19" t="s">
        <v>656</v>
      </c>
      <c r="C3" s="19" t="s">
        <v>253</v>
      </c>
      <c r="D3" s="30">
        <f>IF($C3="","",SUMIFS(SITE_COEFFS!$C:$C,SITE_COEFFS!$A:$A,"SoilWorkability",SITE_COEFFS!$B:$B,$C3))</f>
        <v>0.95</v>
      </c>
      <c r="E3" s="19" t="s">
        <v>294</v>
      </c>
      <c r="F3" s="30">
        <f>IF($E3="","",SUMIFS(SITE_COEFFS!$C:$C,SITE_COEFFS!$A:$A,"SoilMoisture",SITE_COEFFS!$B:$B,$E3))</f>
        <v>1</v>
      </c>
      <c r="G3" s="19" t="s">
        <v>255</v>
      </c>
      <c r="H3" s="30">
        <f>IF($G3="","",SUMIFS(SITE_COEFFS!$C:$C,SITE_COEFFS!$A:$A,"DebrisLevel",SITE_COEFFS!$B:$B,$G3))</f>
        <v>1</v>
      </c>
      <c r="I3" s="19" t="s">
        <v>256</v>
      </c>
      <c r="J3" s="30">
        <f>IF($I3="","",SUMIFS(SITE_COEFFS!$C:$C,SITE_COEFFS!$A:$A,"SlopeClass",SITE_COEFFS!$B:$B,$I3))</f>
        <v>1</v>
      </c>
      <c r="K3" s="19" t="s">
        <v>257</v>
      </c>
      <c r="L3" s="30">
        <f>IF($K3="","",SUMIFS(SITE_COEFFS!$C:$C,SITE_COEFFS!$A:$A,"SurfaceUnevenness",SITE_COEFFS!$B:$B,$K3))</f>
        <v>1</v>
      </c>
      <c r="M3" s="19" t="s">
        <v>258</v>
      </c>
      <c r="N3" s="30">
        <f>IF($M3="","",SUMIFS(SITE_COEFFS!$C:$C,SITE_COEFFS!$A:$A,"AccessClass",SITE_COEFFS!$B:$B,$M3))</f>
        <v>1</v>
      </c>
      <c r="O3" s="19" t="s">
        <v>259</v>
      </c>
      <c r="P3" s="30">
        <f>IF($O3="","",SUMIFS(SITE_COEFFS!$C:$C,SITE_COEFFS!$A:$A,"TurnSpace",SITE_COEFFS!$B:$B,$O3))</f>
        <v>1</v>
      </c>
      <c r="Q3" s="19" t="s">
        <v>260</v>
      </c>
      <c r="R3" s="30">
        <f>IF($Q3="","",SUMIFS(SITE_COEFFS!$C:$C,SITE_COEFFS!$A:$A,"ProximityToBuildings",SITE_COEFFS!$B:$B,$Q3))</f>
        <v>1</v>
      </c>
      <c r="S3" s="19" t="s">
        <v>245</v>
      </c>
      <c r="T3" s="30">
        <f>IF($S3="","",SUMIFS(SITE_COEFFS!$C:$C,SITE_COEFFS!$A:$A,"MachineryAllowed",SITE_COEFFS!$B:$B,$S3))</f>
        <v>1</v>
      </c>
      <c r="U3" s="19" t="s">
        <v>657</v>
      </c>
      <c r="V3" s="19" t="s">
        <v>265</v>
      </c>
      <c r="W3" s="30">
        <f>IF($V3="","",SUMIFS(SITE_COEFFS!$C:$C,SITE_COEFFS!$A:$A,"GeometryComplexity",SITE_COEFFS!$B:$B,$V3))</f>
        <v>1</v>
      </c>
      <c r="X3" s="19"/>
      <c r="Y3" s="19" t="str">
        <f>IF($X3="","",SUMIFS(TARIFF_PROFILES!$D:$D,TARIFF_PROFILES!$A:$A,$X3))</f>
        <v/>
      </c>
      <c r="Z3" s="19" t="str">
        <f>IF($X3="","",SUMIFS(TARIFF_PROFILES!$E:$E,TARIFF_PROFILES!$A:$A,$X3))</f>
        <v/>
      </c>
      <c r="AA3" s="19" t="str">
        <f>IF($X3="","",SUMIFS(TARIFF_PROFILES!$F:$F,TARIFF_PROFILES!$A:$A,$X3))</f>
        <v/>
      </c>
      <c r="AB3" s="19" t="str">
        <f>IF($X3="","",SUMIFS(TARIFF_PROFILES!$G:$G,TARIFF_PROFILES!$A:$A,$X3))</f>
        <v/>
      </c>
      <c r="AC3" s="19" t="str">
        <f>IF($X3="","",SUMIFS(TARIFF_PROFILES!$H:$H,TARIFF_PROFILES!$A:$A,$X3))</f>
        <v/>
      </c>
      <c r="AD3" s="19" t="str">
        <f>IF($X3="","",INDEX(TARIFF_PROFILES!$J:$J,MATCH($X3,TARIFF_PROFILES!$A:$A,0)))</f>
        <v/>
      </c>
      <c r="AE3" s="19" t="str">
        <f>IF($X3="","",INDEX(TARIFF_PROFILES!$K:$K,MATCH($X3,TARIFF_PROFILES!$A:$A,0)))</f>
        <v/>
      </c>
      <c r="AF3" s="17">
        <v>8</v>
      </c>
      <c r="AG3" s="17" t="s">
        <v>271</v>
      </c>
      <c r="AH3" s="17">
        <f>IF($AG3="","",SUMIFS(OPERATING_COEFFS!$C:$C,OPERATING_COEFFS!$A:$A,"DistanceClass",OPERATING_COEFFS!$B:$B,$AG3))</f>
        <v>1</v>
      </c>
      <c r="AI3" s="17" t="s">
        <v>308</v>
      </c>
      <c r="AJ3" s="17">
        <f>IF($AI3="","",SUMIFS(OPERATING_COEFFS!$C:$C,OPERATING_COEFFS!$A:$A,"SeasonClass",OPERATING_COEFFS!$B:$B,$AI3))</f>
        <v>1</v>
      </c>
      <c r="AK3" s="17" t="s">
        <v>270</v>
      </c>
      <c r="AL3" s="17">
        <f>IF($AK3="","",SUMIFS(OPERATING_COEFFS!$C:$C,OPERATING_COEFFS!$A:$A,"UrgencyClass",OPERATING_COEFFS!$B:$B,$AK3))</f>
        <v>1</v>
      </c>
      <c r="AM3" s="17" t="s">
        <v>272</v>
      </c>
      <c r="AN3" s="17">
        <f>IF($AM3="","",INDEX(TAX_MODES!$B:$B,MATCH($AM3,TAX_MODES!$A:$A,0)))</f>
        <v>0</v>
      </c>
      <c r="AO3" s="17">
        <v>1</v>
      </c>
      <c r="AP3" s="17">
        <v>5</v>
      </c>
    </row>
    <row r="4" spans="1:42" x14ac:dyDescent="0.3">
      <c r="A4" s="19"/>
      <c r="B4" s="19"/>
      <c r="C4" s="19"/>
      <c r="D4" s="30" t="str">
        <f>IF($C4="","",SUMIFS(SITE_COEFFS!$C:$C,SITE_COEFFS!$A:$A,"SoilWorkability",SITE_COEFFS!$B:$B,$C4))</f>
        <v/>
      </c>
      <c r="E4" s="19"/>
      <c r="F4" s="30" t="str">
        <f>IF($E4="","",SUMIFS(SITE_COEFFS!$C:$C,SITE_COEFFS!$A:$A,"SoilMoisture",SITE_COEFFS!$B:$B,$E4))</f>
        <v/>
      </c>
      <c r="G4" s="19"/>
      <c r="H4" s="30" t="str">
        <f>IF($G4="","",SUMIFS(SITE_COEFFS!$C:$C,SITE_COEFFS!$A:$A,"DebrisLevel",SITE_COEFFS!$B:$B,$G4))</f>
        <v/>
      </c>
      <c r="I4" s="19"/>
      <c r="J4" s="30" t="str">
        <f>IF($I4="","",SUMIFS(SITE_COEFFS!$C:$C,SITE_COEFFS!$A:$A,"SlopeClass",SITE_COEFFS!$B:$B,$I4))</f>
        <v/>
      </c>
      <c r="K4" s="19"/>
      <c r="L4" s="30" t="str">
        <f>IF($K4="","",SUMIFS(SITE_COEFFS!$C:$C,SITE_COEFFS!$A:$A,"SurfaceUnevenness",SITE_COEFFS!$B:$B,$K4))</f>
        <v/>
      </c>
      <c r="M4" s="19"/>
      <c r="N4" s="30" t="str">
        <f>IF($M4="","",SUMIFS(SITE_COEFFS!$C:$C,SITE_COEFFS!$A:$A,"AccessClass",SITE_COEFFS!$B:$B,$M4))</f>
        <v/>
      </c>
      <c r="O4" s="19"/>
      <c r="P4" s="30" t="str">
        <f>IF($O4="","",SUMIFS(SITE_COEFFS!$C:$C,SITE_COEFFS!$A:$A,"TurnSpace",SITE_COEFFS!$B:$B,$O4))</f>
        <v/>
      </c>
      <c r="Q4" s="19"/>
      <c r="R4" s="30" t="str">
        <f>IF($Q4="","",SUMIFS(SITE_COEFFS!$C:$C,SITE_COEFFS!$A:$A,"ProximityToBuildings",SITE_COEFFS!$B:$B,$Q4))</f>
        <v/>
      </c>
      <c r="S4" s="19"/>
      <c r="T4" s="30" t="str">
        <f>IF($S4="","",SUMIFS(SITE_COEFFS!$C:$C,SITE_COEFFS!$A:$A,"MachineryAllowed",SITE_COEFFS!$B:$B,$S4))</f>
        <v/>
      </c>
      <c r="U4" s="19"/>
      <c r="V4" s="19"/>
      <c r="W4" s="30" t="str">
        <f>IF($V4="","",SUMIFS(SITE_COEFFS!$C:$C,SITE_COEFFS!$A:$A,"GeometryComplexity",SITE_COEFFS!$B:$B,$V4))</f>
        <v/>
      </c>
      <c r="X4" s="19"/>
      <c r="Y4" s="19" t="str">
        <f>IF($X4="","",SUMIFS(TARIFF_PROFILES!$D:$D,TARIFF_PROFILES!$A:$A,$X4))</f>
        <v/>
      </c>
      <c r="Z4" s="19" t="str">
        <f>IF($X4="","",SUMIFS(TARIFF_PROFILES!$E:$E,TARIFF_PROFILES!$A:$A,$X4))</f>
        <v/>
      </c>
      <c r="AA4" s="19" t="str">
        <f>IF($X4="","",SUMIFS(TARIFF_PROFILES!$F:$F,TARIFF_PROFILES!$A:$A,$X4))</f>
        <v/>
      </c>
      <c r="AB4" s="19" t="str">
        <f>IF($X4="","",SUMIFS(TARIFF_PROFILES!$G:$G,TARIFF_PROFILES!$A:$A,$X4))</f>
        <v/>
      </c>
      <c r="AC4" s="19" t="str">
        <f>IF($X4="","",SUMIFS(TARIFF_PROFILES!$H:$H,TARIFF_PROFILES!$A:$A,$X4))</f>
        <v/>
      </c>
      <c r="AD4" s="19" t="str">
        <f>IF($X4="","",INDEX(TARIFF_PROFILES!$J:$J,MATCH($X4,TARIFF_PROFILES!$A:$A,0)))</f>
        <v/>
      </c>
      <c r="AE4" s="19" t="str">
        <f>IF($X4="","",INDEX(TARIFF_PROFILES!$K:$K,MATCH($X4,TARIFF_PROFILES!$A:$A,0)))</f>
        <v/>
      </c>
      <c r="AF4" s="17"/>
      <c r="AG4" s="17"/>
      <c r="AH4" s="17" t="str">
        <f>IF($AG4="","",SUMIFS(OPERATING_COEFFS!$C:$C,OPERATING_COEFFS!$A:$A,"DistanceClass",OPERATING_COEFFS!$B:$B,$AG4))</f>
        <v/>
      </c>
      <c r="AI4" s="17"/>
      <c r="AJ4" s="17" t="str">
        <f>IF($AI4="","",SUMIFS(OPERATING_COEFFS!$C:$C,OPERATING_COEFFS!$A:$A,"SeasonClass",OPERATING_COEFFS!$B:$B,$AI4))</f>
        <v/>
      </c>
      <c r="AK4" s="17"/>
      <c r="AL4" s="17" t="str">
        <f>IF($AK4="","",SUMIFS(OPERATING_COEFFS!$C:$C,OPERATING_COEFFS!$A:$A,"UrgencyClass",OPERATING_COEFFS!$B:$B,$AK4))</f>
        <v/>
      </c>
      <c r="AM4" s="17"/>
      <c r="AN4" s="17" t="str">
        <f>IF($AM4="","",INDEX(TAX_MODES!$B:$B,MATCH($AM4,TAX_MODES!$A:$A,0)))</f>
        <v/>
      </c>
      <c r="AO4" s="17"/>
      <c r="AP4" s="17"/>
    </row>
    <row r="5" spans="1:42" x14ac:dyDescent="0.3">
      <c r="A5" s="19"/>
      <c r="B5" s="19"/>
      <c r="C5" s="19"/>
      <c r="D5" s="30" t="str">
        <f>IF($C5="","",SUMIFS(SITE_COEFFS!$C:$C,SITE_COEFFS!$A:$A,"SoilWorkability",SITE_COEFFS!$B:$B,$C5))</f>
        <v/>
      </c>
      <c r="E5" s="19"/>
      <c r="F5" s="30" t="str">
        <f>IF($E5="","",SUMIFS(SITE_COEFFS!$C:$C,SITE_COEFFS!$A:$A,"SoilMoisture",SITE_COEFFS!$B:$B,$E5))</f>
        <v/>
      </c>
      <c r="G5" s="19"/>
      <c r="H5" s="30" t="str">
        <f>IF($G5="","",SUMIFS(SITE_COEFFS!$C:$C,SITE_COEFFS!$A:$A,"DebrisLevel",SITE_COEFFS!$B:$B,$G5))</f>
        <v/>
      </c>
      <c r="I5" s="19"/>
      <c r="J5" s="30" t="str">
        <f>IF($I5="","",SUMIFS(SITE_COEFFS!$C:$C,SITE_COEFFS!$A:$A,"SlopeClass",SITE_COEFFS!$B:$B,$I5))</f>
        <v/>
      </c>
      <c r="K5" s="19"/>
      <c r="L5" s="30" t="str">
        <f>IF($K5="","",SUMIFS(SITE_COEFFS!$C:$C,SITE_COEFFS!$A:$A,"SurfaceUnevenness",SITE_COEFFS!$B:$B,$K5))</f>
        <v/>
      </c>
      <c r="M5" s="19"/>
      <c r="N5" s="30" t="str">
        <f>IF($M5="","",SUMIFS(SITE_COEFFS!$C:$C,SITE_COEFFS!$A:$A,"AccessClass",SITE_COEFFS!$B:$B,$M5))</f>
        <v/>
      </c>
      <c r="O5" s="19"/>
      <c r="P5" s="30" t="str">
        <f>IF($O5="","",SUMIFS(SITE_COEFFS!$C:$C,SITE_COEFFS!$A:$A,"TurnSpace",SITE_COEFFS!$B:$B,$O5))</f>
        <v/>
      </c>
      <c r="Q5" s="19"/>
      <c r="R5" s="30" t="str">
        <f>IF($Q5="","",SUMIFS(SITE_COEFFS!$C:$C,SITE_COEFFS!$A:$A,"ProximityToBuildings",SITE_COEFFS!$B:$B,$Q5))</f>
        <v/>
      </c>
      <c r="S5" s="19"/>
      <c r="T5" s="30" t="str">
        <f>IF($S5="","",SUMIFS(SITE_COEFFS!$C:$C,SITE_COEFFS!$A:$A,"MachineryAllowed",SITE_COEFFS!$B:$B,$S5))</f>
        <v/>
      </c>
      <c r="U5" s="19"/>
      <c r="V5" s="19"/>
      <c r="W5" s="30" t="str">
        <f>IF($V5="","",SUMIFS(SITE_COEFFS!$C:$C,SITE_COEFFS!$A:$A,"GeometryComplexity",SITE_COEFFS!$B:$B,$V5))</f>
        <v/>
      </c>
      <c r="X5" s="19"/>
      <c r="Y5" s="19" t="str">
        <f>IF($X5="","",SUMIFS(TARIFF_PROFILES!$D:$D,TARIFF_PROFILES!$A:$A,$X5))</f>
        <v/>
      </c>
      <c r="Z5" s="19" t="str">
        <f>IF($X5="","",SUMIFS(TARIFF_PROFILES!$E:$E,TARIFF_PROFILES!$A:$A,$X5))</f>
        <v/>
      </c>
      <c r="AA5" s="19" t="str">
        <f>IF($X5="","",SUMIFS(TARIFF_PROFILES!$F:$F,TARIFF_PROFILES!$A:$A,$X5))</f>
        <v/>
      </c>
      <c r="AB5" s="19" t="str">
        <f>IF($X5="","",SUMIFS(TARIFF_PROFILES!$G:$G,TARIFF_PROFILES!$A:$A,$X5))</f>
        <v/>
      </c>
      <c r="AC5" s="19" t="str">
        <f>IF($X5="","",SUMIFS(TARIFF_PROFILES!$H:$H,TARIFF_PROFILES!$A:$A,$X5))</f>
        <v/>
      </c>
      <c r="AD5" s="19" t="str">
        <f>IF($X5="","",INDEX(TARIFF_PROFILES!$J:$J,MATCH($X5,TARIFF_PROFILES!$A:$A,0)))</f>
        <v/>
      </c>
      <c r="AE5" s="19" t="str">
        <f>IF($X5="","",INDEX(TARIFF_PROFILES!$K:$K,MATCH($X5,TARIFF_PROFILES!$A:$A,0)))</f>
        <v/>
      </c>
      <c r="AF5" s="17"/>
      <c r="AG5" s="17"/>
      <c r="AH5" s="17" t="str">
        <f>IF($AG5="","",SUMIFS(OPERATING_COEFFS!$C:$C,OPERATING_COEFFS!$A:$A,"DistanceClass",OPERATING_COEFFS!$B:$B,$AG5))</f>
        <v/>
      </c>
      <c r="AI5" s="17"/>
      <c r="AJ5" s="17" t="str">
        <f>IF($AI5="","",SUMIFS(OPERATING_COEFFS!$C:$C,OPERATING_COEFFS!$A:$A,"SeasonClass",OPERATING_COEFFS!$B:$B,$AI5))</f>
        <v/>
      </c>
      <c r="AK5" s="17"/>
      <c r="AL5" s="17" t="str">
        <f>IF($AK5="","",SUMIFS(OPERATING_COEFFS!$C:$C,OPERATING_COEFFS!$A:$A,"UrgencyClass",OPERATING_COEFFS!$B:$B,$AK5))</f>
        <v/>
      </c>
      <c r="AM5" s="17"/>
      <c r="AN5" s="17" t="str">
        <f>IF($AM5="","",INDEX(TAX_MODES!$B:$B,MATCH($AM5,TAX_MODES!$A:$A,0)))</f>
        <v/>
      </c>
      <c r="AO5" s="17"/>
      <c r="AP5" s="17"/>
    </row>
    <row r="6" spans="1:42" x14ac:dyDescent="0.3">
      <c r="A6" s="19"/>
      <c r="B6" s="19"/>
      <c r="C6" s="19"/>
      <c r="D6" s="30" t="str">
        <f>IF($C6="","",SUMIFS(SITE_COEFFS!$C:$C,SITE_COEFFS!$A:$A,"SoilWorkability",SITE_COEFFS!$B:$B,$C6))</f>
        <v/>
      </c>
      <c r="E6" s="19"/>
      <c r="F6" s="30" t="str">
        <f>IF($E6="","",SUMIFS(SITE_COEFFS!$C:$C,SITE_COEFFS!$A:$A,"SoilMoisture",SITE_COEFFS!$B:$B,$E6))</f>
        <v/>
      </c>
      <c r="G6" s="19"/>
      <c r="H6" s="30" t="str">
        <f>IF($G6="","",SUMIFS(SITE_COEFFS!$C:$C,SITE_COEFFS!$A:$A,"DebrisLevel",SITE_COEFFS!$B:$B,$G6))</f>
        <v/>
      </c>
      <c r="I6" s="19"/>
      <c r="J6" s="30" t="str">
        <f>IF($I6="","",SUMIFS(SITE_COEFFS!$C:$C,SITE_COEFFS!$A:$A,"SlopeClass",SITE_COEFFS!$B:$B,$I6))</f>
        <v/>
      </c>
      <c r="K6" s="19"/>
      <c r="L6" s="30" t="str">
        <f>IF($K6="","",SUMIFS(SITE_COEFFS!$C:$C,SITE_COEFFS!$A:$A,"SurfaceUnevenness",SITE_COEFFS!$B:$B,$K6))</f>
        <v/>
      </c>
      <c r="M6" s="19"/>
      <c r="N6" s="30" t="str">
        <f>IF($M6="","",SUMIFS(SITE_COEFFS!$C:$C,SITE_COEFFS!$A:$A,"AccessClass",SITE_COEFFS!$B:$B,$M6))</f>
        <v/>
      </c>
      <c r="O6" s="19"/>
      <c r="P6" s="30" t="str">
        <f>IF($O6="","",SUMIFS(SITE_COEFFS!$C:$C,SITE_COEFFS!$A:$A,"TurnSpace",SITE_COEFFS!$B:$B,$O6))</f>
        <v/>
      </c>
      <c r="Q6" s="19"/>
      <c r="R6" s="30" t="str">
        <f>IF($Q6="","",SUMIFS(SITE_COEFFS!$C:$C,SITE_COEFFS!$A:$A,"ProximityToBuildings",SITE_COEFFS!$B:$B,$Q6))</f>
        <v/>
      </c>
      <c r="S6" s="19"/>
      <c r="T6" s="30" t="str">
        <f>IF($S6="","",SUMIFS(SITE_COEFFS!$C:$C,SITE_COEFFS!$A:$A,"MachineryAllowed",SITE_COEFFS!$B:$B,$S6))</f>
        <v/>
      </c>
      <c r="U6" s="19"/>
      <c r="V6" s="19"/>
      <c r="W6" s="30" t="str">
        <f>IF($V6="","",SUMIFS(SITE_COEFFS!$C:$C,SITE_COEFFS!$A:$A,"GeometryComplexity",SITE_COEFFS!$B:$B,$V6))</f>
        <v/>
      </c>
      <c r="X6" s="19"/>
      <c r="Y6" s="19" t="str">
        <f>IF($X6="","",SUMIFS(TARIFF_PROFILES!$D:$D,TARIFF_PROFILES!$A:$A,$X6))</f>
        <v/>
      </c>
      <c r="Z6" s="19" t="str">
        <f>IF($X6="","",SUMIFS(TARIFF_PROFILES!$E:$E,TARIFF_PROFILES!$A:$A,$X6))</f>
        <v/>
      </c>
      <c r="AA6" s="19" t="str">
        <f>IF($X6="","",SUMIFS(TARIFF_PROFILES!$F:$F,TARIFF_PROFILES!$A:$A,$X6))</f>
        <v/>
      </c>
      <c r="AB6" s="19" t="str">
        <f>IF($X6="","",SUMIFS(TARIFF_PROFILES!$G:$G,TARIFF_PROFILES!$A:$A,$X6))</f>
        <v/>
      </c>
      <c r="AC6" s="19" t="str">
        <f>IF($X6="","",SUMIFS(TARIFF_PROFILES!$H:$H,TARIFF_PROFILES!$A:$A,$X6))</f>
        <v/>
      </c>
      <c r="AD6" s="19" t="str">
        <f>IF($X6="","",INDEX(TARIFF_PROFILES!$J:$J,MATCH($X6,TARIFF_PROFILES!$A:$A,0)))</f>
        <v/>
      </c>
      <c r="AE6" s="19" t="str">
        <f>IF($X6="","",INDEX(TARIFF_PROFILES!$K:$K,MATCH($X6,TARIFF_PROFILES!$A:$A,0)))</f>
        <v/>
      </c>
      <c r="AF6" s="17"/>
      <c r="AG6" s="17"/>
      <c r="AH6" s="17" t="str">
        <f>IF($AG6="","",SUMIFS(OPERATING_COEFFS!$C:$C,OPERATING_COEFFS!$A:$A,"DistanceClass",OPERATING_COEFFS!$B:$B,$AG6))</f>
        <v/>
      </c>
      <c r="AI6" s="17"/>
      <c r="AJ6" s="17" t="str">
        <f>IF($AI6="","",SUMIFS(OPERATING_COEFFS!$C:$C,OPERATING_COEFFS!$A:$A,"SeasonClass",OPERATING_COEFFS!$B:$B,$AI6))</f>
        <v/>
      </c>
      <c r="AK6" s="17"/>
      <c r="AL6" s="17" t="str">
        <f>IF($AK6="","",SUMIFS(OPERATING_COEFFS!$C:$C,OPERATING_COEFFS!$A:$A,"UrgencyClass",OPERATING_COEFFS!$B:$B,$AK6))</f>
        <v/>
      </c>
      <c r="AM6" s="17"/>
      <c r="AN6" s="17" t="str">
        <f>IF($AM6="","",INDEX(TAX_MODES!$B:$B,MATCH($AM6,TAX_MODES!$A:$A,0)))</f>
        <v/>
      </c>
      <c r="AO6" s="17"/>
      <c r="AP6" s="17"/>
    </row>
    <row r="7" spans="1:42" x14ac:dyDescent="0.3">
      <c r="A7" s="19"/>
      <c r="B7" s="19"/>
      <c r="C7" s="19"/>
      <c r="D7" s="30" t="str">
        <f>IF($C7="","",SUMIFS(SITE_COEFFS!$C:$C,SITE_COEFFS!$A:$A,"SoilWorkability",SITE_COEFFS!$B:$B,$C7))</f>
        <v/>
      </c>
      <c r="E7" s="19"/>
      <c r="F7" s="30" t="str">
        <f>IF($E7="","",SUMIFS(SITE_COEFFS!$C:$C,SITE_COEFFS!$A:$A,"SoilMoisture",SITE_COEFFS!$B:$B,$E7))</f>
        <v/>
      </c>
      <c r="G7" s="19"/>
      <c r="H7" s="30" t="str">
        <f>IF($G7="","",SUMIFS(SITE_COEFFS!$C:$C,SITE_COEFFS!$A:$A,"DebrisLevel",SITE_COEFFS!$B:$B,$G7))</f>
        <v/>
      </c>
      <c r="I7" s="19"/>
      <c r="J7" s="30" t="str">
        <f>IF($I7="","",SUMIFS(SITE_COEFFS!$C:$C,SITE_COEFFS!$A:$A,"SlopeClass",SITE_COEFFS!$B:$B,$I7))</f>
        <v/>
      </c>
      <c r="K7" s="19"/>
      <c r="L7" s="30" t="str">
        <f>IF($K7="","",SUMIFS(SITE_COEFFS!$C:$C,SITE_COEFFS!$A:$A,"SurfaceUnevenness",SITE_COEFFS!$B:$B,$K7))</f>
        <v/>
      </c>
      <c r="M7" s="19"/>
      <c r="N7" s="30" t="str">
        <f>IF($M7="","",SUMIFS(SITE_COEFFS!$C:$C,SITE_COEFFS!$A:$A,"AccessClass",SITE_COEFFS!$B:$B,$M7))</f>
        <v/>
      </c>
      <c r="O7" s="19"/>
      <c r="P7" s="30" t="str">
        <f>IF($O7="","",SUMIFS(SITE_COEFFS!$C:$C,SITE_COEFFS!$A:$A,"TurnSpace",SITE_COEFFS!$B:$B,$O7))</f>
        <v/>
      </c>
      <c r="Q7" s="19"/>
      <c r="R7" s="30" t="str">
        <f>IF($Q7="","",SUMIFS(SITE_COEFFS!$C:$C,SITE_COEFFS!$A:$A,"ProximityToBuildings",SITE_COEFFS!$B:$B,$Q7))</f>
        <v/>
      </c>
      <c r="S7" s="19"/>
      <c r="T7" s="30" t="str">
        <f>IF($S7="","",SUMIFS(SITE_COEFFS!$C:$C,SITE_COEFFS!$A:$A,"MachineryAllowed",SITE_COEFFS!$B:$B,$S7))</f>
        <v/>
      </c>
      <c r="U7" s="19"/>
      <c r="V7" s="19"/>
      <c r="W7" s="30" t="str">
        <f>IF($V7="","",SUMIFS(SITE_COEFFS!$C:$C,SITE_COEFFS!$A:$A,"GeometryComplexity",SITE_COEFFS!$B:$B,$V7))</f>
        <v/>
      </c>
      <c r="X7" s="19"/>
      <c r="Y7" s="19" t="str">
        <f>IF($X7="","",SUMIFS(TARIFF_PROFILES!$D:$D,TARIFF_PROFILES!$A:$A,$X7))</f>
        <v/>
      </c>
      <c r="Z7" s="19" t="str">
        <f>IF($X7="","",SUMIFS(TARIFF_PROFILES!$E:$E,TARIFF_PROFILES!$A:$A,$X7))</f>
        <v/>
      </c>
      <c r="AA7" s="19" t="str">
        <f>IF($X7="","",SUMIFS(TARIFF_PROFILES!$F:$F,TARIFF_PROFILES!$A:$A,$X7))</f>
        <v/>
      </c>
      <c r="AB7" s="19" t="str">
        <f>IF($X7="","",SUMIFS(TARIFF_PROFILES!$G:$G,TARIFF_PROFILES!$A:$A,$X7))</f>
        <v/>
      </c>
      <c r="AC7" s="19" t="str">
        <f>IF($X7="","",SUMIFS(TARIFF_PROFILES!$H:$H,TARIFF_PROFILES!$A:$A,$X7))</f>
        <v/>
      </c>
      <c r="AD7" s="19" t="str">
        <f>IF($X7="","",INDEX(TARIFF_PROFILES!$J:$J,MATCH($X7,TARIFF_PROFILES!$A:$A,0)))</f>
        <v/>
      </c>
      <c r="AE7" s="19" t="str">
        <f>IF($X7="","",INDEX(TARIFF_PROFILES!$K:$K,MATCH($X7,TARIFF_PROFILES!$A:$A,0)))</f>
        <v/>
      </c>
      <c r="AF7" s="17"/>
      <c r="AG7" s="17"/>
      <c r="AH7" s="17" t="str">
        <f>IF($AG7="","",SUMIFS(OPERATING_COEFFS!$C:$C,OPERATING_COEFFS!$A:$A,"DistanceClass",OPERATING_COEFFS!$B:$B,$AG7))</f>
        <v/>
      </c>
      <c r="AI7" s="17"/>
      <c r="AJ7" s="17" t="str">
        <f>IF($AI7="","",SUMIFS(OPERATING_COEFFS!$C:$C,OPERATING_COEFFS!$A:$A,"SeasonClass",OPERATING_COEFFS!$B:$B,$AI7))</f>
        <v/>
      </c>
      <c r="AK7" s="17"/>
      <c r="AL7" s="17" t="str">
        <f>IF($AK7="","",SUMIFS(OPERATING_COEFFS!$C:$C,OPERATING_COEFFS!$A:$A,"UrgencyClass",OPERATING_COEFFS!$B:$B,$AK7))</f>
        <v/>
      </c>
      <c r="AM7" s="17"/>
      <c r="AN7" s="17" t="str">
        <f>IF($AM7="","",INDEX(TAX_MODES!$B:$B,MATCH($AM7,TAX_MODES!$A:$A,0)))</f>
        <v/>
      </c>
      <c r="AO7" s="17"/>
      <c r="AP7" s="17"/>
    </row>
    <row r="8" spans="1:42" x14ac:dyDescent="0.3">
      <c r="A8" s="19"/>
      <c r="B8" s="19"/>
      <c r="C8" s="19"/>
      <c r="D8" s="30" t="str">
        <f>IF($C8="","",SUMIFS(SITE_COEFFS!$C:$C,SITE_COEFFS!$A:$A,"SoilWorkability",SITE_COEFFS!$B:$B,$C8))</f>
        <v/>
      </c>
      <c r="E8" s="19"/>
      <c r="F8" s="30" t="str">
        <f>IF($E8="","",SUMIFS(SITE_COEFFS!$C:$C,SITE_COEFFS!$A:$A,"SoilMoisture",SITE_COEFFS!$B:$B,$E8))</f>
        <v/>
      </c>
      <c r="G8" s="19"/>
      <c r="H8" s="30" t="str">
        <f>IF($G8="","",SUMIFS(SITE_COEFFS!$C:$C,SITE_COEFFS!$A:$A,"DebrisLevel",SITE_COEFFS!$B:$B,$G8))</f>
        <v/>
      </c>
      <c r="I8" s="19"/>
      <c r="J8" s="30" t="str">
        <f>IF($I8="","",SUMIFS(SITE_COEFFS!$C:$C,SITE_COEFFS!$A:$A,"SlopeClass",SITE_COEFFS!$B:$B,$I8))</f>
        <v/>
      </c>
      <c r="K8" s="19"/>
      <c r="L8" s="30" t="str">
        <f>IF($K8="","",SUMIFS(SITE_COEFFS!$C:$C,SITE_COEFFS!$A:$A,"SurfaceUnevenness",SITE_COEFFS!$B:$B,$K8))</f>
        <v/>
      </c>
      <c r="M8" s="19"/>
      <c r="N8" s="30" t="str">
        <f>IF($M8="","",SUMIFS(SITE_COEFFS!$C:$C,SITE_COEFFS!$A:$A,"AccessClass",SITE_COEFFS!$B:$B,$M8))</f>
        <v/>
      </c>
      <c r="O8" s="19"/>
      <c r="P8" s="30" t="str">
        <f>IF($O8="","",SUMIFS(SITE_COEFFS!$C:$C,SITE_COEFFS!$A:$A,"TurnSpace",SITE_COEFFS!$B:$B,$O8))</f>
        <v/>
      </c>
      <c r="Q8" s="19"/>
      <c r="R8" s="30" t="str">
        <f>IF($Q8="","",SUMIFS(SITE_COEFFS!$C:$C,SITE_COEFFS!$A:$A,"ProximityToBuildings",SITE_COEFFS!$B:$B,$Q8))</f>
        <v/>
      </c>
      <c r="S8" s="19"/>
      <c r="T8" s="30" t="str">
        <f>IF($S8="","",SUMIFS(SITE_COEFFS!$C:$C,SITE_COEFFS!$A:$A,"MachineryAllowed",SITE_COEFFS!$B:$B,$S8))</f>
        <v/>
      </c>
      <c r="U8" s="19"/>
      <c r="V8" s="19"/>
      <c r="W8" s="30" t="str">
        <f>IF($V8="","",SUMIFS(SITE_COEFFS!$C:$C,SITE_COEFFS!$A:$A,"GeometryComplexity",SITE_COEFFS!$B:$B,$V8))</f>
        <v/>
      </c>
      <c r="X8" s="19"/>
      <c r="Y8" s="19" t="str">
        <f>IF($X8="","",SUMIFS(TARIFF_PROFILES!$D:$D,TARIFF_PROFILES!$A:$A,$X8))</f>
        <v/>
      </c>
      <c r="Z8" s="19" t="str">
        <f>IF($X8="","",SUMIFS(TARIFF_PROFILES!$E:$E,TARIFF_PROFILES!$A:$A,$X8))</f>
        <v/>
      </c>
      <c r="AA8" s="19" t="str">
        <f>IF($X8="","",SUMIFS(TARIFF_PROFILES!$F:$F,TARIFF_PROFILES!$A:$A,$X8))</f>
        <v/>
      </c>
      <c r="AB8" s="19" t="str">
        <f>IF($X8="","",SUMIFS(TARIFF_PROFILES!$G:$G,TARIFF_PROFILES!$A:$A,$X8))</f>
        <v/>
      </c>
      <c r="AC8" s="19" t="str">
        <f>IF($X8="","",SUMIFS(TARIFF_PROFILES!$H:$H,TARIFF_PROFILES!$A:$A,$X8))</f>
        <v/>
      </c>
      <c r="AD8" s="19" t="str">
        <f>IF($X8="","",INDEX(TARIFF_PROFILES!$J:$J,MATCH($X8,TARIFF_PROFILES!$A:$A,0)))</f>
        <v/>
      </c>
      <c r="AE8" s="19" t="str">
        <f>IF($X8="","",INDEX(TARIFF_PROFILES!$K:$K,MATCH($X8,TARIFF_PROFILES!$A:$A,0)))</f>
        <v/>
      </c>
      <c r="AF8" s="17"/>
      <c r="AG8" s="17"/>
      <c r="AH8" s="17" t="str">
        <f>IF($AG8="","",SUMIFS(OPERATING_COEFFS!$C:$C,OPERATING_COEFFS!$A:$A,"DistanceClass",OPERATING_COEFFS!$B:$B,$AG8))</f>
        <v/>
      </c>
      <c r="AI8" s="17"/>
      <c r="AJ8" s="17" t="str">
        <f>IF($AI8="","",SUMIFS(OPERATING_COEFFS!$C:$C,OPERATING_COEFFS!$A:$A,"SeasonClass",OPERATING_COEFFS!$B:$B,$AI8))</f>
        <v/>
      </c>
      <c r="AK8" s="17"/>
      <c r="AL8" s="17" t="str">
        <f>IF($AK8="","",SUMIFS(OPERATING_COEFFS!$C:$C,OPERATING_COEFFS!$A:$A,"UrgencyClass",OPERATING_COEFFS!$B:$B,$AK8))</f>
        <v/>
      </c>
      <c r="AM8" s="17"/>
      <c r="AN8" s="17" t="str">
        <f>IF($AM8="","",INDEX(TAX_MODES!$B:$B,MATCH($AM8,TAX_MODES!$A:$A,0)))</f>
        <v/>
      </c>
      <c r="AO8" s="17"/>
      <c r="AP8" s="17"/>
    </row>
    <row r="9" spans="1:42" x14ac:dyDescent="0.3">
      <c r="A9" s="19"/>
      <c r="B9" s="19"/>
      <c r="C9" s="19"/>
      <c r="D9" s="30" t="str">
        <f>IF($C9="","",SUMIFS(SITE_COEFFS!$C:$C,SITE_COEFFS!$A:$A,"SoilWorkability",SITE_COEFFS!$B:$B,$C9))</f>
        <v/>
      </c>
      <c r="E9" s="19"/>
      <c r="F9" s="30" t="str">
        <f>IF($E9="","",SUMIFS(SITE_COEFFS!$C:$C,SITE_COEFFS!$A:$A,"SoilMoisture",SITE_COEFFS!$B:$B,$E9))</f>
        <v/>
      </c>
      <c r="G9" s="19"/>
      <c r="H9" s="30" t="str">
        <f>IF($G9="","",SUMIFS(SITE_COEFFS!$C:$C,SITE_COEFFS!$A:$A,"DebrisLevel",SITE_COEFFS!$B:$B,$G9))</f>
        <v/>
      </c>
      <c r="I9" s="19"/>
      <c r="J9" s="30" t="str">
        <f>IF($I9="","",SUMIFS(SITE_COEFFS!$C:$C,SITE_COEFFS!$A:$A,"SlopeClass",SITE_COEFFS!$B:$B,$I9))</f>
        <v/>
      </c>
      <c r="K9" s="19"/>
      <c r="L9" s="30" t="str">
        <f>IF($K9="","",SUMIFS(SITE_COEFFS!$C:$C,SITE_COEFFS!$A:$A,"SurfaceUnevenness",SITE_COEFFS!$B:$B,$K9))</f>
        <v/>
      </c>
      <c r="M9" s="19"/>
      <c r="N9" s="30" t="str">
        <f>IF($M9="","",SUMIFS(SITE_COEFFS!$C:$C,SITE_COEFFS!$A:$A,"AccessClass",SITE_COEFFS!$B:$B,$M9))</f>
        <v/>
      </c>
      <c r="O9" s="19"/>
      <c r="P9" s="30" t="str">
        <f>IF($O9="","",SUMIFS(SITE_COEFFS!$C:$C,SITE_COEFFS!$A:$A,"TurnSpace",SITE_COEFFS!$B:$B,$O9))</f>
        <v/>
      </c>
      <c r="Q9" s="19"/>
      <c r="R9" s="30" t="str">
        <f>IF($Q9="","",SUMIFS(SITE_COEFFS!$C:$C,SITE_COEFFS!$A:$A,"ProximityToBuildings",SITE_COEFFS!$B:$B,$Q9))</f>
        <v/>
      </c>
      <c r="S9" s="19"/>
      <c r="T9" s="30" t="str">
        <f>IF($S9="","",SUMIFS(SITE_COEFFS!$C:$C,SITE_COEFFS!$A:$A,"MachineryAllowed",SITE_COEFFS!$B:$B,$S9))</f>
        <v/>
      </c>
      <c r="U9" s="19"/>
      <c r="V9" s="19"/>
      <c r="W9" s="30" t="str">
        <f>IF($V9="","",SUMIFS(SITE_COEFFS!$C:$C,SITE_COEFFS!$A:$A,"GeometryComplexity",SITE_COEFFS!$B:$B,$V9))</f>
        <v/>
      </c>
      <c r="X9" s="19"/>
      <c r="Y9" s="19" t="str">
        <f>IF($X9="","",SUMIFS(TARIFF_PROFILES!$D:$D,TARIFF_PROFILES!$A:$A,$X9))</f>
        <v/>
      </c>
      <c r="Z9" s="19" t="str">
        <f>IF($X9="","",SUMIFS(TARIFF_PROFILES!$E:$E,TARIFF_PROFILES!$A:$A,$X9))</f>
        <v/>
      </c>
      <c r="AA9" s="19" t="str">
        <f>IF($X9="","",SUMIFS(TARIFF_PROFILES!$F:$F,TARIFF_PROFILES!$A:$A,$X9))</f>
        <v/>
      </c>
      <c r="AB9" s="19" t="str">
        <f>IF($X9="","",SUMIFS(TARIFF_PROFILES!$G:$G,TARIFF_PROFILES!$A:$A,$X9))</f>
        <v/>
      </c>
      <c r="AC9" s="19" t="str">
        <f>IF($X9="","",SUMIFS(TARIFF_PROFILES!$H:$H,TARIFF_PROFILES!$A:$A,$X9))</f>
        <v/>
      </c>
      <c r="AD9" s="19" t="str">
        <f>IF($X9="","",INDEX(TARIFF_PROFILES!$J:$J,MATCH($X9,TARIFF_PROFILES!$A:$A,0)))</f>
        <v/>
      </c>
      <c r="AE9" s="19" t="str">
        <f>IF($X9="","",INDEX(TARIFF_PROFILES!$K:$K,MATCH($X9,TARIFF_PROFILES!$A:$A,0)))</f>
        <v/>
      </c>
      <c r="AF9" s="17"/>
      <c r="AG9" s="17"/>
      <c r="AH9" s="17" t="str">
        <f>IF($AG9="","",SUMIFS(OPERATING_COEFFS!$C:$C,OPERATING_COEFFS!$A:$A,"DistanceClass",OPERATING_COEFFS!$B:$B,$AG9))</f>
        <v/>
      </c>
      <c r="AI9" s="17"/>
      <c r="AJ9" s="17" t="str">
        <f>IF($AI9="","",SUMIFS(OPERATING_COEFFS!$C:$C,OPERATING_COEFFS!$A:$A,"SeasonClass",OPERATING_COEFFS!$B:$B,$AI9))</f>
        <v/>
      </c>
      <c r="AK9" s="17"/>
      <c r="AL9" s="17" t="str">
        <f>IF($AK9="","",SUMIFS(OPERATING_COEFFS!$C:$C,OPERATING_COEFFS!$A:$A,"UrgencyClass",OPERATING_COEFFS!$B:$B,$AK9))</f>
        <v/>
      </c>
      <c r="AM9" s="17"/>
      <c r="AN9" s="17" t="str">
        <f>IF($AM9="","",INDEX(TAX_MODES!$B:$B,MATCH($AM9,TAX_MODES!$A:$A,0)))</f>
        <v/>
      </c>
      <c r="AO9" s="17"/>
      <c r="AP9" s="17"/>
    </row>
    <row r="10" spans="1:42" x14ac:dyDescent="0.3">
      <c r="A10" s="19"/>
      <c r="B10" s="19"/>
      <c r="C10" s="19"/>
      <c r="D10" s="30" t="str">
        <f>IF($C10="","",SUMIFS(SITE_COEFFS!$C:$C,SITE_COEFFS!$A:$A,"SoilWorkability",SITE_COEFFS!$B:$B,$C10))</f>
        <v/>
      </c>
      <c r="E10" s="19"/>
      <c r="F10" s="30" t="str">
        <f>IF($E10="","",SUMIFS(SITE_COEFFS!$C:$C,SITE_COEFFS!$A:$A,"SoilMoisture",SITE_COEFFS!$B:$B,$E10))</f>
        <v/>
      </c>
      <c r="G10" s="19"/>
      <c r="H10" s="30" t="str">
        <f>IF($G10="","",SUMIFS(SITE_COEFFS!$C:$C,SITE_COEFFS!$A:$A,"DebrisLevel",SITE_COEFFS!$B:$B,$G10))</f>
        <v/>
      </c>
      <c r="I10" s="19"/>
      <c r="J10" s="30" t="str">
        <f>IF($I10="","",SUMIFS(SITE_COEFFS!$C:$C,SITE_COEFFS!$A:$A,"SlopeClass",SITE_COEFFS!$B:$B,$I10))</f>
        <v/>
      </c>
      <c r="K10" s="19"/>
      <c r="L10" s="30" t="str">
        <f>IF($K10="","",SUMIFS(SITE_COEFFS!$C:$C,SITE_COEFFS!$A:$A,"SurfaceUnevenness",SITE_COEFFS!$B:$B,$K10))</f>
        <v/>
      </c>
      <c r="M10" s="19"/>
      <c r="N10" s="30" t="str">
        <f>IF($M10="","",SUMIFS(SITE_COEFFS!$C:$C,SITE_COEFFS!$A:$A,"AccessClass",SITE_COEFFS!$B:$B,$M10))</f>
        <v/>
      </c>
      <c r="O10" s="19"/>
      <c r="P10" s="30" t="str">
        <f>IF($O10="","",SUMIFS(SITE_COEFFS!$C:$C,SITE_COEFFS!$A:$A,"TurnSpace",SITE_COEFFS!$B:$B,$O10))</f>
        <v/>
      </c>
      <c r="Q10" s="19"/>
      <c r="R10" s="30" t="str">
        <f>IF($Q10="","",SUMIFS(SITE_COEFFS!$C:$C,SITE_COEFFS!$A:$A,"ProximityToBuildings",SITE_COEFFS!$B:$B,$Q10))</f>
        <v/>
      </c>
      <c r="S10" s="19"/>
      <c r="T10" s="30" t="str">
        <f>IF($S10="","",SUMIFS(SITE_COEFFS!$C:$C,SITE_COEFFS!$A:$A,"MachineryAllowed",SITE_COEFFS!$B:$B,$S10))</f>
        <v/>
      </c>
      <c r="U10" s="19"/>
      <c r="V10" s="19"/>
      <c r="W10" s="30" t="str">
        <f>IF($V10="","",SUMIFS(SITE_COEFFS!$C:$C,SITE_COEFFS!$A:$A,"GeometryComplexity",SITE_COEFFS!$B:$B,$V10))</f>
        <v/>
      </c>
      <c r="X10" s="19"/>
      <c r="Y10" s="19" t="str">
        <f>IF($X10="","",SUMIFS(TARIFF_PROFILES!$D:$D,TARIFF_PROFILES!$A:$A,$X10))</f>
        <v/>
      </c>
      <c r="Z10" s="19" t="str">
        <f>IF($X10="","",SUMIFS(TARIFF_PROFILES!$E:$E,TARIFF_PROFILES!$A:$A,$X10))</f>
        <v/>
      </c>
      <c r="AA10" s="19" t="str">
        <f>IF($X10="","",SUMIFS(TARIFF_PROFILES!$F:$F,TARIFF_PROFILES!$A:$A,$X10))</f>
        <v/>
      </c>
      <c r="AB10" s="19" t="str">
        <f>IF($X10="","",SUMIFS(TARIFF_PROFILES!$G:$G,TARIFF_PROFILES!$A:$A,$X10))</f>
        <v/>
      </c>
      <c r="AC10" s="19" t="str">
        <f>IF($X10="","",SUMIFS(TARIFF_PROFILES!$H:$H,TARIFF_PROFILES!$A:$A,$X10))</f>
        <v/>
      </c>
      <c r="AD10" s="19" t="str">
        <f>IF($X10="","",INDEX(TARIFF_PROFILES!$J:$J,MATCH($X10,TARIFF_PROFILES!$A:$A,0)))</f>
        <v/>
      </c>
      <c r="AE10" s="19" t="str">
        <f>IF($X10="","",INDEX(TARIFF_PROFILES!$K:$K,MATCH($X10,TARIFF_PROFILES!$A:$A,0)))</f>
        <v/>
      </c>
      <c r="AF10" s="17"/>
      <c r="AG10" s="17"/>
      <c r="AH10" s="17" t="str">
        <f>IF($AG10="","",SUMIFS(OPERATING_COEFFS!$C:$C,OPERATING_COEFFS!$A:$A,"DistanceClass",OPERATING_COEFFS!$B:$B,$AG10))</f>
        <v/>
      </c>
      <c r="AI10" s="17"/>
      <c r="AJ10" s="17" t="str">
        <f>IF($AI10="","",SUMIFS(OPERATING_COEFFS!$C:$C,OPERATING_COEFFS!$A:$A,"SeasonClass",OPERATING_COEFFS!$B:$B,$AI10))</f>
        <v/>
      </c>
      <c r="AK10" s="17"/>
      <c r="AL10" s="17" t="str">
        <f>IF($AK10="","",SUMIFS(OPERATING_COEFFS!$C:$C,OPERATING_COEFFS!$A:$A,"UrgencyClass",OPERATING_COEFFS!$B:$B,$AK10))</f>
        <v/>
      </c>
      <c r="AM10" s="17"/>
      <c r="AN10" s="17" t="str">
        <f>IF($AM10="","",INDEX(TAX_MODES!$B:$B,MATCH($AM10,TAX_MODES!$A:$A,0)))</f>
        <v/>
      </c>
      <c r="AO10" s="17"/>
      <c r="AP10" s="17"/>
    </row>
    <row r="11" spans="1:42" x14ac:dyDescent="0.3">
      <c r="A11" s="19"/>
      <c r="B11" s="19"/>
      <c r="C11" s="19"/>
      <c r="D11" s="30" t="str">
        <f>IF($C11="","",SUMIFS(SITE_COEFFS!$C:$C,SITE_COEFFS!$A:$A,"SoilWorkability",SITE_COEFFS!$B:$B,$C11))</f>
        <v/>
      </c>
      <c r="E11" s="19"/>
      <c r="F11" s="30" t="str">
        <f>IF($E11="","",SUMIFS(SITE_COEFFS!$C:$C,SITE_COEFFS!$A:$A,"SoilMoisture",SITE_COEFFS!$B:$B,$E11))</f>
        <v/>
      </c>
      <c r="G11" s="19"/>
      <c r="H11" s="30" t="str">
        <f>IF($G11="","",SUMIFS(SITE_COEFFS!$C:$C,SITE_COEFFS!$A:$A,"DebrisLevel",SITE_COEFFS!$B:$B,$G11))</f>
        <v/>
      </c>
      <c r="I11" s="19"/>
      <c r="J11" s="30" t="str">
        <f>IF($I11="","",SUMIFS(SITE_COEFFS!$C:$C,SITE_COEFFS!$A:$A,"SlopeClass",SITE_COEFFS!$B:$B,$I11))</f>
        <v/>
      </c>
      <c r="K11" s="19"/>
      <c r="L11" s="30" t="str">
        <f>IF($K11="","",SUMIFS(SITE_COEFFS!$C:$C,SITE_COEFFS!$A:$A,"SurfaceUnevenness",SITE_COEFFS!$B:$B,$K11))</f>
        <v/>
      </c>
      <c r="M11" s="19"/>
      <c r="N11" s="30" t="str">
        <f>IF($M11="","",SUMIFS(SITE_COEFFS!$C:$C,SITE_COEFFS!$A:$A,"AccessClass",SITE_COEFFS!$B:$B,$M11))</f>
        <v/>
      </c>
      <c r="O11" s="19"/>
      <c r="P11" s="30" t="str">
        <f>IF($O11="","",SUMIFS(SITE_COEFFS!$C:$C,SITE_COEFFS!$A:$A,"TurnSpace",SITE_COEFFS!$B:$B,$O11))</f>
        <v/>
      </c>
      <c r="Q11" s="19"/>
      <c r="R11" s="30" t="str">
        <f>IF($Q11="","",SUMIFS(SITE_COEFFS!$C:$C,SITE_COEFFS!$A:$A,"ProximityToBuildings",SITE_COEFFS!$B:$B,$Q11))</f>
        <v/>
      </c>
      <c r="S11" s="19"/>
      <c r="T11" s="30" t="str">
        <f>IF($S11="","",SUMIFS(SITE_COEFFS!$C:$C,SITE_COEFFS!$A:$A,"MachineryAllowed",SITE_COEFFS!$B:$B,$S11))</f>
        <v/>
      </c>
      <c r="U11" s="19"/>
      <c r="V11" s="19"/>
      <c r="W11" s="30" t="str">
        <f>IF($V11="","",SUMIFS(SITE_COEFFS!$C:$C,SITE_COEFFS!$A:$A,"GeometryComplexity",SITE_COEFFS!$B:$B,$V11))</f>
        <v/>
      </c>
      <c r="X11" s="19"/>
      <c r="Y11" s="19" t="str">
        <f>IF($X11="","",SUMIFS(TARIFF_PROFILES!$D:$D,TARIFF_PROFILES!$A:$A,$X11))</f>
        <v/>
      </c>
      <c r="Z11" s="19" t="str">
        <f>IF($X11="","",SUMIFS(TARIFF_PROFILES!$E:$E,TARIFF_PROFILES!$A:$A,$X11))</f>
        <v/>
      </c>
      <c r="AA11" s="19" t="str">
        <f>IF($X11="","",SUMIFS(TARIFF_PROFILES!$F:$F,TARIFF_PROFILES!$A:$A,$X11))</f>
        <v/>
      </c>
      <c r="AB11" s="19" t="str">
        <f>IF($X11="","",SUMIFS(TARIFF_PROFILES!$G:$G,TARIFF_PROFILES!$A:$A,$X11))</f>
        <v/>
      </c>
      <c r="AC11" s="19" t="str">
        <f>IF($X11="","",SUMIFS(TARIFF_PROFILES!$H:$H,TARIFF_PROFILES!$A:$A,$X11))</f>
        <v/>
      </c>
      <c r="AD11" s="19" t="str">
        <f>IF($X11="","",INDEX(TARIFF_PROFILES!$J:$J,MATCH($X11,TARIFF_PROFILES!$A:$A,0)))</f>
        <v/>
      </c>
      <c r="AE11" s="19" t="str">
        <f>IF($X11="","",INDEX(TARIFF_PROFILES!$K:$K,MATCH($X11,TARIFF_PROFILES!$A:$A,0)))</f>
        <v/>
      </c>
      <c r="AF11" s="17"/>
      <c r="AG11" s="17"/>
      <c r="AH11" s="17" t="str">
        <f>IF($AG11="","",SUMIFS(OPERATING_COEFFS!$C:$C,OPERATING_COEFFS!$A:$A,"DistanceClass",OPERATING_COEFFS!$B:$B,$AG11))</f>
        <v/>
      </c>
      <c r="AI11" s="17"/>
      <c r="AJ11" s="17" t="str">
        <f>IF($AI11="","",SUMIFS(OPERATING_COEFFS!$C:$C,OPERATING_COEFFS!$A:$A,"SeasonClass",OPERATING_COEFFS!$B:$B,$AI11))</f>
        <v/>
      </c>
      <c r="AK11" s="17"/>
      <c r="AL11" s="17" t="str">
        <f>IF($AK11="","",SUMIFS(OPERATING_COEFFS!$C:$C,OPERATING_COEFFS!$A:$A,"UrgencyClass",OPERATING_COEFFS!$B:$B,$AK11))</f>
        <v/>
      </c>
      <c r="AM11" s="17"/>
      <c r="AN11" s="17" t="str">
        <f>IF($AM11="","",INDEX(TAX_MODES!$B:$B,MATCH($AM11,TAX_MODES!$A:$A,0)))</f>
        <v/>
      </c>
      <c r="AO11" s="17"/>
      <c r="AP11" s="17"/>
    </row>
    <row r="12" spans="1:42" x14ac:dyDescent="0.3">
      <c r="A12" s="19"/>
      <c r="B12" s="19"/>
      <c r="C12" s="19"/>
      <c r="D12" s="30" t="str">
        <f>IF($C12="","",SUMIFS(SITE_COEFFS!$C:$C,SITE_COEFFS!$A:$A,"SoilWorkability",SITE_COEFFS!$B:$B,$C12))</f>
        <v/>
      </c>
      <c r="E12" s="19"/>
      <c r="F12" s="30" t="str">
        <f>IF($E12="","",SUMIFS(SITE_COEFFS!$C:$C,SITE_COEFFS!$A:$A,"SoilMoisture",SITE_COEFFS!$B:$B,$E12))</f>
        <v/>
      </c>
      <c r="G12" s="19"/>
      <c r="H12" s="30" t="str">
        <f>IF($G12="","",SUMIFS(SITE_COEFFS!$C:$C,SITE_COEFFS!$A:$A,"DebrisLevel",SITE_COEFFS!$B:$B,$G12))</f>
        <v/>
      </c>
      <c r="I12" s="19"/>
      <c r="J12" s="30" t="str">
        <f>IF($I12="","",SUMIFS(SITE_COEFFS!$C:$C,SITE_COEFFS!$A:$A,"SlopeClass",SITE_COEFFS!$B:$B,$I12))</f>
        <v/>
      </c>
      <c r="K12" s="19"/>
      <c r="L12" s="30" t="str">
        <f>IF($K12="","",SUMIFS(SITE_COEFFS!$C:$C,SITE_COEFFS!$A:$A,"SurfaceUnevenness",SITE_COEFFS!$B:$B,$K12))</f>
        <v/>
      </c>
      <c r="M12" s="19"/>
      <c r="N12" s="30" t="str">
        <f>IF($M12="","",SUMIFS(SITE_COEFFS!$C:$C,SITE_COEFFS!$A:$A,"AccessClass",SITE_COEFFS!$B:$B,$M12))</f>
        <v/>
      </c>
      <c r="O12" s="19"/>
      <c r="P12" s="30" t="str">
        <f>IF($O12="","",SUMIFS(SITE_COEFFS!$C:$C,SITE_COEFFS!$A:$A,"TurnSpace",SITE_COEFFS!$B:$B,$O12))</f>
        <v/>
      </c>
      <c r="Q12" s="19"/>
      <c r="R12" s="30" t="str">
        <f>IF($Q12="","",SUMIFS(SITE_COEFFS!$C:$C,SITE_COEFFS!$A:$A,"ProximityToBuildings",SITE_COEFFS!$B:$B,$Q12))</f>
        <v/>
      </c>
      <c r="S12" s="19"/>
      <c r="T12" s="30" t="str">
        <f>IF($S12="","",SUMIFS(SITE_COEFFS!$C:$C,SITE_COEFFS!$A:$A,"MachineryAllowed",SITE_COEFFS!$B:$B,$S12))</f>
        <v/>
      </c>
      <c r="U12" s="19"/>
      <c r="V12" s="19"/>
      <c r="W12" s="30" t="str">
        <f>IF($V12="","",SUMIFS(SITE_COEFFS!$C:$C,SITE_COEFFS!$A:$A,"GeometryComplexity",SITE_COEFFS!$B:$B,$V12))</f>
        <v/>
      </c>
      <c r="X12" s="19"/>
      <c r="Y12" s="19" t="str">
        <f>IF($X12="","",SUMIFS(TARIFF_PROFILES!$D:$D,TARIFF_PROFILES!$A:$A,$X12))</f>
        <v/>
      </c>
      <c r="Z12" s="19" t="str">
        <f>IF($X12="","",SUMIFS(TARIFF_PROFILES!$E:$E,TARIFF_PROFILES!$A:$A,$X12))</f>
        <v/>
      </c>
      <c r="AA12" s="19" t="str">
        <f>IF($X12="","",SUMIFS(TARIFF_PROFILES!$F:$F,TARIFF_PROFILES!$A:$A,$X12))</f>
        <v/>
      </c>
      <c r="AB12" s="19" t="str">
        <f>IF($X12="","",SUMIFS(TARIFF_PROFILES!$G:$G,TARIFF_PROFILES!$A:$A,$X12))</f>
        <v/>
      </c>
      <c r="AC12" s="19" t="str">
        <f>IF($X12="","",SUMIFS(TARIFF_PROFILES!$H:$H,TARIFF_PROFILES!$A:$A,$X12))</f>
        <v/>
      </c>
      <c r="AD12" s="19" t="str">
        <f>IF($X12="","",INDEX(TARIFF_PROFILES!$J:$J,MATCH($X12,TARIFF_PROFILES!$A:$A,0)))</f>
        <v/>
      </c>
      <c r="AE12" s="19" t="str">
        <f>IF($X12="","",INDEX(TARIFF_PROFILES!$K:$K,MATCH($X12,TARIFF_PROFILES!$A:$A,0)))</f>
        <v/>
      </c>
      <c r="AF12" s="17"/>
      <c r="AG12" s="17"/>
      <c r="AH12" s="17" t="str">
        <f>IF($AG12="","",SUMIFS(OPERATING_COEFFS!$C:$C,OPERATING_COEFFS!$A:$A,"DistanceClass",OPERATING_COEFFS!$B:$B,$AG12))</f>
        <v/>
      </c>
      <c r="AI12" s="17"/>
      <c r="AJ12" s="17" t="str">
        <f>IF($AI12="","",SUMIFS(OPERATING_COEFFS!$C:$C,OPERATING_COEFFS!$A:$A,"SeasonClass",OPERATING_COEFFS!$B:$B,$AI12))</f>
        <v/>
      </c>
      <c r="AK12" s="17"/>
      <c r="AL12" s="17" t="str">
        <f>IF($AK12="","",SUMIFS(OPERATING_COEFFS!$C:$C,OPERATING_COEFFS!$A:$A,"UrgencyClass",OPERATING_COEFFS!$B:$B,$AK12))</f>
        <v/>
      </c>
      <c r="AM12" s="17"/>
      <c r="AN12" s="17" t="str">
        <f>IF($AM12="","",INDEX(TAX_MODES!$B:$B,MATCH($AM12,TAX_MODES!$A:$A,0)))</f>
        <v/>
      </c>
      <c r="AO12" s="17"/>
      <c r="AP12" s="17"/>
    </row>
    <row r="13" spans="1:42" x14ac:dyDescent="0.3">
      <c r="A13" s="19"/>
      <c r="B13" s="19"/>
      <c r="C13" s="19"/>
      <c r="D13" s="30" t="str">
        <f>IF($C13="","",SUMIFS(SITE_COEFFS!$C:$C,SITE_COEFFS!$A:$A,"SoilWorkability",SITE_COEFFS!$B:$B,$C13))</f>
        <v/>
      </c>
      <c r="E13" s="19"/>
      <c r="F13" s="30" t="str">
        <f>IF($E13="","",SUMIFS(SITE_COEFFS!$C:$C,SITE_COEFFS!$A:$A,"SoilMoisture",SITE_COEFFS!$B:$B,$E13))</f>
        <v/>
      </c>
      <c r="G13" s="19"/>
      <c r="H13" s="30" t="str">
        <f>IF($G13="","",SUMIFS(SITE_COEFFS!$C:$C,SITE_COEFFS!$A:$A,"DebrisLevel",SITE_COEFFS!$B:$B,$G13))</f>
        <v/>
      </c>
      <c r="I13" s="19"/>
      <c r="J13" s="30" t="str">
        <f>IF($I13="","",SUMIFS(SITE_COEFFS!$C:$C,SITE_COEFFS!$A:$A,"SlopeClass",SITE_COEFFS!$B:$B,$I13))</f>
        <v/>
      </c>
      <c r="K13" s="19"/>
      <c r="L13" s="30" t="str">
        <f>IF($K13="","",SUMIFS(SITE_COEFFS!$C:$C,SITE_COEFFS!$A:$A,"SurfaceUnevenness",SITE_COEFFS!$B:$B,$K13))</f>
        <v/>
      </c>
      <c r="M13" s="19"/>
      <c r="N13" s="30" t="str">
        <f>IF($M13="","",SUMIFS(SITE_COEFFS!$C:$C,SITE_COEFFS!$A:$A,"AccessClass",SITE_COEFFS!$B:$B,$M13))</f>
        <v/>
      </c>
      <c r="O13" s="19"/>
      <c r="P13" s="30" t="str">
        <f>IF($O13="","",SUMIFS(SITE_COEFFS!$C:$C,SITE_COEFFS!$A:$A,"TurnSpace",SITE_COEFFS!$B:$B,$O13))</f>
        <v/>
      </c>
      <c r="Q13" s="19"/>
      <c r="R13" s="30" t="str">
        <f>IF($Q13="","",SUMIFS(SITE_COEFFS!$C:$C,SITE_COEFFS!$A:$A,"ProximityToBuildings",SITE_COEFFS!$B:$B,$Q13))</f>
        <v/>
      </c>
      <c r="S13" s="19"/>
      <c r="T13" s="30" t="str">
        <f>IF($S13="","",SUMIFS(SITE_COEFFS!$C:$C,SITE_COEFFS!$A:$A,"MachineryAllowed",SITE_COEFFS!$B:$B,$S13))</f>
        <v/>
      </c>
      <c r="U13" s="19"/>
      <c r="V13" s="19"/>
      <c r="W13" s="30" t="str">
        <f>IF($V13="","",SUMIFS(SITE_COEFFS!$C:$C,SITE_COEFFS!$A:$A,"GeometryComplexity",SITE_COEFFS!$B:$B,$V13))</f>
        <v/>
      </c>
      <c r="X13" s="19"/>
      <c r="Y13" s="19" t="str">
        <f>IF($X13="","",SUMIFS(TARIFF_PROFILES!$D:$D,TARIFF_PROFILES!$A:$A,$X13))</f>
        <v/>
      </c>
      <c r="Z13" s="19" t="str">
        <f>IF($X13="","",SUMIFS(TARIFF_PROFILES!$E:$E,TARIFF_PROFILES!$A:$A,$X13))</f>
        <v/>
      </c>
      <c r="AA13" s="19" t="str">
        <f>IF($X13="","",SUMIFS(TARIFF_PROFILES!$F:$F,TARIFF_PROFILES!$A:$A,$X13))</f>
        <v/>
      </c>
      <c r="AB13" s="19" t="str">
        <f>IF($X13="","",SUMIFS(TARIFF_PROFILES!$G:$G,TARIFF_PROFILES!$A:$A,$X13))</f>
        <v/>
      </c>
      <c r="AC13" s="19" t="str">
        <f>IF($X13="","",SUMIFS(TARIFF_PROFILES!$H:$H,TARIFF_PROFILES!$A:$A,$X13))</f>
        <v/>
      </c>
      <c r="AD13" s="19" t="str">
        <f>IF($X13="","",INDEX(TARIFF_PROFILES!$J:$J,MATCH($X13,TARIFF_PROFILES!$A:$A,0)))</f>
        <v/>
      </c>
      <c r="AE13" s="19" t="str">
        <f>IF($X13="","",INDEX(TARIFF_PROFILES!$K:$K,MATCH($X13,TARIFF_PROFILES!$A:$A,0)))</f>
        <v/>
      </c>
      <c r="AF13" s="17"/>
      <c r="AG13" s="17"/>
      <c r="AH13" s="17" t="str">
        <f>IF($AG13="","",SUMIFS(OPERATING_COEFFS!$C:$C,OPERATING_COEFFS!$A:$A,"DistanceClass",OPERATING_COEFFS!$B:$B,$AG13))</f>
        <v/>
      </c>
      <c r="AI13" s="17"/>
      <c r="AJ13" s="17" t="str">
        <f>IF($AI13="","",SUMIFS(OPERATING_COEFFS!$C:$C,OPERATING_COEFFS!$A:$A,"SeasonClass",OPERATING_COEFFS!$B:$B,$AI13))</f>
        <v/>
      </c>
      <c r="AK13" s="17"/>
      <c r="AL13" s="17" t="str">
        <f>IF($AK13="","",SUMIFS(OPERATING_COEFFS!$C:$C,OPERATING_COEFFS!$A:$A,"UrgencyClass",OPERATING_COEFFS!$B:$B,$AK13))</f>
        <v/>
      </c>
      <c r="AM13" s="17"/>
      <c r="AN13" s="17" t="str">
        <f>IF($AM13="","",INDEX(TAX_MODES!$B:$B,MATCH($AM13,TAX_MODES!$A:$A,0)))</f>
        <v/>
      </c>
      <c r="AO13" s="17"/>
      <c r="AP13" s="17"/>
    </row>
    <row r="14" spans="1:42" x14ac:dyDescent="0.3">
      <c r="A14" s="19"/>
      <c r="B14" s="19"/>
      <c r="C14" s="19"/>
      <c r="D14" s="30" t="str">
        <f>IF($C14="","",SUMIFS(SITE_COEFFS!$C:$C,SITE_COEFFS!$A:$A,"SoilWorkability",SITE_COEFFS!$B:$B,$C14))</f>
        <v/>
      </c>
      <c r="E14" s="19"/>
      <c r="F14" s="30" t="str">
        <f>IF($E14="","",SUMIFS(SITE_COEFFS!$C:$C,SITE_COEFFS!$A:$A,"SoilMoisture",SITE_COEFFS!$B:$B,$E14))</f>
        <v/>
      </c>
      <c r="G14" s="19"/>
      <c r="H14" s="30" t="str">
        <f>IF($G14="","",SUMIFS(SITE_COEFFS!$C:$C,SITE_COEFFS!$A:$A,"DebrisLevel",SITE_COEFFS!$B:$B,$G14))</f>
        <v/>
      </c>
      <c r="I14" s="19"/>
      <c r="J14" s="30" t="str">
        <f>IF($I14="","",SUMIFS(SITE_COEFFS!$C:$C,SITE_COEFFS!$A:$A,"SlopeClass",SITE_COEFFS!$B:$B,$I14))</f>
        <v/>
      </c>
      <c r="K14" s="19"/>
      <c r="L14" s="30" t="str">
        <f>IF($K14="","",SUMIFS(SITE_COEFFS!$C:$C,SITE_COEFFS!$A:$A,"SurfaceUnevenness",SITE_COEFFS!$B:$B,$K14))</f>
        <v/>
      </c>
      <c r="M14" s="19"/>
      <c r="N14" s="30" t="str">
        <f>IF($M14="","",SUMIFS(SITE_COEFFS!$C:$C,SITE_COEFFS!$A:$A,"AccessClass",SITE_COEFFS!$B:$B,$M14))</f>
        <v/>
      </c>
      <c r="O14" s="19"/>
      <c r="P14" s="30" t="str">
        <f>IF($O14="","",SUMIFS(SITE_COEFFS!$C:$C,SITE_COEFFS!$A:$A,"TurnSpace",SITE_COEFFS!$B:$B,$O14))</f>
        <v/>
      </c>
      <c r="Q14" s="19"/>
      <c r="R14" s="30" t="str">
        <f>IF($Q14="","",SUMIFS(SITE_COEFFS!$C:$C,SITE_COEFFS!$A:$A,"ProximityToBuildings",SITE_COEFFS!$B:$B,$Q14))</f>
        <v/>
      </c>
      <c r="S14" s="19"/>
      <c r="T14" s="30" t="str">
        <f>IF($S14="","",SUMIFS(SITE_COEFFS!$C:$C,SITE_COEFFS!$A:$A,"MachineryAllowed",SITE_COEFFS!$B:$B,$S14))</f>
        <v/>
      </c>
      <c r="U14" s="19"/>
      <c r="V14" s="19"/>
      <c r="W14" s="30" t="str">
        <f>IF($V14="","",SUMIFS(SITE_COEFFS!$C:$C,SITE_COEFFS!$A:$A,"GeometryComplexity",SITE_COEFFS!$B:$B,$V14))</f>
        <v/>
      </c>
      <c r="X14" s="19"/>
      <c r="Y14" s="19" t="str">
        <f>IF($X14="","",SUMIFS(TARIFF_PROFILES!$D:$D,TARIFF_PROFILES!$A:$A,$X14))</f>
        <v/>
      </c>
      <c r="Z14" s="19" t="str">
        <f>IF($X14="","",SUMIFS(TARIFF_PROFILES!$E:$E,TARIFF_PROFILES!$A:$A,$X14))</f>
        <v/>
      </c>
      <c r="AA14" s="19" t="str">
        <f>IF($X14="","",SUMIFS(TARIFF_PROFILES!$F:$F,TARIFF_PROFILES!$A:$A,$X14))</f>
        <v/>
      </c>
      <c r="AB14" s="19" t="str">
        <f>IF($X14="","",SUMIFS(TARIFF_PROFILES!$G:$G,TARIFF_PROFILES!$A:$A,$X14))</f>
        <v/>
      </c>
      <c r="AC14" s="19" t="str">
        <f>IF($X14="","",SUMIFS(TARIFF_PROFILES!$H:$H,TARIFF_PROFILES!$A:$A,$X14))</f>
        <v/>
      </c>
      <c r="AD14" s="19" t="str">
        <f>IF($X14="","",INDEX(TARIFF_PROFILES!$J:$J,MATCH($X14,TARIFF_PROFILES!$A:$A,0)))</f>
        <v/>
      </c>
      <c r="AE14" s="19" t="str">
        <f>IF($X14="","",INDEX(TARIFF_PROFILES!$K:$K,MATCH($X14,TARIFF_PROFILES!$A:$A,0)))</f>
        <v/>
      </c>
      <c r="AF14" s="17"/>
      <c r="AG14" s="17"/>
      <c r="AH14" s="17" t="str">
        <f>IF($AG14="","",SUMIFS(OPERATING_COEFFS!$C:$C,OPERATING_COEFFS!$A:$A,"DistanceClass",OPERATING_COEFFS!$B:$B,$AG14))</f>
        <v/>
      </c>
      <c r="AI14" s="17"/>
      <c r="AJ14" s="17" t="str">
        <f>IF($AI14="","",SUMIFS(OPERATING_COEFFS!$C:$C,OPERATING_COEFFS!$A:$A,"SeasonClass",OPERATING_COEFFS!$B:$B,$AI14))</f>
        <v/>
      </c>
      <c r="AK14" s="17"/>
      <c r="AL14" s="17" t="str">
        <f>IF($AK14="","",SUMIFS(OPERATING_COEFFS!$C:$C,OPERATING_COEFFS!$A:$A,"UrgencyClass",OPERATING_COEFFS!$B:$B,$AK14))</f>
        <v/>
      </c>
      <c r="AM14" s="17"/>
      <c r="AN14" s="17" t="str">
        <f>IF($AM14="","",INDEX(TAX_MODES!$B:$B,MATCH($AM14,TAX_MODES!$A:$A,0)))</f>
        <v/>
      </c>
      <c r="AO14" s="17"/>
      <c r="AP14" s="17"/>
    </row>
    <row r="15" spans="1:42" x14ac:dyDescent="0.3">
      <c r="A15" s="19"/>
      <c r="B15" s="19"/>
      <c r="C15" s="19"/>
      <c r="D15" s="30" t="str">
        <f>IF($C15="","",SUMIFS(SITE_COEFFS!$C:$C,SITE_COEFFS!$A:$A,"SoilWorkability",SITE_COEFFS!$B:$B,$C15))</f>
        <v/>
      </c>
      <c r="E15" s="19"/>
      <c r="F15" s="30" t="str">
        <f>IF($E15="","",SUMIFS(SITE_COEFFS!$C:$C,SITE_COEFFS!$A:$A,"SoilMoisture",SITE_COEFFS!$B:$B,$E15))</f>
        <v/>
      </c>
      <c r="G15" s="19"/>
      <c r="H15" s="30" t="str">
        <f>IF($G15="","",SUMIFS(SITE_COEFFS!$C:$C,SITE_COEFFS!$A:$A,"DebrisLevel",SITE_COEFFS!$B:$B,$G15))</f>
        <v/>
      </c>
      <c r="I15" s="19"/>
      <c r="J15" s="30" t="str">
        <f>IF($I15="","",SUMIFS(SITE_COEFFS!$C:$C,SITE_COEFFS!$A:$A,"SlopeClass",SITE_COEFFS!$B:$B,$I15))</f>
        <v/>
      </c>
      <c r="K15" s="19"/>
      <c r="L15" s="30" t="str">
        <f>IF($K15="","",SUMIFS(SITE_COEFFS!$C:$C,SITE_COEFFS!$A:$A,"SurfaceUnevenness",SITE_COEFFS!$B:$B,$K15))</f>
        <v/>
      </c>
      <c r="M15" s="19"/>
      <c r="N15" s="30" t="str">
        <f>IF($M15="","",SUMIFS(SITE_COEFFS!$C:$C,SITE_COEFFS!$A:$A,"AccessClass",SITE_COEFFS!$B:$B,$M15))</f>
        <v/>
      </c>
      <c r="O15" s="19"/>
      <c r="P15" s="30" t="str">
        <f>IF($O15="","",SUMIFS(SITE_COEFFS!$C:$C,SITE_COEFFS!$A:$A,"TurnSpace",SITE_COEFFS!$B:$B,$O15))</f>
        <v/>
      </c>
      <c r="Q15" s="19"/>
      <c r="R15" s="30" t="str">
        <f>IF($Q15="","",SUMIFS(SITE_COEFFS!$C:$C,SITE_COEFFS!$A:$A,"ProximityToBuildings",SITE_COEFFS!$B:$B,$Q15))</f>
        <v/>
      </c>
      <c r="S15" s="19"/>
      <c r="T15" s="30" t="str">
        <f>IF($S15="","",SUMIFS(SITE_COEFFS!$C:$C,SITE_COEFFS!$A:$A,"MachineryAllowed",SITE_COEFFS!$B:$B,$S15))</f>
        <v/>
      </c>
      <c r="U15" s="19"/>
      <c r="V15" s="19"/>
      <c r="W15" s="30" t="str">
        <f>IF($V15="","",SUMIFS(SITE_COEFFS!$C:$C,SITE_COEFFS!$A:$A,"GeometryComplexity",SITE_COEFFS!$B:$B,$V15))</f>
        <v/>
      </c>
      <c r="X15" s="19"/>
      <c r="Y15" s="19" t="str">
        <f>IF($X15="","",SUMIFS(TARIFF_PROFILES!$D:$D,TARIFF_PROFILES!$A:$A,$X15))</f>
        <v/>
      </c>
      <c r="Z15" s="19" t="str">
        <f>IF($X15="","",SUMIFS(TARIFF_PROFILES!$E:$E,TARIFF_PROFILES!$A:$A,$X15))</f>
        <v/>
      </c>
      <c r="AA15" s="19" t="str">
        <f>IF($X15="","",SUMIFS(TARIFF_PROFILES!$F:$F,TARIFF_PROFILES!$A:$A,$X15))</f>
        <v/>
      </c>
      <c r="AB15" s="19" t="str">
        <f>IF($X15="","",SUMIFS(TARIFF_PROFILES!$G:$G,TARIFF_PROFILES!$A:$A,$X15))</f>
        <v/>
      </c>
      <c r="AC15" s="19" t="str">
        <f>IF($X15="","",SUMIFS(TARIFF_PROFILES!$H:$H,TARIFF_PROFILES!$A:$A,$X15))</f>
        <v/>
      </c>
      <c r="AD15" s="19" t="str">
        <f>IF($X15="","",INDEX(TARIFF_PROFILES!$J:$J,MATCH($X15,TARIFF_PROFILES!$A:$A,0)))</f>
        <v/>
      </c>
      <c r="AE15" s="19" t="str">
        <f>IF($X15="","",INDEX(TARIFF_PROFILES!$K:$K,MATCH($X15,TARIFF_PROFILES!$A:$A,0)))</f>
        <v/>
      </c>
      <c r="AF15" s="17"/>
      <c r="AG15" s="17"/>
      <c r="AH15" s="17" t="str">
        <f>IF($AG15="","",SUMIFS(OPERATING_COEFFS!$C:$C,OPERATING_COEFFS!$A:$A,"DistanceClass",OPERATING_COEFFS!$B:$B,$AG15))</f>
        <v/>
      </c>
      <c r="AI15" s="17"/>
      <c r="AJ15" s="17" t="str">
        <f>IF($AI15="","",SUMIFS(OPERATING_COEFFS!$C:$C,OPERATING_COEFFS!$A:$A,"SeasonClass",OPERATING_COEFFS!$B:$B,$AI15))</f>
        <v/>
      </c>
      <c r="AK15" s="17"/>
      <c r="AL15" s="17" t="str">
        <f>IF($AK15="","",SUMIFS(OPERATING_COEFFS!$C:$C,OPERATING_COEFFS!$A:$A,"UrgencyClass",OPERATING_COEFFS!$B:$B,$AK15))</f>
        <v/>
      </c>
      <c r="AM15" s="17"/>
      <c r="AN15" s="17" t="str">
        <f>IF($AM15="","",INDEX(TAX_MODES!$B:$B,MATCH($AM15,TAX_MODES!$A:$A,0)))</f>
        <v/>
      </c>
      <c r="AO15" s="17"/>
      <c r="AP15" s="17"/>
    </row>
    <row r="16" spans="1:42" x14ac:dyDescent="0.3">
      <c r="A16" s="19"/>
      <c r="B16" s="19"/>
      <c r="C16" s="19"/>
      <c r="D16" s="30" t="str">
        <f>IF($C16="","",SUMIFS(SITE_COEFFS!$C:$C,SITE_COEFFS!$A:$A,"SoilWorkability",SITE_COEFFS!$B:$B,$C16))</f>
        <v/>
      </c>
      <c r="E16" s="19"/>
      <c r="F16" s="30" t="str">
        <f>IF($E16="","",SUMIFS(SITE_COEFFS!$C:$C,SITE_COEFFS!$A:$A,"SoilMoisture",SITE_COEFFS!$B:$B,$E16))</f>
        <v/>
      </c>
      <c r="G16" s="19"/>
      <c r="H16" s="30" t="str">
        <f>IF($G16="","",SUMIFS(SITE_COEFFS!$C:$C,SITE_COEFFS!$A:$A,"DebrisLevel",SITE_COEFFS!$B:$B,$G16))</f>
        <v/>
      </c>
      <c r="I16" s="19"/>
      <c r="J16" s="30" t="str">
        <f>IF($I16="","",SUMIFS(SITE_COEFFS!$C:$C,SITE_COEFFS!$A:$A,"SlopeClass",SITE_COEFFS!$B:$B,$I16))</f>
        <v/>
      </c>
      <c r="K16" s="19"/>
      <c r="L16" s="30" t="str">
        <f>IF($K16="","",SUMIFS(SITE_COEFFS!$C:$C,SITE_COEFFS!$A:$A,"SurfaceUnevenness",SITE_COEFFS!$B:$B,$K16))</f>
        <v/>
      </c>
      <c r="M16" s="19"/>
      <c r="N16" s="30" t="str">
        <f>IF($M16="","",SUMIFS(SITE_COEFFS!$C:$C,SITE_COEFFS!$A:$A,"AccessClass",SITE_COEFFS!$B:$B,$M16))</f>
        <v/>
      </c>
      <c r="O16" s="19"/>
      <c r="P16" s="30" t="str">
        <f>IF($O16="","",SUMIFS(SITE_COEFFS!$C:$C,SITE_COEFFS!$A:$A,"TurnSpace",SITE_COEFFS!$B:$B,$O16))</f>
        <v/>
      </c>
      <c r="Q16" s="19"/>
      <c r="R16" s="30" t="str">
        <f>IF($Q16="","",SUMIFS(SITE_COEFFS!$C:$C,SITE_COEFFS!$A:$A,"ProximityToBuildings",SITE_COEFFS!$B:$B,$Q16))</f>
        <v/>
      </c>
      <c r="S16" s="19"/>
      <c r="T16" s="30" t="str">
        <f>IF($S16="","",SUMIFS(SITE_COEFFS!$C:$C,SITE_COEFFS!$A:$A,"MachineryAllowed",SITE_COEFFS!$B:$B,$S16))</f>
        <v/>
      </c>
      <c r="U16" s="19"/>
      <c r="V16" s="19"/>
      <c r="W16" s="30" t="str">
        <f>IF($V16="","",SUMIFS(SITE_COEFFS!$C:$C,SITE_COEFFS!$A:$A,"GeometryComplexity",SITE_COEFFS!$B:$B,$V16))</f>
        <v/>
      </c>
      <c r="X16" s="19"/>
      <c r="Y16" s="19" t="str">
        <f>IF($X16="","",SUMIFS(TARIFF_PROFILES!$D:$D,TARIFF_PROFILES!$A:$A,$X16))</f>
        <v/>
      </c>
      <c r="Z16" s="19" t="str">
        <f>IF($X16="","",SUMIFS(TARIFF_PROFILES!$E:$E,TARIFF_PROFILES!$A:$A,$X16))</f>
        <v/>
      </c>
      <c r="AA16" s="19" t="str">
        <f>IF($X16="","",SUMIFS(TARIFF_PROFILES!$F:$F,TARIFF_PROFILES!$A:$A,$X16))</f>
        <v/>
      </c>
      <c r="AB16" s="19" t="str">
        <f>IF($X16="","",SUMIFS(TARIFF_PROFILES!$G:$G,TARIFF_PROFILES!$A:$A,$X16))</f>
        <v/>
      </c>
      <c r="AC16" s="19" t="str">
        <f>IF($X16="","",SUMIFS(TARIFF_PROFILES!$H:$H,TARIFF_PROFILES!$A:$A,$X16))</f>
        <v/>
      </c>
      <c r="AD16" s="19" t="str">
        <f>IF($X16="","",INDEX(TARIFF_PROFILES!$J:$J,MATCH($X16,TARIFF_PROFILES!$A:$A,0)))</f>
        <v/>
      </c>
      <c r="AE16" s="19" t="str">
        <f>IF($X16="","",INDEX(TARIFF_PROFILES!$K:$K,MATCH($X16,TARIFF_PROFILES!$A:$A,0)))</f>
        <v/>
      </c>
      <c r="AF16" s="17"/>
      <c r="AG16" s="17"/>
      <c r="AH16" s="17" t="str">
        <f>IF($AG16="","",SUMIFS(OPERATING_COEFFS!$C:$C,OPERATING_COEFFS!$A:$A,"DistanceClass",OPERATING_COEFFS!$B:$B,$AG16))</f>
        <v/>
      </c>
      <c r="AI16" s="17"/>
      <c r="AJ16" s="17" t="str">
        <f>IF($AI16="","",SUMIFS(OPERATING_COEFFS!$C:$C,OPERATING_COEFFS!$A:$A,"SeasonClass",OPERATING_COEFFS!$B:$B,$AI16))</f>
        <v/>
      </c>
      <c r="AK16" s="17"/>
      <c r="AL16" s="17" t="str">
        <f>IF($AK16="","",SUMIFS(OPERATING_COEFFS!$C:$C,OPERATING_COEFFS!$A:$A,"UrgencyClass",OPERATING_COEFFS!$B:$B,$AK16))</f>
        <v/>
      </c>
      <c r="AM16" s="17"/>
      <c r="AN16" s="17" t="str">
        <f>IF($AM16="","",INDEX(TAX_MODES!$B:$B,MATCH($AM16,TAX_MODES!$A:$A,0)))</f>
        <v/>
      </c>
      <c r="AO16" s="17"/>
      <c r="AP16" s="17"/>
    </row>
    <row r="17" spans="1:42" x14ac:dyDescent="0.3">
      <c r="A17" s="19"/>
      <c r="B17" s="19"/>
      <c r="C17" s="19"/>
      <c r="D17" s="30" t="str">
        <f>IF($C17="","",SUMIFS(SITE_COEFFS!$C:$C,SITE_COEFFS!$A:$A,"SoilWorkability",SITE_COEFFS!$B:$B,$C17))</f>
        <v/>
      </c>
      <c r="E17" s="19"/>
      <c r="F17" s="30" t="str">
        <f>IF($E17="","",SUMIFS(SITE_COEFFS!$C:$C,SITE_COEFFS!$A:$A,"SoilMoisture",SITE_COEFFS!$B:$B,$E17))</f>
        <v/>
      </c>
      <c r="G17" s="19"/>
      <c r="H17" s="30" t="str">
        <f>IF($G17="","",SUMIFS(SITE_COEFFS!$C:$C,SITE_COEFFS!$A:$A,"DebrisLevel",SITE_COEFFS!$B:$B,$G17))</f>
        <v/>
      </c>
      <c r="I17" s="19"/>
      <c r="J17" s="30" t="str">
        <f>IF($I17="","",SUMIFS(SITE_COEFFS!$C:$C,SITE_COEFFS!$A:$A,"SlopeClass",SITE_COEFFS!$B:$B,$I17))</f>
        <v/>
      </c>
      <c r="K17" s="19"/>
      <c r="L17" s="30" t="str">
        <f>IF($K17="","",SUMIFS(SITE_COEFFS!$C:$C,SITE_COEFFS!$A:$A,"SurfaceUnevenness",SITE_COEFFS!$B:$B,$K17))</f>
        <v/>
      </c>
      <c r="M17" s="19"/>
      <c r="N17" s="30" t="str">
        <f>IF($M17="","",SUMIFS(SITE_COEFFS!$C:$C,SITE_COEFFS!$A:$A,"AccessClass",SITE_COEFFS!$B:$B,$M17))</f>
        <v/>
      </c>
      <c r="O17" s="19"/>
      <c r="P17" s="30" t="str">
        <f>IF($O17="","",SUMIFS(SITE_COEFFS!$C:$C,SITE_COEFFS!$A:$A,"TurnSpace",SITE_COEFFS!$B:$B,$O17))</f>
        <v/>
      </c>
      <c r="Q17" s="19"/>
      <c r="R17" s="30" t="str">
        <f>IF($Q17="","",SUMIFS(SITE_COEFFS!$C:$C,SITE_COEFFS!$A:$A,"ProximityToBuildings",SITE_COEFFS!$B:$B,$Q17))</f>
        <v/>
      </c>
      <c r="S17" s="19"/>
      <c r="T17" s="30" t="str">
        <f>IF($S17="","",SUMIFS(SITE_COEFFS!$C:$C,SITE_COEFFS!$A:$A,"MachineryAllowed",SITE_COEFFS!$B:$B,$S17))</f>
        <v/>
      </c>
      <c r="U17" s="19"/>
      <c r="V17" s="19"/>
      <c r="W17" s="30" t="str">
        <f>IF($V17="","",SUMIFS(SITE_COEFFS!$C:$C,SITE_COEFFS!$A:$A,"GeometryComplexity",SITE_COEFFS!$B:$B,$V17))</f>
        <v/>
      </c>
      <c r="X17" s="19"/>
      <c r="Y17" s="19" t="str">
        <f>IF($X17="","",SUMIFS(TARIFF_PROFILES!$D:$D,TARIFF_PROFILES!$A:$A,$X17))</f>
        <v/>
      </c>
      <c r="Z17" s="19" t="str">
        <f>IF($X17="","",SUMIFS(TARIFF_PROFILES!$E:$E,TARIFF_PROFILES!$A:$A,$X17))</f>
        <v/>
      </c>
      <c r="AA17" s="19" t="str">
        <f>IF($X17="","",SUMIFS(TARIFF_PROFILES!$F:$F,TARIFF_PROFILES!$A:$A,$X17))</f>
        <v/>
      </c>
      <c r="AB17" s="19" t="str">
        <f>IF($X17="","",SUMIFS(TARIFF_PROFILES!$G:$G,TARIFF_PROFILES!$A:$A,$X17))</f>
        <v/>
      </c>
      <c r="AC17" s="19" t="str">
        <f>IF($X17="","",SUMIFS(TARIFF_PROFILES!$H:$H,TARIFF_PROFILES!$A:$A,$X17))</f>
        <v/>
      </c>
      <c r="AD17" s="19" t="str">
        <f>IF($X17="","",INDEX(TARIFF_PROFILES!$J:$J,MATCH($X17,TARIFF_PROFILES!$A:$A,0)))</f>
        <v/>
      </c>
      <c r="AE17" s="19" t="str">
        <f>IF($X17="","",INDEX(TARIFF_PROFILES!$K:$K,MATCH($X17,TARIFF_PROFILES!$A:$A,0)))</f>
        <v/>
      </c>
      <c r="AF17" s="17"/>
      <c r="AG17" s="17"/>
      <c r="AH17" s="17" t="str">
        <f>IF($AG17="","",SUMIFS(OPERATING_COEFFS!$C:$C,OPERATING_COEFFS!$A:$A,"DistanceClass",OPERATING_COEFFS!$B:$B,$AG17))</f>
        <v/>
      </c>
      <c r="AI17" s="17"/>
      <c r="AJ17" s="17" t="str">
        <f>IF($AI17="","",SUMIFS(OPERATING_COEFFS!$C:$C,OPERATING_COEFFS!$A:$A,"SeasonClass",OPERATING_COEFFS!$B:$B,$AI17))</f>
        <v/>
      </c>
      <c r="AK17" s="17"/>
      <c r="AL17" s="17" t="str">
        <f>IF($AK17="","",SUMIFS(OPERATING_COEFFS!$C:$C,OPERATING_COEFFS!$A:$A,"UrgencyClass",OPERATING_COEFFS!$B:$B,$AK17))</f>
        <v/>
      </c>
      <c r="AM17" s="17"/>
      <c r="AN17" s="17" t="str">
        <f>IF($AM17="","",INDEX(TAX_MODES!$B:$B,MATCH($AM17,TAX_MODES!$A:$A,0)))</f>
        <v/>
      </c>
      <c r="AO17" s="17"/>
      <c r="AP17" s="17"/>
    </row>
    <row r="18" spans="1:42" x14ac:dyDescent="0.3">
      <c r="A18" s="19"/>
      <c r="B18" s="19"/>
      <c r="C18" s="19"/>
      <c r="D18" s="30" t="str">
        <f>IF($C18="","",SUMIFS(SITE_COEFFS!$C:$C,SITE_COEFFS!$A:$A,"SoilWorkability",SITE_COEFFS!$B:$B,$C18))</f>
        <v/>
      </c>
      <c r="E18" s="19"/>
      <c r="F18" s="30" t="str">
        <f>IF($E18="","",SUMIFS(SITE_COEFFS!$C:$C,SITE_COEFFS!$A:$A,"SoilMoisture",SITE_COEFFS!$B:$B,$E18))</f>
        <v/>
      </c>
      <c r="G18" s="19"/>
      <c r="H18" s="30" t="str">
        <f>IF($G18="","",SUMIFS(SITE_COEFFS!$C:$C,SITE_COEFFS!$A:$A,"DebrisLevel",SITE_COEFFS!$B:$B,$G18))</f>
        <v/>
      </c>
      <c r="I18" s="19"/>
      <c r="J18" s="30" t="str">
        <f>IF($I18="","",SUMIFS(SITE_COEFFS!$C:$C,SITE_COEFFS!$A:$A,"SlopeClass",SITE_COEFFS!$B:$B,$I18))</f>
        <v/>
      </c>
      <c r="K18" s="19"/>
      <c r="L18" s="30" t="str">
        <f>IF($K18="","",SUMIFS(SITE_COEFFS!$C:$C,SITE_COEFFS!$A:$A,"SurfaceUnevenness",SITE_COEFFS!$B:$B,$K18))</f>
        <v/>
      </c>
      <c r="M18" s="19"/>
      <c r="N18" s="30" t="str">
        <f>IF($M18="","",SUMIFS(SITE_COEFFS!$C:$C,SITE_COEFFS!$A:$A,"AccessClass",SITE_COEFFS!$B:$B,$M18))</f>
        <v/>
      </c>
      <c r="O18" s="19"/>
      <c r="P18" s="30" t="str">
        <f>IF($O18="","",SUMIFS(SITE_COEFFS!$C:$C,SITE_COEFFS!$A:$A,"TurnSpace",SITE_COEFFS!$B:$B,$O18))</f>
        <v/>
      </c>
      <c r="Q18" s="19"/>
      <c r="R18" s="30" t="str">
        <f>IF($Q18="","",SUMIFS(SITE_COEFFS!$C:$C,SITE_COEFFS!$A:$A,"ProximityToBuildings",SITE_COEFFS!$B:$B,$Q18))</f>
        <v/>
      </c>
      <c r="S18" s="19"/>
      <c r="T18" s="30" t="str">
        <f>IF($S18="","",SUMIFS(SITE_COEFFS!$C:$C,SITE_COEFFS!$A:$A,"MachineryAllowed",SITE_COEFFS!$B:$B,$S18))</f>
        <v/>
      </c>
      <c r="U18" s="19"/>
      <c r="V18" s="19"/>
      <c r="W18" s="30" t="str">
        <f>IF($V18="","",SUMIFS(SITE_COEFFS!$C:$C,SITE_COEFFS!$A:$A,"GeometryComplexity",SITE_COEFFS!$B:$B,$V18))</f>
        <v/>
      </c>
      <c r="X18" s="19"/>
      <c r="Y18" s="19" t="str">
        <f>IF($X18="","",SUMIFS(TARIFF_PROFILES!$D:$D,TARIFF_PROFILES!$A:$A,$X18))</f>
        <v/>
      </c>
      <c r="Z18" s="19" t="str">
        <f>IF($X18="","",SUMIFS(TARIFF_PROFILES!$E:$E,TARIFF_PROFILES!$A:$A,$X18))</f>
        <v/>
      </c>
      <c r="AA18" s="19" t="str">
        <f>IF($X18="","",SUMIFS(TARIFF_PROFILES!$F:$F,TARIFF_PROFILES!$A:$A,$X18))</f>
        <v/>
      </c>
      <c r="AB18" s="19" t="str">
        <f>IF($X18="","",SUMIFS(TARIFF_PROFILES!$G:$G,TARIFF_PROFILES!$A:$A,$X18))</f>
        <v/>
      </c>
      <c r="AC18" s="19" t="str">
        <f>IF($X18="","",SUMIFS(TARIFF_PROFILES!$H:$H,TARIFF_PROFILES!$A:$A,$X18))</f>
        <v/>
      </c>
      <c r="AD18" s="19" t="str">
        <f>IF($X18="","",INDEX(TARIFF_PROFILES!$J:$J,MATCH($X18,TARIFF_PROFILES!$A:$A,0)))</f>
        <v/>
      </c>
      <c r="AE18" s="19" t="str">
        <f>IF($X18="","",INDEX(TARIFF_PROFILES!$K:$K,MATCH($X18,TARIFF_PROFILES!$A:$A,0)))</f>
        <v/>
      </c>
      <c r="AF18" s="17"/>
      <c r="AG18" s="17"/>
      <c r="AH18" s="17" t="str">
        <f>IF($AG18="","",SUMIFS(OPERATING_COEFFS!$C:$C,OPERATING_COEFFS!$A:$A,"DistanceClass",OPERATING_COEFFS!$B:$B,$AG18))</f>
        <v/>
      </c>
      <c r="AI18" s="17"/>
      <c r="AJ18" s="17" t="str">
        <f>IF($AI18="","",SUMIFS(OPERATING_COEFFS!$C:$C,OPERATING_COEFFS!$A:$A,"SeasonClass",OPERATING_COEFFS!$B:$B,$AI18))</f>
        <v/>
      </c>
      <c r="AK18" s="17"/>
      <c r="AL18" s="17" t="str">
        <f>IF($AK18="","",SUMIFS(OPERATING_COEFFS!$C:$C,OPERATING_COEFFS!$A:$A,"UrgencyClass",OPERATING_COEFFS!$B:$B,$AK18))</f>
        <v/>
      </c>
      <c r="AM18" s="17"/>
      <c r="AN18" s="17" t="str">
        <f>IF($AM18="","",INDEX(TAX_MODES!$B:$B,MATCH($AM18,TAX_MODES!$A:$A,0)))</f>
        <v/>
      </c>
      <c r="AO18" s="17"/>
      <c r="AP18" s="17"/>
    </row>
    <row r="19" spans="1:42" x14ac:dyDescent="0.3">
      <c r="A19" s="19"/>
      <c r="B19" s="19"/>
      <c r="C19" s="19"/>
      <c r="D19" s="30" t="str">
        <f>IF($C19="","",SUMIFS(SITE_COEFFS!$C:$C,SITE_COEFFS!$A:$A,"SoilWorkability",SITE_COEFFS!$B:$B,$C19))</f>
        <v/>
      </c>
      <c r="E19" s="19"/>
      <c r="F19" s="30" t="str">
        <f>IF($E19="","",SUMIFS(SITE_COEFFS!$C:$C,SITE_COEFFS!$A:$A,"SoilMoisture",SITE_COEFFS!$B:$B,$E19))</f>
        <v/>
      </c>
      <c r="G19" s="19"/>
      <c r="H19" s="30" t="str">
        <f>IF($G19="","",SUMIFS(SITE_COEFFS!$C:$C,SITE_COEFFS!$A:$A,"DebrisLevel",SITE_COEFFS!$B:$B,$G19))</f>
        <v/>
      </c>
      <c r="I19" s="19"/>
      <c r="J19" s="30" t="str">
        <f>IF($I19="","",SUMIFS(SITE_COEFFS!$C:$C,SITE_COEFFS!$A:$A,"SlopeClass",SITE_COEFFS!$B:$B,$I19))</f>
        <v/>
      </c>
      <c r="K19" s="19"/>
      <c r="L19" s="30" t="str">
        <f>IF($K19="","",SUMIFS(SITE_COEFFS!$C:$C,SITE_COEFFS!$A:$A,"SurfaceUnevenness",SITE_COEFFS!$B:$B,$K19))</f>
        <v/>
      </c>
      <c r="M19" s="19"/>
      <c r="N19" s="30" t="str">
        <f>IF($M19="","",SUMIFS(SITE_COEFFS!$C:$C,SITE_COEFFS!$A:$A,"AccessClass",SITE_COEFFS!$B:$B,$M19))</f>
        <v/>
      </c>
      <c r="O19" s="19"/>
      <c r="P19" s="30" t="str">
        <f>IF($O19="","",SUMIFS(SITE_COEFFS!$C:$C,SITE_COEFFS!$A:$A,"TurnSpace",SITE_COEFFS!$B:$B,$O19))</f>
        <v/>
      </c>
      <c r="Q19" s="19"/>
      <c r="R19" s="30" t="str">
        <f>IF($Q19="","",SUMIFS(SITE_COEFFS!$C:$C,SITE_COEFFS!$A:$A,"ProximityToBuildings",SITE_COEFFS!$B:$B,$Q19))</f>
        <v/>
      </c>
      <c r="S19" s="19"/>
      <c r="T19" s="30" t="str">
        <f>IF($S19="","",SUMIFS(SITE_COEFFS!$C:$C,SITE_COEFFS!$A:$A,"MachineryAllowed",SITE_COEFFS!$B:$B,$S19))</f>
        <v/>
      </c>
      <c r="U19" s="19"/>
      <c r="V19" s="19"/>
      <c r="W19" s="30" t="str">
        <f>IF($V19="","",SUMIFS(SITE_COEFFS!$C:$C,SITE_COEFFS!$A:$A,"GeometryComplexity",SITE_COEFFS!$B:$B,$V19))</f>
        <v/>
      </c>
      <c r="X19" s="19"/>
      <c r="Y19" s="19" t="str">
        <f>IF($X19="","",SUMIFS(TARIFF_PROFILES!$D:$D,TARIFF_PROFILES!$A:$A,$X19))</f>
        <v/>
      </c>
      <c r="Z19" s="19" t="str">
        <f>IF($X19="","",SUMIFS(TARIFF_PROFILES!$E:$E,TARIFF_PROFILES!$A:$A,$X19))</f>
        <v/>
      </c>
      <c r="AA19" s="19" t="str">
        <f>IF($X19="","",SUMIFS(TARIFF_PROFILES!$F:$F,TARIFF_PROFILES!$A:$A,$X19))</f>
        <v/>
      </c>
      <c r="AB19" s="19" t="str">
        <f>IF($X19="","",SUMIFS(TARIFF_PROFILES!$G:$G,TARIFF_PROFILES!$A:$A,$X19))</f>
        <v/>
      </c>
      <c r="AC19" s="19" t="str">
        <f>IF($X19="","",SUMIFS(TARIFF_PROFILES!$H:$H,TARIFF_PROFILES!$A:$A,$X19))</f>
        <v/>
      </c>
      <c r="AD19" s="19" t="str">
        <f>IF($X19="","",INDEX(TARIFF_PROFILES!$J:$J,MATCH($X19,TARIFF_PROFILES!$A:$A,0)))</f>
        <v/>
      </c>
      <c r="AE19" s="19" t="str">
        <f>IF($X19="","",INDEX(TARIFF_PROFILES!$K:$K,MATCH($X19,TARIFF_PROFILES!$A:$A,0)))</f>
        <v/>
      </c>
      <c r="AF19" s="17"/>
      <c r="AG19" s="17"/>
      <c r="AH19" s="17" t="str">
        <f>IF($AG19="","",SUMIFS(OPERATING_COEFFS!$C:$C,OPERATING_COEFFS!$A:$A,"DistanceClass",OPERATING_COEFFS!$B:$B,$AG19))</f>
        <v/>
      </c>
      <c r="AI19" s="17"/>
      <c r="AJ19" s="17" t="str">
        <f>IF($AI19="","",SUMIFS(OPERATING_COEFFS!$C:$C,OPERATING_COEFFS!$A:$A,"SeasonClass",OPERATING_COEFFS!$B:$B,$AI19))</f>
        <v/>
      </c>
      <c r="AK19" s="17"/>
      <c r="AL19" s="17" t="str">
        <f>IF($AK19="","",SUMIFS(OPERATING_COEFFS!$C:$C,OPERATING_COEFFS!$A:$A,"UrgencyClass",OPERATING_COEFFS!$B:$B,$AK19))</f>
        <v/>
      </c>
      <c r="AM19" s="17"/>
      <c r="AN19" s="17" t="str">
        <f>IF($AM19="","",INDEX(TAX_MODES!$B:$B,MATCH($AM19,TAX_MODES!$A:$A,0)))</f>
        <v/>
      </c>
      <c r="AO19" s="17"/>
      <c r="AP19" s="17"/>
    </row>
    <row r="20" spans="1:42" x14ac:dyDescent="0.3">
      <c r="A20" s="19"/>
      <c r="B20" s="19"/>
      <c r="C20" s="19"/>
      <c r="D20" s="30" t="str">
        <f>IF($C20="","",SUMIFS(SITE_COEFFS!$C:$C,SITE_COEFFS!$A:$A,"SoilWorkability",SITE_COEFFS!$B:$B,$C20))</f>
        <v/>
      </c>
      <c r="E20" s="19"/>
      <c r="F20" s="30" t="str">
        <f>IF($E20="","",SUMIFS(SITE_COEFFS!$C:$C,SITE_COEFFS!$A:$A,"SoilMoisture",SITE_COEFFS!$B:$B,$E20))</f>
        <v/>
      </c>
      <c r="G20" s="19"/>
      <c r="H20" s="30" t="str">
        <f>IF($G20="","",SUMIFS(SITE_COEFFS!$C:$C,SITE_COEFFS!$A:$A,"DebrisLevel",SITE_COEFFS!$B:$B,$G20))</f>
        <v/>
      </c>
      <c r="I20" s="19"/>
      <c r="J20" s="30" t="str">
        <f>IF($I20="","",SUMIFS(SITE_COEFFS!$C:$C,SITE_COEFFS!$A:$A,"SlopeClass",SITE_COEFFS!$B:$B,$I20))</f>
        <v/>
      </c>
      <c r="K20" s="19"/>
      <c r="L20" s="30" t="str">
        <f>IF($K20="","",SUMIFS(SITE_COEFFS!$C:$C,SITE_COEFFS!$A:$A,"SurfaceUnevenness",SITE_COEFFS!$B:$B,$K20))</f>
        <v/>
      </c>
      <c r="M20" s="19"/>
      <c r="N20" s="30" t="str">
        <f>IF($M20="","",SUMIFS(SITE_COEFFS!$C:$C,SITE_COEFFS!$A:$A,"AccessClass",SITE_COEFFS!$B:$B,$M20))</f>
        <v/>
      </c>
      <c r="O20" s="19"/>
      <c r="P20" s="30" t="str">
        <f>IF($O20="","",SUMIFS(SITE_COEFFS!$C:$C,SITE_COEFFS!$A:$A,"TurnSpace",SITE_COEFFS!$B:$B,$O20))</f>
        <v/>
      </c>
      <c r="Q20" s="19"/>
      <c r="R20" s="30" t="str">
        <f>IF($Q20="","",SUMIFS(SITE_COEFFS!$C:$C,SITE_COEFFS!$A:$A,"ProximityToBuildings",SITE_COEFFS!$B:$B,$Q20))</f>
        <v/>
      </c>
      <c r="S20" s="19"/>
      <c r="T20" s="30" t="str">
        <f>IF($S20="","",SUMIFS(SITE_COEFFS!$C:$C,SITE_COEFFS!$A:$A,"MachineryAllowed",SITE_COEFFS!$B:$B,$S20))</f>
        <v/>
      </c>
      <c r="U20" s="19"/>
      <c r="V20" s="19"/>
      <c r="W20" s="30" t="str">
        <f>IF($V20="","",SUMIFS(SITE_COEFFS!$C:$C,SITE_COEFFS!$A:$A,"GeometryComplexity",SITE_COEFFS!$B:$B,$V20))</f>
        <v/>
      </c>
      <c r="X20" s="19"/>
      <c r="Y20" s="19" t="str">
        <f>IF($X20="","",SUMIFS(TARIFF_PROFILES!$D:$D,TARIFF_PROFILES!$A:$A,$X20))</f>
        <v/>
      </c>
      <c r="Z20" s="19" t="str">
        <f>IF($X20="","",SUMIFS(TARIFF_PROFILES!$E:$E,TARIFF_PROFILES!$A:$A,$X20))</f>
        <v/>
      </c>
      <c r="AA20" s="19" t="str">
        <f>IF($X20="","",SUMIFS(TARIFF_PROFILES!$F:$F,TARIFF_PROFILES!$A:$A,$X20))</f>
        <v/>
      </c>
      <c r="AB20" s="19" t="str">
        <f>IF($X20="","",SUMIFS(TARIFF_PROFILES!$G:$G,TARIFF_PROFILES!$A:$A,$X20))</f>
        <v/>
      </c>
      <c r="AC20" s="19" t="str">
        <f>IF($X20="","",SUMIFS(TARIFF_PROFILES!$H:$H,TARIFF_PROFILES!$A:$A,$X20))</f>
        <v/>
      </c>
      <c r="AD20" s="19" t="str">
        <f>IF($X20="","",INDEX(TARIFF_PROFILES!$J:$J,MATCH($X20,TARIFF_PROFILES!$A:$A,0)))</f>
        <v/>
      </c>
      <c r="AE20" s="19" t="str">
        <f>IF($X20="","",INDEX(TARIFF_PROFILES!$K:$K,MATCH($X20,TARIFF_PROFILES!$A:$A,0)))</f>
        <v/>
      </c>
      <c r="AF20" s="17"/>
      <c r="AG20" s="17"/>
      <c r="AH20" s="17" t="str">
        <f>IF($AG20="","",SUMIFS(OPERATING_COEFFS!$C:$C,OPERATING_COEFFS!$A:$A,"DistanceClass",OPERATING_COEFFS!$B:$B,$AG20))</f>
        <v/>
      </c>
      <c r="AI20" s="17"/>
      <c r="AJ20" s="17" t="str">
        <f>IF($AI20="","",SUMIFS(OPERATING_COEFFS!$C:$C,OPERATING_COEFFS!$A:$A,"SeasonClass",OPERATING_COEFFS!$B:$B,$AI20))</f>
        <v/>
      </c>
      <c r="AK20" s="17"/>
      <c r="AL20" s="17" t="str">
        <f>IF($AK20="","",SUMIFS(OPERATING_COEFFS!$C:$C,OPERATING_COEFFS!$A:$A,"UrgencyClass",OPERATING_COEFFS!$B:$B,$AK20))</f>
        <v/>
      </c>
      <c r="AM20" s="17"/>
      <c r="AN20" s="17" t="str">
        <f>IF($AM20="","",INDEX(TAX_MODES!$B:$B,MATCH($AM20,TAX_MODES!$A:$A,0)))</f>
        <v/>
      </c>
      <c r="AO20" s="17"/>
      <c r="AP20" s="17"/>
    </row>
    <row r="21" spans="1:42" x14ac:dyDescent="0.3">
      <c r="A21" s="19"/>
      <c r="B21" s="19"/>
      <c r="C21" s="19"/>
      <c r="D21" s="30" t="str">
        <f>IF($C21="","",SUMIFS(SITE_COEFFS!$C:$C,SITE_COEFFS!$A:$A,"SoilWorkability",SITE_COEFFS!$B:$B,$C21))</f>
        <v/>
      </c>
      <c r="E21" s="19"/>
      <c r="F21" s="30" t="str">
        <f>IF($E21="","",SUMIFS(SITE_COEFFS!$C:$C,SITE_COEFFS!$A:$A,"SoilMoisture",SITE_COEFFS!$B:$B,$E21))</f>
        <v/>
      </c>
      <c r="G21" s="19"/>
      <c r="H21" s="30" t="str">
        <f>IF($G21="","",SUMIFS(SITE_COEFFS!$C:$C,SITE_COEFFS!$A:$A,"DebrisLevel",SITE_COEFFS!$B:$B,$G21))</f>
        <v/>
      </c>
      <c r="I21" s="19"/>
      <c r="J21" s="30" t="str">
        <f>IF($I21="","",SUMIFS(SITE_COEFFS!$C:$C,SITE_COEFFS!$A:$A,"SlopeClass",SITE_COEFFS!$B:$B,$I21))</f>
        <v/>
      </c>
      <c r="K21" s="19"/>
      <c r="L21" s="30" t="str">
        <f>IF($K21="","",SUMIFS(SITE_COEFFS!$C:$C,SITE_COEFFS!$A:$A,"SurfaceUnevenness",SITE_COEFFS!$B:$B,$K21))</f>
        <v/>
      </c>
      <c r="M21" s="19"/>
      <c r="N21" s="30" t="str">
        <f>IF($M21="","",SUMIFS(SITE_COEFFS!$C:$C,SITE_COEFFS!$A:$A,"AccessClass",SITE_COEFFS!$B:$B,$M21))</f>
        <v/>
      </c>
      <c r="O21" s="19"/>
      <c r="P21" s="30" t="str">
        <f>IF($O21="","",SUMIFS(SITE_COEFFS!$C:$C,SITE_COEFFS!$A:$A,"TurnSpace",SITE_COEFFS!$B:$B,$O21))</f>
        <v/>
      </c>
      <c r="Q21" s="19"/>
      <c r="R21" s="30" t="str">
        <f>IF($Q21="","",SUMIFS(SITE_COEFFS!$C:$C,SITE_COEFFS!$A:$A,"ProximityToBuildings",SITE_COEFFS!$B:$B,$Q21))</f>
        <v/>
      </c>
      <c r="S21" s="19"/>
      <c r="T21" s="30" t="str">
        <f>IF($S21="","",SUMIFS(SITE_COEFFS!$C:$C,SITE_COEFFS!$A:$A,"MachineryAllowed",SITE_COEFFS!$B:$B,$S21))</f>
        <v/>
      </c>
      <c r="U21" s="19"/>
      <c r="V21" s="19"/>
      <c r="W21" s="30" t="str">
        <f>IF($V21="","",SUMIFS(SITE_COEFFS!$C:$C,SITE_COEFFS!$A:$A,"GeometryComplexity",SITE_COEFFS!$B:$B,$V21))</f>
        <v/>
      </c>
      <c r="X21" s="19"/>
      <c r="Y21" s="19" t="str">
        <f>IF($X21="","",SUMIFS(TARIFF_PROFILES!$D:$D,TARIFF_PROFILES!$A:$A,$X21))</f>
        <v/>
      </c>
      <c r="Z21" s="19" t="str">
        <f>IF($X21="","",SUMIFS(TARIFF_PROFILES!$E:$E,TARIFF_PROFILES!$A:$A,$X21))</f>
        <v/>
      </c>
      <c r="AA21" s="19" t="str">
        <f>IF($X21="","",SUMIFS(TARIFF_PROFILES!$F:$F,TARIFF_PROFILES!$A:$A,$X21))</f>
        <v/>
      </c>
      <c r="AB21" s="19" t="str">
        <f>IF($X21="","",SUMIFS(TARIFF_PROFILES!$G:$G,TARIFF_PROFILES!$A:$A,$X21))</f>
        <v/>
      </c>
      <c r="AC21" s="19" t="str">
        <f>IF($X21="","",SUMIFS(TARIFF_PROFILES!$H:$H,TARIFF_PROFILES!$A:$A,$X21))</f>
        <v/>
      </c>
      <c r="AD21" s="19" t="str">
        <f>IF($X21="","",INDEX(TARIFF_PROFILES!$J:$J,MATCH($X21,TARIFF_PROFILES!$A:$A,0)))</f>
        <v/>
      </c>
      <c r="AE21" s="19" t="str">
        <f>IF($X21="","",INDEX(TARIFF_PROFILES!$K:$K,MATCH($X21,TARIFF_PROFILES!$A:$A,0)))</f>
        <v/>
      </c>
      <c r="AF21" s="17"/>
      <c r="AG21" s="17"/>
      <c r="AH21" s="17" t="str">
        <f>IF($AG21="","",SUMIFS(OPERATING_COEFFS!$C:$C,OPERATING_COEFFS!$A:$A,"DistanceClass",OPERATING_COEFFS!$B:$B,$AG21))</f>
        <v/>
      </c>
      <c r="AI21" s="17"/>
      <c r="AJ21" s="17" t="str">
        <f>IF($AI21="","",SUMIFS(OPERATING_COEFFS!$C:$C,OPERATING_COEFFS!$A:$A,"SeasonClass",OPERATING_COEFFS!$B:$B,$AI21))</f>
        <v/>
      </c>
      <c r="AK21" s="17"/>
      <c r="AL21" s="17" t="str">
        <f>IF($AK21="","",SUMIFS(OPERATING_COEFFS!$C:$C,OPERATING_COEFFS!$A:$A,"UrgencyClass",OPERATING_COEFFS!$B:$B,$AK21))</f>
        <v/>
      </c>
      <c r="AM21" s="17"/>
      <c r="AN21" s="17" t="str">
        <f>IF($AM21="","",INDEX(TAX_MODES!$B:$B,MATCH($AM21,TAX_MODES!$A:$A,0)))</f>
        <v/>
      </c>
      <c r="AO21" s="17"/>
      <c r="AP21" s="17"/>
    </row>
    <row r="22" spans="1:42" x14ac:dyDescent="0.3">
      <c r="A22" s="19"/>
      <c r="B22" s="19"/>
      <c r="C22" s="19"/>
      <c r="D22" s="30" t="str">
        <f>IF($C22="","",SUMIFS(SITE_COEFFS!$C:$C,SITE_COEFFS!$A:$A,"SoilWorkability",SITE_COEFFS!$B:$B,$C22))</f>
        <v/>
      </c>
      <c r="E22" s="19"/>
      <c r="F22" s="30" t="str">
        <f>IF($E22="","",SUMIFS(SITE_COEFFS!$C:$C,SITE_COEFFS!$A:$A,"SoilMoisture",SITE_COEFFS!$B:$B,$E22))</f>
        <v/>
      </c>
      <c r="G22" s="19"/>
      <c r="H22" s="30" t="str">
        <f>IF($G22="","",SUMIFS(SITE_COEFFS!$C:$C,SITE_COEFFS!$A:$A,"DebrisLevel",SITE_COEFFS!$B:$B,$G22))</f>
        <v/>
      </c>
      <c r="I22" s="19"/>
      <c r="J22" s="30" t="str">
        <f>IF($I22="","",SUMIFS(SITE_COEFFS!$C:$C,SITE_COEFFS!$A:$A,"SlopeClass",SITE_COEFFS!$B:$B,$I22))</f>
        <v/>
      </c>
      <c r="K22" s="19"/>
      <c r="L22" s="30" t="str">
        <f>IF($K22="","",SUMIFS(SITE_COEFFS!$C:$C,SITE_COEFFS!$A:$A,"SurfaceUnevenness",SITE_COEFFS!$B:$B,$K22))</f>
        <v/>
      </c>
      <c r="M22" s="19"/>
      <c r="N22" s="30" t="str">
        <f>IF($M22="","",SUMIFS(SITE_COEFFS!$C:$C,SITE_COEFFS!$A:$A,"AccessClass",SITE_COEFFS!$B:$B,$M22))</f>
        <v/>
      </c>
      <c r="O22" s="19"/>
      <c r="P22" s="30" t="str">
        <f>IF($O22="","",SUMIFS(SITE_COEFFS!$C:$C,SITE_COEFFS!$A:$A,"TurnSpace",SITE_COEFFS!$B:$B,$O22))</f>
        <v/>
      </c>
      <c r="Q22" s="19"/>
      <c r="R22" s="30" t="str">
        <f>IF($Q22="","",SUMIFS(SITE_COEFFS!$C:$C,SITE_COEFFS!$A:$A,"ProximityToBuildings",SITE_COEFFS!$B:$B,$Q22))</f>
        <v/>
      </c>
      <c r="S22" s="19"/>
      <c r="T22" s="30" t="str">
        <f>IF($S22="","",SUMIFS(SITE_COEFFS!$C:$C,SITE_COEFFS!$A:$A,"MachineryAllowed",SITE_COEFFS!$B:$B,$S22))</f>
        <v/>
      </c>
      <c r="U22" s="19"/>
      <c r="V22" s="19"/>
      <c r="W22" s="30" t="str">
        <f>IF($V22="","",SUMIFS(SITE_COEFFS!$C:$C,SITE_COEFFS!$A:$A,"GeometryComplexity",SITE_COEFFS!$B:$B,$V22))</f>
        <v/>
      </c>
      <c r="X22" s="19"/>
      <c r="Y22" s="19" t="str">
        <f>IF($X22="","",SUMIFS(TARIFF_PROFILES!$D:$D,TARIFF_PROFILES!$A:$A,$X22))</f>
        <v/>
      </c>
      <c r="Z22" s="19" t="str">
        <f>IF($X22="","",SUMIFS(TARIFF_PROFILES!$E:$E,TARIFF_PROFILES!$A:$A,$X22))</f>
        <v/>
      </c>
      <c r="AA22" s="19" t="str">
        <f>IF($X22="","",SUMIFS(TARIFF_PROFILES!$F:$F,TARIFF_PROFILES!$A:$A,$X22))</f>
        <v/>
      </c>
      <c r="AB22" s="19" t="str">
        <f>IF($X22="","",SUMIFS(TARIFF_PROFILES!$G:$G,TARIFF_PROFILES!$A:$A,$X22))</f>
        <v/>
      </c>
      <c r="AC22" s="19" t="str">
        <f>IF($X22="","",SUMIFS(TARIFF_PROFILES!$H:$H,TARIFF_PROFILES!$A:$A,$X22))</f>
        <v/>
      </c>
      <c r="AD22" s="19" t="str">
        <f>IF($X22="","",INDEX(TARIFF_PROFILES!$J:$J,MATCH($X22,TARIFF_PROFILES!$A:$A,0)))</f>
        <v/>
      </c>
      <c r="AE22" s="19" t="str">
        <f>IF($X22="","",INDEX(TARIFF_PROFILES!$K:$K,MATCH($X22,TARIFF_PROFILES!$A:$A,0)))</f>
        <v/>
      </c>
      <c r="AF22" s="17"/>
      <c r="AG22" s="17"/>
      <c r="AH22" s="17" t="str">
        <f>IF($AG22="","",SUMIFS(OPERATING_COEFFS!$C:$C,OPERATING_COEFFS!$A:$A,"DistanceClass",OPERATING_COEFFS!$B:$B,$AG22))</f>
        <v/>
      </c>
      <c r="AI22" s="17"/>
      <c r="AJ22" s="17" t="str">
        <f>IF($AI22="","",SUMIFS(OPERATING_COEFFS!$C:$C,OPERATING_COEFFS!$A:$A,"SeasonClass",OPERATING_COEFFS!$B:$B,$AI22))</f>
        <v/>
      </c>
      <c r="AK22" s="17"/>
      <c r="AL22" s="17" t="str">
        <f>IF($AK22="","",SUMIFS(OPERATING_COEFFS!$C:$C,OPERATING_COEFFS!$A:$A,"UrgencyClass",OPERATING_COEFFS!$B:$B,$AK22))</f>
        <v/>
      </c>
      <c r="AM22" s="17"/>
      <c r="AN22" s="17" t="str">
        <f>IF($AM22="","",INDEX(TAX_MODES!$B:$B,MATCH($AM22,TAX_MODES!$A:$A,0)))</f>
        <v/>
      </c>
      <c r="AO22" s="17"/>
      <c r="AP22" s="17"/>
    </row>
    <row r="23" spans="1:42" x14ac:dyDescent="0.3">
      <c r="A23" s="19"/>
      <c r="B23" s="19"/>
      <c r="C23" s="19"/>
      <c r="D23" s="30" t="str">
        <f>IF($C23="","",SUMIFS(SITE_COEFFS!$C:$C,SITE_COEFFS!$A:$A,"SoilWorkability",SITE_COEFFS!$B:$B,$C23))</f>
        <v/>
      </c>
      <c r="E23" s="19"/>
      <c r="F23" s="30" t="str">
        <f>IF($E23="","",SUMIFS(SITE_COEFFS!$C:$C,SITE_COEFFS!$A:$A,"SoilMoisture",SITE_COEFFS!$B:$B,$E23))</f>
        <v/>
      </c>
      <c r="G23" s="19"/>
      <c r="H23" s="30" t="str">
        <f>IF($G23="","",SUMIFS(SITE_COEFFS!$C:$C,SITE_COEFFS!$A:$A,"DebrisLevel",SITE_COEFFS!$B:$B,$G23))</f>
        <v/>
      </c>
      <c r="I23" s="19"/>
      <c r="J23" s="30" t="str">
        <f>IF($I23="","",SUMIFS(SITE_COEFFS!$C:$C,SITE_COEFFS!$A:$A,"SlopeClass",SITE_COEFFS!$B:$B,$I23))</f>
        <v/>
      </c>
      <c r="K23" s="19"/>
      <c r="L23" s="30" t="str">
        <f>IF($K23="","",SUMIFS(SITE_COEFFS!$C:$C,SITE_COEFFS!$A:$A,"SurfaceUnevenness",SITE_COEFFS!$B:$B,$K23))</f>
        <v/>
      </c>
      <c r="M23" s="19"/>
      <c r="N23" s="30" t="str">
        <f>IF($M23="","",SUMIFS(SITE_COEFFS!$C:$C,SITE_COEFFS!$A:$A,"AccessClass",SITE_COEFFS!$B:$B,$M23))</f>
        <v/>
      </c>
      <c r="O23" s="19"/>
      <c r="P23" s="30" t="str">
        <f>IF($O23="","",SUMIFS(SITE_COEFFS!$C:$C,SITE_COEFFS!$A:$A,"TurnSpace",SITE_COEFFS!$B:$B,$O23))</f>
        <v/>
      </c>
      <c r="Q23" s="19"/>
      <c r="R23" s="30" t="str">
        <f>IF($Q23="","",SUMIFS(SITE_COEFFS!$C:$C,SITE_COEFFS!$A:$A,"ProximityToBuildings",SITE_COEFFS!$B:$B,$Q23))</f>
        <v/>
      </c>
      <c r="S23" s="19"/>
      <c r="T23" s="30" t="str">
        <f>IF($S23="","",SUMIFS(SITE_COEFFS!$C:$C,SITE_COEFFS!$A:$A,"MachineryAllowed",SITE_COEFFS!$B:$B,$S23))</f>
        <v/>
      </c>
      <c r="U23" s="19"/>
      <c r="V23" s="19"/>
      <c r="W23" s="30" t="str">
        <f>IF($V23="","",SUMIFS(SITE_COEFFS!$C:$C,SITE_COEFFS!$A:$A,"GeometryComplexity",SITE_COEFFS!$B:$B,$V23))</f>
        <v/>
      </c>
      <c r="X23" s="19"/>
      <c r="Y23" s="19" t="str">
        <f>IF($X23="","",SUMIFS(TARIFF_PROFILES!$D:$D,TARIFF_PROFILES!$A:$A,$X23))</f>
        <v/>
      </c>
      <c r="Z23" s="19" t="str">
        <f>IF($X23="","",SUMIFS(TARIFF_PROFILES!$E:$E,TARIFF_PROFILES!$A:$A,$X23))</f>
        <v/>
      </c>
      <c r="AA23" s="19" t="str">
        <f>IF($X23="","",SUMIFS(TARIFF_PROFILES!$F:$F,TARIFF_PROFILES!$A:$A,$X23))</f>
        <v/>
      </c>
      <c r="AB23" s="19" t="str">
        <f>IF($X23="","",SUMIFS(TARIFF_PROFILES!$G:$G,TARIFF_PROFILES!$A:$A,$X23))</f>
        <v/>
      </c>
      <c r="AC23" s="19" t="str">
        <f>IF($X23="","",SUMIFS(TARIFF_PROFILES!$H:$H,TARIFF_PROFILES!$A:$A,$X23))</f>
        <v/>
      </c>
      <c r="AD23" s="19" t="str">
        <f>IF($X23="","",INDEX(TARIFF_PROFILES!$J:$J,MATCH($X23,TARIFF_PROFILES!$A:$A,0)))</f>
        <v/>
      </c>
      <c r="AE23" s="19" t="str">
        <f>IF($X23="","",INDEX(TARIFF_PROFILES!$K:$K,MATCH($X23,TARIFF_PROFILES!$A:$A,0)))</f>
        <v/>
      </c>
      <c r="AF23" s="17"/>
      <c r="AG23" s="17"/>
      <c r="AH23" s="17" t="str">
        <f>IF($AG23="","",SUMIFS(OPERATING_COEFFS!$C:$C,OPERATING_COEFFS!$A:$A,"DistanceClass",OPERATING_COEFFS!$B:$B,$AG23))</f>
        <v/>
      </c>
      <c r="AI23" s="17"/>
      <c r="AJ23" s="17" t="str">
        <f>IF($AI23="","",SUMIFS(OPERATING_COEFFS!$C:$C,OPERATING_COEFFS!$A:$A,"SeasonClass",OPERATING_COEFFS!$B:$B,$AI23))</f>
        <v/>
      </c>
      <c r="AK23" s="17"/>
      <c r="AL23" s="17" t="str">
        <f>IF($AK23="","",SUMIFS(OPERATING_COEFFS!$C:$C,OPERATING_COEFFS!$A:$A,"UrgencyClass",OPERATING_COEFFS!$B:$B,$AK23))</f>
        <v/>
      </c>
      <c r="AM23" s="17"/>
      <c r="AN23" s="17" t="str">
        <f>IF($AM23="","",INDEX(TAX_MODES!$B:$B,MATCH($AM23,TAX_MODES!$A:$A,0)))</f>
        <v/>
      </c>
      <c r="AO23" s="17"/>
      <c r="AP23" s="17"/>
    </row>
    <row r="24" spans="1:42" x14ac:dyDescent="0.3">
      <c r="A24" s="19"/>
      <c r="B24" s="19"/>
      <c r="C24" s="19"/>
      <c r="D24" s="30" t="str">
        <f>IF($C24="","",SUMIFS(SITE_COEFFS!$C:$C,SITE_COEFFS!$A:$A,"SoilWorkability",SITE_COEFFS!$B:$B,$C24))</f>
        <v/>
      </c>
      <c r="E24" s="19"/>
      <c r="F24" s="30" t="str">
        <f>IF($E24="","",SUMIFS(SITE_COEFFS!$C:$C,SITE_COEFFS!$A:$A,"SoilMoisture",SITE_COEFFS!$B:$B,$E24))</f>
        <v/>
      </c>
      <c r="G24" s="19"/>
      <c r="H24" s="30" t="str">
        <f>IF($G24="","",SUMIFS(SITE_COEFFS!$C:$C,SITE_COEFFS!$A:$A,"DebrisLevel",SITE_COEFFS!$B:$B,$G24))</f>
        <v/>
      </c>
      <c r="I24" s="19"/>
      <c r="J24" s="30" t="str">
        <f>IF($I24="","",SUMIFS(SITE_COEFFS!$C:$C,SITE_COEFFS!$A:$A,"SlopeClass",SITE_COEFFS!$B:$B,$I24))</f>
        <v/>
      </c>
      <c r="K24" s="19"/>
      <c r="L24" s="30" t="str">
        <f>IF($K24="","",SUMIFS(SITE_COEFFS!$C:$C,SITE_COEFFS!$A:$A,"SurfaceUnevenness",SITE_COEFFS!$B:$B,$K24))</f>
        <v/>
      </c>
      <c r="M24" s="19"/>
      <c r="N24" s="30" t="str">
        <f>IF($M24="","",SUMIFS(SITE_COEFFS!$C:$C,SITE_COEFFS!$A:$A,"AccessClass",SITE_COEFFS!$B:$B,$M24))</f>
        <v/>
      </c>
      <c r="O24" s="19"/>
      <c r="P24" s="30" t="str">
        <f>IF($O24="","",SUMIFS(SITE_COEFFS!$C:$C,SITE_COEFFS!$A:$A,"TurnSpace",SITE_COEFFS!$B:$B,$O24))</f>
        <v/>
      </c>
      <c r="Q24" s="19"/>
      <c r="R24" s="30" t="str">
        <f>IF($Q24="","",SUMIFS(SITE_COEFFS!$C:$C,SITE_COEFFS!$A:$A,"ProximityToBuildings",SITE_COEFFS!$B:$B,$Q24))</f>
        <v/>
      </c>
      <c r="S24" s="19"/>
      <c r="T24" s="30" t="str">
        <f>IF($S24="","",SUMIFS(SITE_COEFFS!$C:$C,SITE_COEFFS!$A:$A,"MachineryAllowed",SITE_COEFFS!$B:$B,$S24))</f>
        <v/>
      </c>
      <c r="U24" s="19"/>
      <c r="V24" s="19"/>
      <c r="W24" s="30" t="str">
        <f>IF($V24="","",SUMIFS(SITE_COEFFS!$C:$C,SITE_COEFFS!$A:$A,"GeometryComplexity",SITE_COEFFS!$B:$B,$V24))</f>
        <v/>
      </c>
      <c r="X24" s="19"/>
      <c r="Y24" s="19" t="str">
        <f>IF($X24="","",SUMIFS(TARIFF_PROFILES!$D:$D,TARIFF_PROFILES!$A:$A,$X24))</f>
        <v/>
      </c>
      <c r="Z24" s="19" t="str">
        <f>IF($X24="","",SUMIFS(TARIFF_PROFILES!$E:$E,TARIFF_PROFILES!$A:$A,$X24))</f>
        <v/>
      </c>
      <c r="AA24" s="19" t="str">
        <f>IF($X24="","",SUMIFS(TARIFF_PROFILES!$F:$F,TARIFF_PROFILES!$A:$A,$X24))</f>
        <v/>
      </c>
      <c r="AB24" s="19" t="str">
        <f>IF($X24="","",SUMIFS(TARIFF_PROFILES!$G:$G,TARIFF_PROFILES!$A:$A,$X24))</f>
        <v/>
      </c>
      <c r="AC24" s="19" t="str">
        <f>IF($X24="","",SUMIFS(TARIFF_PROFILES!$H:$H,TARIFF_PROFILES!$A:$A,$X24))</f>
        <v/>
      </c>
      <c r="AD24" s="19" t="str">
        <f>IF($X24="","",INDEX(TARIFF_PROFILES!$J:$J,MATCH($X24,TARIFF_PROFILES!$A:$A,0)))</f>
        <v/>
      </c>
      <c r="AE24" s="19" t="str">
        <f>IF($X24="","",INDEX(TARIFF_PROFILES!$K:$K,MATCH($X24,TARIFF_PROFILES!$A:$A,0)))</f>
        <v/>
      </c>
      <c r="AF24" s="17"/>
      <c r="AG24" s="17"/>
      <c r="AH24" s="17" t="str">
        <f>IF($AG24="","",SUMIFS(OPERATING_COEFFS!$C:$C,OPERATING_COEFFS!$A:$A,"DistanceClass",OPERATING_COEFFS!$B:$B,$AG24))</f>
        <v/>
      </c>
      <c r="AI24" s="17"/>
      <c r="AJ24" s="17" t="str">
        <f>IF($AI24="","",SUMIFS(OPERATING_COEFFS!$C:$C,OPERATING_COEFFS!$A:$A,"SeasonClass",OPERATING_COEFFS!$B:$B,$AI24))</f>
        <v/>
      </c>
      <c r="AK24" s="17"/>
      <c r="AL24" s="17" t="str">
        <f>IF($AK24="","",SUMIFS(OPERATING_COEFFS!$C:$C,OPERATING_COEFFS!$A:$A,"UrgencyClass",OPERATING_COEFFS!$B:$B,$AK24))</f>
        <v/>
      </c>
      <c r="AM24" s="17"/>
      <c r="AN24" s="17" t="str">
        <f>IF($AM24="","",INDEX(TAX_MODES!$B:$B,MATCH($AM24,TAX_MODES!$A:$A,0)))</f>
        <v/>
      </c>
      <c r="AO24" s="17"/>
      <c r="AP24" s="17"/>
    </row>
    <row r="25" spans="1:42" x14ac:dyDescent="0.3">
      <c r="A25" s="19"/>
      <c r="B25" s="19"/>
      <c r="C25" s="19"/>
      <c r="D25" s="30" t="str">
        <f>IF($C25="","",SUMIFS(SITE_COEFFS!$C:$C,SITE_COEFFS!$A:$A,"SoilWorkability",SITE_COEFFS!$B:$B,$C25))</f>
        <v/>
      </c>
      <c r="E25" s="19"/>
      <c r="F25" s="30" t="str">
        <f>IF($E25="","",SUMIFS(SITE_COEFFS!$C:$C,SITE_COEFFS!$A:$A,"SoilMoisture",SITE_COEFFS!$B:$B,$E25))</f>
        <v/>
      </c>
      <c r="G25" s="19"/>
      <c r="H25" s="30" t="str">
        <f>IF($G25="","",SUMIFS(SITE_COEFFS!$C:$C,SITE_COEFFS!$A:$A,"DebrisLevel",SITE_COEFFS!$B:$B,$G25))</f>
        <v/>
      </c>
      <c r="I25" s="19"/>
      <c r="J25" s="30" t="str">
        <f>IF($I25="","",SUMIFS(SITE_COEFFS!$C:$C,SITE_COEFFS!$A:$A,"SlopeClass",SITE_COEFFS!$B:$B,$I25))</f>
        <v/>
      </c>
      <c r="K25" s="19"/>
      <c r="L25" s="30" t="str">
        <f>IF($K25="","",SUMIFS(SITE_COEFFS!$C:$C,SITE_COEFFS!$A:$A,"SurfaceUnevenness",SITE_COEFFS!$B:$B,$K25))</f>
        <v/>
      </c>
      <c r="M25" s="19"/>
      <c r="N25" s="30" t="str">
        <f>IF($M25="","",SUMIFS(SITE_COEFFS!$C:$C,SITE_COEFFS!$A:$A,"AccessClass",SITE_COEFFS!$B:$B,$M25))</f>
        <v/>
      </c>
      <c r="O25" s="19"/>
      <c r="P25" s="30" t="str">
        <f>IF($O25="","",SUMIFS(SITE_COEFFS!$C:$C,SITE_COEFFS!$A:$A,"TurnSpace",SITE_COEFFS!$B:$B,$O25))</f>
        <v/>
      </c>
      <c r="Q25" s="19"/>
      <c r="R25" s="30" t="str">
        <f>IF($Q25="","",SUMIFS(SITE_COEFFS!$C:$C,SITE_COEFFS!$A:$A,"ProximityToBuildings",SITE_COEFFS!$B:$B,$Q25))</f>
        <v/>
      </c>
      <c r="S25" s="19"/>
      <c r="T25" s="30" t="str">
        <f>IF($S25="","",SUMIFS(SITE_COEFFS!$C:$C,SITE_COEFFS!$A:$A,"MachineryAllowed",SITE_COEFFS!$B:$B,$S25))</f>
        <v/>
      </c>
      <c r="U25" s="19"/>
      <c r="V25" s="19"/>
      <c r="W25" s="30" t="str">
        <f>IF($V25="","",SUMIFS(SITE_COEFFS!$C:$C,SITE_COEFFS!$A:$A,"GeometryComplexity",SITE_COEFFS!$B:$B,$V25))</f>
        <v/>
      </c>
      <c r="X25" s="19"/>
      <c r="Y25" s="19" t="str">
        <f>IF($X25="","",SUMIFS(TARIFF_PROFILES!$D:$D,TARIFF_PROFILES!$A:$A,$X25))</f>
        <v/>
      </c>
      <c r="Z25" s="19" t="str">
        <f>IF($X25="","",SUMIFS(TARIFF_PROFILES!$E:$E,TARIFF_PROFILES!$A:$A,$X25))</f>
        <v/>
      </c>
      <c r="AA25" s="19" t="str">
        <f>IF($X25="","",SUMIFS(TARIFF_PROFILES!$F:$F,TARIFF_PROFILES!$A:$A,$X25))</f>
        <v/>
      </c>
      <c r="AB25" s="19" t="str">
        <f>IF($X25="","",SUMIFS(TARIFF_PROFILES!$G:$G,TARIFF_PROFILES!$A:$A,$X25))</f>
        <v/>
      </c>
      <c r="AC25" s="19" t="str">
        <f>IF($X25="","",SUMIFS(TARIFF_PROFILES!$H:$H,TARIFF_PROFILES!$A:$A,$X25))</f>
        <v/>
      </c>
      <c r="AD25" s="19" t="str">
        <f>IF($X25="","",INDEX(TARIFF_PROFILES!$J:$J,MATCH($X25,TARIFF_PROFILES!$A:$A,0)))</f>
        <v/>
      </c>
      <c r="AE25" s="19" t="str">
        <f>IF($X25="","",INDEX(TARIFF_PROFILES!$K:$K,MATCH($X25,TARIFF_PROFILES!$A:$A,0)))</f>
        <v/>
      </c>
      <c r="AF25" s="17"/>
      <c r="AG25" s="17"/>
      <c r="AH25" s="17" t="str">
        <f>IF($AG25="","",SUMIFS(OPERATING_COEFFS!$C:$C,OPERATING_COEFFS!$A:$A,"DistanceClass",OPERATING_COEFFS!$B:$B,$AG25))</f>
        <v/>
      </c>
      <c r="AI25" s="17"/>
      <c r="AJ25" s="17" t="str">
        <f>IF($AI25="","",SUMIFS(OPERATING_COEFFS!$C:$C,OPERATING_COEFFS!$A:$A,"SeasonClass",OPERATING_COEFFS!$B:$B,$AI25))</f>
        <v/>
      </c>
      <c r="AK25" s="17"/>
      <c r="AL25" s="17" t="str">
        <f>IF($AK25="","",SUMIFS(OPERATING_COEFFS!$C:$C,OPERATING_COEFFS!$A:$A,"UrgencyClass",OPERATING_COEFFS!$B:$B,$AK25))</f>
        <v/>
      </c>
      <c r="AM25" s="17"/>
      <c r="AN25" s="17" t="str">
        <f>IF($AM25="","",INDEX(TAX_MODES!$B:$B,MATCH($AM25,TAX_MODES!$A:$A,0)))</f>
        <v/>
      </c>
      <c r="AO25" s="17"/>
      <c r="AP25" s="17"/>
    </row>
    <row r="26" spans="1:42" x14ac:dyDescent="0.3">
      <c r="A26" s="19"/>
      <c r="B26" s="19"/>
      <c r="C26" s="19"/>
      <c r="D26" s="30" t="str">
        <f>IF($C26="","",SUMIFS(SITE_COEFFS!$C:$C,SITE_COEFFS!$A:$A,"SoilWorkability",SITE_COEFFS!$B:$B,$C26))</f>
        <v/>
      </c>
      <c r="E26" s="19"/>
      <c r="F26" s="30" t="str">
        <f>IF($E26="","",SUMIFS(SITE_COEFFS!$C:$C,SITE_COEFFS!$A:$A,"SoilMoisture",SITE_COEFFS!$B:$B,$E26))</f>
        <v/>
      </c>
      <c r="G26" s="19"/>
      <c r="H26" s="30" t="str">
        <f>IF($G26="","",SUMIFS(SITE_COEFFS!$C:$C,SITE_COEFFS!$A:$A,"DebrisLevel",SITE_COEFFS!$B:$B,$G26))</f>
        <v/>
      </c>
      <c r="I26" s="19"/>
      <c r="J26" s="30" t="str">
        <f>IF($I26="","",SUMIFS(SITE_COEFFS!$C:$C,SITE_COEFFS!$A:$A,"SlopeClass",SITE_COEFFS!$B:$B,$I26))</f>
        <v/>
      </c>
      <c r="K26" s="19"/>
      <c r="L26" s="30" t="str">
        <f>IF($K26="","",SUMIFS(SITE_COEFFS!$C:$C,SITE_COEFFS!$A:$A,"SurfaceUnevenness",SITE_COEFFS!$B:$B,$K26))</f>
        <v/>
      </c>
      <c r="M26" s="19"/>
      <c r="N26" s="30" t="str">
        <f>IF($M26="","",SUMIFS(SITE_COEFFS!$C:$C,SITE_COEFFS!$A:$A,"AccessClass",SITE_COEFFS!$B:$B,$M26))</f>
        <v/>
      </c>
      <c r="O26" s="19"/>
      <c r="P26" s="30" t="str">
        <f>IF($O26="","",SUMIFS(SITE_COEFFS!$C:$C,SITE_COEFFS!$A:$A,"TurnSpace",SITE_COEFFS!$B:$B,$O26))</f>
        <v/>
      </c>
      <c r="Q26" s="19"/>
      <c r="R26" s="30" t="str">
        <f>IF($Q26="","",SUMIFS(SITE_COEFFS!$C:$C,SITE_COEFFS!$A:$A,"ProximityToBuildings",SITE_COEFFS!$B:$B,$Q26))</f>
        <v/>
      </c>
      <c r="S26" s="19"/>
      <c r="T26" s="30" t="str">
        <f>IF($S26="","",SUMIFS(SITE_COEFFS!$C:$C,SITE_COEFFS!$A:$A,"MachineryAllowed",SITE_COEFFS!$B:$B,$S26))</f>
        <v/>
      </c>
      <c r="U26" s="19"/>
      <c r="V26" s="19"/>
      <c r="W26" s="30" t="str">
        <f>IF($V26="","",SUMIFS(SITE_COEFFS!$C:$C,SITE_COEFFS!$A:$A,"GeometryComplexity",SITE_COEFFS!$B:$B,$V26))</f>
        <v/>
      </c>
      <c r="X26" s="19"/>
      <c r="Y26" s="19" t="str">
        <f>IF($X26="","",SUMIFS(TARIFF_PROFILES!$D:$D,TARIFF_PROFILES!$A:$A,$X26))</f>
        <v/>
      </c>
      <c r="Z26" s="19" t="str">
        <f>IF($X26="","",SUMIFS(TARIFF_PROFILES!$E:$E,TARIFF_PROFILES!$A:$A,$X26))</f>
        <v/>
      </c>
      <c r="AA26" s="19" t="str">
        <f>IF($X26="","",SUMIFS(TARIFF_PROFILES!$F:$F,TARIFF_PROFILES!$A:$A,$X26))</f>
        <v/>
      </c>
      <c r="AB26" s="19" t="str">
        <f>IF($X26="","",SUMIFS(TARIFF_PROFILES!$G:$G,TARIFF_PROFILES!$A:$A,$X26))</f>
        <v/>
      </c>
      <c r="AC26" s="19" t="str">
        <f>IF($X26="","",SUMIFS(TARIFF_PROFILES!$H:$H,TARIFF_PROFILES!$A:$A,$X26))</f>
        <v/>
      </c>
      <c r="AD26" s="19" t="str">
        <f>IF($X26="","",INDEX(TARIFF_PROFILES!$J:$J,MATCH($X26,TARIFF_PROFILES!$A:$A,0)))</f>
        <v/>
      </c>
      <c r="AE26" s="19" t="str">
        <f>IF($X26="","",INDEX(TARIFF_PROFILES!$K:$K,MATCH($X26,TARIFF_PROFILES!$A:$A,0)))</f>
        <v/>
      </c>
      <c r="AF26" s="17"/>
      <c r="AG26" s="17"/>
      <c r="AH26" s="17" t="str">
        <f>IF($AG26="","",SUMIFS(OPERATING_COEFFS!$C:$C,OPERATING_COEFFS!$A:$A,"DistanceClass",OPERATING_COEFFS!$B:$B,$AG26))</f>
        <v/>
      </c>
      <c r="AI26" s="17"/>
      <c r="AJ26" s="17" t="str">
        <f>IF($AI26="","",SUMIFS(OPERATING_COEFFS!$C:$C,OPERATING_COEFFS!$A:$A,"SeasonClass",OPERATING_COEFFS!$B:$B,$AI26))</f>
        <v/>
      </c>
      <c r="AK26" s="17"/>
      <c r="AL26" s="17" t="str">
        <f>IF($AK26="","",SUMIFS(OPERATING_COEFFS!$C:$C,OPERATING_COEFFS!$A:$A,"UrgencyClass",OPERATING_COEFFS!$B:$B,$AK26))</f>
        <v/>
      </c>
      <c r="AM26" s="17"/>
      <c r="AN26" s="17" t="str">
        <f>IF($AM26="","",INDEX(TAX_MODES!$B:$B,MATCH($AM26,TAX_MODES!$A:$A,0)))</f>
        <v/>
      </c>
      <c r="AO26" s="17"/>
      <c r="AP26" s="17"/>
    </row>
    <row r="27" spans="1:42" x14ac:dyDescent="0.3">
      <c r="A27" s="19"/>
      <c r="B27" s="19"/>
      <c r="C27" s="19"/>
      <c r="D27" s="30" t="str">
        <f>IF($C27="","",SUMIFS(SITE_COEFFS!$C:$C,SITE_COEFFS!$A:$A,"SoilWorkability",SITE_COEFFS!$B:$B,$C27))</f>
        <v/>
      </c>
      <c r="E27" s="19"/>
      <c r="F27" s="30" t="str">
        <f>IF($E27="","",SUMIFS(SITE_COEFFS!$C:$C,SITE_COEFFS!$A:$A,"SoilMoisture",SITE_COEFFS!$B:$B,$E27))</f>
        <v/>
      </c>
      <c r="G27" s="19"/>
      <c r="H27" s="30" t="str">
        <f>IF($G27="","",SUMIFS(SITE_COEFFS!$C:$C,SITE_COEFFS!$A:$A,"DebrisLevel",SITE_COEFFS!$B:$B,$G27))</f>
        <v/>
      </c>
      <c r="I27" s="19"/>
      <c r="J27" s="30" t="str">
        <f>IF($I27="","",SUMIFS(SITE_COEFFS!$C:$C,SITE_COEFFS!$A:$A,"SlopeClass",SITE_COEFFS!$B:$B,$I27))</f>
        <v/>
      </c>
      <c r="K27" s="19"/>
      <c r="L27" s="30" t="str">
        <f>IF($K27="","",SUMIFS(SITE_COEFFS!$C:$C,SITE_COEFFS!$A:$A,"SurfaceUnevenness",SITE_COEFFS!$B:$B,$K27))</f>
        <v/>
      </c>
      <c r="M27" s="19"/>
      <c r="N27" s="30" t="str">
        <f>IF($M27="","",SUMIFS(SITE_COEFFS!$C:$C,SITE_COEFFS!$A:$A,"AccessClass",SITE_COEFFS!$B:$B,$M27))</f>
        <v/>
      </c>
      <c r="O27" s="19"/>
      <c r="P27" s="30" t="str">
        <f>IF($O27="","",SUMIFS(SITE_COEFFS!$C:$C,SITE_COEFFS!$A:$A,"TurnSpace",SITE_COEFFS!$B:$B,$O27))</f>
        <v/>
      </c>
      <c r="Q27" s="19"/>
      <c r="R27" s="30" t="str">
        <f>IF($Q27="","",SUMIFS(SITE_COEFFS!$C:$C,SITE_COEFFS!$A:$A,"ProximityToBuildings",SITE_COEFFS!$B:$B,$Q27))</f>
        <v/>
      </c>
      <c r="S27" s="19"/>
      <c r="T27" s="30" t="str">
        <f>IF($S27="","",SUMIFS(SITE_COEFFS!$C:$C,SITE_COEFFS!$A:$A,"MachineryAllowed",SITE_COEFFS!$B:$B,$S27))</f>
        <v/>
      </c>
      <c r="U27" s="19"/>
      <c r="V27" s="19"/>
      <c r="W27" s="30" t="str">
        <f>IF($V27="","",SUMIFS(SITE_COEFFS!$C:$C,SITE_COEFFS!$A:$A,"GeometryComplexity",SITE_COEFFS!$B:$B,$V27))</f>
        <v/>
      </c>
      <c r="X27" s="19"/>
      <c r="Y27" s="19" t="str">
        <f>IF($X27="","",SUMIFS(TARIFF_PROFILES!$D:$D,TARIFF_PROFILES!$A:$A,$X27))</f>
        <v/>
      </c>
      <c r="Z27" s="19" t="str">
        <f>IF($X27="","",SUMIFS(TARIFF_PROFILES!$E:$E,TARIFF_PROFILES!$A:$A,$X27))</f>
        <v/>
      </c>
      <c r="AA27" s="19" t="str">
        <f>IF($X27="","",SUMIFS(TARIFF_PROFILES!$F:$F,TARIFF_PROFILES!$A:$A,$X27))</f>
        <v/>
      </c>
      <c r="AB27" s="19" t="str">
        <f>IF($X27="","",SUMIFS(TARIFF_PROFILES!$G:$G,TARIFF_PROFILES!$A:$A,$X27))</f>
        <v/>
      </c>
      <c r="AC27" s="19" t="str">
        <f>IF($X27="","",SUMIFS(TARIFF_PROFILES!$H:$H,TARIFF_PROFILES!$A:$A,$X27))</f>
        <v/>
      </c>
      <c r="AD27" s="19" t="str">
        <f>IF($X27="","",INDEX(TARIFF_PROFILES!$J:$J,MATCH($X27,TARIFF_PROFILES!$A:$A,0)))</f>
        <v/>
      </c>
      <c r="AE27" s="19" t="str">
        <f>IF($X27="","",INDEX(TARIFF_PROFILES!$K:$K,MATCH($X27,TARIFF_PROFILES!$A:$A,0)))</f>
        <v/>
      </c>
      <c r="AF27" s="17"/>
      <c r="AG27" s="17"/>
      <c r="AH27" s="17" t="str">
        <f>IF($AG27="","",SUMIFS(OPERATING_COEFFS!$C:$C,OPERATING_COEFFS!$A:$A,"DistanceClass",OPERATING_COEFFS!$B:$B,$AG27))</f>
        <v/>
      </c>
      <c r="AI27" s="17"/>
      <c r="AJ27" s="17" t="str">
        <f>IF($AI27="","",SUMIFS(OPERATING_COEFFS!$C:$C,OPERATING_COEFFS!$A:$A,"SeasonClass",OPERATING_COEFFS!$B:$B,$AI27))</f>
        <v/>
      </c>
      <c r="AK27" s="17"/>
      <c r="AL27" s="17" t="str">
        <f>IF($AK27="","",SUMIFS(OPERATING_COEFFS!$C:$C,OPERATING_COEFFS!$A:$A,"UrgencyClass",OPERATING_COEFFS!$B:$B,$AK27))</f>
        <v/>
      </c>
      <c r="AM27" s="17"/>
      <c r="AN27" s="17" t="str">
        <f>IF($AM27="","",INDEX(TAX_MODES!$B:$B,MATCH($AM27,TAX_MODES!$A:$A,0)))</f>
        <v/>
      </c>
      <c r="AO27" s="17"/>
      <c r="AP27" s="17"/>
    </row>
    <row r="28" spans="1:42" x14ac:dyDescent="0.3">
      <c r="A28" s="19"/>
      <c r="B28" s="19"/>
      <c r="C28" s="19"/>
      <c r="D28" s="30" t="str">
        <f>IF($C28="","",SUMIFS(SITE_COEFFS!$C:$C,SITE_COEFFS!$A:$A,"SoilWorkability",SITE_COEFFS!$B:$B,$C28))</f>
        <v/>
      </c>
      <c r="E28" s="19"/>
      <c r="F28" s="30" t="str">
        <f>IF($E28="","",SUMIFS(SITE_COEFFS!$C:$C,SITE_COEFFS!$A:$A,"SoilMoisture",SITE_COEFFS!$B:$B,$E28))</f>
        <v/>
      </c>
      <c r="G28" s="19"/>
      <c r="H28" s="30" t="str">
        <f>IF($G28="","",SUMIFS(SITE_COEFFS!$C:$C,SITE_COEFFS!$A:$A,"DebrisLevel",SITE_COEFFS!$B:$B,$G28))</f>
        <v/>
      </c>
      <c r="I28" s="19"/>
      <c r="J28" s="30" t="str">
        <f>IF($I28="","",SUMIFS(SITE_COEFFS!$C:$C,SITE_COEFFS!$A:$A,"SlopeClass",SITE_COEFFS!$B:$B,$I28))</f>
        <v/>
      </c>
      <c r="K28" s="19"/>
      <c r="L28" s="30" t="str">
        <f>IF($K28="","",SUMIFS(SITE_COEFFS!$C:$C,SITE_COEFFS!$A:$A,"SurfaceUnevenness",SITE_COEFFS!$B:$B,$K28))</f>
        <v/>
      </c>
      <c r="M28" s="19"/>
      <c r="N28" s="30" t="str">
        <f>IF($M28="","",SUMIFS(SITE_COEFFS!$C:$C,SITE_COEFFS!$A:$A,"AccessClass",SITE_COEFFS!$B:$B,$M28))</f>
        <v/>
      </c>
      <c r="O28" s="19"/>
      <c r="P28" s="30" t="str">
        <f>IF($O28="","",SUMIFS(SITE_COEFFS!$C:$C,SITE_COEFFS!$A:$A,"TurnSpace",SITE_COEFFS!$B:$B,$O28))</f>
        <v/>
      </c>
      <c r="Q28" s="19"/>
      <c r="R28" s="30" t="str">
        <f>IF($Q28="","",SUMIFS(SITE_COEFFS!$C:$C,SITE_COEFFS!$A:$A,"ProximityToBuildings",SITE_COEFFS!$B:$B,$Q28))</f>
        <v/>
      </c>
      <c r="S28" s="19"/>
      <c r="T28" s="30" t="str">
        <f>IF($S28="","",SUMIFS(SITE_COEFFS!$C:$C,SITE_COEFFS!$A:$A,"MachineryAllowed",SITE_COEFFS!$B:$B,$S28))</f>
        <v/>
      </c>
      <c r="U28" s="19"/>
      <c r="V28" s="19"/>
      <c r="W28" s="30" t="str">
        <f>IF($V28="","",SUMIFS(SITE_COEFFS!$C:$C,SITE_COEFFS!$A:$A,"GeometryComplexity",SITE_COEFFS!$B:$B,$V28))</f>
        <v/>
      </c>
      <c r="X28" s="19"/>
      <c r="Y28" s="19" t="str">
        <f>IF($X28="","",SUMIFS(TARIFF_PROFILES!$D:$D,TARIFF_PROFILES!$A:$A,$X28))</f>
        <v/>
      </c>
      <c r="Z28" s="19" t="str">
        <f>IF($X28="","",SUMIFS(TARIFF_PROFILES!$E:$E,TARIFF_PROFILES!$A:$A,$X28))</f>
        <v/>
      </c>
      <c r="AA28" s="19" t="str">
        <f>IF($X28="","",SUMIFS(TARIFF_PROFILES!$F:$F,TARIFF_PROFILES!$A:$A,$X28))</f>
        <v/>
      </c>
      <c r="AB28" s="19" t="str">
        <f>IF($X28="","",SUMIFS(TARIFF_PROFILES!$G:$G,TARIFF_PROFILES!$A:$A,$X28))</f>
        <v/>
      </c>
      <c r="AC28" s="19" t="str">
        <f>IF($X28="","",SUMIFS(TARIFF_PROFILES!$H:$H,TARIFF_PROFILES!$A:$A,$X28))</f>
        <v/>
      </c>
      <c r="AD28" s="19" t="str">
        <f>IF($X28="","",INDEX(TARIFF_PROFILES!$J:$J,MATCH($X28,TARIFF_PROFILES!$A:$A,0)))</f>
        <v/>
      </c>
      <c r="AE28" s="19" t="str">
        <f>IF($X28="","",INDEX(TARIFF_PROFILES!$K:$K,MATCH($X28,TARIFF_PROFILES!$A:$A,0)))</f>
        <v/>
      </c>
      <c r="AF28" s="17"/>
      <c r="AG28" s="17"/>
      <c r="AH28" s="17" t="str">
        <f>IF($AG28="","",SUMIFS(OPERATING_COEFFS!$C:$C,OPERATING_COEFFS!$A:$A,"DistanceClass",OPERATING_COEFFS!$B:$B,$AG28))</f>
        <v/>
      </c>
      <c r="AI28" s="17"/>
      <c r="AJ28" s="17" t="str">
        <f>IF($AI28="","",SUMIFS(OPERATING_COEFFS!$C:$C,OPERATING_COEFFS!$A:$A,"SeasonClass",OPERATING_COEFFS!$B:$B,$AI28))</f>
        <v/>
      </c>
      <c r="AK28" s="17"/>
      <c r="AL28" s="17" t="str">
        <f>IF($AK28="","",SUMIFS(OPERATING_COEFFS!$C:$C,OPERATING_COEFFS!$A:$A,"UrgencyClass",OPERATING_COEFFS!$B:$B,$AK28))</f>
        <v/>
      </c>
      <c r="AM28" s="17"/>
      <c r="AN28" s="17" t="str">
        <f>IF($AM28="","",INDEX(TAX_MODES!$B:$B,MATCH($AM28,TAX_MODES!$A:$A,0)))</f>
        <v/>
      </c>
      <c r="AO28" s="17"/>
      <c r="AP28" s="17"/>
    </row>
    <row r="29" spans="1:42" x14ac:dyDescent="0.3">
      <c r="A29" s="19"/>
      <c r="B29" s="19"/>
      <c r="C29" s="19"/>
      <c r="D29" s="30" t="str">
        <f>IF($C29="","",SUMIFS(SITE_COEFFS!$C:$C,SITE_COEFFS!$A:$A,"SoilWorkability",SITE_COEFFS!$B:$B,$C29))</f>
        <v/>
      </c>
      <c r="E29" s="19"/>
      <c r="F29" s="30" t="str">
        <f>IF($E29="","",SUMIFS(SITE_COEFFS!$C:$C,SITE_COEFFS!$A:$A,"SoilMoisture",SITE_COEFFS!$B:$B,$E29))</f>
        <v/>
      </c>
      <c r="G29" s="19"/>
      <c r="H29" s="30" t="str">
        <f>IF($G29="","",SUMIFS(SITE_COEFFS!$C:$C,SITE_COEFFS!$A:$A,"DebrisLevel",SITE_COEFFS!$B:$B,$G29))</f>
        <v/>
      </c>
      <c r="I29" s="19"/>
      <c r="J29" s="30" t="str">
        <f>IF($I29="","",SUMIFS(SITE_COEFFS!$C:$C,SITE_COEFFS!$A:$A,"SlopeClass",SITE_COEFFS!$B:$B,$I29))</f>
        <v/>
      </c>
      <c r="K29" s="19"/>
      <c r="L29" s="30" t="str">
        <f>IF($K29="","",SUMIFS(SITE_COEFFS!$C:$C,SITE_COEFFS!$A:$A,"SurfaceUnevenness",SITE_COEFFS!$B:$B,$K29))</f>
        <v/>
      </c>
      <c r="M29" s="19"/>
      <c r="N29" s="30" t="str">
        <f>IF($M29="","",SUMIFS(SITE_COEFFS!$C:$C,SITE_COEFFS!$A:$A,"AccessClass",SITE_COEFFS!$B:$B,$M29))</f>
        <v/>
      </c>
      <c r="O29" s="19"/>
      <c r="P29" s="30" t="str">
        <f>IF($O29="","",SUMIFS(SITE_COEFFS!$C:$C,SITE_COEFFS!$A:$A,"TurnSpace",SITE_COEFFS!$B:$B,$O29))</f>
        <v/>
      </c>
      <c r="Q29" s="19"/>
      <c r="R29" s="30" t="str">
        <f>IF($Q29="","",SUMIFS(SITE_COEFFS!$C:$C,SITE_COEFFS!$A:$A,"ProximityToBuildings",SITE_COEFFS!$B:$B,$Q29))</f>
        <v/>
      </c>
      <c r="S29" s="19"/>
      <c r="T29" s="30" t="str">
        <f>IF($S29="","",SUMIFS(SITE_COEFFS!$C:$C,SITE_COEFFS!$A:$A,"MachineryAllowed",SITE_COEFFS!$B:$B,$S29))</f>
        <v/>
      </c>
      <c r="U29" s="19"/>
      <c r="V29" s="19"/>
      <c r="W29" s="30" t="str">
        <f>IF($V29="","",SUMIFS(SITE_COEFFS!$C:$C,SITE_COEFFS!$A:$A,"GeometryComplexity",SITE_COEFFS!$B:$B,$V29))</f>
        <v/>
      </c>
      <c r="X29" s="19"/>
      <c r="Y29" s="19" t="str">
        <f>IF($X29="","",SUMIFS(TARIFF_PROFILES!$D:$D,TARIFF_PROFILES!$A:$A,$X29))</f>
        <v/>
      </c>
      <c r="Z29" s="19" t="str">
        <f>IF($X29="","",SUMIFS(TARIFF_PROFILES!$E:$E,TARIFF_PROFILES!$A:$A,$X29))</f>
        <v/>
      </c>
      <c r="AA29" s="19" t="str">
        <f>IF($X29="","",SUMIFS(TARIFF_PROFILES!$F:$F,TARIFF_PROFILES!$A:$A,$X29))</f>
        <v/>
      </c>
      <c r="AB29" s="19" t="str">
        <f>IF($X29="","",SUMIFS(TARIFF_PROFILES!$G:$G,TARIFF_PROFILES!$A:$A,$X29))</f>
        <v/>
      </c>
      <c r="AC29" s="19" t="str">
        <f>IF($X29="","",SUMIFS(TARIFF_PROFILES!$H:$H,TARIFF_PROFILES!$A:$A,$X29))</f>
        <v/>
      </c>
      <c r="AD29" s="19" t="str">
        <f>IF($X29="","",INDEX(TARIFF_PROFILES!$J:$J,MATCH($X29,TARIFF_PROFILES!$A:$A,0)))</f>
        <v/>
      </c>
      <c r="AE29" s="19" t="str">
        <f>IF($X29="","",INDEX(TARIFF_PROFILES!$K:$K,MATCH($X29,TARIFF_PROFILES!$A:$A,0)))</f>
        <v/>
      </c>
      <c r="AF29" s="17"/>
      <c r="AG29" s="17"/>
      <c r="AH29" s="17" t="str">
        <f>IF($AG29="","",SUMIFS(OPERATING_COEFFS!$C:$C,OPERATING_COEFFS!$A:$A,"DistanceClass",OPERATING_COEFFS!$B:$B,$AG29))</f>
        <v/>
      </c>
      <c r="AI29" s="17"/>
      <c r="AJ29" s="17" t="str">
        <f>IF($AI29="","",SUMIFS(OPERATING_COEFFS!$C:$C,OPERATING_COEFFS!$A:$A,"SeasonClass",OPERATING_COEFFS!$B:$B,$AI29))</f>
        <v/>
      </c>
      <c r="AK29" s="17"/>
      <c r="AL29" s="17" t="str">
        <f>IF($AK29="","",SUMIFS(OPERATING_COEFFS!$C:$C,OPERATING_COEFFS!$A:$A,"UrgencyClass",OPERATING_COEFFS!$B:$B,$AK29))</f>
        <v/>
      </c>
      <c r="AM29" s="17"/>
      <c r="AN29" s="17" t="str">
        <f>IF($AM29="","",INDEX(TAX_MODES!$B:$B,MATCH($AM29,TAX_MODES!$A:$A,0)))</f>
        <v/>
      </c>
      <c r="AO29" s="17"/>
      <c r="AP29" s="17"/>
    </row>
    <row r="30" spans="1:42" x14ac:dyDescent="0.3">
      <c r="A30" s="19"/>
      <c r="B30" s="19"/>
      <c r="C30" s="19"/>
      <c r="D30" s="30" t="str">
        <f>IF($C30="","",SUMIFS(SITE_COEFFS!$C:$C,SITE_COEFFS!$A:$A,"SoilWorkability",SITE_COEFFS!$B:$B,$C30))</f>
        <v/>
      </c>
      <c r="E30" s="19"/>
      <c r="F30" s="30" t="str">
        <f>IF($E30="","",SUMIFS(SITE_COEFFS!$C:$C,SITE_COEFFS!$A:$A,"SoilMoisture",SITE_COEFFS!$B:$B,$E30))</f>
        <v/>
      </c>
      <c r="G30" s="19"/>
      <c r="H30" s="30" t="str">
        <f>IF($G30="","",SUMIFS(SITE_COEFFS!$C:$C,SITE_COEFFS!$A:$A,"DebrisLevel",SITE_COEFFS!$B:$B,$G30))</f>
        <v/>
      </c>
      <c r="I30" s="19"/>
      <c r="J30" s="30" t="str">
        <f>IF($I30="","",SUMIFS(SITE_COEFFS!$C:$C,SITE_COEFFS!$A:$A,"SlopeClass",SITE_COEFFS!$B:$B,$I30))</f>
        <v/>
      </c>
      <c r="K30" s="19"/>
      <c r="L30" s="30" t="str">
        <f>IF($K30="","",SUMIFS(SITE_COEFFS!$C:$C,SITE_COEFFS!$A:$A,"SurfaceUnevenness",SITE_COEFFS!$B:$B,$K30))</f>
        <v/>
      </c>
      <c r="M30" s="19"/>
      <c r="N30" s="30" t="str">
        <f>IF($M30="","",SUMIFS(SITE_COEFFS!$C:$C,SITE_COEFFS!$A:$A,"AccessClass",SITE_COEFFS!$B:$B,$M30))</f>
        <v/>
      </c>
      <c r="O30" s="19"/>
      <c r="P30" s="30" t="str">
        <f>IF($O30="","",SUMIFS(SITE_COEFFS!$C:$C,SITE_COEFFS!$A:$A,"TurnSpace",SITE_COEFFS!$B:$B,$O30))</f>
        <v/>
      </c>
      <c r="Q30" s="19"/>
      <c r="R30" s="30" t="str">
        <f>IF($Q30="","",SUMIFS(SITE_COEFFS!$C:$C,SITE_COEFFS!$A:$A,"ProximityToBuildings",SITE_COEFFS!$B:$B,$Q30))</f>
        <v/>
      </c>
      <c r="S30" s="19"/>
      <c r="T30" s="30" t="str">
        <f>IF($S30="","",SUMIFS(SITE_COEFFS!$C:$C,SITE_COEFFS!$A:$A,"MachineryAllowed",SITE_COEFFS!$B:$B,$S30))</f>
        <v/>
      </c>
      <c r="U30" s="19"/>
      <c r="V30" s="19"/>
      <c r="W30" s="30" t="str">
        <f>IF($V30="","",SUMIFS(SITE_COEFFS!$C:$C,SITE_COEFFS!$A:$A,"GeometryComplexity",SITE_COEFFS!$B:$B,$V30))</f>
        <v/>
      </c>
      <c r="X30" s="19"/>
      <c r="Y30" s="19" t="str">
        <f>IF($X30="","",SUMIFS(TARIFF_PROFILES!$D:$D,TARIFF_PROFILES!$A:$A,$X30))</f>
        <v/>
      </c>
      <c r="Z30" s="19" t="str">
        <f>IF($X30="","",SUMIFS(TARIFF_PROFILES!$E:$E,TARIFF_PROFILES!$A:$A,$X30))</f>
        <v/>
      </c>
      <c r="AA30" s="19" t="str">
        <f>IF($X30="","",SUMIFS(TARIFF_PROFILES!$F:$F,TARIFF_PROFILES!$A:$A,$X30))</f>
        <v/>
      </c>
      <c r="AB30" s="19" t="str">
        <f>IF($X30="","",SUMIFS(TARIFF_PROFILES!$G:$G,TARIFF_PROFILES!$A:$A,$X30))</f>
        <v/>
      </c>
      <c r="AC30" s="19" t="str">
        <f>IF($X30="","",SUMIFS(TARIFF_PROFILES!$H:$H,TARIFF_PROFILES!$A:$A,$X30))</f>
        <v/>
      </c>
      <c r="AD30" s="19" t="str">
        <f>IF($X30="","",INDEX(TARIFF_PROFILES!$J:$J,MATCH($X30,TARIFF_PROFILES!$A:$A,0)))</f>
        <v/>
      </c>
      <c r="AE30" s="19" t="str">
        <f>IF($X30="","",INDEX(TARIFF_PROFILES!$K:$K,MATCH($X30,TARIFF_PROFILES!$A:$A,0)))</f>
        <v/>
      </c>
      <c r="AF30" s="17"/>
      <c r="AG30" s="17"/>
      <c r="AH30" s="17" t="str">
        <f>IF($AG30="","",SUMIFS(OPERATING_COEFFS!$C:$C,OPERATING_COEFFS!$A:$A,"DistanceClass",OPERATING_COEFFS!$B:$B,$AG30))</f>
        <v/>
      </c>
      <c r="AI30" s="17"/>
      <c r="AJ30" s="17" t="str">
        <f>IF($AI30="","",SUMIFS(OPERATING_COEFFS!$C:$C,OPERATING_COEFFS!$A:$A,"SeasonClass",OPERATING_COEFFS!$B:$B,$AI30))</f>
        <v/>
      </c>
      <c r="AK30" s="17"/>
      <c r="AL30" s="17" t="str">
        <f>IF($AK30="","",SUMIFS(OPERATING_COEFFS!$C:$C,OPERATING_COEFFS!$A:$A,"UrgencyClass",OPERATING_COEFFS!$B:$B,$AK30))</f>
        <v/>
      </c>
      <c r="AM30" s="17"/>
      <c r="AN30" s="17" t="str">
        <f>IF($AM30="","",INDEX(TAX_MODES!$B:$B,MATCH($AM30,TAX_MODES!$A:$A,0)))</f>
        <v/>
      </c>
      <c r="AO30" s="17"/>
      <c r="AP30" s="17"/>
    </row>
    <row r="31" spans="1:42" x14ac:dyDescent="0.3">
      <c r="A31" s="19"/>
      <c r="B31" s="19"/>
      <c r="C31" s="19"/>
      <c r="D31" s="30" t="str">
        <f>IF($C31="","",SUMIFS(SITE_COEFFS!$C:$C,SITE_COEFFS!$A:$A,"SoilWorkability",SITE_COEFFS!$B:$B,$C31))</f>
        <v/>
      </c>
      <c r="E31" s="19"/>
      <c r="F31" s="30" t="str">
        <f>IF($E31="","",SUMIFS(SITE_COEFFS!$C:$C,SITE_COEFFS!$A:$A,"SoilMoisture",SITE_COEFFS!$B:$B,$E31))</f>
        <v/>
      </c>
      <c r="G31" s="19"/>
      <c r="H31" s="30" t="str">
        <f>IF($G31="","",SUMIFS(SITE_COEFFS!$C:$C,SITE_COEFFS!$A:$A,"DebrisLevel",SITE_COEFFS!$B:$B,$G31))</f>
        <v/>
      </c>
      <c r="I31" s="19"/>
      <c r="J31" s="30" t="str">
        <f>IF($I31="","",SUMIFS(SITE_COEFFS!$C:$C,SITE_COEFFS!$A:$A,"SlopeClass",SITE_COEFFS!$B:$B,$I31))</f>
        <v/>
      </c>
      <c r="K31" s="19"/>
      <c r="L31" s="30" t="str">
        <f>IF($K31="","",SUMIFS(SITE_COEFFS!$C:$C,SITE_COEFFS!$A:$A,"SurfaceUnevenness",SITE_COEFFS!$B:$B,$K31))</f>
        <v/>
      </c>
      <c r="M31" s="19"/>
      <c r="N31" s="30" t="str">
        <f>IF($M31="","",SUMIFS(SITE_COEFFS!$C:$C,SITE_COEFFS!$A:$A,"AccessClass",SITE_COEFFS!$B:$B,$M31))</f>
        <v/>
      </c>
      <c r="O31" s="19"/>
      <c r="P31" s="30" t="str">
        <f>IF($O31="","",SUMIFS(SITE_COEFFS!$C:$C,SITE_COEFFS!$A:$A,"TurnSpace",SITE_COEFFS!$B:$B,$O31))</f>
        <v/>
      </c>
      <c r="Q31" s="19"/>
      <c r="R31" s="30" t="str">
        <f>IF($Q31="","",SUMIFS(SITE_COEFFS!$C:$C,SITE_COEFFS!$A:$A,"ProximityToBuildings",SITE_COEFFS!$B:$B,$Q31))</f>
        <v/>
      </c>
      <c r="S31" s="19"/>
      <c r="T31" s="30" t="str">
        <f>IF($S31="","",SUMIFS(SITE_COEFFS!$C:$C,SITE_COEFFS!$A:$A,"MachineryAllowed",SITE_COEFFS!$B:$B,$S31))</f>
        <v/>
      </c>
      <c r="U31" s="19"/>
      <c r="V31" s="19"/>
      <c r="W31" s="30" t="str">
        <f>IF($V31="","",SUMIFS(SITE_COEFFS!$C:$C,SITE_COEFFS!$A:$A,"GeometryComplexity",SITE_COEFFS!$B:$B,$V31))</f>
        <v/>
      </c>
      <c r="X31" s="19"/>
      <c r="Y31" s="19" t="str">
        <f>IF($X31="","",SUMIFS(TARIFF_PROFILES!$D:$D,TARIFF_PROFILES!$A:$A,$X31))</f>
        <v/>
      </c>
      <c r="Z31" s="19" t="str">
        <f>IF($X31="","",SUMIFS(TARIFF_PROFILES!$E:$E,TARIFF_PROFILES!$A:$A,$X31))</f>
        <v/>
      </c>
      <c r="AA31" s="19" t="str">
        <f>IF($X31="","",SUMIFS(TARIFF_PROFILES!$F:$F,TARIFF_PROFILES!$A:$A,$X31))</f>
        <v/>
      </c>
      <c r="AB31" s="19" t="str">
        <f>IF($X31="","",SUMIFS(TARIFF_PROFILES!$G:$G,TARIFF_PROFILES!$A:$A,$X31))</f>
        <v/>
      </c>
      <c r="AC31" s="19" t="str">
        <f>IF($X31="","",SUMIFS(TARIFF_PROFILES!$H:$H,TARIFF_PROFILES!$A:$A,$X31))</f>
        <v/>
      </c>
      <c r="AD31" s="19" t="str">
        <f>IF($X31="","",INDEX(TARIFF_PROFILES!$J:$J,MATCH($X31,TARIFF_PROFILES!$A:$A,0)))</f>
        <v/>
      </c>
      <c r="AE31" s="19" t="str">
        <f>IF($X31="","",INDEX(TARIFF_PROFILES!$K:$K,MATCH($X31,TARIFF_PROFILES!$A:$A,0)))</f>
        <v/>
      </c>
      <c r="AF31" s="17"/>
      <c r="AG31" s="17"/>
      <c r="AH31" s="17" t="str">
        <f>IF($AG31="","",SUMIFS(OPERATING_COEFFS!$C:$C,OPERATING_COEFFS!$A:$A,"DistanceClass",OPERATING_COEFFS!$B:$B,$AG31))</f>
        <v/>
      </c>
      <c r="AI31" s="17"/>
      <c r="AJ31" s="17" t="str">
        <f>IF($AI31="","",SUMIFS(OPERATING_COEFFS!$C:$C,OPERATING_COEFFS!$A:$A,"SeasonClass",OPERATING_COEFFS!$B:$B,$AI31))</f>
        <v/>
      </c>
      <c r="AK31" s="17"/>
      <c r="AL31" s="17" t="str">
        <f>IF($AK31="","",SUMIFS(OPERATING_COEFFS!$C:$C,OPERATING_COEFFS!$A:$A,"UrgencyClass",OPERATING_COEFFS!$B:$B,$AK31))</f>
        <v/>
      </c>
      <c r="AM31" s="17"/>
      <c r="AN31" s="17" t="str">
        <f>IF($AM31="","",INDEX(TAX_MODES!$B:$B,MATCH($AM31,TAX_MODES!$A:$A,0)))</f>
        <v/>
      </c>
      <c r="AO31" s="17"/>
      <c r="AP31" s="17"/>
    </row>
    <row r="32" spans="1:42" x14ac:dyDescent="0.3">
      <c r="A32" s="19"/>
      <c r="B32" s="19"/>
      <c r="C32" s="19"/>
      <c r="D32" s="30" t="str">
        <f>IF($C32="","",SUMIFS(SITE_COEFFS!$C:$C,SITE_COEFFS!$A:$A,"SoilWorkability",SITE_COEFFS!$B:$B,$C32))</f>
        <v/>
      </c>
      <c r="E32" s="19"/>
      <c r="F32" s="30" t="str">
        <f>IF($E32="","",SUMIFS(SITE_COEFFS!$C:$C,SITE_COEFFS!$A:$A,"SoilMoisture",SITE_COEFFS!$B:$B,$E32))</f>
        <v/>
      </c>
      <c r="G32" s="19"/>
      <c r="H32" s="30" t="str">
        <f>IF($G32="","",SUMIFS(SITE_COEFFS!$C:$C,SITE_COEFFS!$A:$A,"DebrisLevel",SITE_COEFFS!$B:$B,$G32))</f>
        <v/>
      </c>
      <c r="I32" s="19"/>
      <c r="J32" s="30" t="str">
        <f>IF($I32="","",SUMIFS(SITE_COEFFS!$C:$C,SITE_COEFFS!$A:$A,"SlopeClass",SITE_COEFFS!$B:$B,$I32))</f>
        <v/>
      </c>
      <c r="K32" s="19"/>
      <c r="L32" s="30" t="str">
        <f>IF($K32="","",SUMIFS(SITE_COEFFS!$C:$C,SITE_COEFFS!$A:$A,"SurfaceUnevenness",SITE_COEFFS!$B:$B,$K32))</f>
        <v/>
      </c>
      <c r="M32" s="19"/>
      <c r="N32" s="30" t="str">
        <f>IF($M32="","",SUMIFS(SITE_COEFFS!$C:$C,SITE_COEFFS!$A:$A,"AccessClass",SITE_COEFFS!$B:$B,$M32))</f>
        <v/>
      </c>
      <c r="O32" s="19"/>
      <c r="P32" s="30" t="str">
        <f>IF($O32="","",SUMIFS(SITE_COEFFS!$C:$C,SITE_COEFFS!$A:$A,"TurnSpace",SITE_COEFFS!$B:$B,$O32))</f>
        <v/>
      </c>
      <c r="Q32" s="19"/>
      <c r="R32" s="30" t="str">
        <f>IF($Q32="","",SUMIFS(SITE_COEFFS!$C:$C,SITE_COEFFS!$A:$A,"ProximityToBuildings",SITE_COEFFS!$B:$B,$Q32))</f>
        <v/>
      </c>
      <c r="S32" s="19"/>
      <c r="T32" s="30" t="str">
        <f>IF($S32="","",SUMIFS(SITE_COEFFS!$C:$C,SITE_COEFFS!$A:$A,"MachineryAllowed",SITE_COEFFS!$B:$B,$S32))</f>
        <v/>
      </c>
      <c r="U32" s="19"/>
      <c r="V32" s="19"/>
      <c r="W32" s="30" t="str">
        <f>IF($V32="","",SUMIFS(SITE_COEFFS!$C:$C,SITE_COEFFS!$A:$A,"GeometryComplexity",SITE_COEFFS!$B:$B,$V32))</f>
        <v/>
      </c>
      <c r="X32" s="19"/>
      <c r="Y32" s="19" t="str">
        <f>IF($X32="","",SUMIFS(TARIFF_PROFILES!$D:$D,TARIFF_PROFILES!$A:$A,$X32))</f>
        <v/>
      </c>
      <c r="Z32" s="19" t="str">
        <f>IF($X32="","",SUMIFS(TARIFF_PROFILES!$E:$E,TARIFF_PROFILES!$A:$A,$X32))</f>
        <v/>
      </c>
      <c r="AA32" s="19" t="str">
        <f>IF($X32="","",SUMIFS(TARIFF_PROFILES!$F:$F,TARIFF_PROFILES!$A:$A,$X32))</f>
        <v/>
      </c>
      <c r="AB32" s="19" t="str">
        <f>IF($X32="","",SUMIFS(TARIFF_PROFILES!$G:$G,TARIFF_PROFILES!$A:$A,$X32))</f>
        <v/>
      </c>
      <c r="AC32" s="19" t="str">
        <f>IF($X32="","",SUMIFS(TARIFF_PROFILES!$H:$H,TARIFF_PROFILES!$A:$A,$X32))</f>
        <v/>
      </c>
      <c r="AD32" s="19" t="str">
        <f>IF($X32="","",INDEX(TARIFF_PROFILES!$J:$J,MATCH($X32,TARIFF_PROFILES!$A:$A,0)))</f>
        <v/>
      </c>
      <c r="AE32" s="19" t="str">
        <f>IF($X32="","",INDEX(TARIFF_PROFILES!$K:$K,MATCH($X32,TARIFF_PROFILES!$A:$A,0)))</f>
        <v/>
      </c>
      <c r="AF32" s="17"/>
      <c r="AG32" s="17"/>
      <c r="AH32" s="17" t="str">
        <f>IF($AG32="","",SUMIFS(OPERATING_COEFFS!$C:$C,OPERATING_COEFFS!$A:$A,"DistanceClass",OPERATING_COEFFS!$B:$B,$AG32))</f>
        <v/>
      </c>
      <c r="AI32" s="17"/>
      <c r="AJ32" s="17" t="str">
        <f>IF($AI32="","",SUMIFS(OPERATING_COEFFS!$C:$C,OPERATING_COEFFS!$A:$A,"SeasonClass",OPERATING_COEFFS!$B:$B,$AI32))</f>
        <v/>
      </c>
      <c r="AK32" s="17"/>
      <c r="AL32" s="17" t="str">
        <f>IF($AK32="","",SUMIFS(OPERATING_COEFFS!$C:$C,OPERATING_COEFFS!$A:$A,"UrgencyClass",OPERATING_COEFFS!$B:$B,$AK32))</f>
        <v/>
      </c>
      <c r="AM32" s="17"/>
      <c r="AN32" s="17" t="str">
        <f>IF($AM32="","",INDEX(TAX_MODES!$B:$B,MATCH($AM32,TAX_MODES!$A:$A,0)))</f>
        <v/>
      </c>
      <c r="AO32" s="17"/>
      <c r="AP32" s="17"/>
    </row>
    <row r="33" spans="1:42" x14ac:dyDescent="0.3">
      <c r="A33" s="19"/>
      <c r="B33" s="19"/>
      <c r="C33" s="19"/>
      <c r="D33" s="30" t="str">
        <f>IF($C33="","",SUMIFS(SITE_COEFFS!$C:$C,SITE_COEFFS!$A:$A,"SoilWorkability",SITE_COEFFS!$B:$B,$C33))</f>
        <v/>
      </c>
      <c r="E33" s="19"/>
      <c r="F33" s="30" t="str">
        <f>IF($E33="","",SUMIFS(SITE_COEFFS!$C:$C,SITE_COEFFS!$A:$A,"SoilMoisture",SITE_COEFFS!$B:$B,$E33))</f>
        <v/>
      </c>
      <c r="G33" s="19"/>
      <c r="H33" s="30" t="str">
        <f>IF($G33="","",SUMIFS(SITE_COEFFS!$C:$C,SITE_COEFFS!$A:$A,"DebrisLevel",SITE_COEFFS!$B:$B,$G33))</f>
        <v/>
      </c>
      <c r="I33" s="19"/>
      <c r="J33" s="30" t="str">
        <f>IF($I33="","",SUMIFS(SITE_COEFFS!$C:$C,SITE_COEFFS!$A:$A,"SlopeClass",SITE_COEFFS!$B:$B,$I33))</f>
        <v/>
      </c>
      <c r="K33" s="19"/>
      <c r="L33" s="30" t="str">
        <f>IF($K33="","",SUMIFS(SITE_COEFFS!$C:$C,SITE_COEFFS!$A:$A,"SurfaceUnevenness",SITE_COEFFS!$B:$B,$K33))</f>
        <v/>
      </c>
      <c r="M33" s="19"/>
      <c r="N33" s="30" t="str">
        <f>IF($M33="","",SUMIFS(SITE_COEFFS!$C:$C,SITE_COEFFS!$A:$A,"AccessClass",SITE_COEFFS!$B:$B,$M33))</f>
        <v/>
      </c>
      <c r="O33" s="19"/>
      <c r="P33" s="30" t="str">
        <f>IF($O33="","",SUMIFS(SITE_COEFFS!$C:$C,SITE_COEFFS!$A:$A,"TurnSpace",SITE_COEFFS!$B:$B,$O33))</f>
        <v/>
      </c>
      <c r="Q33" s="19"/>
      <c r="R33" s="30" t="str">
        <f>IF($Q33="","",SUMIFS(SITE_COEFFS!$C:$C,SITE_COEFFS!$A:$A,"ProximityToBuildings",SITE_COEFFS!$B:$B,$Q33))</f>
        <v/>
      </c>
      <c r="S33" s="19"/>
      <c r="T33" s="30" t="str">
        <f>IF($S33="","",SUMIFS(SITE_COEFFS!$C:$C,SITE_COEFFS!$A:$A,"MachineryAllowed",SITE_COEFFS!$B:$B,$S33))</f>
        <v/>
      </c>
      <c r="U33" s="19"/>
      <c r="V33" s="19"/>
      <c r="W33" s="30" t="str">
        <f>IF($V33="","",SUMIFS(SITE_COEFFS!$C:$C,SITE_COEFFS!$A:$A,"GeometryComplexity",SITE_COEFFS!$B:$B,$V33))</f>
        <v/>
      </c>
      <c r="X33" s="19"/>
      <c r="Y33" s="19" t="str">
        <f>IF($X33="","",SUMIFS(TARIFF_PROFILES!$D:$D,TARIFF_PROFILES!$A:$A,$X33))</f>
        <v/>
      </c>
      <c r="Z33" s="19" t="str">
        <f>IF($X33="","",SUMIFS(TARIFF_PROFILES!$E:$E,TARIFF_PROFILES!$A:$A,$X33))</f>
        <v/>
      </c>
      <c r="AA33" s="19" t="str">
        <f>IF($X33="","",SUMIFS(TARIFF_PROFILES!$F:$F,TARIFF_PROFILES!$A:$A,$X33))</f>
        <v/>
      </c>
      <c r="AB33" s="19" t="str">
        <f>IF($X33="","",SUMIFS(TARIFF_PROFILES!$G:$G,TARIFF_PROFILES!$A:$A,$X33))</f>
        <v/>
      </c>
      <c r="AC33" s="19" t="str">
        <f>IF($X33="","",SUMIFS(TARIFF_PROFILES!$H:$H,TARIFF_PROFILES!$A:$A,$X33))</f>
        <v/>
      </c>
      <c r="AD33" s="19" t="str">
        <f>IF($X33="","",INDEX(TARIFF_PROFILES!$J:$J,MATCH($X33,TARIFF_PROFILES!$A:$A,0)))</f>
        <v/>
      </c>
      <c r="AE33" s="19" t="str">
        <f>IF($X33="","",INDEX(TARIFF_PROFILES!$K:$K,MATCH($X33,TARIFF_PROFILES!$A:$A,0)))</f>
        <v/>
      </c>
      <c r="AF33" s="17"/>
      <c r="AG33" s="17"/>
      <c r="AH33" s="17" t="str">
        <f>IF($AG33="","",SUMIFS(OPERATING_COEFFS!$C:$C,OPERATING_COEFFS!$A:$A,"DistanceClass",OPERATING_COEFFS!$B:$B,$AG33))</f>
        <v/>
      </c>
      <c r="AI33" s="17"/>
      <c r="AJ33" s="17" t="str">
        <f>IF($AI33="","",SUMIFS(OPERATING_COEFFS!$C:$C,OPERATING_COEFFS!$A:$A,"SeasonClass",OPERATING_COEFFS!$B:$B,$AI33))</f>
        <v/>
      </c>
      <c r="AK33" s="17"/>
      <c r="AL33" s="17" t="str">
        <f>IF($AK33="","",SUMIFS(OPERATING_COEFFS!$C:$C,OPERATING_COEFFS!$A:$A,"UrgencyClass",OPERATING_COEFFS!$B:$B,$AK33))</f>
        <v/>
      </c>
      <c r="AM33" s="17"/>
      <c r="AN33" s="17" t="str">
        <f>IF($AM33="","",INDEX(TAX_MODES!$B:$B,MATCH($AM33,TAX_MODES!$A:$A,0)))</f>
        <v/>
      </c>
      <c r="AO33" s="17"/>
      <c r="AP33" s="17"/>
    </row>
    <row r="34" spans="1:42" x14ac:dyDescent="0.3">
      <c r="A34" s="19"/>
      <c r="B34" s="19"/>
      <c r="C34" s="19"/>
      <c r="D34" s="30" t="str">
        <f>IF($C34="","",SUMIFS(SITE_COEFFS!$C:$C,SITE_COEFFS!$A:$A,"SoilWorkability",SITE_COEFFS!$B:$B,$C34))</f>
        <v/>
      </c>
      <c r="E34" s="19"/>
      <c r="F34" s="30" t="str">
        <f>IF($E34="","",SUMIFS(SITE_COEFFS!$C:$C,SITE_COEFFS!$A:$A,"SoilMoisture",SITE_COEFFS!$B:$B,$E34))</f>
        <v/>
      </c>
      <c r="G34" s="19"/>
      <c r="H34" s="30" t="str">
        <f>IF($G34="","",SUMIFS(SITE_COEFFS!$C:$C,SITE_COEFFS!$A:$A,"DebrisLevel",SITE_COEFFS!$B:$B,$G34))</f>
        <v/>
      </c>
      <c r="I34" s="19"/>
      <c r="J34" s="30" t="str">
        <f>IF($I34="","",SUMIFS(SITE_COEFFS!$C:$C,SITE_COEFFS!$A:$A,"SlopeClass",SITE_COEFFS!$B:$B,$I34))</f>
        <v/>
      </c>
      <c r="K34" s="19"/>
      <c r="L34" s="30" t="str">
        <f>IF($K34="","",SUMIFS(SITE_COEFFS!$C:$C,SITE_COEFFS!$A:$A,"SurfaceUnevenness",SITE_COEFFS!$B:$B,$K34))</f>
        <v/>
      </c>
      <c r="M34" s="19"/>
      <c r="N34" s="30" t="str">
        <f>IF($M34="","",SUMIFS(SITE_COEFFS!$C:$C,SITE_COEFFS!$A:$A,"AccessClass",SITE_COEFFS!$B:$B,$M34))</f>
        <v/>
      </c>
      <c r="O34" s="19"/>
      <c r="P34" s="30" t="str">
        <f>IF($O34="","",SUMIFS(SITE_COEFFS!$C:$C,SITE_COEFFS!$A:$A,"TurnSpace",SITE_COEFFS!$B:$B,$O34))</f>
        <v/>
      </c>
      <c r="Q34" s="19"/>
      <c r="R34" s="30" t="str">
        <f>IF($Q34="","",SUMIFS(SITE_COEFFS!$C:$C,SITE_COEFFS!$A:$A,"ProximityToBuildings",SITE_COEFFS!$B:$B,$Q34))</f>
        <v/>
      </c>
      <c r="S34" s="19"/>
      <c r="T34" s="30" t="str">
        <f>IF($S34="","",SUMIFS(SITE_COEFFS!$C:$C,SITE_COEFFS!$A:$A,"MachineryAllowed",SITE_COEFFS!$B:$B,$S34))</f>
        <v/>
      </c>
      <c r="U34" s="19"/>
      <c r="V34" s="19"/>
      <c r="W34" s="30" t="str">
        <f>IF($V34="","",SUMIFS(SITE_COEFFS!$C:$C,SITE_COEFFS!$A:$A,"GeometryComplexity",SITE_COEFFS!$B:$B,$V34))</f>
        <v/>
      </c>
      <c r="X34" s="19"/>
      <c r="Y34" s="19" t="str">
        <f>IF($X34="","",SUMIFS(TARIFF_PROFILES!$D:$D,TARIFF_PROFILES!$A:$A,$X34))</f>
        <v/>
      </c>
      <c r="Z34" s="19" t="str">
        <f>IF($X34="","",SUMIFS(TARIFF_PROFILES!$E:$E,TARIFF_PROFILES!$A:$A,$X34))</f>
        <v/>
      </c>
      <c r="AA34" s="19" t="str">
        <f>IF($X34="","",SUMIFS(TARIFF_PROFILES!$F:$F,TARIFF_PROFILES!$A:$A,$X34))</f>
        <v/>
      </c>
      <c r="AB34" s="19" t="str">
        <f>IF($X34="","",SUMIFS(TARIFF_PROFILES!$G:$G,TARIFF_PROFILES!$A:$A,$X34))</f>
        <v/>
      </c>
      <c r="AC34" s="19" t="str">
        <f>IF($X34="","",SUMIFS(TARIFF_PROFILES!$H:$H,TARIFF_PROFILES!$A:$A,$X34))</f>
        <v/>
      </c>
      <c r="AD34" s="19" t="str">
        <f>IF($X34="","",INDEX(TARIFF_PROFILES!$J:$J,MATCH($X34,TARIFF_PROFILES!$A:$A,0)))</f>
        <v/>
      </c>
      <c r="AE34" s="19" t="str">
        <f>IF($X34="","",INDEX(TARIFF_PROFILES!$K:$K,MATCH($X34,TARIFF_PROFILES!$A:$A,0)))</f>
        <v/>
      </c>
      <c r="AF34" s="17"/>
      <c r="AG34" s="17"/>
      <c r="AH34" s="17" t="str">
        <f>IF($AG34="","",SUMIFS(OPERATING_COEFFS!$C:$C,OPERATING_COEFFS!$A:$A,"DistanceClass",OPERATING_COEFFS!$B:$B,$AG34))</f>
        <v/>
      </c>
      <c r="AI34" s="17"/>
      <c r="AJ34" s="17" t="str">
        <f>IF($AI34="","",SUMIFS(OPERATING_COEFFS!$C:$C,OPERATING_COEFFS!$A:$A,"SeasonClass",OPERATING_COEFFS!$B:$B,$AI34))</f>
        <v/>
      </c>
      <c r="AK34" s="17"/>
      <c r="AL34" s="17" t="str">
        <f>IF($AK34="","",SUMIFS(OPERATING_COEFFS!$C:$C,OPERATING_COEFFS!$A:$A,"UrgencyClass",OPERATING_COEFFS!$B:$B,$AK34))</f>
        <v/>
      </c>
      <c r="AM34" s="17"/>
      <c r="AN34" s="17" t="str">
        <f>IF($AM34="","",INDEX(TAX_MODES!$B:$B,MATCH($AM34,TAX_MODES!$A:$A,0)))</f>
        <v/>
      </c>
      <c r="AO34" s="17"/>
      <c r="AP34" s="17"/>
    </row>
    <row r="35" spans="1:42" x14ac:dyDescent="0.3">
      <c r="A35" s="19"/>
      <c r="B35" s="19"/>
      <c r="C35" s="19"/>
      <c r="D35" s="30" t="str">
        <f>IF($C35="","",SUMIFS(SITE_COEFFS!$C:$C,SITE_COEFFS!$A:$A,"SoilWorkability",SITE_COEFFS!$B:$B,$C35))</f>
        <v/>
      </c>
      <c r="E35" s="19"/>
      <c r="F35" s="30" t="str">
        <f>IF($E35="","",SUMIFS(SITE_COEFFS!$C:$C,SITE_COEFFS!$A:$A,"SoilMoisture",SITE_COEFFS!$B:$B,$E35))</f>
        <v/>
      </c>
      <c r="G35" s="19"/>
      <c r="H35" s="30" t="str">
        <f>IF($G35="","",SUMIFS(SITE_COEFFS!$C:$C,SITE_COEFFS!$A:$A,"DebrisLevel",SITE_COEFFS!$B:$B,$G35))</f>
        <v/>
      </c>
      <c r="I35" s="19"/>
      <c r="J35" s="30" t="str">
        <f>IF($I35="","",SUMIFS(SITE_COEFFS!$C:$C,SITE_COEFFS!$A:$A,"SlopeClass",SITE_COEFFS!$B:$B,$I35))</f>
        <v/>
      </c>
      <c r="K35" s="19"/>
      <c r="L35" s="30" t="str">
        <f>IF($K35="","",SUMIFS(SITE_COEFFS!$C:$C,SITE_COEFFS!$A:$A,"SurfaceUnevenness",SITE_COEFFS!$B:$B,$K35))</f>
        <v/>
      </c>
      <c r="M35" s="19"/>
      <c r="N35" s="30" t="str">
        <f>IF($M35="","",SUMIFS(SITE_COEFFS!$C:$C,SITE_COEFFS!$A:$A,"AccessClass",SITE_COEFFS!$B:$B,$M35))</f>
        <v/>
      </c>
      <c r="O35" s="19"/>
      <c r="P35" s="30" t="str">
        <f>IF($O35="","",SUMIFS(SITE_COEFFS!$C:$C,SITE_COEFFS!$A:$A,"TurnSpace",SITE_COEFFS!$B:$B,$O35))</f>
        <v/>
      </c>
      <c r="Q35" s="19"/>
      <c r="R35" s="30" t="str">
        <f>IF($Q35="","",SUMIFS(SITE_COEFFS!$C:$C,SITE_COEFFS!$A:$A,"ProximityToBuildings",SITE_COEFFS!$B:$B,$Q35))</f>
        <v/>
      </c>
      <c r="S35" s="19"/>
      <c r="T35" s="30" t="str">
        <f>IF($S35="","",SUMIFS(SITE_COEFFS!$C:$C,SITE_COEFFS!$A:$A,"MachineryAllowed",SITE_COEFFS!$B:$B,$S35))</f>
        <v/>
      </c>
      <c r="U35" s="19"/>
      <c r="V35" s="19"/>
      <c r="W35" s="30" t="str">
        <f>IF($V35="","",SUMIFS(SITE_COEFFS!$C:$C,SITE_COEFFS!$A:$A,"GeometryComplexity",SITE_COEFFS!$B:$B,$V35))</f>
        <v/>
      </c>
      <c r="X35" s="19"/>
      <c r="Y35" s="19" t="str">
        <f>IF($X35="","",SUMIFS(TARIFF_PROFILES!$D:$D,TARIFF_PROFILES!$A:$A,$X35))</f>
        <v/>
      </c>
      <c r="Z35" s="19" t="str">
        <f>IF($X35="","",SUMIFS(TARIFF_PROFILES!$E:$E,TARIFF_PROFILES!$A:$A,$X35))</f>
        <v/>
      </c>
      <c r="AA35" s="19" t="str">
        <f>IF($X35="","",SUMIFS(TARIFF_PROFILES!$F:$F,TARIFF_PROFILES!$A:$A,$X35))</f>
        <v/>
      </c>
      <c r="AB35" s="19" t="str">
        <f>IF($X35="","",SUMIFS(TARIFF_PROFILES!$G:$G,TARIFF_PROFILES!$A:$A,$X35))</f>
        <v/>
      </c>
      <c r="AC35" s="19" t="str">
        <f>IF($X35="","",SUMIFS(TARIFF_PROFILES!$H:$H,TARIFF_PROFILES!$A:$A,$X35))</f>
        <v/>
      </c>
      <c r="AD35" s="19" t="str">
        <f>IF($X35="","",INDEX(TARIFF_PROFILES!$J:$J,MATCH($X35,TARIFF_PROFILES!$A:$A,0)))</f>
        <v/>
      </c>
      <c r="AE35" s="19" t="str">
        <f>IF($X35="","",INDEX(TARIFF_PROFILES!$K:$K,MATCH($X35,TARIFF_PROFILES!$A:$A,0)))</f>
        <v/>
      </c>
      <c r="AF35" s="17"/>
      <c r="AG35" s="17"/>
      <c r="AH35" s="17" t="str">
        <f>IF($AG35="","",SUMIFS(OPERATING_COEFFS!$C:$C,OPERATING_COEFFS!$A:$A,"DistanceClass",OPERATING_COEFFS!$B:$B,$AG35))</f>
        <v/>
      </c>
      <c r="AI35" s="17"/>
      <c r="AJ35" s="17" t="str">
        <f>IF($AI35="","",SUMIFS(OPERATING_COEFFS!$C:$C,OPERATING_COEFFS!$A:$A,"SeasonClass",OPERATING_COEFFS!$B:$B,$AI35))</f>
        <v/>
      </c>
      <c r="AK35" s="17"/>
      <c r="AL35" s="17" t="str">
        <f>IF($AK35="","",SUMIFS(OPERATING_COEFFS!$C:$C,OPERATING_COEFFS!$A:$A,"UrgencyClass",OPERATING_COEFFS!$B:$B,$AK35))</f>
        <v/>
      </c>
      <c r="AM35" s="17"/>
      <c r="AN35" s="17" t="str">
        <f>IF($AM35="","",INDEX(TAX_MODES!$B:$B,MATCH($AM35,TAX_MODES!$A:$A,0)))</f>
        <v/>
      </c>
      <c r="AO35" s="17"/>
      <c r="AP35" s="17"/>
    </row>
    <row r="36" spans="1:42" x14ac:dyDescent="0.3">
      <c r="A36" s="19"/>
      <c r="B36" s="19"/>
      <c r="C36" s="19"/>
      <c r="D36" s="30" t="str">
        <f>IF($C36="","",SUMIFS(SITE_COEFFS!$C:$C,SITE_COEFFS!$A:$A,"SoilWorkability",SITE_COEFFS!$B:$B,$C36))</f>
        <v/>
      </c>
      <c r="E36" s="19"/>
      <c r="F36" s="30" t="str">
        <f>IF($E36="","",SUMIFS(SITE_COEFFS!$C:$C,SITE_COEFFS!$A:$A,"SoilMoisture",SITE_COEFFS!$B:$B,$E36))</f>
        <v/>
      </c>
      <c r="G36" s="19"/>
      <c r="H36" s="30" t="str">
        <f>IF($G36="","",SUMIFS(SITE_COEFFS!$C:$C,SITE_COEFFS!$A:$A,"DebrisLevel",SITE_COEFFS!$B:$B,$G36))</f>
        <v/>
      </c>
      <c r="I36" s="19"/>
      <c r="J36" s="30" t="str">
        <f>IF($I36="","",SUMIFS(SITE_COEFFS!$C:$C,SITE_COEFFS!$A:$A,"SlopeClass",SITE_COEFFS!$B:$B,$I36))</f>
        <v/>
      </c>
      <c r="K36" s="19"/>
      <c r="L36" s="30" t="str">
        <f>IF($K36="","",SUMIFS(SITE_COEFFS!$C:$C,SITE_COEFFS!$A:$A,"SurfaceUnevenness",SITE_COEFFS!$B:$B,$K36))</f>
        <v/>
      </c>
      <c r="M36" s="19"/>
      <c r="N36" s="30" t="str">
        <f>IF($M36="","",SUMIFS(SITE_COEFFS!$C:$C,SITE_COEFFS!$A:$A,"AccessClass",SITE_COEFFS!$B:$B,$M36))</f>
        <v/>
      </c>
      <c r="O36" s="19"/>
      <c r="P36" s="30" t="str">
        <f>IF($O36="","",SUMIFS(SITE_COEFFS!$C:$C,SITE_COEFFS!$A:$A,"TurnSpace",SITE_COEFFS!$B:$B,$O36))</f>
        <v/>
      </c>
      <c r="Q36" s="19"/>
      <c r="R36" s="30" t="str">
        <f>IF($Q36="","",SUMIFS(SITE_COEFFS!$C:$C,SITE_COEFFS!$A:$A,"ProximityToBuildings",SITE_COEFFS!$B:$B,$Q36))</f>
        <v/>
      </c>
      <c r="S36" s="19"/>
      <c r="T36" s="30" t="str">
        <f>IF($S36="","",SUMIFS(SITE_COEFFS!$C:$C,SITE_COEFFS!$A:$A,"MachineryAllowed",SITE_COEFFS!$B:$B,$S36))</f>
        <v/>
      </c>
      <c r="U36" s="19"/>
      <c r="V36" s="19"/>
      <c r="W36" s="30" t="str">
        <f>IF($V36="","",SUMIFS(SITE_COEFFS!$C:$C,SITE_COEFFS!$A:$A,"GeometryComplexity",SITE_COEFFS!$B:$B,$V36))</f>
        <v/>
      </c>
      <c r="X36" s="19"/>
      <c r="Y36" s="19" t="str">
        <f>IF($X36="","",SUMIFS(TARIFF_PROFILES!$D:$D,TARIFF_PROFILES!$A:$A,$X36))</f>
        <v/>
      </c>
      <c r="Z36" s="19" t="str">
        <f>IF($X36="","",SUMIFS(TARIFF_PROFILES!$E:$E,TARIFF_PROFILES!$A:$A,$X36))</f>
        <v/>
      </c>
      <c r="AA36" s="19" t="str">
        <f>IF($X36="","",SUMIFS(TARIFF_PROFILES!$F:$F,TARIFF_PROFILES!$A:$A,$X36))</f>
        <v/>
      </c>
      <c r="AB36" s="19" t="str">
        <f>IF($X36="","",SUMIFS(TARIFF_PROFILES!$G:$G,TARIFF_PROFILES!$A:$A,$X36))</f>
        <v/>
      </c>
      <c r="AC36" s="19" t="str">
        <f>IF($X36="","",SUMIFS(TARIFF_PROFILES!$H:$H,TARIFF_PROFILES!$A:$A,$X36))</f>
        <v/>
      </c>
      <c r="AD36" s="19" t="str">
        <f>IF($X36="","",INDEX(TARIFF_PROFILES!$J:$J,MATCH($X36,TARIFF_PROFILES!$A:$A,0)))</f>
        <v/>
      </c>
      <c r="AE36" s="19" t="str">
        <f>IF($X36="","",INDEX(TARIFF_PROFILES!$K:$K,MATCH($X36,TARIFF_PROFILES!$A:$A,0)))</f>
        <v/>
      </c>
      <c r="AF36" s="17"/>
      <c r="AG36" s="17"/>
      <c r="AH36" s="17" t="str">
        <f>IF($AG36="","",SUMIFS(OPERATING_COEFFS!$C:$C,OPERATING_COEFFS!$A:$A,"DistanceClass",OPERATING_COEFFS!$B:$B,$AG36))</f>
        <v/>
      </c>
      <c r="AI36" s="17"/>
      <c r="AJ36" s="17" t="str">
        <f>IF($AI36="","",SUMIFS(OPERATING_COEFFS!$C:$C,OPERATING_COEFFS!$A:$A,"SeasonClass",OPERATING_COEFFS!$B:$B,$AI36))</f>
        <v/>
      </c>
      <c r="AK36" s="17"/>
      <c r="AL36" s="17" t="str">
        <f>IF($AK36="","",SUMIFS(OPERATING_COEFFS!$C:$C,OPERATING_COEFFS!$A:$A,"UrgencyClass",OPERATING_COEFFS!$B:$B,$AK36))</f>
        <v/>
      </c>
      <c r="AM36" s="17"/>
      <c r="AN36" s="17" t="str">
        <f>IF($AM36="","",INDEX(TAX_MODES!$B:$B,MATCH($AM36,TAX_MODES!$A:$A,0)))</f>
        <v/>
      </c>
      <c r="AO36" s="17"/>
      <c r="AP36" s="17"/>
    </row>
    <row r="37" spans="1:42" x14ac:dyDescent="0.3">
      <c r="A37" s="19"/>
      <c r="B37" s="19"/>
      <c r="C37" s="19"/>
      <c r="D37" s="30" t="str">
        <f>IF($C37="","",SUMIFS(SITE_COEFFS!$C:$C,SITE_COEFFS!$A:$A,"SoilWorkability",SITE_COEFFS!$B:$B,$C37))</f>
        <v/>
      </c>
      <c r="E37" s="19"/>
      <c r="F37" s="30" t="str">
        <f>IF($E37="","",SUMIFS(SITE_COEFFS!$C:$C,SITE_COEFFS!$A:$A,"SoilMoisture",SITE_COEFFS!$B:$B,$E37))</f>
        <v/>
      </c>
      <c r="G37" s="19"/>
      <c r="H37" s="30" t="str">
        <f>IF($G37="","",SUMIFS(SITE_COEFFS!$C:$C,SITE_COEFFS!$A:$A,"DebrisLevel",SITE_COEFFS!$B:$B,$G37))</f>
        <v/>
      </c>
      <c r="I37" s="19"/>
      <c r="J37" s="30" t="str">
        <f>IF($I37="","",SUMIFS(SITE_COEFFS!$C:$C,SITE_COEFFS!$A:$A,"SlopeClass",SITE_COEFFS!$B:$B,$I37))</f>
        <v/>
      </c>
      <c r="K37" s="19"/>
      <c r="L37" s="30" t="str">
        <f>IF($K37="","",SUMIFS(SITE_COEFFS!$C:$C,SITE_COEFFS!$A:$A,"SurfaceUnevenness",SITE_COEFFS!$B:$B,$K37))</f>
        <v/>
      </c>
      <c r="M37" s="19"/>
      <c r="N37" s="30" t="str">
        <f>IF($M37="","",SUMIFS(SITE_COEFFS!$C:$C,SITE_COEFFS!$A:$A,"AccessClass",SITE_COEFFS!$B:$B,$M37))</f>
        <v/>
      </c>
      <c r="O37" s="19"/>
      <c r="P37" s="30" t="str">
        <f>IF($O37="","",SUMIFS(SITE_COEFFS!$C:$C,SITE_COEFFS!$A:$A,"TurnSpace",SITE_COEFFS!$B:$B,$O37))</f>
        <v/>
      </c>
      <c r="Q37" s="19"/>
      <c r="R37" s="30" t="str">
        <f>IF($Q37="","",SUMIFS(SITE_COEFFS!$C:$C,SITE_COEFFS!$A:$A,"ProximityToBuildings",SITE_COEFFS!$B:$B,$Q37))</f>
        <v/>
      </c>
      <c r="S37" s="19"/>
      <c r="T37" s="30" t="str">
        <f>IF($S37="","",SUMIFS(SITE_COEFFS!$C:$C,SITE_COEFFS!$A:$A,"MachineryAllowed",SITE_COEFFS!$B:$B,$S37))</f>
        <v/>
      </c>
      <c r="U37" s="19"/>
      <c r="V37" s="19"/>
      <c r="W37" s="30" t="str">
        <f>IF($V37="","",SUMIFS(SITE_COEFFS!$C:$C,SITE_COEFFS!$A:$A,"GeometryComplexity",SITE_COEFFS!$B:$B,$V37))</f>
        <v/>
      </c>
      <c r="X37" s="19"/>
      <c r="Y37" s="19" t="str">
        <f>IF($X37="","",SUMIFS(TARIFF_PROFILES!$D:$D,TARIFF_PROFILES!$A:$A,$X37))</f>
        <v/>
      </c>
      <c r="Z37" s="19" t="str">
        <f>IF($X37="","",SUMIFS(TARIFF_PROFILES!$E:$E,TARIFF_PROFILES!$A:$A,$X37))</f>
        <v/>
      </c>
      <c r="AA37" s="19" t="str">
        <f>IF($X37="","",SUMIFS(TARIFF_PROFILES!$F:$F,TARIFF_PROFILES!$A:$A,$X37))</f>
        <v/>
      </c>
      <c r="AB37" s="19" t="str">
        <f>IF($X37="","",SUMIFS(TARIFF_PROFILES!$G:$G,TARIFF_PROFILES!$A:$A,$X37))</f>
        <v/>
      </c>
      <c r="AC37" s="19" t="str">
        <f>IF($X37="","",SUMIFS(TARIFF_PROFILES!$H:$H,TARIFF_PROFILES!$A:$A,$X37))</f>
        <v/>
      </c>
      <c r="AD37" s="19" t="str">
        <f>IF($X37="","",INDEX(TARIFF_PROFILES!$J:$J,MATCH($X37,TARIFF_PROFILES!$A:$A,0)))</f>
        <v/>
      </c>
      <c r="AE37" s="19" t="str">
        <f>IF($X37="","",INDEX(TARIFF_PROFILES!$K:$K,MATCH($X37,TARIFF_PROFILES!$A:$A,0)))</f>
        <v/>
      </c>
      <c r="AF37" s="17"/>
      <c r="AG37" s="17"/>
      <c r="AH37" s="17" t="str">
        <f>IF($AG37="","",SUMIFS(OPERATING_COEFFS!$C:$C,OPERATING_COEFFS!$A:$A,"DistanceClass",OPERATING_COEFFS!$B:$B,$AG37))</f>
        <v/>
      </c>
      <c r="AI37" s="17"/>
      <c r="AJ37" s="17" t="str">
        <f>IF($AI37="","",SUMIFS(OPERATING_COEFFS!$C:$C,OPERATING_COEFFS!$A:$A,"SeasonClass",OPERATING_COEFFS!$B:$B,$AI37))</f>
        <v/>
      </c>
      <c r="AK37" s="17"/>
      <c r="AL37" s="17" t="str">
        <f>IF($AK37="","",SUMIFS(OPERATING_COEFFS!$C:$C,OPERATING_COEFFS!$A:$A,"UrgencyClass",OPERATING_COEFFS!$B:$B,$AK37))</f>
        <v/>
      </c>
      <c r="AM37" s="17"/>
      <c r="AN37" s="17" t="str">
        <f>IF($AM37="","",INDEX(TAX_MODES!$B:$B,MATCH($AM37,TAX_MODES!$A:$A,0)))</f>
        <v/>
      </c>
      <c r="AO37" s="17"/>
      <c r="AP37" s="17"/>
    </row>
    <row r="38" spans="1:42" x14ac:dyDescent="0.3">
      <c r="A38" s="19"/>
      <c r="B38" s="19"/>
      <c r="C38" s="19"/>
      <c r="D38" s="30" t="str">
        <f>IF($C38="","",SUMIFS(SITE_COEFFS!$C:$C,SITE_COEFFS!$A:$A,"SoilWorkability",SITE_COEFFS!$B:$B,$C38))</f>
        <v/>
      </c>
      <c r="E38" s="19"/>
      <c r="F38" s="30" t="str">
        <f>IF($E38="","",SUMIFS(SITE_COEFFS!$C:$C,SITE_COEFFS!$A:$A,"SoilMoisture",SITE_COEFFS!$B:$B,$E38))</f>
        <v/>
      </c>
      <c r="G38" s="19"/>
      <c r="H38" s="30" t="str">
        <f>IF($G38="","",SUMIFS(SITE_COEFFS!$C:$C,SITE_COEFFS!$A:$A,"DebrisLevel",SITE_COEFFS!$B:$B,$G38))</f>
        <v/>
      </c>
      <c r="I38" s="19"/>
      <c r="J38" s="30" t="str">
        <f>IF($I38="","",SUMIFS(SITE_COEFFS!$C:$C,SITE_COEFFS!$A:$A,"SlopeClass",SITE_COEFFS!$B:$B,$I38))</f>
        <v/>
      </c>
      <c r="K38" s="19"/>
      <c r="L38" s="30" t="str">
        <f>IF($K38="","",SUMIFS(SITE_COEFFS!$C:$C,SITE_COEFFS!$A:$A,"SurfaceUnevenness",SITE_COEFFS!$B:$B,$K38))</f>
        <v/>
      </c>
      <c r="M38" s="19"/>
      <c r="N38" s="30" t="str">
        <f>IF($M38="","",SUMIFS(SITE_COEFFS!$C:$C,SITE_COEFFS!$A:$A,"AccessClass",SITE_COEFFS!$B:$B,$M38))</f>
        <v/>
      </c>
      <c r="O38" s="19"/>
      <c r="P38" s="30" t="str">
        <f>IF($O38="","",SUMIFS(SITE_COEFFS!$C:$C,SITE_COEFFS!$A:$A,"TurnSpace",SITE_COEFFS!$B:$B,$O38))</f>
        <v/>
      </c>
      <c r="Q38" s="19"/>
      <c r="R38" s="30" t="str">
        <f>IF($Q38="","",SUMIFS(SITE_COEFFS!$C:$C,SITE_COEFFS!$A:$A,"ProximityToBuildings",SITE_COEFFS!$B:$B,$Q38))</f>
        <v/>
      </c>
      <c r="S38" s="19"/>
      <c r="T38" s="30" t="str">
        <f>IF($S38="","",SUMIFS(SITE_COEFFS!$C:$C,SITE_COEFFS!$A:$A,"MachineryAllowed",SITE_COEFFS!$B:$B,$S38))</f>
        <v/>
      </c>
      <c r="U38" s="19"/>
      <c r="V38" s="19"/>
      <c r="W38" s="30" t="str">
        <f>IF($V38="","",SUMIFS(SITE_COEFFS!$C:$C,SITE_COEFFS!$A:$A,"GeometryComplexity",SITE_COEFFS!$B:$B,$V38))</f>
        <v/>
      </c>
      <c r="X38" s="19"/>
      <c r="Y38" s="19" t="str">
        <f>IF($X38="","",SUMIFS(TARIFF_PROFILES!$D:$D,TARIFF_PROFILES!$A:$A,$X38))</f>
        <v/>
      </c>
      <c r="Z38" s="19" t="str">
        <f>IF($X38="","",SUMIFS(TARIFF_PROFILES!$E:$E,TARIFF_PROFILES!$A:$A,$X38))</f>
        <v/>
      </c>
      <c r="AA38" s="19" t="str">
        <f>IF($X38="","",SUMIFS(TARIFF_PROFILES!$F:$F,TARIFF_PROFILES!$A:$A,$X38))</f>
        <v/>
      </c>
      <c r="AB38" s="19" t="str">
        <f>IF($X38="","",SUMIFS(TARIFF_PROFILES!$G:$G,TARIFF_PROFILES!$A:$A,$X38))</f>
        <v/>
      </c>
      <c r="AC38" s="19" t="str">
        <f>IF($X38="","",SUMIFS(TARIFF_PROFILES!$H:$H,TARIFF_PROFILES!$A:$A,$X38))</f>
        <v/>
      </c>
      <c r="AD38" s="19" t="str">
        <f>IF($X38="","",INDEX(TARIFF_PROFILES!$J:$J,MATCH($X38,TARIFF_PROFILES!$A:$A,0)))</f>
        <v/>
      </c>
      <c r="AE38" s="19" t="str">
        <f>IF($X38="","",INDEX(TARIFF_PROFILES!$K:$K,MATCH($X38,TARIFF_PROFILES!$A:$A,0)))</f>
        <v/>
      </c>
      <c r="AF38" s="17"/>
      <c r="AG38" s="17"/>
      <c r="AH38" s="17" t="str">
        <f>IF($AG38="","",SUMIFS(OPERATING_COEFFS!$C:$C,OPERATING_COEFFS!$A:$A,"DistanceClass",OPERATING_COEFFS!$B:$B,$AG38))</f>
        <v/>
      </c>
      <c r="AI38" s="17"/>
      <c r="AJ38" s="17" t="str">
        <f>IF($AI38="","",SUMIFS(OPERATING_COEFFS!$C:$C,OPERATING_COEFFS!$A:$A,"SeasonClass",OPERATING_COEFFS!$B:$B,$AI38))</f>
        <v/>
      </c>
      <c r="AK38" s="17"/>
      <c r="AL38" s="17" t="str">
        <f>IF($AK38="","",SUMIFS(OPERATING_COEFFS!$C:$C,OPERATING_COEFFS!$A:$A,"UrgencyClass",OPERATING_COEFFS!$B:$B,$AK38))</f>
        <v/>
      </c>
      <c r="AM38" s="17"/>
      <c r="AN38" s="17" t="str">
        <f>IF($AM38="","",INDEX(TAX_MODES!$B:$B,MATCH($AM38,TAX_MODES!$A:$A,0)))</f>
        <v/>
      </c>
      <c r="AO38" s="17"/>
      <c r="AP38" s="17"/>
    </row>
    <row r="39" spans="1:42" x14ac:dyDescent="0.3">
      <c r="A39" s="19"/>
      <c r="B39" s="19"/>
      <c r="C39" s="19"/>
      <c r="D39" s="30" t="str">
        <f>IF($C39="","",SUMIFS(SITE_COEFFS!$C:$C,SITE_COEFFS!$A:$A,"SoilWorkability",SITE_COEFFS!$B:$B,$C39))</f>
        <v/>
      </c>
      <c r="E39" s="19"/>
      <c r="F39" s="30" t="str">
        <f>IF($E39="","",SUMIFS(SITE_COEFFS!$C:$C,SITE_COEFFS!$A:$A,"SoilMoisture",SITE_COEFFS!$B:$B,$E39))</f>
        <v/>
      </c>
      <c r="G39" s="19"/>
      <c r="H39" s="30" t="str">
        <f>IF($G39="","",SUMIFS(SITE_COEFFS!$C:$C,SITE_COEFFS!$A:$A,"DebrisLevel",SITE_COEFFS!$B:$B,$G39))</f>
        <v/>
      </c>
      <c r="I39" s="19"/>
      <c r="J39" s="30" t="str">
        <f>IF($I39="","",SUMIFS(SITE_COEFFS!$C:$C,SITE_COEFFS!$A:$A,"SlopeClass",SITE_COEFFS!$B:$B,$I39))</f>
        <v/>
      </c>
      <c r="K39" s="19"/>
      <c r="L39" s="30" t="str">
        <f>IF($K39="","",SUMIFS(SITE_COEFFS!$C:$C,SITE_COEFFS!$A:$A,"SurfaceUnevenness",SITE_COEFFS!$B:$B,$K39))</f>
        <v/>
      </c>
      <c r="M39" s="19"/>
      <c r="N39" s="30" t="str">
        <f>IF($M39="","",SUMIFS(SITE_COEFFS!$C:$C,SITE_COEFFS!$A:$A,"AccessClass",SITE_COEFFS!$B:$B,$M39))</f>
        <v/>
      </c>
      <c r="O39" s="19"/>
      <c r="P39" s="30" t="str">
        <f>IF($O39="","",SUMIFS(SITE_COEFFS!$C:$C,SITE_COEFFS!$A:$A,"TurnSpace",SITE_COEFFS!$B:$B,$O39))</f>
        <v/>
      </c>
      <c r="Q39" s="19"/>
      <c r="R39" s="30" t="str">
        <f>IF($Q39="","",SUMIFS(SITE_COEFFS!$C:$C,SITE_COEFFS!$A:$A,"ProximityToBuildings",SITE_COEFFS!$B:$B,$Q39))</f>
        <v/>
      </c>
      <c r="S39" s="19"/>
      <c r="T39" s="30" t="str">
        <f>IF($S39="","",SUMIFS(SITE_COEFFS!$C:$C,SITE_COEFFS!$A:$A,"MachineryAllowed",SITE_COEFFS!$B:$B,$S39))</f>
        <v/>
      </c>
      <c r="U39" s="19"/>
      <c r="V39" s="19"/>
      <c r="W39" s="30" t="str">
        <f>IF($V39="","",SUMIFS(SITE_COEFFS!$C:$C,SITE_COEFFS!$A:$A,"GeometryComplexity",SITE_COEFFS!$B:$B,$V39))</f>
        <v/>
      </c>
      <c r="X39" s="19"/>
      <c r="Y39" s="19" t="str">
        <f>IF($X39="","",SUMIFS(TARIFF_PROFILES!$D:$D,TARIFF_PROFILES!$A:$A,$X39))</f>
        <v/>
      </c>
      <c r="Z39" s="19" t="str">
        <f>IF($X39="","",SUMIFS(TARIFF_PROFILES!$E:$E,TARIFF_PROFILES!$A:$A,$X39))</f>
        <v/>
      </c>
      <c r="AA39" s="19" t="str">
        <f>IF($X39="","",SUMIFS(TARIFF_PROFILES!$F:$F,TARIFF_PROFILES!$A:$A,$X39))</f>
        <v/>
      </c>
      <c r="AB39" s="19" t="str">
        <f>IF($X39="","",SUMIFS(TARIFF_PROFILES!$G:$G,TARIFF_PROFILES!$A:$A,$X39))</f>
        <v/>
      </c>
      <c r="AC39" s="19" t="str">
        <f>IF($X39="","",SUMIFS(TARIFF_PROFILES!$H:$H,TARIFF_PROFILES!$A:$A,$X39))</f>
        <v/>
      </c>
      <c r="AD39" s="19" t="str">
        <f>IF($X39="","",INDEX(TARIFF_PROFILES!$J:$J,MATCH($X39,TARIFF_PROFILES!$A:$A,0)))</f>
        <v/>
      </c>
      <c r="AE39" s="19" t="str">
        <f>IF($X39="","",INDEX(TARIFF_PROFILES!$K:$K,MATCH($X39,TARIFF_PROFILES!$A:$A,0)))</f>
        <v/>
      </c>
      <c r="AF39" s="17"/>
      <c r="AG39" s="17"/>
      <c r="AH39" s="17" t="str">
        <f>IF($AG39="","",SUMIFS(OPERATING_COEFFS!$C:$C,OPERATING_COEFFS!$A:$A,"DistanceClass",OPERATING_COEFFS!$B:$B,$AG39))</f>
        <v/>
      </c>
      <c r="AI39" s="17"/>
      <c r="AJ39" s="17" t="str">
        <f>IF($AI39="","",SUMIFS(OPERATING_COEFFS!$C:$C,OPERATING_COEFFS!$A:$A,"SeasonClass",OPERATING_COEFFS!$B:$B,$AI39))</f>
        <v/>
      </c>
      <c r="AK39" s="17"/>
      <c r="AL39" s="17" t="str">
        <f>IF($AK39="","",SUMIFS(OPERATING_COEFFS!$C:$C,OPERATING_COEFFS!$A:$A,"UrgencyClass",OPERATING_COEFFS!$B:$B,$AK39))</f>
        <v/>
      </c>
      <c r="AM39" s="17"/>
      <c r="AN39" s="17" t="str">
        <f>IF($AM39="","",INDEX(TAX_MODES!$B:$B,MATCH($AM39,TAX_MODES!$A:$A,0)))</f>
        <v/>
      </c>
      <c r="AO39" s="17"/>
      <c r="AP39" s="17"/>
    </row>
    <row r="40" spans="1:42" x14ac:dyDescent="0.3">
      <c r="A40" s="19"/>
      <c r="B40" s="19"/>
      <c r="C40" s="19"/>
      <c r="D40" s="30" t="str">
        <f>IF($C40="","",SUMIFS(SITE_COEFFS!$C:$C,SITE_COEFFS!$A:$A,"SoilWorkability",SITE_COEFFS!$B:$B,$C40))</f>
        <v/>
      </c>
      <c r="E40" s="19"/>
      <c r="F40" s="30" t="str">
        <f>IF($E40="","",SUMIFS(SITE_COEFFS!$C:$C,SITE_COEFFS!$A:$A,"SoilMoisture",SITE_COEFFS!$B:$B,$E40))</f>
        <v/>
      </c>
      <c r="G40" s="19"/>
      <c r="H40" s="30" t="str">
        <f>IF($G40="","",SUMIFS(SITE_COEFFS!$C:$C,SITE_COEFFS!$A:$A,"DebrisLevel",SITE_COEFFS!$B:$B,$G40))</f>
        <v/>
      </c>
      <c r="I40" s="19"/>
      <c r="J40" s="30" t="str">
        <f>IF($I40="","",SUMIFS(SITE_COEFFS!$C:$C,SITE_COEFFS!$A:$A,"SlopeClass",SITE_COEFFS!$B:$B,$I40))</f>
        <v/>
      </c>
      <c r="K40" s="19"/>
      <c r="L40" s="30" t="str">
        <f>IF($K40="","",SUMIFS(SITE_COEFFS!$C:$C,SITE_COEFFS!$A:$A,"SurfaceUnevenness",SITE_COEFFS!$B:$B,$K40))</f>
        <v/>
      </c>
      <c r="M40" s="19"/>
      <c r="N40" s="30" t="str">
        <f>IF($M40="","",SUMIFS(SITE_COEFFS!$C:$C,SITE_COEFFS!$A:$A,"AccessClass",SITE_COEFFS!$B:$B,$M40))</f>
        <v/>
      </c>
      <c r="O40" s="19"/>
      <c r="P40" s="30" t="str">
        <f>IF($O40="","",SUMIFS(SITE_COEFFS!$C:$C,SITE_COEFFS!$A:$A,"TurnSpace",SITE_COEFFS!$B:$B,$O40))</f>
        <v/>
      </c>
      <c r="Q40" s="19"/>
      <c r="R40" s="30" t="str">
        <f>IF($Q40="","",SUMIFS(SITE_COEFFS!$C:$C,SITE_COEFFS!$A:$A,"ProximityToBuildings",SITE_COEFFS!$B:$B,$Q40))</f>
        <v/>
      </c>
      <c r="S40" s="19"/>
      <c r="T40" s="30" t="str">
        <f>IF($S40="","",SUMIFS(SITE_COEFFS!$C:$C,SITE_COEFFS!$A:$A,"MachineryAllowed",SITE_COEFFS!$B:$B,$S40))</f>
        <v/>
      </c>
      <c r="U40" s="19"/>
      <c r="V40" s="19"/>
      <c r="W40" s="30" t="str">
        <f>IF($V40="","",SUMIFS(SITE_COEFFS!$C:$C,SITE_COEFFS!$A:$A,"GeometryComplexity",SITE_COEFFS!$B:$B,$V40))</f>
        <v/>
      </c>
      <c r="X40" s="19"/>
      <c r="Y40" s="19" t="str">
        <f>IF($X40="","",SUMIFS(TARIFF_PROFILES!$D:$D,TARIFF_PROFILES!$A:$A,$X40))</f>
        <v/>
      </c>
      <c r="Z40" s="19" t="str">
        <f>IF($X40="","",SUMIFS(TARIFF_PROFILES!$E:$E,TARIFF_PROFILES!$A:$A,$X40))</f>
        <v/>
      </c>
      <c r="AA40" s="19" t="str">
        <f>IF($X40="","",SUMIFS(TARIFF_PROFILES!$F:$F,TARIFF_PROFILES!$A:$A,$X40))</f>
        <v/>
      </c>
      <c r="AB40" s="19" t="str">
        <f>IF($X40="","",SUMIFS(TARIFF_PROFILES!$G:$G,TARIFF_PROFILES!$A:$A,$X40))</f>
        <v/>
      </c>
      <c r="AC40" s="19" t="str">
        <f>IF($X40="","",SUMIFS(TARIFF_PROFILES!$H:$H,TARIFF_PROFILES!$A:$A,$X40))</f>
        <v/>
      </c>
      <c r="AD40" s="19" t="str">
        <f>IF($X40="","",INDEX(TARIFF_PROFILES!$J:$J,MATCH($X40,TARIFF_PROFILES!$A:$A,0)))</f>
        <v/>
      </c>
      <c r="AE40" s="19" t="str">
        <f>IF($X40="","",INDEX(TARIFF_PROFILES!$K:$K,MATCH($X40,TARIFF_PROFILES!$A:$A,0)))</f>
        <v/>
      </c>
      <c r="AF40" s="17"/>
      <c r="AG40" s="17"/>
      <c r="AH40" s="17" t="str">
        <f>IF($AG40="","",SUMIFS(OPERATING_COEFFS!$C:$C,OPERATING_COEFFS!$A:$A,"DistanceClass",OPERATING_COEFFS!$B:$B,$AG40))</f>
        <v/>
      </c>
      <c r="AI40" s="17"/>
      <c r="AJ40" s="17" t="str">
        <f>IF($AI40="","",SUMIFS(OPERATING_COEFFS!$C:$C,OPERATING_COEFFS!$A:$A,"SeasonClass",OPERATING_COEFFS!$B:$B,$AI40))</f>
        <v/>
      </c>
      <c r="AK40" s="17"/>
      <c r="AL40" s="17" t="str">
        <f>IF($AK40="","",SUMIFS(OPERATING_COEFFS!$C:$C,OPERATING_COEFFS!$A:$A,"UrgencyClass",OPERATING_COEFFS!$B:$B,$AK40))</f>
        <v/>
      </c>
      <c r="AM40" s="17"/>
      <c r="AN40" s="17" t="str">
        <f>IF($AM40="","",INDEX(TAX_MODES!$B:$B,MATCH($AM40,TAX_MODES!$A:$A,0)))</f>
        <v/>
      </c>
      <c r="AO40" s="17"/>
      <c r="AP40" s="17"/>
    </row>
    <row r="41" spans="1:42" x14ac:dyDescent="0.3">
      <c r="A41" s="19"/>
      <c r="B41" s="19"/>
      <c r="C41" s="19"/>
      <c r="D41" s="30" t="str">
        <f>IF($C41="","",SUMIFS(SITE_COEFFS!$C:$C,SITE_COEFFS!$A:$A,"SoilWorkability",SITE_COEFFS!$B:$B,$C41))</f>
        <v/>
      </c>
      <c r="E41" s="19"/>
      <c r="F41" s="30" t="str">
        <f>IF($E41="","",SUMIFS(SITE_COEFFS!$C:$C,SITE_COEFFS!$A:$A,"SoilMoisture",SITE_COEFFS!$B:$B,$E41))</f>
        <v/>
      </c>
      <c r="G41" s="19"/>
      <c r="H41" s="30" t="str">
        <f>IF($G41="","",SUMIFS(SITE_COEFFS!$C:$C,SITE_COEFFS!$A:$A,"DebrisLevel",SITE_COEFFS!$B:$B,$G41))</f>
        <v/>
      </c>
      <c r="I41" s="19"/>
      <c r="J41" s="30" t="str">
        <f>IF($I41="","",SUMIFS(SITE_COEFFS!$C:$C,SITE_COEFFS!$A:$A,"SlopeClass",SITE_COEFFS!$B:$B,$I41))</f>
        <v/>
      </c>
      <c r="K41" s="19"/>
      <c r="L41" s="30" t="str">
        <f>IF($K41="","",SUMIFS(SITE_COEFFS!$C:$C,SITE_COEFFS!$A:$A,"SurfaceUnevenness",SITE_COEFFS!$B:$B,$K41))</f>
        <v/>
      </c>
      <c r="M41" s="19"/>
      <c r="N41" s="30" t="str">
        <f>IF($M41="","",SUMIFS(SITE_COEFFS!$C:$C,SITE_COEFFS!$A:$A,"AccessClass",SITE_COEFFS!$B:$B,$M41))</f>
        <v/>
      </c>
      <c r="O41" s="19"/>
      <c r="P41" s="30" t="str">
        <f>IF($O41="","",SUMIFS(SITE_COEFFS!$C:$C,SITE_COEFFS!$A:$A,"TurnSpace",SITE_COEFFS!$B:$B,$O41))</f>
        <v/>
      </c>
      <c r="Q41" s="19"/>
      <c r="R41" s="30" t="str">
        <f>IF($Q41="","",SUMIFS(SITE_COEFFS!$C:$C,SITE_COEFFS!$A:$A,"ProximityToBuildings",SITE_COEFFS!$B:$B,$Q41))</f>
        <v/>
      </c>
      <c r="S41" s="19"/>
      <c r="T41" s="30" t="str">
        <f>IF($S41="","",SUMIFS(SITE_COEFFS!$C:$C,SITE_COEFFS!$A:$A,"MachineryAllowed",SITE_COEFFS!$B:$B,$S41))</f>
        <v/>
      </c>
      <c r="U41" s="19"/>
      <c r="V41" s="19"/>
      <c r="W41" s="30" t="str">
        <f>IF($V41="","",SUMIFS(SITE_COEFFS!$C:$C,SITE_COEFFS!$A:$A,"GeometryComplexity",SITE_COEFFS!$B:$B,$V41))</f>
        <v/>
      </c>
      <c r="X41" s="19"/>
      <c r="Y41" s="19" t="str">
        <f>IF($X41="","",SUMIFS(TARIFF_PROFILES!$D:$D,TARIFF_PROFILES!$A:$A,$X41))</f>
        <v/>
      </c>
      <c r="Z41" s="19" t="str">
        <f>IF($X41="","",SUMIFS(TARIFF_PROFILES!$E:$E,TARIFF_PROFILES!$A:$A,$X41))</f>
        <v/>
      </c>
      <c r="AA41" s="19" t="str">
        <f>IF($X41="","",SUMIFS(TARIFF_PROFILES!$F:$F,TARIFF_PROFILES!$A:$A,$X41))</f>
        <v/>
      </c>
      <c r="AB41" s="19" t="str">
        <f>IF($X41="","",SUMIFS(TARIFF_PROFILES!$G:$G,TARIFF_PROFILES!$A:$A,$X41))</f>
        <v/>
      </c>
      <c r="AC41" s="19" t="str">
        <f>IF($X41="","",SUMIFS(TARIFF_PROFILES!$H:$H,TARIFF_PROFILES!$A:$A,$X41))</f>
        <v/>
      </c>
      <c r="AD41" s="19" t="str">
        <f>IF($X41="","",INDEX(TARIFF_PROFILES!$J:$J,MATCH($X41,TARIFF_PROFILES!$A:$A,0)))</f>
        <v/>
      </c>
      <c r="AE41" s="19" t="str">
        <f>IF($X41="","",INDEX(TARIFF_PROFILES!$K:$K,MATCH($X41,TARIFF_PROFILES!$A:$A,0)))</f>
        <v/>
      </c>
      <c r="AF41" s="17"/>
      <c r="AG41" s="17"/>
      <c r="AH41" s="17" t="str">
        <f>IF($AG41="","",SUMIFS(OPERATING_COEFFS!$C:$C,OPERATING_COEFFS!$A:$A,"DistanceClass",OPERATING_COEFFS!$B:$B,$AG41))</f>
        <v/>
      </c>
      <c r="AI41" s="17"/>
      <c r="AJ41" s="17" t="str">
        <f>IF($AI41="","",SUMIFS(OPERATING_COEFFS!$C:$C,OPERATING_COEFFS!$A:$A,"SeasonClass",OPERATING_COEFFS!$B:$B,$AI41))</f>
        <v/>
      </c>
      <c r="AK41" s="17"/>
      <c r="AL41" s="17" t="str">
        <f>IF($AK41="","",SUMIFS(OPERATING_COEFFS!$C:$C,OPERATING_COEFFS!$A:$A,"UrgencyClass",OPERATING_COEFFS!$B:$B,$AK41))</f>
        <v/>
      </c>
      <c r="AM41" s="17"/>
      <c r="AN41" s="17" t="str">
        <f>IF($AM41="","",INDEX(TAX_MODES!$B:$B,MATCH($AM41,TAX_MODES!$A:$A,0)))</f>
        <v/>
      </c>
      <c r="AO41" s="17"/>
      <c r="AP41" s="17"/>
    </row>
    <row r="42" spans="1:42" x14ac:dyDescent="0.3">
      <c r="A42" s="19"/>
      <c r="B42" s="19"/>
      <c r="C42" s="19"/>
      <c r="D42" s="30" t="str">
        <f>IF($C42="","",SUMIFS(SITE_COEFFS!$C:$C,SITE_COEFFS!$A:$A,"SoilWorkability",SITE_COEFFS!$B:$B,$C42))</f>
        <v/>
      </c>
      <c r="E42" s="19"/>
      <c r="F42" s="30" t="str">
        <f>IF($E42="","",SUMIFS(SITE_COEFFS!$C:$C,SITE_COEFFS!$A:$A,"SoilMoisture",SITE_COEFFS!$B:$B,$E42))</f>
        <v/>
      </c>
      <c r="G42" s="19"/>
      <c r="H42" s="30" t="str">
        <f>IF($G42="","",SUMIFS(SITE_COEFFS!$C:$C,SITE_COEFFS!$A:$A,"DebrisLevel",SITE_COEFFS!$B:$B,$G42))</f>
        <v/>
      </c>
      <c r="I42" s="19"/>
      <c r="J42" s="30" t="str">
        <f>IF($I42="","",SUMIFS(SITE_COEFFS!$C:$C,SITE_COEFFS!$A:$A,"SlopeClass",SITE_COEFFS!$B:$B,$I42))</f>
        <v/>
      </c>
      <c r="K42" s="19"/>
      <c r="L42" s="30" t="str">
        <f>IF($K42="","",SUMIFS(SITE_COEFFS!$C:$C,SITE_COEFFS!$A:$A,"SurfaceUnevenness",SITE_COEFFS!$B:$B,$K42))</f>
        <v/>
      </c>
      <c r="M42" s="19"/>
      <c r="N42" s="30" t="str">
        <f>IF($M42="","",SUMIFS(SITE_COEFFS!$C:$C,SITE_COEFFS!$A:$A,"AccessClass",SITE_COEFFS!$B:$B,$M42))</f>
        <v/>
      </c>
      <c r="O42" s="19"/>
      <c r="P42" s="30" t="str">
        <f>IF($O42="","",SUMIFS(SITE_COEFFS!$C:$C,SITE_COEFFS!$A:$A,"TurnSpace",SITE_COEFFS!$B:$B,$O42))</f>
        <v/>
      </c>
      <c r="Q42" s="19"/>
      <c r="R42" s="30" t="str">
        <f>IF($Q42="","",SUMIFS(SITE_COEFFS!$C:$C,SITE_COEFFS!$A:$A,"ProximityToBuildings",SITE_COEFFS!$B:$B,$Q42))</f>
        <v/>
      </c>
      <c r="S42" s="19"/>
      <c r="T42" s="30" t="str">
        <f>IF($S42="","",SUMIFS(SITE_COEFFS!$C:$C,SITE_COEFFS!$A:$A,"MachineryAllowed",SITE_COEFFS!$B:$B,$S42))</f>
        <v/>
      </c>
      <c r="U42" s="19"/>
      <c r="V42" s="19"/>
      <c r="W42" s="30" t="str">
        <f>IF($V42="","",SUMIFS(SITE_COEFFS!$C:$C,SITE_COEFFS!$A:$A,"GeometryComplexity",SITE_COEFFS!$B:$B,$V42))</f>
        <v/>
      </c>
      <c r="X42" s="19"/>
      <c r="Y42" s="19" t="str">
        <f>IF($X42="","",SUMIFS(TARIFF_PROFILES!$D:$D,TARIFF_PROFILES!$A:$A,$X42))</f>
        <v/>
      </c>
      <c r="Z42" s="19" t="str">
        <f>IF($X42="","",SUMIFS(TARIFF_PROFILES!$E:$E,TARIFF_PROFILES!$A:$A,$X42))</f>
        <v/>
      </c>
      <c r="AA42" s="19" t="str">
        <f>IF($X42="","",SUMIFS(TARIFF_PROFILES!$F:$F,TARIFF_PROFILES!$A:$A,$X42))</f>
        <v/>
      </c>
      <c r="AB42" s="19" t="str">
        <f>IF($X42="","",SUMIFS(TARIFF_PROFILES!$G:$G,TARIFF_PROFILES!$A:$A,$X42))</f>
        <v/>
      </c>
      <c r="AC42" s="19" t="str">
        <f>IF($X42="","",SUMIFS(TARIFF_PROFILES!$H:$H,TARIFF_PROFILES!$A:$A,$X42))</f>
        <v/>
      </c>
      <c r="AD42" s="19" t="str">
        <f>IF($X42="","",INDEX(TARIFF_PROFILES!$J:$J,MATCH($X42,TARIFF_PROFILES!$A:$A,0)))</f>
        <v/>
      </c>
      <c r="AE42" s="19" t="str">
        <f>IF($X42="","",INDEX(TARIFF_PROFILES!$K:$K,MATCH($X42,TARIFF_PROFILES!$A:$A,0)))</f>
        <v/>
      </c>
      <c r="AF42" s="17"/>
      <c r="AG42" s="17"/>
      <c r="AH42" s="17" t="str">
        <f>IF($AG42="","",SUMIFS(OPERATING_COEFFS!$C:$C,OPERATING_COEFFS!$A:$A,"DistanceClass",OPERATING_COEFFS!$B:$B,$AG42))</f>
        <v/>
      </c>
      <c r="AI42" s="17"/>
      <c r="AJ42" s="17" t="str">
        <f>IF($AI42="","",SUMIFS(OPERATING_COEFFS!$C:$C,OPERATING_COEFFS!$A:$A,"SeasonClass",OPERATING_COEFFS!$B:$B,$AI42))</f>
        <v/>
      </c>
      <c r="AK42" s="17"/>
      <c r="AL42" s="17" t="str">
        <f>IF($AK42="","",SUMIFS(OPERATING_COEFFS!$C:$C,OPERATING_COEFFS!$A:$A,"UrgencyClass",OPERATING_COEFFS!$B:$B,$AK42))</f>
        <v/>
      </c>
      <c r="AM42" s="17"/>
      <c r="AN42" s="17" t="str">
        <f>IF($AM42="","",INDEX(TAX_MODES!$B:$B,MATCH($AM42,TAX_MODES!$A:$A,0)))</f>
        <v/>
      </c>
      <c r="AO42" s="17"/>
      <c r="AP42" s="17"/>
    </row>
    <row r="43" spans="1:42" x14ac:dyDescent="0.3">
      <c r="A43" s="19"/>
      <c r="B43" s="19"/>
      <c r="C43" s="19"/>
      <c r="D43" s="30" t="str">
        <f>IF($C43="","",SUMIFS(SITE_COEFFS!$C:$C,SITE_COEFFS!$A:$A,"SoilWorkability",SITE_COEFFS!$B:$B,$C43))</f>
        <v/>
      </c>
      <c r="E43" s="19"/>
      <c r="F43" s="30" t="str">
        <f>IF($E43="","",SUMIFS(SITE_COEFFS!$C:$C,SITE_COEFFS!$A:$A,"SoilMoisture",SITE_COEFFS!$B:$B,$E43))</f>
        <v/>
      </c>
      <c r="G43" s="19"/>
      <c r="H43" s="30" t="str">
        <f>IF($G43="","",SUMIFS(SITE_COEFFS!$C:$C,SITE_COEFFS!$A:$A,"DebrisLevel",SITE_COEFFS!$B:$B,$G43))</f>
        <v/>
      </c>
      <c r="I43" s="19"/>
      <c r="J43" s="30" t="str">
        <f>IF($I43="","",SUMIFS(SITE_COEFFS!$C:$C,SITE_COEFFS!$A:$A,"SlopeClass",SITE_COEFFS!$B:$B,$I43))</f>
        <v/>
      </c>
      <c r="K43" s="19"/>
      <c r="L43" s="30" t="str">
        <f>IF($K43="","",SUMIFS(SITE_COEFFS!$C:$C,SITE_COEFFS!$A:$A,"SurfaceUnevenness",SITE_COEFFS!$B:$B,$K43))</f>
        <v/>
      </c>
      <c r="M43" s="19"/>
      <c r="N43" s="30" t="str">
        <f>IF($M43="","",SUMIFS(SITE_COEFFS!$C:$C,SITE_COEFFS!$A:$A,"AccessClass",SITE_COEFFS!$B:$B,$M43))</f>
        <v/>
      </c>
      <c r="O43" s="19"/>
      <c r="P43" s="30" t="str">
        <f>IF($O43="","",SUMIFS(SITE_COEFFS!$C:$C,SITE_COEFFS!$A:$A,"TurnSpace",SITE_COEFFS!$B:$B,$O43))</f>
        <v/>
      </c>
      <c r="Q43" s="19"/>
      <c r="R43" s="30" t="str">
        <f>IF($Q43="","",SUMIFS(SITE_COEFFS!$C:$C,SITE_COEFFS!$A:$A,"ProximityToBuildings",SITE_COEFFS!$B:$B,$Q43))</f>
        <v/>
      </c>
      <c r="S43" s="19"/>
      <c r="T43" s="30" t="str">
        <f>IF($S43="","",SUMIFS(SITE_COEFFS!$C:$C,SITE_COEFFS!$A:$A,"MachineryAllowed",SITE_COEFFS!$B:$B,$S43))</f>
        <v/>
      </c>
      <c r="U43" s="19"/>
      <c r="V43" s="19"/>
      <c r="W43" s="30" t="str">
        <f>IF($V43="","",SUMIFS(SITE_COEFFS!$C:$C,SITE_COEFFS!$A:$A,"GeometryComplexity",SITE_COEFFS!$B:$B,$V43))</f>
        <v/>
      </c>
      <c r="X43" s="19"/>
      <c r="Y43" s="19" t="str">
        <f>IF($X43="","",SUMIFS(TARIFF_PROFILES!$D:$D,TARIFF_PROFILES!$A:$A,$X43))</f>
        <v/>
      </c>
      <c r="Z43" s="19" t="str">
        <f>IF($X43="","",SUMIFS(TARIFF_PROFILES!$E:$E,TARIFF_PROFILES!$A:$A,$X43))</f>
        <v/>
      </c>
      <c r="AA43" s="19" t="str">
        <f>IF($X43="","",SUMIFS(TARIFF_PROFILES!$F:$F,TARIFF_PROFILES!$A:$A,$X43))</f>
        <v/>
      </c>
      <c r="AB43" s="19" t="str">
        <f>IF($X43="","",SUMIFS(TARIFF_PROFILES!$G:$G,TARIFF_PROFILES!$A:$A,$X43))</f>
        <v/>
      </c>
      <c r="AC43" s="19" t="str">
        <f>IF($X43="","",SUMIFS(TARIFF_PROFILES!$H:$H,TARIFF_PROFILES!$A:$A,$X43))</f>
        <v/>
      </c>
      <c r="AD43" s="19" t="str">
        <f>IF($X43="","",INDEX(TARIFF_PROFILES!$J:$J,MATCH($X43,TARIFF_PROFILES!$A:$A,0)))</f>
        <v/>
      </c>
      <c r="AE43" s="19" t="str">
        <f>IF($X43="","",INDEX(TARIFF_PROFILES!$K:$K,MATCH($X43,TARIFF_PROFILES!$A:$A,0)))</f>
        <v/>
      </c>
      <c r="AF43" s="17"/>
      <c r="AG43" s="17"/>
      <c r="AH43" s="17" t="str">
        <f>IF($AG43="","",SUMIFS(OPERATING_COEFFS!$C:$C,OPERATING_COEFFS!$A:$A,"DistanceClass",OPERATING_COEFFS!$B:$B,$AG43))</f>
        <v/>
      </c>
      <c r="AI43" s="17"/>
      <c r="AJ43" s="17" t="str">
        <f>IF($AI43="","",SUMIFS(OPERATING_COEFFS!$C:$C,OPERATING_COEFFS!$A:$A,"SeasonClass",OPERATING_COEFFS!$B:$B,$AI43))</f>
        <v/>
      </c>
      <c r="AK43" s="17"/>
      <c r="AL43" s="17" t="str">
        <f>IF($AK43="","",SUMIFS(OPERATING_COEFFS!$C:$C,OPERATING_COEFFS!$A:$A,"UrgencyClass",OPERATING_COEFFS!$B:$B,$AK43))</f>
        <v/>
      </c>
      <c r="AM43" s="17"/>
      <c r="AN43" s="17" t="str">
        <f>IF($AM43="","",INDEX(TAX_MODES!$B:$B,MATCH($AM43,TAX_MODES!$A:$A,0)))</f>
        <v/>
      </c>
      <c r="AO43" s="17"/>
      <c r="AP43" s="17"/>
    </row>
    <row r="44" spans="1:42" x14ac:dyDescent="0.3">
      <c r="A44" s="19"/>
      <c r="B44" s="19"/>
      <c r="C44" s="19"/>
      <c r="D44" s="30" t="str">
        <f>IF($C44="","",SUMIFS(SITE_COEFFS!$C:$C,SITE_COEFFS!$A:$A,"SoilWorkability",SITE_COEFFS!$B:$B,$C44))</f>
        <v/>
      </c>
      <c r="E44" s="19"/>
      <c r="F44" s="30" t="str">
        <f>IF($E44="","",SUMIFS(SITE_COEFFS!$C:$C,SITE_COEFFS!$A:$A,"SoilMoisture",SITE_COEFFS!$B:$B,$E44))</f>
        <v/>
      </c>
      <c r="G44" s="19"/>
      <c r="H44" s="30" t="str">
        <f>IF($G44="","",SUMIFS(SITE_COEFFS!$C:$C,SITE_COEFFS!$A:$A,"DebrisLevel",SITE_COEFFS!$B:$B,$G44))</f>
        <v/>
      </c>
      <c r="I44" s="19"/>
      <c r="J44" s="30" t="str">
        <f>IF($I44="","",SUMIFS(SITE_COEFFS!$C:$C,SITE_COEFFS!$A:$A,"SlopeClass",SITE_COEFFS!$B:$B,$I44))</f>
        <v/>
      </c>
      <c r="K44" s="19"/>
      <c r="L44" s="30" t="str">
        <f>IF($K44="","",SUMIFS(SITE_COEFFS!$C:$C,SITE_COEFFS!$A:$A,"SurfaceUnevenness",SITE_COEFFS!$B:$B,$K44))</f>
        <v/>
      </c>
      <c r="M44" s="19"/>
      <c r="N44" s="30" t="str">
        <f>IF($M44="","",SUMIFS(SITE_COEFFS!$C:$C,SITE_COEFFS!$A:$A,"AccessClass",SITE_COEFFS!$B:$B,$M44))</f>
        <v/>
      </c>
      <c r="O44" s="19"/>
      <c r="P44" s="30" t="str">
        <f>IF($O44="","",SUMIFS(SITE_COEFFS!$C:$C,SITE_COEFFS!$A:$A,"TurnSpace",SITE_COEFFS!$B:$B,$O44))</f>
        <v/>
      </c>
      <c r="Q44" s="19"/>
      <c r="R44" s="30" t="str">
        <f>IF($Q44="","",SUMIFS(SITE_COEFFS!$C:$C,SITE_COEFFS!$A:$A,"ProximityToBuildings",SITE_COEFFS!$B:$B,$Q44))</f>
        <v/>
      </c>
      <c r="S44" s="19"/>
      <c r="T44" s="30" t="str">
        <f>IF($S44="","",SUMIFS(SITE_COEFFS!$C:$C,SITE_COEFFS!$A:$A,"MachineryAllowed",SITE_COEFFS!$B:$B,$S44))</f>
        <v/>
      </c>
      <c r="U44" s="19"/>
      <c r="V44" s="19"/>
      <c r="W44" s="30" t="str">
        <f>IF($V44="","",SUMIFS(SITE_COEFFS!$C:$C,SITE_COEFFS!$A:$A,"GeometryComplexity",SITE_COEFFS!$B:$B,$V44))</f>
        <v/>
      </c>
      <c r="X44" s="19"/>
      <c r="Y44" s="19" t="str">
        <f>IF($X44="","",SUMIFS(TARIFF_PROFILES!$D:$D,TARIFF_PROFILES!$A:$A,$X44))</f>
        <v/>
      </c>
      <c r="Z44" s="19" t="str">
        <f>IF($X44="","",SUMIFS(TARIFF_PROFILES!$E:$E,TARIFF_PROFILES!$A:$A,$X44))</f>
        <v/>
      </c>
      <c r="AA44" s="19" t="str">
        <f>IF($X44="","",SUMIFS(TARIFF_PROFILES!$F:$F,TARIFF_PROFILES!$A:$A,$X44))</f>
        <v/>
      </c>
      <c r="AB44" s="19" t="str">
        <f>IF($X44="","",SUMIFS(TARIFF_PROFILES!$G:$G,TARIFF_PROFILES!$A:$A,$X44))</f>
        <v/>
      </c>
      <c r="AC44" s="19" t="str">
        <f>IF($X44="","",SUMIFS(TARIFF_PROFILES!$H:$H,TARIFF_PROFILES!$A:$A,$X44))</f>
        <v/>
      </c>
      <c r="AD44" s="19" t="str">
        <f>IF($X44="","",INDEX(TARIFF_PROFILES!$J:$J,MATCH($X44,TARIFF_PROFILES!$A:$A,0)))</f>
        <v/>
      </c>
      <c r="AE44" s="19" t="str">
        <f>IF($X44="","",INDEX(TARIFF_PROFILES!$K:$K,MATCH($X44,TARIFF_PROFILES!$A:$A,0)))</f>
        <v/>
      </c>
      <c r="AF44" s="17"/>
      <c r="AG44" s="17"/>
      <c r="AH44" s="17" t="str">
        <f>IF($AG44="","",SUMIFS(OPERATING_COEFFS!$C:$C,OPERATING_COEFFS!$A:$A,"DistanceClass",OPERATING_COEFFS!$B:$B,$AG44))</f>
        <v/>
      </c>
      <c r="AI44" s="17"/>
      <c r="AJ44" s="17" t="str">
        <f>IF($AI44="","",SUMIFS(OPERATING_COEFFS!$C:$C,OPERATING_COEFFS!$A:$A,"SeasonClass",OPERATING_COEFFS!$B:$B,$AI44))</f>
        <v/>
      </c>
      <c r="AK44" s="17"/>
      <c r="AL44" s="17" t="str">
        <f>IF($AK44="","",SUMIFS(OPERATING_COEFFS!$C:$C,OPERATING_COEFFS!$A:$A,"UrgencyClass",OPERATING_COEFFS!$B:$B,$AK44))</f>
        <v/>
      </c>
      <c r="AM44" s="17"/>
      <c r="AN44" s="17" t="str">
        <f>IF($AM44="","",INDEX(TAX_MODES!$B:$B,MATCH($AM44,TAX_MODES!$A:$A,0)))</f>
        <v/>
      </c>
      <c r="AO44" s="17"/>
      <c r="AP44" s="17"/>
    </row>
    <row r="45" spans="1:42" x14ac:dyDescent="0.3">
      <c r="A45" s="19"/>
      <c r="B45" s="19"/>
      <c r="C45" s="19"/>
      <c r="D45" s="30" t="str">
        <f>IF($C45="","",SUMIFS(SITE_COEFFS!$C:$C,SITE_COEFFS!$A:$A,"SoilWorkability",SITE_COEFFS!$B:$B,$C45))</f>
        <v/>
      </c>
      <c r="E45" s="19"/>
      <c r="F45" s="30" t="str">
        <f>IF($E45="","",SUMIFS(SITE_COEFFS!$C:$C,SITE_COEFFS!$A:$A,"SoilMoisture",SITE_COEFFS!$B:$B,$E45))</f>
        <v/>
      </c>
      <c r="G45" s="19"/>
      <c r="H45" s="30" t="str">
        <f>IF($G45="","",SUMIFS(SITE_COEFFS!$C:$C,SITE_COEFFS!$A:$A,"DebrisLevel",SITE_COEFFS!$B:$B,$G45))</f>
        <v/>
      </c>
      <c r="I45" s="19"/>
      <c r="J45" s="30" t="str">
        <f>IF($I45="","",SUMIFS(SITE_COEFFS!$C:$C,SITE_COEFFS!$A:$A,"SlopeClass",SITE_COEFFS!$B:$B,$I45))</f>
        <v/>
      </c>
      <c r="K45" s="19"/>
      <c r="L45" s="30" t="str">
        <f>IF($K45="","",SUMIFS(SITE_COEFFS!$C:$C,SITE_COEFFS!$A:$A,"SurfaceUnevenness",SITE_COEFFS!$B:$B,$K45))</f>
        <v/>
      </c>
      <c r="M45" s="19"/>
      <c r="N45" s="30" t="str">
        <f>IF($M45="","",SUMIFS(SITE_COEFFS!$C:$C,SITE_COEFFS!$A:$A,"AccessClass",SITE_COEFFS!$B:$B,$M45))</f>
        <v/>
      </c>
      <c r="O45" s="19"/>
      <c r="P45" s="30" t="str">
        <f>IF($O45="","",SUMIFS(SITE_COEFFS!$C:$C,SITE_COEFFS!$A:$A,"TurnSpace",SITE_COEFFS!$B:$B,$O45))</f>
        <v/>
      </c>
      <c r="Q45" s="19"/>
      <c r="R45" s="30" t="str">
        <f>IF($Q45="","",SUMIFS(SITE_COEFFS!$C:$C,SITE_COEFFS!$A:$A,"ProximityToBuildings",SITE_COEFFS!$B:$B,$Q45))</f>
        <v/>
      </c>
      <c r="S45" s="19"/>
      <c r="T45" s="30" t="str">
        <f>IF($S45="","",SUMIFS(SITE_COEFFS!$C:$C,SITE_COEFFS!$A:$A,"MachineryAllowed",SITE_COEFFS!$B:$B,$S45))</f>
        <v/>
      </c>
      <c r="U45" s="19"/>
      <c r="V45" s="19"/>
      <c r="W45" s="30" t="str">
        <f>IF($V45="","",SUMIFS(SITE_COEFFS!$C:$C,SITE_COEFFS!$A:$A,"GeometryComplexity",SITE_COEFFS!$B:$B,$V45))</f>
        <v/>
      </c>
      <c r="X45" s="19"/>
      <c r="Y45" s="19" t="str">
        <f>IF($X45="","",SUMIFS(TARIFF_PROFILES!$D:$D,TARIFF_PROFILES!$A:$A,$X45))</f>
        <v/>
      </c>
      <c r="Z45" s="19" t="str">
        <f>IF($X45="","",SUMIFS(TARIFF_PROFILES!$E:$E,TARIFF_PROFILES!$A:$A,$X45))</f>
        <v/>
      </c>
      <c r="AA45" s="19" t="str">
        <f>IF($X45="","",SUMIFS(TARIFF_PROFILES!$F:$F,TARIFF_PROFILES!$A:$A,$X45))</f>
        <v/>
      </c>
      <c r="AB45" s="19" t="str">
        <f>IF($X45="","",SUMIFS(TARIFF_PROFILES!$G:$G,TARIFF_PROFILES!$A:$A,$X45))</f>
        <v/>
      </c>
      <c r="AC45" s="19" t="str">
        <f>IF($X45="","",SUMIFS(TARIFF_PROFILES!$H:$H,TARIFF_PROFILES!$A:$A,$X45))</f>
        <v/>
      </c>
      <c r="AD45" s="19" t="str">
        <f>IF($X45="","",INDEX(TARIFF_PROFILES!$J:$J,MATCH($X45,TARIFF_PROFILES!$A:$A,0)))</f>
        <v/>
      </c>
      <c r="AE45" s="19" t="str">
        <f>IF($X45="","",INDEX(TARIFF_PROFILES!$K:$K,MATCH($X45,TARIFF_PROFILES!$A:$A,0)))</f>
        <v/>
      </c>
      <c r="AF45" s="17"/>
      <c r="AG45" s="17"/>
      <c r="AH45" s="17" t="str">
        <f>IF($AG45="","",SUMIFS(OPERATING_COEFFS!$C:$C,OPERATING_COEFFS!$A:$A,"DistanceClass",OPERATING_COEFFS!$B:$B,$AG45))</f>
        <v/>
      </c>
      <c r="AI45" s="17"/>
      <c r="AJ45" s="17" t="str">
        <f>IF($AI45="","",SUMIFS(OPERATING_COEFFS!$C:$C,OPERATING_COEFFS!$A:$A,"SeasonClass",OPERATING_COEFFS!$B:$B,$AI45))</f>
        <v/>
      </c>
      <c r="AK45" s="17"/>
      <c r="AL45" s="17" t="str">
        <f>IF($AK45="","",SUMIFS(OPERATING_COEFFS!$C:$C,OPERATING_COEFFS!$A:$A,"UrgencyClass",OPERATING_COEFFS!$B:$B,$AK45))</f>
        <v/>
      </c>
      <c r="AM45" s="17"/>
      <c r="AN45" s="17" t="str">
        <f>IF($AM45="","",INDEX(TAX_MODES!$B:$B,MATCH($AM45,TAX_MODES!$A:$A,0)))</f>
        <v/>
      </c>
      <c r="AO45" s="17"/>
      <c r="AP45" s="17"/>
    </row>
    <row r="46" spans="1:42" x14ac:dyDescent="0.3">
      <c r="A46" s="19"/>
      <c r="B46" s="19"/>
      <c r="C46" s="19"/>
      <c r="D46" s="30" t="str">
        <f>IF($C46="","",SUMIFS(SITE_COEFFS!$C:$C,SITE_COEFFS!$A:$A,"SoilWorkability",SITE_COEFFS!$B:$B,$C46))</f>
        <v/>
      </c>
      <c r="E46" s="19"/>
      <c r="F46" s="30" t="str">
        <f>IF($E46="","",SUMIFS(SITE_COEFFS!$C:$C,SITE_COEFFS!$A:$A,"SoilMoisture",SITE_COEFFS!$B:$B,$E46))</f>
        <v/>
      </c>
      <c r="G46" s="19"/>
      <c r="H46" s="30" t="str">
        <f>IF($G46="","",SUMIFS(SITE_COEFFS!$C:$C,SITE_COEFFS!$A:$A,"DebrisLevel",SITE_COEFFS!$B:$B,$G46))</f>
        <v/>
      </c>
      <c r="I46" s="19"/>
      <c r="J46" s="30" t="str">
        <f>IF($I46="","",SUMIFS(SITE_COEFFS!$C:$C,SITE_COEFFS!$A:$A,"SlopeClass",SITE_COEFFS!$B:$B,$I46))</f>
        <v/>
      </c>
      <c r="K46" s="19"/>
      <c r="L46" s="30" t="str">
        <f>IF($K46="","",SUMIFS(SITE_COEFFS!$C:$C,SITE_COEFFS!$A:$A,"SurfaceUnevenness",SITE_COEFFS!$B:$B,$K46))</f>
        <v/>
      </c>
      <c r="M46" s="19"/>
      <c r="N46" s="30" t="str">
        <f>IF($M46="","",SUMIFS(SITE_COEFFS!$C:$C,SITE_COEFFS!$A:$A,"AccessClass",SITE_COEFFS!$B:$B,$M46))</f>
        <v/>
      </c>
      <c r="O46" s="19"/>
      <c r="P46" s="30" t="str">
        <f>IF($O46="","",SUMIFS(SITE_COEFFS!$C:$C,SITE_COEFFS!$A:$A,"TurnSpace",SITE_COEFFS!$B:$B,$O46))</f>
        <v/>
      </c>
      <c r="Q46" s="19"/>
      <c r="R46" s="30" t="str">
        <f>IF($Q46="","",SUMIFS(SITE_COEFFS!$C:$C,SITE_COEFFS!$A:$A,"ProximityToBuildings",SITE_COEFFS!$B:$B,$Q46))</f>
        <v/>
      </c>
      <c r="S46" s="19"/>
      <c r="T46" s="30" t="str">
        <f>IF($S46="","",SUMIFS(SITE_COEFFS!$C:$C,SITE_COEFFS!$A:$A,"MachineryAllowed",SITE_COEFFS!$B:$B,$S46))</f>
        <v/>
      </c>
      <c r="U46" s="19"/>
      <c r="V46" s="19"/>
      <c r="W46" s="30" t="str">
        <f>IF($V46="","",SUMIFS(SITE_COEFFS!$C:$C,SITE_COEFFS!$A:$A,"GeometryComplexity",SITE_COEFFS!$B:$B,$V46))</f>
        <v/>
      </c>
      <c r="X46" s="19"/>
      <c r="Y46" s="19" t="str">
        <f>IF($X46="","",SUMIFS(TARIFF_PROFILES!$D:$D,TARIFF_PROFILES!$A:$A,$X46))</f>
        <v/>
      </c>
      <c r="Z46" s="19" t="str">
        <f>IF($X46="","",SUMIFS(TARIFF_PROFILES!$E:$E,TARIFF_PROFILES!$A:$A,$X46))</f>
        <v/>
      </c>
      <c r="AA46" s="19" t="str">
        <f>IF($X46="","",SUMIFS(TARIFF_PROFILES!$F:$F,TARIFF_PROFILES!$A:$A,$X46))</f>
        <v/>
      </c>
      <c r="AB46" s="19" t="str">
        <f>IF($X46="","",SUMIFS(TARIFF_PROFILES!$G:$G,TARIFF_PROFILES!$A:$A,$X46))</f>
        <v/>
      </c>
      <c r="AC46" s="19" t="str">
        <f>IF($X46="","",SUMIFS(TARIFF_PROFILES!$H:$H,TARIFF_PROFILES!$A:$A,$X46))</f>
        <v/>
      </c>
      <c r="AD46" s="19" t="str">
        <f>IF($X46="","",INDEX(TARIFF_PROFILES!$J:$J,MATCH($X46,TARIFF_PROFILES!$A:$A,0)))</f>
        <v/>
      </c>
      <c r="AE46" s="19" t="str">
        <f>IF($X46="","",INDEX(TARIFF_PROFILES!$K:$K,MATCH($X46,TARIFF_PROFILES!$A:$A,0)))</f>
        <v/>
      </c>
      <c r="AF46" s="17"/>
      <c r="AG46" s="17"/>
      <c r="AH46" s="17" t="str">
        <f>IF($AG46="","",SUMIFS(OPERATING_COEFFS!$C:$C,OPERATING_COEFFS!$A:$A,"DistanceClass",OPERATING_COEFFS!$B:$B,$AG46))</f>
        <v/>
      </c>
      <c r="AI46" s="17"/>
      <c r="AJ46" s="17" t="str">
        <f>IF($AI46="","",SUMIFS(OPERATING_COEFFS!$C:$C,OPERATING_COEFFS!$A:$A,"SeasonClass",OPERATING_COEFFS!$B:$B,$AI46))</f>
        <v/>
      </c>
      <c r="AK46" s="17"/>
      <c r="AL46" s="17" t="str">
        <f>IF($AK46="","",SUMIFS(OPERATING_COEFFS!$C:$C,OPERATING_COEFFS!$A:$A,"UrgencyClass",OPERATING_COEFFS!$B:$B,$AK46))</f>
        <v/>
      </c>
      <c r="AM46" s="17"/>
      <c r="AN46" s="17" t="str">
        <f>IF($AM46="","",INDEX(TAX_MODES!$B:$B,MATCH($AM46,TAX_MODES!$A:$A,0)))</f>
        <v/>
      </c>
      <c r="AO46" s="17"/>
      <c r="AP46" s="17"/>
    </row>
    <row r="47" spans="1:42" x14ac:dyDescent="0.3">
      <c r="A47" s="19"/>
      <c r="B47" s="19"/>
      <c r="C47" s="19"/>
      <c r="D47" s="30" t="str">
        <f>IF($C47="","",SUMIFS(SITE_COEFFS!$C:$C,SITE_COEFFS!$A:$A,"SoilWorkability",SITE_COEFFS!$B:$B,$C47))</f>
        <v/>
      </c>
      <c r="E47" s="19"/>
      <c r="F47" s="30" t="str">
        <f>IF($E47="","",SUMIFS(SITE_COEFFS!$C:$C,SITE_COEFFS!$A:$A,"SoilMoisture",SITE_COEFFS!$B:$B,$E47))</f>
        <v/>
      </c>
      <c r="G47" s="19"/>
      <c r="H47" s="30" t="str">
        <f>IF($G47="","",SUMIFS(SITE_COEFFS!$C:$C,SITE_COEFFS!$A:$A,"DebrisLevel",SITE_COEFFS!$B:$B,$G47))</f>
        <v/>
      </c>
      <c r="I47" s="19"/>
      <c r="J47" s="30" t="str">
        <f>IF($I47="","",SUMIFS(SITE_COEFFS!$C:$C,SITE_COEFFS!$A:$A,"SlopeClass",SITE_COEFFS!$B:$B,$I47))</f>
        <v/>
      </c>
      <c r="K47" s="19"/>
      <c r="L47" s="30" t="str">
        <f>IF($K47="","",SUMIFS(SITE_COEFFS!$C:$C,SITE_COEFFS!$A:$A,"SurfaceUnevenness",SITE_COEFFS!$B:$B,$K47))</f>
        <v/>
      </c>
      <c r="M47" s="19"/>
      <c r="N47" s="30" t="str">
        <f>IF($M47="","",SUMIFS(SITE_COEFFS!$C:$C,SITE_COEFFS!$A:$A,"AccessClass",SITE_COEFFS!$B:$B,$M47))</f>
        <v/>
      </c>
      <c r="O47" s="19"/>
      <c r="P47" s="30" t="str">
        <f>IF($O47="","",SUMIFS(SITE_COEFFS!$C:$C,SITE_COEFFS!$A:$A,"TurnSpace",SITE_COEFFS!$B:$B,$O47))</f>
        <v/>
      </c>
      <c r="Q47" s="19"/>
      <c r="R47" s="30" t="str">
        <f>IF($Q47="","",SUMIFS(SITE_COEFFS!$C:$C,SITE_COEFFS!$A:$A,"ProximityToBuildings",SITE_COEFFS!$B:$B,$Q47))</f>
        <v/>
      </c>
      <c r="S47" s="19"/>
      <c r="T47" s="30" t="str">
        <f>IF($S47="","",SUMIFS(SITE_COEFFS!$C:$C,SITE_COEFFS!$A:$A,"MachineryAllowed",SITE_COEFFS!$B:$B,$S47))</f>
        <v/>
      </c>
      <c r="U47" s="19"/>
      <c r="V47" s="19"/>
      <c r="W47" s="30" t="str">
        <f>IF($V47="","",SUMIFS(SITE_COEFFS!$C:$C,SITE_COEFFS!$A:$A,"GeometryComplexity",SITE_COEFFS!$B:$B,$V47))</f>
        <v/>
      </c>
      <c r="X47" s="19"/>
      <c r="Y47" s="19" t="str">
        <f>IF($X47="","",SUMIFS(TARIFF_PROFILES!$D:$D,TARIFF_PROFILES!$A:$A,$X47))</f>
        <v/>
      </c>
      <c r="Z47" s="19" t="str">
        <f>IF($X47="","",SUMIFS(TARIFF_PROFILES!$E:$E,TARIFF_PROFILES!$A:$A,$X47))</f>
        <v/>
      </c>
      <c r="AA47" s="19" t="str">
        <f>IF($X47="","",SUMIFS(TARIFF_PROFILES!$F:$F,TARIFF_PROFILES!$A:$A,$X47))</f>
        <v/>
      </c>
      <c r="AB47" s="19" t="str">
        <f>IF($X47="","",SUMIFS(TARIFF_PROFILES!$G:$G,TARIFF_PROFILES!$A:$A,$X47))</f>
        <v/>
      </c>
      <c r="AC47" s="19" t="str">
        <f>IF($X47="","",SUMIFS(TARIFF_PROFILES!$H:$H,TARIFF_PROFILES!$A:$A,$X47))</f>
        <v/>
      </c>
      <c r="AD47" s="19" t="str">
        <f>IF($X47="","",INDEX(TARIFF_PROFILES!$J:$J,MATCH($X47,TARIFF_PROFILES!$A:$A,0)))</f>
        <v/>
      </c>
      <c r="AE47" s="19" t="str">
        <f>IF($X47="","",INDEX(TARIFF_PROFILES!$K:$K,MATCH($X47,TARIFF_PROFILES!$A:$A,0)))</f>
        <v/>
      </c>
      <c r="AF47" s="17"/>
      <c r="AG47" s="17"/>
      <c r="AH47" s="17" t="str">
        <f>IF($AG47="","",SUMIFS(OPERATING_COEFFS!$C:$C,OPERATING_COEFFS!$A:$A,"DistanceClass",OPERATING_COEFFS!$B:$B,$AG47))</f>
        <v/>
      </c>
      <c r="AI47" s="17"/>
      <c r="AJ47" s="17" t="str">
        <f>IF($AI47="","",SUMIFS(OPERATING_COEFFS!$C:$C,OPERATING_COEFFS!$A:$A,"SeasonClass",OPERATING_COEFFS!$B:$B,$AI47))</f>
        <v/>
      </c>
      <c r="AK47" s="17"/>
      <c r="AL47" s="17" t="str">
        <f>IF($AK47="","",SUMIFS(OPERATING_COEFFS!$C:$C,OPERATING_COEFFS!$A:$A,"UrgencyClass",OPERATING_COEFFS!$B:$B,$AK47))</f>
        <v/>
      </c>
      <c r="AM47" s="17"/>
      <c r="AN47" s="17" t="str">
        <f>IF($AM47="","",INDEX(TAX_MODES!$B:$B,MATCH($AM47,TAX_MODES!$A:$A,0)))</f>
        <v/>
      </c>
      <c r="AO47" s="17"/>
      <c r="AP47" s="17"/>
    </row>
    <row r="48" spans="1:42" x14ac:dyDescent="0.3">
      <c r="A48" s="19"/>
      <c r="B48" s="19"/>
      <c r="C48" s="19"/>
      <c r="D48" s="30" t="str">
        <f>IF($C48="","",SUMIFS(SITE_COEFFS!$C:$C,SITE_COEFFS!$A:$A,"SoilWorkability",SITE_COEFFS!$B:$B,$C48))</f>
        <v/>
      </c>
      <c r="E48" s="19"/>
      <c r="F48" s="30" t="str">
        <f>IF($E48="","",SUMIFS(SITE_COEFFS!$C:$C,SITE_COEFFS!$A:$A,"SoilMoisture",SITE_COEFFS!$B:$B,$E48))</f>
        <v/>
      </c>
      <c r="G48" s="19"/>
      <c r="H48" s="30" t="str">
        <f>IF($G48="","",SUMIFS(SITE_COEFFS!$C:$C,SITE_COEFFS!$A:$A,"DebrisLevel",SITE_COEFFS!$B:$B,$G48))</f>
        <v/>
      </c>
      <c r="I48" s="19"/>
      <c r="J48" s="30" t="str">
        <f>IF($I48="","",SUMIFS(SITE_COEFFS!$C:$C,SITE_COEFFS!$A:$A,"SlopeClass",SITE_COEFFS!$B:$B,$I48))</f>
        <v/>
      </c>
      <c r="K48" s="19"/>
      <c r="L48" s="30" t="str">
        <f>IF($K48="","",SUMIFS(SITE_COEFFS!$C:$C,SITE_COEFFS!$A:$A,"SurfaceUnevenness",SITE_COEFFS!$B:$B,$K48))</f>
        <v/>
      </c>
      <c r="M48" s="19"/>
      <c r="N48" s="30" t="str">
        <f>IF($M48="","",SUMIFS(SITE_COEFFS!$C:$C,SITE_COEFFS!$A:$A,"AccessClass",SITE_COEFFS!$B:$B,$M48))</f>
        <v/>
      </c>
      <c r="O48" s="19"/>
      <c r="P48" s="30" t="str">
        <f>IF($O48="","",SUMIFS(SITE_COEFFS!$C:$C,SITE_COEFFS!$A:$A,"TurnSpace",SITE_COEFFS!$B:$B,$O48))</f>
        <v/>
      </c>
      <c r="Q48" s="19"/>
      <c r="R48" s="30" t="str">
        <f>IF($Q48="","",SUMIFS(SITE_COEFFS!$C:$C,SITE_COEFFS!$A:$A,"ProximityToBuildings",SITE_COEFFS!$B:$B,$Q48))</f>
        <v/>
      </c>
      <c r="S48" s="19"/>
      <c r="T48" s="30" t="str">
        <f>IF($S48="","",SUMIFS(SITE_COEFFS!$C:$C,SITE_COEFFS!$A:$A,"MachineryAllowed",SITE_COEFFS!$B:$B,$S48))</f>
        <v/>
      </c>
      <c r="U48" s="19"/>
      <c r="V48" s="19"/>
      <c r="W48" s="30" t="str">
        <f>IF($V48="","",SUMIFS(SITE_COEFFS!$C:$C,SITE_COEFFS!$A:$A,"GeometryComplexity",SITE_COEFFS!$B:$B,$V48))</f>
        <v/>
      </c>
      <c r="X48" s="19"/>
      <c r="Y48" s="19" t="str">
        <f>IF($X48="","",SUMIFS(TARIFF_PROFILES!$D:$D,TARIFF_PROFILES!$A:$A,$X48))</f>
        <v/>
      </c>
      <c r="Z48" s="19" t="str">
        <f>IF($X48="","",SUMIFS(TARIFF_PROFILES!$E:$E,TARIFF_PROFILES!$A:$A,$X48))</f>
        <v/>
      </c>
      <c r="AA48" s="19" t="str">
        <f>IF($X48="","",SUMIFS(TARIFF_PROFILES!$F:$F,TARIFF_PROFILES!$A:$A,$X48))</f>
        <v/>
      </c>
      <c r="AB48" s="19" t="str">
        <f>IF($X48="","",SUMIFS(TARIFF_PROFILES!$G:$G,TARIFF_PROFILES!$A:$A,$X48))</f>
        <v/>
      </c>
      <c r="AC48" s="19" t="str">
        <f>IF($X48="","",SUMIFS(TARIFF_PROFILES!$H:$H,TARIFF_PROFILES!$A:$A,$X48))</f>
        <v/>
      </c>
      <c r="AD48" s="19" t="str">
        <f>IF($X48="","",INDEX(TARIFF_PROFILES!$J:$J,MATCH($X48,TARIFF_PROFILES!$A:$A,0)))</f>
        <v/>
      </c>
      <c r="AE48" s="19" t="str">
        <f>IF($X48="","",INDEX(TARIFF_PROFILES!$K:$K,MATCH($X48,TARIFF_PROFILES!$A:$A,0)))</f>
        <v/>
      </c>
      <c r="AF48" s="17"/>
      <c r="AG48" s="17"/>
      <c r="AH48" s="17" t="str">
        <f>IF($AG48="","",SUMIFS(OPERATING_COEFFS!$C:$C,OPERATING_COEFFS!$A:$A,"DistanceClass",OPERATING_COEFFS!$B:$B,$AG48))</f>
        <v/>
      </c>
      <c r="AI48" s="17"/>
      <c r="AJ48" s="17" t="str">
        <f>IF($AI48="","",SUMIFS(OPERATING_COEFFS!$C:$C,OPERATING_COEFFS!$A:$A,"SeasonClass",OPERATING_COEFFS!$B:$B,$AI48))</f>
        <v/>
      </c>
      <c r="AK48" s="17"/>
      <c r="AL48" s="17" t="str">
        <f>IF($AK48="","",SUMIFS(OPERATING_COEFFS!$C:$C,OPERATING_COEFFS!$A:$A,"UrgencyClass",OPERATING_COEFFS!$B:$B,$AK48))</f>
        <v/>
      </c>
      <c r="AM48" s="17"/>
      <c r="AN48" s="17" t="str">
        <f>IF($AM48="","",INDEX(TAX_MODES!$B:$B,MATCH($AM48,TAX_MODES!$A:$A,0)))</f>
        <v/>
      </c>
      <c r="AO48" s="17"/>
      <c r="AP48" s="17"/>
    </row>
    <row r="49" spans="1:42" x14ac:dyDescent="0.3">
      <c r="A49" s="19"/>
      <c r="B49" s="19"/>
      <c r="C49" s="19"/>
      <c r="D49" s="30" t="str">
        <f>IF($C49="","",SUMIFS(SITE_COEFFS!$C:$C,SITE_COEFFS!$A:$A,"SoilWorkability",SITE_COEFFS!$B:$B,$C49))</f>
        <v/>
      </c>
      <c r="E49" s="19"/>
      <c r="F49" s="30" t="str">
        <f>IF($E49="","",SUMIFS(SITE_COEFFS!$C:$C,SITE_COEFFS!$A:$A,"SoilMoisture",SITE_COEFFS!$B:$B,$E49))</f>
        <v/>
      </c>
      <c r="G49" s="19"/>
      <c r="H49" s="30" t="str">
        <f>IF($G49="","",SUMIFS(SITE_COEFFS!$C:$C,SITE_COEFFS!$A:$A,"DebrisLevel",SITE_COEFFS!$B:$B,$G49))</f>
        <v/>
      </c>
      <c r="I49" s="19"/>
      <c r="J49" s="30" t="str">
        <f>IF($I49="","",SUMIFS(SITE_COEFFS!$C:$C,SITE_COEFFS!$A:$A,"SlopeClass",SITE_COEFFS!$B:$B,$I49))</f>
        <v/>
      </c>
      <c r="K49" s="19"/>
      <c r="L49" s="30" t="str">
        <f>IF($K49="","",SUMIFS(SITE_COEFFS!$C:$C,SITE_COEFFS!$A:$A,"SurfaceUnevenness",SITE_COEFFS!$B:$B,$K49))</f>
        <v/>
      </c>
      <c r="M49" s="19"/>
      <c r="N49" s="30" t="str">
        <f>IF($M49="","",SUMIFS(SITE_COEFFS!$C:$C,SITE_COEFFS!$A:$A,"AccessClass",SITE_COEFFS!$B:$B,$M49))</f>
        <v/>
      </c>
      <c r="O49" s="19"/>
      <c r="P49" s="30" t="str">
        <f>IF($O49="","",SUMIFS(SITE_COEFFS!$C:$C,SITE_COEFFS!$A:$A,"TurnSpace",SITE_COEFFS!$B:$B,$O49))</f>
        <v/>
      </c>
      <c r="Q49" s="19"/>
      <c r="R49" s="30" t="str">
        <f>IF($Q49="","",SUMIFS(SITE_COEFFS!$C:$C,SITE_COEFFS!$A:$A,"ProximityToBuildings",SITE_COEFFS!$B:$B,$Q49))</f>
        <v/>
      </c>
      <c r="S49" s="19"/>
      <c r="T49" s="30" t="str">
        <f>IF($S49="","",SUMIFS(SITE_COEFFS!$C:$C,SITE_COEFFS!$A:$A,"MachineryAllowed",SITE_COEFFS!$B:$B,$S49))</f>
        <v/>
      </c>
      <c r="U49" s="19"/>
      <c r="V49" s="19"/>
      <c r="W49" s="30" t="str">
        <f>IF($V49="","",SUMIFS(SITE_COEFFS!$C:$C,SITE_COEFFS!$A:$A,"GeometryComplexity",SITE_COEFFS!$B:$B,$V49))</f>
        <v/>
      </c>
      <c r="X49" s="19"/>
      <c r="Y49" s="19" t="str">
        <f>IF($X49="","",SUMIFS(TARIFF_PROFILES!$D:$D,TARIFF_PROFILES!$A:$A,$X49))</f>
        <v/>
      </c>
      <c r="Z49" s="19" t="str">
        <f>IF($X49="","",SUMIFS(TARIFF_PROFILES!$E:$E,TARIFF_PROFILES!$A:$A,$X49))</f>
        <v/>
      </c>
      <c r="AA49" s="19" t="str">
        <f>IF($X49="","",SUMIFS(TARIFF_PROFILES!$F:$F,TARIFF_PROFILES!$A:$A,$X49))</f>
        <v/>
      </c>
      <c r="AB49" s="19" t="str">
        <f>IF($X49="","",SUMIFS(TARIFF_PROFILES!$G:$G,TARIFF_PROFILES!$A:$A,$X49))</f>
        <v/>
      </c>
      <c r="AC49" s="19" t="str">
        <f>IF($X49="","",SUMIFS(TARIFF_PROFILES!$H:$H,TARIFF_PROFILES!$A:$A,$X49))</f>
        <v/>
      </c>
      <c r="AD49" s="19" t="str">
        <f>IF($X49="","",INDEX(TARIFF_PROFILES!$J:$J,MATCH($X49,TARIFF_PROFILES!$A:$A,0)))</f>
        <v/>
      </c>
      <c r="AE49" s="19" t="str">
        <f>IF($X49="","",INDEX(TARIFF_PROFILES!$K:$K,MATCH($X49,TARIFF_PROFILES!$A:$A,0)))</f>
        <v/>
      </c>
      <c r="AF49" s="17"/>
      <c r="AG49" s="17"/>
      <c r="AH49" s="17" t="str">
        <f>IF($AG49="","",SUMIFS(OPERATING_COEFFS!$C:$C,OPERATING_COEFFS!$A:$A,"DistanceClass",OPERATING_COEFFS!$B:$B,$AG49))</f>
        <v/>
      </c>
      <c r="AI49" s="17"/>
      <c r="AJ49" s="17" t="str">
        <f>IF($AI49="","",SUMIFS(OPERATING_COEFFS!$C:$C,OPERATING_COEFFS!$A:$A,"SeasonClass",OPERATING_COEFFS!$B:$B,$AI49))</f>
        <v/>
      </c>
      <c r="AK49" s="17"/>
      <c r="AL49" s="17" t="str">
        <f>IF($AK49="","",SUMIFS(OPERATING_COEFFS!$C:$C,OPERATING_COEFFS!$A:$A,"UrgencyClass",OPERATING_COEFFS!$B:$B,$AK49))</f>
        <v/>
      </c>
      <c r="AM49" s="17"/>
      <c r="AN49" s="17" t="str">
        <f>IF($AM49="","",INDEX(TAX_MODES!$B:$B,MATCH($AM49,TAX_MODES!$A:$A,0)))</f>
        <v/>
      </c>
      <c r="AO49" s="17"/>
      <c r="AP49" s="17"/>
    </row>
    <row r="50" spans="1:42" x14ac:dyDescent="0.3">
      <c r="A50" s="19"/>
      <c r="B50" s="19"/>
      <c r="C50" s="19"/>
      <c r="D50" s="30" t="str">
        <f>IF($C50="","",SUMIFS(SITE_COEFFS!$C:$C,SITE_COEFFS!$A:$A,"SoilWorkability",SITE_COEFFS!$B:$B,$C50))</f>
        <v/>
      </c>
      <c r="E50" s="19"/>
      <c r="F50" s="30" t="str">
        <f>IF($E50="","",SUMIFS(SITE_COEFFS!$C:$C,SITE_COEFFS!$A:$A,"SoilMoisture",SITE_COEFFS!$B:$B,$E50))</f>
        <v/>
      </c>
      <c r="G50" s="19"/>
      <c r="H50" s="30" t="str">
        <f>IF($G50="","",SUMIFS(SITE_COEFFS!$C:$C,SITE_COEFFS!$A:$A,"DebrisLevel",SITE_COEFFS!$B:$B,$G50))</f>
        <v/>
      </c>
      <c r="I50" s="19"/>
      <c r="J50" s="30" t="str">
        <f>IF($I50="","",SUMIFS(SITE_COEFFS!$C:$C,SITE_COEFFS!$A:$A,"SlopeClass",SITE_COEFFS!$B:$B,$I50))</f>
        <v/>
      </c>
      <c r="K50" s="19"/>
      <c r="L50" s="30" t="str">
        <f>IF($K50="","",SUMIFS(SITE_COEFFS!$C:$C,SITE_COEFFS!$A:$A,"SurfaceUnevenness",SITE_COEFFS!$B:$B,$K50))</f>
        <v/>
      </c>
      <c r="M50" s="19"/>
      <c r="N50" s="30" t="str">
        <f>IF($M50="","",SUMIFS(SITE_COEFFS!$C:$C,SITE_COEFFS!$A:$A,"AccessClass",SITE_COEFFS!$B:$B,$M50))</f>
        <v/>
      </c>
      <c r="O50" s="19"/>
      <c r="P50" s="30" t="str">
        <f>IF($O50="","",SUMIFS(SITE_COEFFS!$C:$C,SITE_COEFFS!$A:$A,"TurnSpace",SITE_COEFFS!$B:$B,$O50))</f>
        <v/>
      </c>
      <c r="Q50" s="19"/>
      <c r="R50" s="30" t="str">
        <f>IF($Q50="","",SUMIFS(SITE_COEFFS!$C:$C,SITE_COEFFS!$A:$A,"ProximityToBuildings",SITE_COEFFS!$B:$B,$Q50))</f>
        <v/>
      </c>
      <c r="S50" s="19"/>
      <c r="T50" s="30" t="str">
        <f>IF($S50="","",SUMIFS(SITE_COEFFS!$C:$C,SITE_COEFFS!$A:$A,"MachineryAllowed",SITE_COEFFS!$B:$B,$S50))</f>
        <v/>
      </c>
      <c r="U50" s="19"/>
      <c r="V50" s="19"/>
      <c r="W50" s="30" t="str">
        <f>IF($V50="","",SUMIFS(SITE_COEFFS!$C:$C,SITE_COEFFS!$A:$A,"GeometryComplexity",SITE_COEFFS!$B:$B,$V50))</f>
        <v/>
      </c>
      <c r="X50" s="19"/>
      <c r="Y50" s="19" t="str">
        <f>IF($X50="","",SUMIFS(TARIFF_PROFILES!$D:$D,TARIFF_PROFILES!$A:$A,$X50))</f>
        <v/>
      </c>
      <c r="Z50" s="19" t="str">
        <f>IF($X50="","",SUMIFS(TARIFF_PROFILES!$E:$E,TARIFF_PROFILES!$A:$A,$X50))</f>
        <v/>
      </c>
      <c r="AA50" s="19" t="str">
        <f>IF($X50="","",SUMIFS(TARIFF_PROFILES!$F:$F,TARIFF_PROFILES!$A:$A,$X50))</f>
        <v/>
      </c>
      <c r="AB50" s="19" t="str">
        <f>IF($X50="","",SUMIFS(TARIFF_PROFILES!$G:$G,TARIFF_PROFILES!$A:$A,$X50))</f>
        <v/>
      </c>
      <c r="AC50" s="19" t="str">
        <f>IF($X50="","",SUMIFS(TARIFF_PROFILES!$H:$H,TARIFF_PROFILES!$A:$A,$X50))</f>
        <v/>
      </c>
      <c r="AD50" s="19" t="str">
        <f>IF($X50="","",INDEX(TARIFF_PROFILES!$J:$J,MATCH($X50,TARIFF_PROFILES!$A:$A,0)))</f>
        <v/>
      </c>
      <c r="AE50" s="19" t="str">
        <f>IF($X50="","",INDEX(TARIFF_PROFILES!$K:$K,MATCH($X50,TARIFF_PROFILES!$A:$A,0)))</f>
        <v/>
      </c>
      <c r="AF50" s="17"/>
      <c r="AG50" s="17"/>
      <c r="AH50" s="17" t="str">
        <f>IF($AG50="","",SUMIFS(OPERATING_COEFFS!$C:$C,OPERATING_COEFFS!$A:$A,"DistanceClass",OPERATING_COEFFS!$B:$B,$AG50))</f>
        <v/>
      </c>
      <c r="AI50" s="17"/>
      <c r="AJ50" s="17" t="str">
        <f>IF($AI50="","",SUMIFS(OPERATING_COEFFS!$C:$C,OPERATING_COEFFS!$A:$A,"SeasonClass",OPERATING_COEFFS!$B:$B,$AI50))</f>
        <v/>
      </c>
      <c r="AK50" s="17"/>
      <c r="AL50" s="17" t="str">
        <f>IF($AK50="","",SUMIFS(OPERATING_COEFFS!$C:$C,OPERATING_COEFFS!$A:$A,"UrgencyClass",OPERATING_COEFFS!$B:$B,$AK50))</f>
        <v/>
      </c>
      <c r="AM50" s="17"/>
      <c r="AN50" s="17" t="str">
        <f>IF($AM50="","",INDEX(TAX_MODES!$B:$B,MATCH($AM50,TAX_MODES!$A:$A,0)))</f>
        <v/>
      </c>
      <c r="AO50" s="17"/>
      <c r="AP50" s="17"/>
    </row>
    <row r="51" spans="1:42" x14ac:dyDescent="0.3">
      <c r="A51" s="19"/>
      <c r="B51" s="19"/>
      <c r="C51" s="19"/>
      <c r="D51" s="30" t="str">
        <f>IF($C51="","",SUMIFS(SITE_COEFFS!$C:$C,SITE_COEFFS!$A:$A,"SoilWorkability",SITE_COEFFS!$B:$B,$C51))</f>
        <v/>
      </c>
      <c r="E51" s="19"/>
      <c r="F51" s="30" t="str">
        <f>IF($E51="","",SUMIFS(SITE_COEFFS!$C:$C,SITE_COEFFS!$A:$A,"SoilMoisture",SITE_COEFFS!$B:$B,$E51))</f>
        <v/>
      </c>
      <c r="G51" s="19"/>
      <c r="H51" s="30" t="str">
        <f>IF($G51="","",SUMIFS(SITE_COEFFS!$C:$C,SITE_COEFFS!$A:$A,"DebrisLevel",SITE_COEFFS!$B:$B,$G51))</f>
        <v/>
      </c>
      <c r="I51" s="19"/>
      <c r="J51" s="30" t="str">
        <f>IF($I51="","",SUMIFS(SITE_COEFFS!$C:$C,SITE_COEFFS!$A:$A,"SlopeClass",SITE_COEFFS!$B:$B,$I51))</f>
        <v/>
      </c>
      <c r="K51" s="19"/>
      <c r="L51" s="30" t="str">
        <f>IF($K51="","",SUMIFS(SITE_COEFFS!$C:$C,SITE_COEFFS!$A:$A,"SurfaceUnevenness",SITE_COEFFS!$B:$B,$K51))</f>
        <v/>
      </c>
      <c r="M51" s="19"/>
      <c r="N51" s="30" t="str">
        <f>IF($M51="","",SUMIFS(SITE_COEFFS!$C:$C,SITE_COEFFS!$A:$A,"AccessClass",SITE_COEFFS!$B:$B,$M51))</f>
        <v/>
      </c>
      <c r="O51" s="19"/>
      <c r="P51" s="30" t="str">
        <f>IF($O51="","",SUMIFS(SITE_COEFFS!$C:$C,SITE_COEFFS!$A:$A,"TurnSpace",SITE_COEFFS!$B:$B,$O51))</f>
        <v/>
      </c>
      <c r="Q51" s="19"/>
      <c r="R51" s="30" t="str">
        <f>IF($Q51="","",SUMIFS(SITE_COEFFS!$C:$C,SITE_COEFFS!$A:$A,"ProximityToBuildings",SITE_COEFFS!$B:$B,$Q51))</f>
        <v/>
      </c>
      <c r="S51" s="19"/>
      <c r="T51" s="30" t="str">
        <f>IF($S51="","",SUMIFS(SITE_COEFFS!$C:$C,SITE_COEFFS!$A:$A,"MachineryAllowed",SITE_COEFFS!$B:$B,$S51))</f>
        <v/>
      </c>
      <c r="U51" s="19"/>
      <c r="V51" s="19"/>
      <c r="W51" s="30" t="str">
        <f>IF($V51="","",SUMIFS(SITE_COEFFS!$C:$C,SITE_COEFFS!$A:$A,"GeometryComplexity",SITE_COEFFS!$B:$B,$V51))</f>
        <v/>
      </c>
      <c r="X51" s="19"/>
      <c r="Y51" s="19" t="str">
        <f>IF($X51="","",SUMIFS(TARIFF_PROFILES!$D:$D,TARIFF_PROFILES!$A:$A,$X51))</f>
        <v/>
      </c>
      <c r="Z51" s="19" t="str">
        <f>IF($X51="","",SUMIFS(TARIFF_PROFILES!$E:$E,TARIFF_PROFILES!$A:$A,$X51))</f>
        <v/>
      </c>
      <c r="AA51" s="19" t="str">
        <f>IF($X51="","",SUMIFS(TARIFF_PROFILES!$F:$F,TARIFF_PROFILES!$A:$A,$X51))</f>
        <v/>
      </c>
      <c r="AB51" s="19" t="str">
        <f>IF($X51="","",SUMIFS(TARIFF_PROFILES!$G:$G,TARIFF_PROFILES!$A:$A,$X51))</f>
        <v/>
      </c>
      <c r="AC51" s="19" t="str">
        <f>IF($X51="","",SUMIFS(TARIFF_PROFILES!$H:$H,TARIFF_PROFILES!$A:$A,$X51))</f>
        <v/>
      </c>
      <c r="AD51" s="19" t="str">
        <f>IF($X51="","",INDEX(TARIFF_PROFILES!$J:$J,MATCH($X51,TARIFF_PROFILES!$A:$A,0)))</f>
        <v/>
      </c>
      <c r="AE51" s="19" t="str">
        <f>IF($X51="","",INDEX(TARIFF_PROFILES!$K:$K,MATCH($X51,TARIFF_PROFILES!$A:$A,0)))</f>
        <v/>
      </c>
      <c r="AF51" s="17"/>
      <c r="AG51" s="17"/>
      <c r="AH51" s="17" t="str">
        <f>IF($AG51="","",SUMIFS(OPERATING_COEFFS!$C:$C,OPERATING_COEFFS!$A:$A,"DistanceClass",OPERATING_COEFFS!$B:$B,$AG51))</f>
        <v/>
      </c>
      <c r="AI51" s="17"/>
      <c r="AJ51" s="17" t="str">
        <f>IF($AI51="","",SUMIFS(OPERATING_COEFFS!$C:$C,OPERATING_COEFFS!$A:$A,"SeasonClass",OPERATING_COEFFS!$B:$B,$AI51))</f>
        <v/>
      </c>
      <c r="AK51" s="17"/>
      <c r="AL51" s="17" t="str">
        <f>IF($AK51="","",SUMIFS(OPERATING_COEFFS!$C:$C,OPERATING_COEFFS!$A:$A,"UrgencyClass",OPERATING_COEFFS!$B:$B,$AK51))</f>
        <v/>
      </c>
      <c r="AM51" s="17"/>
      <c r="AN51" s="17" t="str">
        <f>IF($AM51="","",INDEX(TAX_MODES!$B:$B,MATCH($AM51,TAX_MODES!$A:$A,0)))</f>
        <v/>
      </c>
      <c r="AO51" s="17"/>
      <c r="AP51" s="17"/>
    </row>
    <row r="52" spans="1:42" x14ac:dyDescent="0.3">
      <c r="A52" s="19"/>
      <c r="B52" s="19"/>
      <c r="C52" s="19"/>
      <c r="D52" s="30" t="str">
        <f>IF($C52="","",SUMIFS(SITE_COEFFS!$C:$C,SITE_COEFFS!$A:$A,"SoilWorkability",SITE_COEFFS!$B:$B,$C52))</f>
        <v/>
      </c>
      <c r="E52" s="19"/>
      <c r="F52" s="30" t="str">
        <f>IF($E52="","",SUMIFS(SITE_COEFFS!$C:$C,SITE_COEFFS!$A:$A,"SoilMoisture",SITE_COEFFS!$B:$B,$E52))</f>
        <v/>
      </c>
      <c r="G52" s="19"/>
      <c r="H52" s="30" t="str">
        <f>IF($G52="","",SUMIFS(SITE_COEFFS!$C:$C,SITE_COEFFS!$A:$A,"DebrisLevel",SITE_COEFFS!$B:$B,$G52))</f>
        <v/>
      </c>
      <c r="I52" s="19"/>
      <c r="J52" s="30" t="str">
        <f>IF($I52="","",SUMIFS(SITE_COEFFS!$C:$C,SITE_COEFFS!$A:$A,"SlopeClass",SITE_COEFFS!$B:$B,$I52))</f>
        <v/>
      </c>
      <c r="K52" s="19"/>
      <c r="L52" s="30" t="str">
        <f>IF($K52="","",SUMIFS(SITE_COEFFS!$C:$C,SITE_COEFFS!$A:$A,"SurfaceUnevenness",SITE_COEFFS!$B:$B,$K52))</f>
        <v/>
      </c>
      <c r="M52" s="19"/>
      <c r="N52" s="30" t="str">
        <f>IF($M52="","",SUMIFS(SITE_COEFFS!$C:$C,SITE_COEFFS!$A:$A,"AccessClass",SITE_COEFFS!$B:$B,$M52))</f>
        <v/>
      </c>
      <c r="O52" s="19"/>
      <c r="P52" s="30" t="str">
        <f>IF($O52="","",SUMIFS(SITE_COEFFS!$C:$C,SITE_COEFFS!$A:$A,"TurnSpace",SITE_COEFFS!$B:$B,$O52))</f>
        <v/>
      </c>
      <c r="Q52" s="19"/>
      <c r="R52" s="30" t="str">
        <f>IF($Q52="","",SUMIFS(SITE_COEFFS!$C:$C,SITE_COEFFS!$A:$A,"ProximityToBuildings",SITE_COEFFS!$B:$B,$Q52))</f>
        <v/>
      </c>
      <c r="S52" s="19"/>
      <c r="T52" s="30" t="str">
        <f>IF($S52="","",SUMIFS(SITE_COEFFS!$C:$C,SITE_COEFFS!$A:$A,"MachineryAllowed",SITE_COEFFS!$B:$B,$S52))</f>
        <v/>
      </c>
      <c r="U52" s="19"/>
      <c r="V52" s="19"/>
      <c r="W52" s="30" t="str">
        <f>IF($V52="","",SUMIFS(SITE_COEFFS!$C:$C,SITE_COEFFS!$A:$A,"GeometryComplexity",SITE_COEFFS!$B:$B,$V52))</f>
        <v/>
      </c>
      <c r="X52" s="19"/>
      <c r="Y52" s="19" t="str">
        <f>IF($X52="","",SUMIFS(TARIFF_PROFILES!$D:$D,TARIFF_PROFILES!$A:$A,$X52))</f>
        <v/>
      </c>
      <c r="Z52" s="19" t="str">
        <f>IF($X52="","",SUMIFS(TARIFF_PROFILES!$E:$E,TARIFF_PROFILES!$A:$A,$X52))</f>
        <v/>
      </c>
      <c r="AA52" s="19" t="str">
        <f>IF($X52="","",SUMIFS(TARIFF_PROFILES!$F:$F,TARIFF_PROFILES!$A:$A,$X52))</f>
        <v/>
      </c>
      <c r="AB52" s="19" t="str">
        <f>IF($X52="","",SUMIFS(TARIFF_PROFILES!$G:$G,TARIFF_PROFILES!$A:$A,$X52))</f>
        <v/>
      </c>
      <c r="AC52" s="19" t="str">
        <f>IF($X52="","",SUMIFS(TARIFF_PROFILES!$H:$H,TARIFF_PROFILES!$A:$A,$X52))</f>
        <v/>
      </c>
      <c r="AD52" s="19" t="str">
        <f>IF($X52="","",INDEX(TARIFF_PROFILES!$J:$J,MATCH($X52,TARIFF_PROFILES!$A:$A,0)))</f>
        <v/>
      </c>
      <c r="AE52" s="19" t="str">
        <f>IF($X52="","",INDEX(TARIFF_PROFILES!$K:$K,MATCH($X52,TARIFF_PROFILES!$A:$A,0)))</f>
        <v/>
      </c>
      <c r="AF52" s="17"/>
      <c r="AG52" s="17"/>
      <c r="AH52" s="17" t="str">
        <f>IF($AG52="","",SUMIFS(OPERATING_COEFFS!$C:$C,OPERATING_COEFFS!$A:$A,"DistanceClass",OPERATING_COEFFS!$B:$B,$AG52))</f>
        <v/>
      </c>
      <c r="AI52" s="17"/>
      <c r="AJ52" s="17" t="str">
        <f>IF($AI52="","",SUMIFS(OPERATING_COEFFS!$C:$C,OPERATING_COEFFS!$A:$A,"SeasonClass",OPERATING_COEFFS!$B:$B,$AI52))</f>
        <v/>
      </c>
      <c r="AK52" s="17"/>
      <c r="AL52" s="17" t="str">
        <f>IF($AK52="","",SUMIFS(OPERATING_COEFFS!$C:$C,OPERATING_COEFFS!$A:$A,"UrgencyClass",OPERATING_COEFFS!$B:$B,$AK52))</f>
        <v/>
      </c>
      <c r="AM52" s="17"/>
      <c r="AN52" s="17" t="str">
        <f>IF($AM52="","",INDEX(TAX_MODES!$B:$B,MATCH($AM52,TAX_MODES!$A:$A,0)))</f>
        <v/>
      </c>
      <c r="AO52" s="17"/>
      <c r="AP52" s="17"/>
    </row>
    <row r="53" spans="1:42" x14ac:dyDescent="0.3">
      <c r="A53" s="19"/>
      <c r="B53" s="19"/>
      <c r="C53" s="19"/>
      <c r="D53" s="30" t="str">
        <f>IF($C53="","",SUMIFS(SITE_COEFFS!$C:$C,SITE_COEFFS!$A:$A,"SoilWorkability",SITE_COEFFS!$B:$B,$C53))</f>
        <v/>
      </c>
      <c r="E53" s="19"/>
      <c r="F53" s="30" t="str">
        <f>IF($E53="","",SUMIFS(SITE_COEFFS!$C:$C,SITE_COEFFS!$A:$A,"SoilMoisture",SITE_COEFFS!$B:$B,$E53))</f>
        <v/>
      </c>
      <c r="G53" s="19"/>
      <c r="H53" s="30" t="str">
        <f>IF($G53="","",SUMIFS(SITE_COEFFS!$C:$C,SITE_COEFFS!$A:$A,"DebrisLevel",SITE_COEFFS!$B:$B,$G53))</f>
        <v/>
      </c>
      <c r="I53" s="19"/>
      <c r="J53" s="30" t="str">
        <f>IF($I53="","",SUMIFS(SITE_COEFFS!$C:$C,SITE_COEFFS!$A:$A,"SlopeClass",SITE_COEFFS!$B:$B,$I53))</f>
        <v/>
      </c>
      <c r="K53" s="19"/>
      <c r="L53" s="30" t="str">
        <f>IF($K53="","",SUMIFS(SITE_COEFFS!$C:$C,SITE_COEFFS!$A:$A,"SurfaceUnevenness",SITE_COEFFS!$B:$B,$K53))</f>
        <v/>
      </c>
      <c r="M53" s="19"/>
      <c r="N53" s="30" t="str">
        <f>IF($M53="","",SUMIFS(SITE_COEFFS!$C:$C,SITE_COEFFS!$A:$A,"AccessClass",SITE_COEFFS!$B:$B,$M53))</f>
        <v/>
      </c>
      <c r="O53" s="19"/>
      <c r="P53" s="30" t="str">
        <f>IF($O53="","",SUMIFS(SITE_COEFFS!$C:$C,SITE_COEFFS!$A:$A,"TurnSpace",SITE_COEFFS!$B:$B,$O53))</f>
        <v/>
      </c>
      <c r="Q53" s="19"/>
      <c r="R53" s="30" t="str">
        <f>IF($Q53="","",SUMIFS(SITE_COEFFS!$C:$C,SITE_COEFFS!$A:$A,"ProximityToBuildings",SITE_COEFFS!$B:$B,$Q53))</f>
        <v/>
      </c>
      <c r="S53" s="19"/>
      <c r="T53" s="30" t="str">
        <f>IF($S53="","",SUMIFS(SITE_COEFFS!$C:$C,SITE_COEFFS!$A:$A,"MachineryAllowed",SITE_COEFFS!$B:$B,$S53))</f>
        <v/>
      </c>
      <c r="U53" s="19"/>
      <c r="V53" s="19"/>
      <c r="W53" s="30" t="str">
        <f>IF($V53="","",SUMIFS(SITE_COEFFS!$C:$C,SITE_COEFFS!$A:$A,"GeometryComplexity",SITE_COEFFS!$B:$B,$V53))</f>
        <v/>
      </c>
      <c r="X53" s="19"/>
      <c r="Y53" s="19" t="str">
        <f>IF($X53="","",SUMIFS(TARIFF_PROFILES!$D:$D,TARIFF_PROFILES!$A:$A,$X53))</f>
        <v/>
      </c>
      <c r="Z53" s="19" t="str">
        <f>IF($X53="","",SUMIFS(TARIFF_PROFILES!$E:$E,TARIFF_PROFILES!$A:$A,$X53))</f>
        <v/>
      </c>
      <c r="AA53" s="19" t="str">
        <f>IF($X53="","",SUMIFS(TARIFF_PROFILES!$F:$F,TARIFF_PROFILES!$A:$A,$X53))</f>
        <v/>
      </c>
      <c r="AB53" s="19" t="str">
        <f>IF($X53="","",SUMIFS(TARIFF_PROFILES!$G:$G,TARIFF_PROFILES!$A:$A,$X53))</f>
        <v/>
      </c>
      <c r="AC53" s="19" t="str">
        <f>IF($X53="","",SUMIFS(TARIFF_PROFILES!$H:$H,TARIFF_PROFILES!$A:$A,$X53))</f>
        <v/>
      </c>
      <c r="AD53" s="19" t="str">
        <f>IF($X53="","",INDEX(TARIFF_PROFILES!$J:$J,MATCH($X53,TARIFF_PROFILES!$A:$A,0)))</f>
        <v/>
      </c>
      <c r="AE53" s="19" t="str">
        <f>IF($X53="","",INDEX(TARIFF_PROFILES!$K:$K,MATCH($X53,TARIFF_PROFILES!$A:$A,0)))</f>
        <v/>
      </c>
      <c r="AF53" s="17"/>
      <c r="AG53" s="17"/>
      <c r="AH53" s="17" t="str">
        <f>IF($AG53="","",SUMIFS(OPERATING_COEFFS!$C:$C,OPERATING_COEFFS!$A:$A,"DistanceClass",OPERATING_COEFFS!$B:$B,$AG53))</f>
        <v/>
      </c>
      <c r="AI53" s="17"/>
      <c r="AJ53" s="17" t="str">
        <f>IF($AI53="","",SUMIFS(OPERATING_COEFFS!$C:$C,OPERATING_COEFFS!$A:$A,"SeasonClass",OPERATING_COEFFS!$B:$B,$AI53))</f>
        <v/>
      </c>
      <c r="AK53" s="17"/>
      <c r="AL53" s="17" t="str">
        <f>IF($AK53="","",SUMIFS(OPERATING_COEFFS!$C:$C,OPERATING_COEFFS!$A:$A,"UrgencyClass",OPERATING_COEFFS!$B:$B,$AK53))</f>
        <v/>
      </c>
      <c r="AM53" s="17"/>
      <c r="AN53" s="17" t="str">
        <f>IF($AM53="","",INDEX(TAX_MODES!$B:$B,MATCH($AM53,TAX_MODES!$A:$A,0)))</f>
        <v/>
      </c>
      <c r="AO53" s="17"/>
      <c r="AP53" s="17"/>
    </row>
    <row r="54" spans="1:42" x14ac:dyDescent="0.3">
      <c r="A54" s="19"/>
      <c r="B54" s="19"/>
      <c r="C54" s="19"/>
      <c r="D54" s="30" t="str">
        <f>IF($C54="","",SUMIFS(SITE_COEFFS!$C:$C,SITE_COEFFS!$A:$A,"SoilWorkability",SITE_COEFFS!$B:$B,$C54))</f>
        <v/>
      </c>
      <c r="E54" s="19"/>
      <c r="F54" s="30" t="str">
        <f>IF($E54="","",SUMIFS(SITE_COEFFS!$C:$C,SITE_COEFFS!$A:$A,"SoilMoisture",SITE_COEFFS!$B:$B,$E54))</f>
        <v/>
      </c>
      <c r="G54" s="19"/>
      <c r="H54" s="30" t="str">
        <f>IF($G54="","",SUMIFS(SITE_COEFFS!$C:$C,SITE_COEFFS!$A:$A,"DebrisLevel",SITE_COEFFS!$B:$B,$G54))</f>
        <v/>
      </c>
      <c r="I54" s="19"/>
      <c r="J54" s="30" t="str">
        <f>IF($I54="","",SUMIFS(SITE_COEFFS!$C:$C,SITE_COEFFS!$A:$A,"SlopeClass",SITE_COEFFS!$B:$B,$I54))</f>
        <v/>
      </c>
      <c r="K54" s="19"/>
      <c r="L54" s="30" t="str">
        <f>IF($K54="","",SUMIFS(SITE_COEFFS!$C:$C,SITE_COEFFS!$A:$A,"SurfaceUnevenness",SITE_COEFFS!$B:$B,$K54))</f>
        <v/>
      </c>
      <c r="M54" s="19"/>
      <c r="N54" s="30" t="str">
        <f>IF($M54="","",SUMIFS(SITE_COEFFS!$C:$C,SITE_COEFFS!$A:$A,"AccessClass",SITE_COEFFS!$B:$B,$M54))</f>
        <v/>
      </c>
      <c r="O54" s="19"/>
      <c r="P54" s="30" t="str">
        <f>IF($O54="","",SUMIFS(SITE_COEFFS!$C:$C,SITE_COEFFS!$A:$A,"TurnSpace",SITE_COEFFS!$B:$B,$O54))</f>
        <v/>
      </c>
      <c r="Q54" s="19"/>
      <c r="R54" s="30" t="str">
        <f>IF($Q54="","",SUMIFS(SITE_COEFFS!$C:$C,SITE_COEFFS!$A:$A,"ProximityToBuildings",SITE_COEFFS!$B:$B,$Q54))</f>
        <v/>
      </c>
      <c r="S54" s="19"/>
      <c r="T54" s="30" t="str">
        <f>IF($S54="","",SUMIFS(SITE_COEFFS!$C:$C,SITE_COEFFS!$A:$A,"MachineryAllowed",SITE_COEFFS!$B:$B,$S54))</f>
        <v/>
      </c>
      <c r="U54" s="19"/>
      <c r="V54" s="19"/>
      <c r="W54" s="30" t="str">
        <f>IF($V54="","",SUMIFS(SITE_COEFFS!$C:$C,SITE_COEFFS!$A:$A,"GeometryComplexity",SITE_COEFFS!$B:$B,$V54))</f>
        <v/>
      </c>
      <c r="X54" s="19"/>
      <c r="Y54" s="19" t="str">
        <f>IF($X54="","",SUMIFS(TARIFF_PROFILES!$D:$D,TARIFF_PROFILES!$A:$A,$X54))</f>
        <v/>
      </c>
      <c r="Z54" s="19" t="str">
        <f>IF($X54="","",SUMIFS(TARIFF_PROFILES!$E:$E,TARIFF_PROFILES!$A:$A,$X54))</f>
        <v/>
      </c>
      <c r="AA54" s="19" t="str">
        <f>IF($X54="","",SUMIFS(TARIFF_PROFILES!$F:$F,TARIFF_PROFILES!$A:$A,$X54))</f>
        <v/>
      </c>
      <c r="AB54" s="19" t="str">
        <f>IF($X54="","",SUMIFS(TARIFF_PROFILES!$G:$G,TARIFF_PROFILES!$A:$A,$X54))</f>
        <v/>
      </c>
      <c r="AC54" s="19" t="str">
        <f>IF($X54="","",SUMIFS(TARIFF_PROFILES!$H:$H,TARIFF_PROFILES!$A:$A,$X54))</f>
        <v/>
      </c>
      <c r="AD54" s="19" t="str">
        <f>IF($X54="","",INDEX(TARIFF_PROFILES!$J:$J,MATCH($X54,TARIFF_PROFILES!$A:$A,0)))</f>
        <v/>
      </c>
      <c r="AE54" s="19" t="str">
        <f>IF($X54="","",INDEX(TARIFF_PROFILES!$K:$K,MATCH($X54,TARIFF_PROFILES!$A:$A,0)))</f>
        <v/>
      </c>
      <c r="AF54" s="17"/>
      <c r="AG54" s="17"/>
      <c r="AH54" s="17" t="str">
        <f>IF($AG54="","",SUMIFS(OPERATING_COEFFS!$C:$C,OPERATING_COEFFS!$A:$A,"DistanceClass",OPERATING_COEFFS!$B:$B,$AG54))</f>
        <v/>
      </c>
      <c r="AI54" s="17"/>
      <c r="AJ54" s="17" t="str">
        <f>IF($AI54="","",SUMIFS(OPERATING_COEFFS!$C:$C,OPERATING_COEFFS!$A:$A,"SeasonClass",OPERATING_COEFFS!$B:$B,$AI54))</f>
        <v/>
      </c>
      <c r="AK54" s="17"/>
      <c r="AL54" s="17" t="str">
        <f>IF($AK54="","",SUMIFS(OPERATING_COEFFS!$C:$C,OPERATING_COEFFS!$A:$A,"UrgencyClass",OPERATING_COEFFS!$B:$B,$AK54))</f>
        <v/>
      </c>
      <c r="AM54" s="17"/>
      <c r="AN54" s="17" t="str">
        <f>IF($AM54="","",INDEX(TAX_MODES!$B:$B,MATCH($AM54,TAX_MODES!$A:$A,0)))</f>
        <v/>
      </c>
      <c r="AO54" s="17"/>
      <c r="AP54" s="17"/>
    </row>
    <row r="55" spans="1:42" x14ac:dyDescent="0.3">
      <c r="A55" s="19"/>
      <c r="B55" s="19"/>
      <c r="C55" s="19"/>
      <c r="D55" s="30" t="str">
        <f>IF($C55="","",SUMIFS(SITE_COEFFS!$C:$C,SITE_COEFFS!$A:$A,"SoilWorkability",SITE_COEFFS!$B:$B,$C55))</f>
        <v/>
      </c>
      <c r="E55" s="19"/>
      <c r="F55" s="30" t="str">
        <f>IF($E55="","",SUMIFS(SITE_COEFFS!$C:$C,SITE_COEFFS!$A:$A,"SoilMoisture",SITE_COEFFS!$B:$B,$E55))</f>
        <v/>
      </c>
      <c r="G55" s="19"/>
      <c r="H55" s="30" t="str">
        <f>IF($G55="","",SUMIFS(SITE_COEFFS!$C:$C,SITE_COEFFS!$A:$A,"DebrisLevel",SITE_COEFFS!$B:$B,$G55))</f>
        <v/>
      </c>
      <c r="I55" s="19"/>
      <c r="J55" s="30" t="str">
        <f>IF($I55="","",SUMIFS(SITE_COEFFS!$C:$C,SITE_COEFFS!$A:$A,"SlopeClass",SITE_COEFFS!$B:$B,$I55))</f>
        <v/>
      </c>
      <c r="K55" s="19"/>
      <c r="L55" s="30" t="str">
        <f>IF($K55="","",SUMIFS(SITE_COEFFS!$C:$C,SITE_COEFFS!$A:$A,"SurfaceUnevenness",SITE_COEFFS!$B:$B,$K55))</f>
        <v/>
      </c>
      <c r="M55" s="19"/>
      <c r="N55" s="30" t="str">
        <f>IF($M55="","",SUMIFS(SITE_COEFFS!$C:$C,SITE_COEFFS!$A:$A,"AccessClass",SITE_COEFFS!$B:$B,$M55))</f>
        <v/>
      </c>
      <c r="O55" s="19"/>
      <c r="P55" s="30" t="str">
        <f>IF($O55="","",SUMIFS(SITE_COEFFS!$C:$C,SITE_COEFFS!$A:$A,"TurnSpace",SITE_COEFFS!$B:$B,$O55))</f>
        <v/>
      </c>
      <c r="Q55" s="19"/>
      <c r="R55" s="30" t="str">
        <f>IF($Q55="","",SUMIFS(SITE_COEFFS!$C:$C,SITE_COEFFS!$A:$A,"ProximityToBuildings",SITE_COEFFS!$B:$B,$Q55))</f>
        <v/>
      </c>
      <c r="S55" s="19"/>
      <c r="T55" s="30" t="str">
        <f>IF($S55="","",SUMIFS(SITE_COEFFS!$C:$C,SITE_COEFFS!$A:$A,"MachineryAllowed",SITE_COEFFS!$B:$B,$S55))</f>
        <v/>
      </c>
      <c r="U55" s="19"/>
      <c r="V55" s="19"/>
      <c r="W55" s="30" t="str">
        <f>IF($V55="","",SUMIFS(SITE_COEFFS!$C:$C,SITE_COEFFS!$A:$A,"GeometryComplexity",SITE_COEFFS!$B:$B,$V55))</f>
        <v/>
      </c>
      <c r="X55" s="19"/>
      <c r="Y55" s="19" t="str">
        <f>IF($X55="","",SUMIFS(TARIFF_PROFILES!$D:$D,TARIFF_PROFILES!$A:$A,$X55))</f>
        <v/>
      </c>
      <c r="Z55" s="19" t="str">
        <f>IF($X55="","",SUMIFS(TARIFF_PROFILES!$E:$E,TARIFF_PROFILES!$A:$A,$X55))</f>
        <v/>
      </c>
      <c r="AA55" s="19" t="str">
        <f>IF($X55="","",SUMIFS(TARIFF_PROFILES!$F:$F,TARIFF_PROFILES!$A:$A,$X55))</f>
        <v/>
      </c>
      <c r="AB55" s="19" t="str">
        <f>IF($X55="","",SUMIFS(TARIFF_PROFILES!$G:$G,TARIFF_PROFILES!$A:$A,$X55))</f>
        <v/>
      </c>
      <c r="AC55" s="19" t="str">
        <f>IF($X55="","",SUMIFS(TARIFF_PROFILES!$H:$H,TARIFF_PROFILES!$A:$A,$X55))</f>
        <v/>
      </c>
      <c r="AD55" s="19" t="str">
        <f>IF($X55="","",INDEX(TARIFF_PROFILES!$J:$J,MATCH($X55,TARIFF_PROFILES!$A:$A,0)))</f>
        <v/>
      </c>
      <c r="AE55" s="19" t="str">
        <f>IF($X55="","",INDEX(TARIFF_PROFILES!$K:$K,MATCH($X55,TARIFF_PROFILES!$A:$A,0)))</f>
        <v/>
      </c>
      <c r="AF55" s="17"/>
      <c r="AG55" s="17"/>
      <c r="AH55" s="17" t="str">
        <f>IF($AG55="","",SUMIFS(OPERATING_COEFFS!$C:$C,OPERATING_COEFFS!$A:$A,"DistanceClass",OPERATING_COEFFS!$B:$B,$AG55))</f>
        <v/>
      </c>
      <c r="AI55" s="17"/>
      <c r="AJ55" s="17" t="str">
        <f>IF($AI55="","",SUMIFS(OPERATING_COEFFS!$C:$C,OPERATING_COEFFS!$A:$A,"SeasonClass",OPERATING_COEFFS!$B:$B,$AI55))</f>
        <v/>
      </c>
      <c r="AK55" s="17"/>
      <c r="AL55" s="17" t="str">
        <f>IF($AK55="","",SUMIFS(OPERATING_COEFFS!$C:$C,OPERATING_COEFFS!$A:$A,"UrgencyClass",OPERATING_COEFFS!$B:$B,$AK55))</f>
        <v/>
      </c>
      <c r="AM55" s="17"/>
      <c r="AN55" s="17" t="str">
        <f>IF($AM55="","",INDEX(TAX_MODES!$B:$B,MATCH($AM55,TAX_MODES!$A:$A,0)))</f>
        <v/>
      </c>
      <c r="AO55" s="17"/>
      <c r="AP55" s="17"/>
    </row>
    <row r="56" spans="1:42" x14ac:dyDescent="0.3">
      <c r="A56" s="19"/>
      <c r="B56" s="19"/>
      <c r="C56" s="19"/>
      <c r="D56" s="30" t="str">
        <f>IF($C56="","",SUMIFS(SITE_COEFFS!$C:$C,SITE_COEFFS!$A:$A,"SoilWorkability",SITE_COEFFS!$B:$B,$C56))</f>
        <v/>
      </c>
      <c r="E56" s="19"/>
      <c r="F56" s="30" t="str">
        <f>IF($E56="","",SUMIFS(SITE_COEFFS!$C:$C,SITE_COEFFS!$A:$A,"SoilMoisture",SITE_COEFFS!$B:$B,$E56))</f>
        <v/>
      </c>
      <c r="G56" s="19"/>
      <c r="H56" s="30" t="str">
        <f>IF($G56="","",SUMIFS(SITE_COEFFS!$C:$C,SITE_COEFFS!$A:$A,"DebrisLevel",SITE_COEFFS!$B:$B,$G56))</f>
        <v/>
      </c>
      <c r="I56" s="19"/>
      <c r="J56" s="30" t="str">
        <f>IF($I56="","",SUMIFS(SITE_COEFFS!$C:$C,SITE_COEFFS!$A:$A,"SlopeClass",SITE_COEFFS!$B:$B,$I56))</f>
        <v/>
      </c>
      <c r="K56" s="19"/>
      <c r="L56" s="30" t="str">
        <f>IF($K56="","",SUMIFS(SITE_COEFFS!$C:$C,SITE_COEFFS!$A:$A,"SurfaceUnevenness",SITE_COEFFS!$B:$B,$K56))</f>
        <v/>
      </c>
      <c r="M56" s="19"/>
      <c r="N56" s="30" t="str">
        <f>IF($M56="","",SUMIFS(SITE_COEFFS!$C:$C,SITE_COEFFS!$A:$A,"AccessClass",SITE_COEFFS!$B:$B,$M56))</f>
        <v/>
      </c>
      <c r="O56" s="19"/>
      <c r="P56" s="30" t="str">
        <f>IF($O56="","",SUMIFS(SITE_COEFFS!$C:$C,SITE_COEFFS!$A:$A,"TurnSpace",SITE_COEFFS!$B:$B,$O56))</f>
        <v/>
      </c>
      <c r="Q56" s="19"/>
      <c r="R56" s="30" t="str">
        <f>IF($Q56="","",SUMIFS(SITE_COEFFS!$C:$C,SITE_COEFFS!$A:$A,"ProximityToBuildings",SITE_COEFFS!$B:$B,$Q56))</f>
        <v/>
      </c>
      <c r="S56" s="19"/>
      <c r="T56" s="30" t="str">
        <f>IF($S56="","",SUMIFS(SITE_COEFFS!$C:$C,SITE_COEFFS!$A:$A,"MachineryAllowed",SITE_COEFFS!$B:$B,$S56))</f>
        <v/>
      </c>
      <c r="U56" s="19"/>
      <c r="V56" s="19"/>
      <c r="W56" s="30" t="str">
        <f>IF($V56="","",SUMIFS(SITE_COEFFS!$C:$C,SITE_COEFFS!$A:$A,"GeometryComplexity",SITE_COEFFS!$B:$B,$V56))</f>
        <v/>
      </c>
      <c r="X56" s="19"/>
      <c r="Y56" s="19" t="str">
        <f>IF($X56="","",SUMIFS(TARIFF_PROFILES!$D:$D,TARIFF_PROFILES!$A:$A,$X56))</f>
        <v/>
      </c>
      <c r="Z56" s="19" t="str">
        <f>IF($X56="","",SUMIFS(TARIFF_PROFILES!$E:$E,TARIFF_PROFILES!$A:$A,$X56))</f>
        <v/>
      </c>
      <c r="AA56" s="19" t="str">
        <f>IF($X56="","",SUMIFS(TARIFF_PROFILES!$F:$F,TARIFF_PROFILES!$A:$A,$X56))</f>
        <v/>
      </c>
      <c r="AB56" s="19" t="str">
        <f>IF($X56="","",SUMIFS(TARIFF_PROFILES!$G:$G,TARIFF_PROFILES!$A:$A,$X56))</f>
        <v/>
      </c>
      <c r="AC56" s="19" t="str">
        <f>IF($X56="","",SUMIFS(TARIFF_PROFILES!$H:$H,TARIFF_PROFILES!$A:$A,$X56))</f>
        <v/>
      </c>
      <c r="AD56" s="19" t="str">
        <f>IF($X56="","",INDEX(TARIFF_PROFILES!$J:$J,MATCH($X56,TARIFF_PROFILES!$A:$A,0)))</f>
        <v/>
      </c>
      <c r="AE56" s="19" t="str">
        <f>IF($X56="","",INDEX(TARIFF_PROFILES!$K:$K,MATCH($X56,TARIFF_PROFILES!$A:$A,0)))</f>
        <v/>
      </c>
      <c r="AF56" s="17"/>
      <c r="AG56" s="17"/>
      <c r="AH56" s="17" t="str">
        <f>IF($AG56="","",SUMIFS(OPERATING_COEFFS!$C:$C,OPERATING_COEFFS!$A:$A,"DistanceClass",OPERATING_COEFFS!$B:$B,$AG56))</f>
        <v/>
      </c>
      <c r="AI56" s="17"/>
      <c r="AJ56" s="17" t="str">
        <f>IF($AI56="","",SUMIFS(OPERATING_COEFFS!$C:$C,OPERATING_COEFFS!$A:$A,"SeasonClass",OPERATING_COEFFS!$B:$B,$AI56))</f>
        <v/>
      </c>
      <c r="AK56" s="17"/>
      <c r="AL56" s="17" t="str">
        <f>IF($AK56="","",SUMIFS(OPERATING_COEFFS!$C:$C,OPERATING_COEFFS!$A:$A,"UrgencyClass",OPERATING_COEFFS!$B:$B,$AK56))</f>
        <v/>
      </c>
      <c r="AM56" s="17"/>
      <c r="AN56" s="17" t="str">
        <f>IF($AM56="","",INDEX(TAX_MODES!$B:$B,MATCH($AM56,TAX_MODES!$A:$A,0)))</f>
        <v/>
      </c>
      <c r="AO56" s="17"/>
      <c r="AP56" s="17"/>
    </row>
    <row r="57" spans="1:42" x14ac:dyDescent="0.3">
      <c r="A57" s="19"/>
      <c r="B57" s="19"/>
      <c r="C57" s="19"/>
      <c r="D57" s="30" t="str">
        <f>IF($C57="","",SUMIFS(SITE_COEFFS!$C:$C,SITE_COEFFS!$A:$A,"SoilWorkability",SITE_COEFFS!$B:$B,$C57))</f>
        <v/>
      </c>
      <c r="E57" s="19"/>
      <c r="F57" s="30" t="str">
        <f>IF($E57="","",SUMIFS(SITE_COEFFS!$C:$C,SITE_COEFFS!$A:$A,"SoilMoisture",SITE_COEFFS!$B:$B,$E57))</f>
        <v/>
      </c>
      <c r="G57" s="19"/>
      <c r="H57" s="30" t="str">
        <f>IF($G57="","",SUMIFS(SITE_COEFFS!$C:$C,SITE_COEFFS!$A:$A,"DebrisLevel",SITE_COEFFS!$B:$B,$G57))</f>
        <v/>
      </c>
      <c r="I57" s="19"/>
      <c r="J57" s="30" t="str">
        <f>IF($I57="","",SUMIFS(SITE_COEFFS!$C:$C,SITE_COEFFS!$A:$A,"SlopeClass",SITE_COEFFS!$B:$B,$I57))</f>
        <v/>
      </c>
      <c r="K57" s="19"/>
      <c r="L57" s="30" t="str">
        <f>IF($K57="","",SUMIFS(SITE_COEFFS!$C:$C,SITE_COEFFS!$A:$A,"SurfaceUnevenness",SITE_COEFFS!$B:$B,$K57))</f>
        <v/>
      </c>
      <c r="M57" s="19"/>
      <c r="N57" s="30" t="str">
        <f>IF($M57="","",SUMIFS(SITE_COEFFS!$C:$C,SITE_COEFFS!$A:$A,"AccessClass",SITE_COEFFS!$B:$B,$M57))</f>
        <v/>
      </c>
      <c r="O57" s="19"/>
      <c r="P57" s="30" t="str">
        <f>IF($O57="","",SUMIFS(SITE_COEFFS!$C:$C,SITE_COEFFS!$A:$A,"TurnSpace",SITE_COEFFS!$B:$B,$O57))</f>
        <v/>
      </c>
      <c r="Q57" s="19"/>
      <c r="R57" s="30" t="str">
        <f>IF($Q57="","",SUMIFS(SITE_COEFFS!$C:$C,SITE_COEFFS!$A:$A,"ProximityToBuildings",SITE_COEFFS!$B:$B,$Q57))</f>
        <v/>
      </c>
      <c r="S57" s="19"/>
      <c r="T57" s="30" t="str">
        <f>IF($S57="","",SUMIFS(SITE_COEFFS!$C:$C,SITE_COEFFS!$A:$A,"MachineryAllowed",SITE_COEFFS!$B:$B,$S57))</f>
        <v/>
      </c>
      <c r="U57" s="19"/>
      <c r="V57" s="19"/>
      <c r="W57" s="30" t="str">
        <f>IF($V57="","",SUMIFS(SITE_COEFFS!$C:$C,SITE_COEFFS!$A:$A,"GeometryComplexity",SITE_COEFFS!$B:$B,$V57))</f>
        <v/>
      </c>
      <c r="X57" s="19"/>
      <c r="Y57" s="19" t="str">
        <f>IF($X57="","",SUMIFS(TARIFF_PROFILES!$D:$D,TARIFF_PROFILES!$A:$A,$X57))</f>
        <v/>
      </c>
      <c r="Z57" s="19" t="str">
        <f>IF($X57="","",SUMIFS(TARIFF_PROFILES!$E:$E,TARIFF_PROFILES!$A:$A,$X57))</f>
        <v/>
      </c>
      <c r="AA57" s="19" t="str">
        <f>IF($X57="","",SUMIFS(TARIFF_PROFILES!$F:$F,TARIFF_PROFILES!$A:$A,$X57))</f>
        <v/>
      </c>
      <c r="AB57" s="19" t="str">
        <f>IF($X57="","",SUMIFS(TARIFF_PROFILES!$G:$G,TARIFF_PROFILES!$A:$A,$X57))</f>
        <v/>
      </c>
      <c r="AC57" s="19" t="str">
        <f>IF($X57="","",SUMIFS(TARIFF_PROFILES!$H:$H,TARIFF_PROFILES!$A:$A,$X57))</f>
        <v/>
      </c>
      <c r="AD57" s="19" t="str">
        <f>IF($X57="","",INDEX(TARIFF_PROFILES!$J:$J,MATCH($X57,TARIFF_PROFILES!$A:$A,0)))</f>
        <v/>
      </c>
      <c r="AE57" s="19" t="str">
        <f>IF($X57="","",INDEX(TARIFF_PROFILES!$K:$K,MATCH($X57,TARIFF_PROFILES!$A:$A,0)))</f>
        <v/>
      </c>
      <c r="AF57" s="17"/>
      <c r="AG57" s="17"/>
      <c r="AH57" s="17" t="str">
        <f>IF($AG57="","",SUMIFS(OPERATING_COEFFS!$C:$C,OPERATING_COEFFS!$A:$A,"DistanceClass",OPERATING_COEFFS!$B:$B,$AG57))</f>
        <v/>
      </c>
      <c r="AI57" s="17"/>
      <c r="AJ57" s="17" t="str">
        <f>IF($AI57="","",SUMIFS(OPERATING_COEFFS!$C:$C,OPERATING_COEFFS!$A:$A,"SeasonClass",OPERATING_COEFFS!$B:$B,$AI57))</f>
        <v/>
      </c>
      <c r="AK57" s="17"/>
      <c r="AL57" s="17" t="str">
        <f>IF($AK57="","",SUMIFS(OPERATING_COEFFS!$C:$C,OPERATING_COEFFS!$A:$A,"UrgencyClass",OPERATING_COEFFS!$B:$B,$AK57))</f>
        <v/>
      </c>
      <c r="AM57" s="17"/>
      <c r="AN57" s="17" t="str">
        <f>IF($AM57="","",INDEX(TAX_MODES!$B:$B,MATCH($AM57,TAX_MODES!$A:$A,0)))</f>
        <v/>
      </c>
      <c r="AO57" s="17"/>
      <c r="AP57" s="17"/>
    </row>
    <row r="58" spans="1:42" x14ac:dyDescent="0.3">
      <c r="A58" s="19"/>
      <c r="B58" s="19"/>
      <c r="C58" s="19"/>
      <c r="D58" s="30" t="str">
        <f>IF($C58="","",SUMIFS(SITE_COEFFS!$C:$C,SITE_COEFFS!$A:$A,"SoilWorkability",SITE_COEFFS!$B:$B,$C58))</f>
        <v/>
      </c>
      <c r="E58" s="19"/>
      <c r="F58" s="30" t="str">
        <f>IF($E58="","",SUMIFS(SITE_COEFFS!$C:$C,SITE_COEFFS!$A:$A,"SoilMoisture",SITE_COEFFS!$B:$B,$E58))</f>
        <v/>
      </c>
      <c r="G58" s="19"/>
      <c r="H58" s="30" t="str">
        <f>IF($G58="","",SUMIFS(SITE_COEFFS!$C:$C,SITE_COEFFS!$A:$A,"DebrisLevel",SITE_COEFFS!$B:$B,$G58))</f>
        <v/>
      </c>
      <c r="I58" s="19"/>
      <c r="J58" s="30" t="str">
        <f>IF($I58="","",SUMIFS(SITE_COEFFS!$C:$C,SITE_COEFFS!$A:$A,"SlopeClass",SITE_COEFFS!$B:$B,$I58))</f>
        <v/>
      </c>
      <c r="K58" s="19"/>
      <c r="L58" s="30" t="str">
        <f>IF($K58="","",SUMIFS(SITE_COEFFS!$C:$C,SITE_COEFFS!$A:$A,"SurfaceUnevenness",SITE_COEFFS!$B:$B,$K58))</f>
        <v/>
      </c>
      <c r="M58" s="19"/>
      <c r="N58" s="30" t="str">
        <f>IF($M58="","",SUMIFS(SITE_COEFFS!$C:$C,SITE_COEFFS!$A:$A,"AccessClass",SITE_COEFFS!$B:$B,$M58))</f>
        <v/>
      </c>
      <c r="O58" s="19"/>
      <c r="P58" s="30" t="str">
        <f>IF($O58="","",SUMIFS(SITE_COEFFS!$C:$C,SITE_COEFFS!$A:$A,"TurnSpace",SITE_COEFFS!$B:$B,$O58))</f>
        <v/>
      </c>
      <c r="Q58" s="19"/>
      <c r="R58" s="30" t="str">
        <f>IF($Q58="","",SUMIFS(SITE_COEFFS!$C:$C,SITE_COEFFS!$A:$A,"ProximityToBuildings",SITE_COEFFS!$B:$B,$Q58))</f>
        <v/>
      </c>
      <c r="S58" s="19"/>
      <c r="T58" s="30" t="str">
        <f>IF($S58="","",SUMIFS(SITE_COEFFS!$C:$C,SITE_COEFFS!$A:$A,"MachineryAllowed",SITE_COEFFS!$B:$B,$S58))</f>
        <v/>
      </c>
      <c r="U58" s="19"/>
      <c r="V58" s="19"/>
      <c r="W58" s="30" t="str">
        <f>IF($V58="","",SUMIFS(SITE_COEFFS!$C:$C,SITE_COEFFS!$A:$A,"GeometryComplexity",SITE_COEFFS!$B:$B,$V58))</f>
        <v/>
      </c>
      <c r="X58" s="19"/>
      <c r="Y58" s="19" t="str">
        <f>IF($X58="","",SUMIFS(TARIFF_PROFILES!$D:$D,TARIFF_PROFILES!$A:$A,$X58))</f>
        <v/>
      </c>
      <c r="Z58" s="19" t="str">
        <f>IF($X58="","",SUMIFS(TARIFF_PROFILES!$E:$E,TARIFF_PROFILES!$A:$A,$X58))</f>
        <v/>
      </c>
      <c r="AA58" s="19" t="str">
        <f>IF($X58="","",SUMIFS(TARIFF_PROFILES!$F:$F,TARIFF_PROFILES!$A:$A,$X58))</f>
        <v/>
      </c>
      <c r="AB58" s="19" t="str">
        <f>IF($X58="","",SUMIFS(TARIFF_PROFILES!$G:$G,TARIFF_PROFILES!$A:$A,$X58))</f>
        <v/>
      </c>
      <c r="AC58" s="19" t="str">
        <f>IF($X58="","",SUMIFS(TARIFF_PROFILES!$H:$H,TARIFF_PROFILES!$A:$A,$X58))</f>
        <v/>
      </c>
      <c r="AD58" s="19" t="str">
        <f>IF($X58="","",INDEX(TARIFF_PROFILES!$J:$J,MATCH($X58,TARIFF_PROFILES!$A:$A,0)))</f>
        <v/>
      </c>
      <c r="AE58" s="19" t="str">
        <f>IF($X58="","",INDEX(TARIFF_PROFILES!$K:$K,MATCH($X58,TARIFF_PROFILES!$A:$A,0)))</f>
        <v/>
      </c>
      <c r="AF58" s="17"/>
      <c r="AG58" s="17"/>
      <c r="AH58" s="17" t="str">
        <f>IF($AG58="","",SUMIFS(OPERATING_COEFFS!$C:$C,OPERATING_COEFFS!$A:$A,"DistanceClass",OPERATING_COEFFS!$B:$B,$AG58))</f>
        <v/>
      </c>
      <c r="AI58" s="17"/>
      <c r="AJ58" s="17" t="str">
        <f>IF($AI58="","",SUMIFS(OPERATING_COEFFS!$C:$C,OPERATING_COEFFS!$A:$A,"SeasonClass",OPERATING_COEFFS!$B:$B,$AI58))</f>
        <v/>
      </c>
      <c r="AK58" s="17"/>
      <c r="AL58" s="17" t="str">
        <f>IF($AK58="","",SUMIFS(OPERATING_COEFFS!$C:$C,OPERATING_COEFFS!$A:$A,"UrgencyClass",OPERATING_COEFFS!$B:$B,$AK58))</f>
        <v/>
      </c>
      <c r="AM58" s="17"/>
      <c r="AN58" s="17" t="str">
        <f>IF($AM58="","",INDEX(TAX_MODES!$B:$B,MATCH($AM58,TAX_MODES!$A:$A,0)))</f>
        <v/>
      </c>
      <c r="AO58" s="17"/>
      <c r="AP58" s="17"/>
    </row>
    <row r="59" spans="1:42" x14ac:dyDescent="0.3">
      <c r="A59" s="19"/>
      <c r="B59" s="19"/>
      <c r="C59" s="19"/>
      <c r="D59" s="30" t="str">
        <f>IF($C59="","",SUMIFS(SITE_COEFFS!$C:$C,SITE_COEFFS!$A:$A,"SoilWorkability",SITE_COEFFS!$B:$B,$C59))</f>
        <v/>
      </c>
      <c r="E59" s="19"/>
      <c r="F59" s="30" t="str">
        <f>IF($E59="","",SUMIFS(SITE_COEFFS!$C:$C,SITE_COEFFS!$A:$A,"SoilMoisture",SITE_COEFFS!$B:$B,$E59))</f>
        <v/>
      </c>
      <c r="G59" s="19"/>
      <c r="H59" s="30" t="str">
        <f>IF($G59="","",SUMIFS(SITE_COEFFS!$C:$C,SITE_COEFFS!$A:$A,"DebrisLevel",SITE_COEFFS!$B:$B,$G59))</f>
        <v/>
      </c>
      <c r="I59" s="19"/>
      <c r="J59" s="30" t="str">
        <f>IF($I59="","",SUMIFS(SITE_COEFFS!$C:$C,SITE_COEFFS!$A:$A,"SlopeClass",SITE_COEFFS!$B:$B,$I59))</f>
        <v/>
      </c>
      <c r="K59" s="19"/>
      <c r="L59" s="30" t="str">
        <f>IF($K59="","",SUMIFS(SITE_COEFFS!$C:$C,SITE_COEFFS!$A:$A,"SurfaceUnevenness",SITE_COEFFS!$B:$B,$K59))</f>
        <v/>
      </c>
      <c r="M59" s="19"/>
      <c r="N59" s="30" t="str">
        <f>IF($M59="","",SUMIFS(SITE_COEFFS!$C:$C,SITE_COEFFS!$A:$A,"AccessClass",SITE_COEFFS!$B:$B,$M59))</f>
        <v/>
      </c>
      <c r="O59" s="19"/>
      <c r="P59" s="30" t="str">
        <f>IF($O59="","",SUMIFS(SITE_COEFFS!$C:$C,SITE_COEFFS!$A:$A,"TurnSpace",SITE_COEFFS!$B:$B,$O59))</f>
        <v/>
      </c>
      <c r="Q59" s="19"/>
      <c r="R59" s="30" t="str">
        <f>IF($Q59="","",SUMIFS(SITE_COEFFS!$C:$C,SITE_COEFFS!$A:$A,"ProximityToBuildings",SITE_COEFFS!$B:$B,$Q59))</f>
        <v/>
      </c>
      <c r="S59" s="19"/>
      <c r="T59" s="30" t="str">
        <f>IF($S59="","",SUMIFS(SITE_COEFFS!$C:$C,SITE_COEFFS!$A:$A,"MachineryAllowed",SITE_COEFFS!$B:$B,$S59))</f>
        <v/>
      </c>
      <c r="U59" s="19"/>
      <c r="V59" s="19"/>
      <c r="W59" s="30" t="str">
        <f>IF($V59="","",SUMIFS(SITE_COEFFS!$C:$C,SITE_COEFFS!$A:$A,"GeometryComplexity",SITE_COEFFS!$B:$B,$V59))</f>
        <v/>
      </c>
      <c r="X59" s="19"/>
      <c r="Y59" s="19" t="str">
        <f>IF($X59="","",SUMIFS(TARIFF_PROFILES!$D:$D,TARIFF_PROFILES!$A:$A,$X59))</f>
        <v/>
      </c>
      <c r="Z59" s="19" t="str">
        <f>IF($X59="","",SUMIFS(TARIFF_PROFILES!$E:$E,TARIFF_PROFILES!$A:$A,$X59))</f>
        <v/>
      </c>
      <c r="AA59" s="19" t="str">
        <f>IF($X59="","",SUMIFS(TARIFF_PROFILES!$F:$F,TARIFF_PROFILES!$A:$A,$X59))</f>
        <v/>
      </c>
      <c r="AB59" s="19" t="str">
        <f>IF($X59="","",SUMIFS(TARIFF_PROFILES!$G:$G,TARIFF_PROFILES!$A:$A,$X59))</f>
        <v/>
      </c>
      <c r="AC59" s="19" t="str">
        <f>IF($X59="","",SUMIFS(TARIFF_PROFILES!$H:$H,TARIFF_PROFILES!$A:$A,$X59))</f>
        <v/>
      </c>
      <c r="AD59" s="19" t="str">
        <f>IF($X59="","",INDEX(TARIFF_PROFILES!$J:$J,MATCH($X59,TARIFF_PROFILES!$A:$A,0)))</f>
        <v/>
      </c>
      <c r="AE59" s="19" t="str">
        <f>IF($X59="","",INDEX(TARIFF_PROFILES!$K:$K,MATCH($X59,TARIFF_PROFILES!$A:$A,0)))</f>
        <v/>
      </c>
      <c r="AF59" s="17"/>
      <c r="AG59" s="17"/>
      <c r="AH59" s="17" t="str">
        <f>IF($AG59="","",SUMIFS(OPERATING_COEFFS!$C:$C,OPERATING_COEFFS!$A:$A,"DistanceClass",OPERATING_COEFFS!$B:$B,$AG59))</f>
        <v/>
      </c>
      <c r="AI59" s="17"/>
      <c r="AJ59" s="17" t="str">
        <f>IF($AI59="","",SUMIFS(OPERATING_COEFFS!$C:$C,OPERATING_COEFFS!$A:$A,"SeasonClass",OPERATING_COEFFS!$B:$B,$AI59))</f>
        <v/>
      </c>
      <c r="AK59" s="17"/>
      <c r="AL59" s="17" t="str">
        <f>IF($AK59="","",SUMIFS(OPERATING_COEFFS!$C:$C,OPERATING_COEFFS!$A:$A,"UrgencyClass",OPERATING_COEFFS!$B:$B,$AK59))</f>
        <v/>
      </c>
      <c r="AM59" s="17"/>
      <c r="AN59" s="17" t="str">
        <f>IF($AM59="","",INDEX(TAX_MODES!$B:$B,MATCH($AM59,TAX_MODES!$A:$A,0)))</f>
        <v/>
      </c>
      <c r="AO59" s="17"/>
      <c r="AP59" s="17"/>
    </row>
    <row r="60" spans="1:42" x14ac:dyDescent="0.3">
      <c r="A60" s="19"/>
      <c r="B60" s="19"/>
      <c r="C60" s="19"/>
      <c r="D60" s="30" t="str">
        <f>IF($C60="","",SUMIFS(SITE_COEFFS!$C:$C,SITE_COEFFS!$A:$A,"SoilWorkability",SITE_COEFFS!$B:$B,$C60))</f>
        <v/>
      </c>
      <c r="E60" s="19"/>
      <c r="F60" s="30" t="str">
        <f>IF($E60="","",SUMIFS(SITE_COEFFS!$C:$C,SITE_COEFFS!$A:$A,"SoilMoisture",SITE_COEFFS!$B:$B,$E60))</f>
        <v/>
      </c>
      <c r="G60" s="19"/>
      <c r="H60" s="30" t="str">
        <f>IF($G60="","",SUMIFS(SITE_COEFFS!$C:$C,SITE_COEFFS!$A:$A,"DebrisLevel",SITE_COEFFS!$B:$B,$G60))</f>
        <v/>
      </c>
      <c r="I60" s="19"/>
      <c r="J60" s="30" t="str">
        <f>IF($I60="","",SUMIFS(SITE_COEFFS!$C:$C,SITE_COEFFS!$A:$A,"SlopeClass",SITE_COEFFS!$B:$B,$I60))</f>
        <v/>
      </c>
      <c r="K60" s="19"/>
      <c r="L60" s="30" t="str">
        <f>IF($K60="","",SUMIFS(SITE_COEFFS!$C:$C,SITE_COEFFS!$A:$A,"SurfaceUnevenness",SITE_COEFFS!$B:$B,$K60))</f>
        <v/>
      </c>
      <c r="M60" s="19"/>
      <c r="N60" s="30" t="str">
        <f>IF($M60="","",SUMIFS(SITE_COEFFS!$C:$C,SITE_COEFFS!$A:$A,"AccessClass",SITE_COEFFS!$B:$B,$M60))</f>
        <v/>
      </c>
      <c r="O60" s="19"/>
      <c r="P60" s="30" t="str">
        <f>IF($O60="","",SUMIFS(SITE_COEFFS!$C:$C,SITE_COEFFS!$A:$A,"TurnSpace",SITE_COEFFS!$B:$B,$O60))</f>
        <v/>
      </c>
      <c r="Q60" s="19"/>
      <c r="R60" s="30" t="str">
        <f>IF($Q60="","",SUMIFS(SITE_COEFFS!$C:$C,SITE_COEFFS!$A:$A,"ProximityToBuildings",SITE_COEFFS!$B:$B,$Q60))</f>
        <v/>
      </c>
      <c r="S60" s="19"/>
      <c r="T60" s="30" t="str">
        <f>IF($S60="","",SUMIFS(SITE_COEFFS!$C:$C,SITE_COEFFS!$A:$A,"MachineryAllowed",SITE_COEFFS!$B:$B,$S60))</f>
        <v/>
      </c>
      <c r="U60" s="19"/>
      <c r="V60" s="19"/>
      <c r="W60" s="30" t="str">
        <f>IF($V60="","",SUMIFS(SITE_COEFFS!$C:$C,SITE_COEFFS!$A:$A,"GeometryComplexity",SITE_COEFFS!$B:$B,$V60))</f>
        <v/>
      </c>
      <c r="X60" s="19"/>
      <c r="Y60" s="19" t="str">
        <f>IF($X60="","",SUMIFS(TARIFF_PROFILES!$D:$D,TARIFF_PROFILES!$A:$A,$X60))</f>
        <v/>
      </c>
      <c r="Z60" s="19" t="str">
        <f>IF($X60="","",SUMIFS(TARIFF_PROFILES!$E:$E,TARIFF_PROFILES!$A:$A,$X60))</f>
        <v/>
      </c>
      <c r="AA60" s="19" t="str">
        <f>IF($X60="","",SUMIFS(TARIFF_PROFILES!$F:$F,TARIFF_PROFILES!$A:$A,$X60))</f>
        <v/>
      </c>
      <c r="AB60" s="19" t="str">
        <f>IF($X60="","",SUMIFS(TARIFF_PROFILES!$G:$G,TARIFF_PROFILES!$A:$A,$X60))</f>
        <v/>
      </c>
      <c r="AC60" s="19" t="str">
        <f>IF($X60="","",SUMIFS(TARIFF_PROFILES!$H:$H,TARIFF_PROFILES!$A:$A,$X60))</f>
        <v/>
      </c>
      <c r="AD60" s="19" t="str">
        <f>IF($X60="","",INDEX(TARIFF_PROFILES!$J:$J,MATCH($X60,TARIFF_PROFILES!$A:$A,0)))</f>
        <v/>
      </c>
      <c r="AE60" s="19" t="str">
        <f>IF($X60="","",INDEX(TARIFF_PROFILES!$K:$K,MATCH($X60,TARIFF_PROFILES!$A:$A,0)))</f>
        <v/>
      </c>
      <c r="AF60" s="17"/>
      <c r="AG60" s="17"/>
      <c r="AH60" s="17" t="str">
        <f>IF($AG60="","",SUMIFS(OPERATING_COEFFS!$C:$C,OPERATING_COEFFS!$A:$A,"DistanceClass",OPERATING_COEFFS!$B:$B,$AG60))</f>
        <v/>
      </c>
      <c r="AI60" s="17"/>
      <c r="AJ60" s="17" t="str">
        <f>IF($AI60="","",SUMIFS(OPERATING_COEFFS!$C:$C,OPERATING_COEFFS!$A:$A,"SeasonClass",OPERATING_COEFFS!$B:$B,$AI60))</f>
        <v/>
      </c>
      <c r="AK60" s="17"/>
      <c r="AL60" s="17" t="str">
        <f>IF($AK60="","",SUMIFS(OPERATING_COEFFS!$C:$C,OPERATING_COEFFS!$A:$A,"UrgencyClass",OPERATING_COEFFS!$B:$B,$AK60))</f>
        <v/>
      </c>
      <c r="AM60" s="17"/>
      <c r="AN60" s="17" t="str">
        <f>IF($AM60="","",INDEX(TAX_MODES!$B:$B,MATCH($AM60,TAX_MODES!$A:$A,0)))</f>
        <v/>
      </c>
      <c r="AO60" s="17"/>
      <c r="AP60" s="17"/>
    </row>
    <row r="61" spans="1:42" x14ac:dyDescent="0.3">
      <c r="A61" s="13"/>
      <c r="B61" s="13"/>
      <c r="C61" s="13"/>
      <c r="D61" s="21" t="str">
        <f>IF($C61="","",SUMIFS(SITE_COEFFS!$C:$C,SITE_COEFFS!$A:$A,"SoilWorkability",SITE_COEFFS!$B:$B,$C61))</f>
        <v/>
      </c>
      <c r="E61" s="13"/>
      <c r="F61" s="21" t="str">
        <f>IF($E61="","",SUMIFS(SITE_COEFFS!$C:$C,SITE_COEFFS!$A:$A,"SoilMoisture",SITE_COEFFS!$B:$B,$E61))</f>
        <v/>
      </c>
      <c r="G61" s="13"/>
      <c r="H61" s="21" t="str">
        <f>IF($G61="","",SUMIFS(SITE_COEFFS!$C:$C,SITE_COEFFS!$A:$A,"DebrisLevel",SITE_COEFFS!$B:$B,$G61))</f>
        <v/>
      </c>
      <c r="I61" s="13"/>
      <c r="J61" s="21" t="str">
        <f>IF($I61="","",SUMIFS(SITE_COEFFS!$C:$C,SITE_COEFFS!$A:$A,"SlopeClass",SITE_COEFFS!$B:$B,$I61))</f>
        <v/>
      </c>
      <c r="K61" s="13"/>
      <c r="L61" s="21" t="str">
        <f>IF($K61="","",SUMIFS(SITE_COEFFS!$C:$C,SITE_COEFFS!$A:$A,"SurfaceUnevenness",SITE_COEFFS!$B:$B,$K61))</f>
        <v/>
      </c>
      <c r="M61" s="13"/>
      <c r="N61" s="21" t="str">
        <f>IF($M61="","",SUMIFS(SITE_COEFFS!$C:$C,SITE_COEFFS!$A:$A,"AccessClass",SITE_COEFFS!$B:$B,$M61))</f>
        <v/>
      </c>
      <c r="O61" s="13"/>
      <c r="P61" s="21" t="str">
        <f>IF($O61="","",SUMIFS(SITE_COEFFS!$C:$C,SITE_COEFFS!$A:$A,"TurnSpace",SITE_COEFFS!$B:$B,$O61))</f>
        <v/>
      </c>
      <c r="Q61" s="13"/>
      <c r="R61" s="21" t="str">
        <f>IF($Q61="","",SUMIFS(SITE_COEFFS!$C:$C,SITE_COEFFS!$A:$A,"ProximityToBuildings",SITE_COEFFS!$B:$B,$Q61))</f>
        <v/>
      </c>
      <c r="S61" s="13"/>
      <c r="T61" s="21" t="str">
        <f>IF($S61="","",SUMIFS(SITE_COEFFS!$C:$C,SITE_COEFFS!$A:$A,"MachineryAllowed",SITE_COEFFS!$B:$B,$S61))</f>
        <v/>
      </c>
      <c r="U61" s="13"/>
      <c r="V61" s="13"/>
      <c r="W61" s="21" t="str">
        <f>IF($V61="","",SUMIFS(SITE_COEFFS!$C:$C,SITE_COEFFS!$A:$A,"GeometryComplexity",SITE_COEFFS!$B:$B,$V61))</f>
        <v/>
      </c>
      <c r="X61" s="13"/>
      <c r="Y61" s="13" t="str">
        <f>IF($X61="","",SUMIFS(TARIFF_PROFILES!$D:$D,TARIFF_PROFILES!$A:$A,$X61))</f>
        <v/>
      </c>
      <c r="Z61" s="13" t="str">
        <f>IF($X61="","",SUMIFS(TARIFF_PROFILES!$E:$E,TARIFF_PROFILES!$A:$A,$X61))</f>
        <v/>
      </c>
      <c r="AA61" s="13" t="str">
        <f>IF($X61="","",SUMIFS(TARIFF_PROFILES!$F:$F,TARIFF_PROFILES!$A:$A,$X61))</f>
        <v/>
      </c>
      <c r="AB61" s="13" t="str">
        <f>IF($X61="","",SUMIFS(TARIFF_PROFILES!$G:$G,TARIFF_PROFILES!$A:$A,$X61))</f>
        <v/>
      </c>
      <c r="AC61" s="13" t="str">
        <f>IF($X61="","",SUMIFS(TARIFF_PROFILES!$H:$H,TARIFF_PROFILES!$A:$A,$X61))</f>
        <v/>
      </c>
      <c r="AD61" s="13" t="str">
        <f>IF($X61="","",INDEX(TARIFF_PROFILES!$J:$J,MATCH($X61,TARIFF_PROFILES!$A:$A,0)))</f>
        <v/>
      </c>
      <c r="AE61" s="13" t="str">
        <f>IF($X61="","",INDEX(TARIFF_PROFILES!$K:$K,MATCH($X61,TARIFF_PROFILES!$A:$A,0)))</f>
        <v/>
      </c>
      <c r="AH61" t="str">
        <f>IF($AG61="","",SUMIFS(OPERATING_COEFFS!$C:$C,OPERATING_COEFFS!$A:$A,"DistanceClass",OPERATING_COEFFS!$B:$B,$AG61))</f>
        <v/>
      </c>
      <c r="AJ61" t="str">
        <f>IF($AI61="","",SUMIFS(OPERATING_COEFFS!$C:$C,OPERATING_COEFFS!$A:$A,"SeasonClass",OPERATING_COEFFS!$B:$B,$AI61))</f>
        <v/>
      </c>
      <c r="AL61" t="str">
        <f>IF($AK61="","",SUMIFS(OPERATING_COEFFS!$C:$C,OPERATING_COEFFS!$A:$A,"UrgencyClass",OPERATING_COEFFS!$B:$B,$AK61))</f>
        <v/>
      </c>
      <c r="AN61" t="str">
        <f>IF($AM61="","",INDEX(TAX_MODES!$B:$B,MATCH($AM61,TAX_MODES!$A:$A,0)))</f>
        <v/>
      </c>
    </row>
    <row r="62" spans="1:42" x14ac:dyDescent="0.3">
      <c r="A62" s="13"/>
      <c r="B62" s="13"/>
      <c r="C62" s="13"/>
      <c r="D62" s="21" t="str">
        <f>IF($C62="","",SUMIFS(SITE_COEFFS!$C:$C,SITE_COEFFS!$A:$A,"SoilWorkability",SITE_COEFFS!$B:$B,$C62))</f>
        <v/>
      </c>
      <c r="E62" s="13"/>
      <c r="F62" s="21" t="str">
        <f>IF($E62="","",SUMIFS(SITE_COEFFS!$C:$C,SITE_COEFFS!$A:$A,"SoilMoisture",SITE_COEFFS!$B:$B,$E62))</f>
        <v/>
      </c>
      <c r="G62" s="13"/>
      <c r="H62" s="21" t="str">
        <f>IF($G62="","",SUMIFS(SITE_COEFFS!$C:$C,SITE_COEFFS!$A:$A,"DebrisLevel",SITE_COEFFS!$B:$B,$G62))</f>
        <v/>
      </c>
      <c r="I62" s="13"/>
      <c r="J62" s="21" t="str">
        <f>IF($I62="","",SUMIFS(SITE_COEFFS!$C:$C,SITE_COEFFS!$A:$A,"SlopeClass",SITE_COEFFS!$B:$B,$I62))</f>
        <v/>
      </c>
      <c r="K62" s="13"/>
      <c r="L62" s="21" t="str">
        <f>IF($K62="","",SUMIFS(SITE_COEFFS!$C:$C,SITE_COEFFS!$A:$A,"SurfaceUnevenness",SITE_COEFFS!$B:$B,$K62))</f>
        <v/>
      </c>
      <c r="M62" s="13"/>
      <c r="N62" s="21" t="str">
        <f>IF($M62="","",SUMIFS(SITE_COEFFS!$C:$C,SITE_COEFFS!$A:$A,"AccessClass",SITE_COEFFS!$B:$B,$M62))</f>
        <v/>
      </c>
      <c r="O62" s="13"/>
      <c r="P62" s="21" t="str">
        <f>IF($O62="","",SUMIFS(SITE_COEFFS!$C:$C,SITE_COEFFS!$A:$A,"TurnSpace",SITE_COEFFS!$B:$B,$O62))</f>
        <v/>
      </c>
      <c r="Q62" s="13"/>
      <c r="R62" s="21" t="str">
        <f>IF($Q62="","",SUMIFS(SITE_COEFFS!$C:$C,SITE_COEFFS!$A:$A,"ProximityToBuildings",SITE_COEFFS!$B:$B,$Q62))</f>
        <v/>
      </c>
      <c r="S62" s="13"/>
      <c r="T62" s="21" t="str">
        <f>IF($S62="","",SUMIFS(SITE_COEFFS!$C:$C,SITE_COEFFS!$A:$A,"MachineryAllowed",SITE_COEFFS!$B:$B,$S62))</f>
        <v/>
      </c>
      <c r="U62" s="13"/>
      <c r="V62" s="13"/>
      <c r="W62" s="21" t="str">
        <f>IF($V62="","",SUMIFS(SITE_COEFFS!$C:$C,SITE_COEFFS!$A:$A,"GeometryComplexity",SITE_COEFFS!$B:$B,$V62))</f>
        <v/>
      </c>
      <c r="X62" s="13"/>
      <c r="Y62" s="13" t="str">
        <f>IF($X62="","",SUMIFS(TARIFF_PROFILES!$D:$D,TARIFF_PROFILES!$A:$A,$X62))</f>
        <v/>
      </c>
      <c r="Z62" s="13" t="str">
        <f>IF($X62="","",SUMIFS(TARIFF_PROFILES!$E:$E,TARIFF_PROFILES!$A:$A,$X62))</f>
        <v/>
      </c>
      <c r="AA62" s="13" t="str">
        <f>IF($X62="","",SUMIFS(TARIFF_PROFILES!$F:$F,TARIFF_PROFILES!$A:$A,$X62))</f>
        <v/>
      </c>
      <c r="AB62" s="13" t="str">
        <f>IF($X62="","",SUMIFS(TARIFF_PROFILES!$G:$G,TARIFF_PROFILES!$A:$A,$X62))</f>
        <v/>
      </c>
      <c r="AC62" s="13" t="str">
        <f>IF($X62="","",SUMIFS(TARIFF_PROFILES!$H:$H,TARIFF_PROFILES!$A:$A,$X62))</f>
        <v/>
      </c>
      <c r="AD62" s="13" t="str">
        <f>IF($X62="","",INDEX(TARIFF_PROFILES!$J:$J,MATCH($X62,TARIFF_PROFILES!$A:$A,0)))</f>
        <v/>
      </c>
      <c r="AE62" s="13" t="str">
        <f>IF($X62="","",INDEX(TARIFF_PROFILES!$K:$K,MATCH($X62,TARIFF_PROFILES!$A:$A,0)))</f>
        <v/>
      </c>
      <c r="AH62" t="str">
        <f>IF($AG62="","",SUMIFS(OPERATING_COEFFS!$C:$C,OPERATING_COEFFS!$A:$A,"DistanceClass",OPERATING_COEFFS!$B:$B,$AG62))</f>
        <v/>
      </c>
      <c r="AJ62" t="str">
        <f>IF($AI62="","",SUMIFS(OPERATING_COEFFS!$C:$C,OPERATING_COEFFS!$A:$A,"SeasonClass",OPERATING_COEFFS!$B:$B,$AI62))</f>
        <v/>
      </c>
      <c r="AL62" t="str">
        <f>IF($AK62="","",SUMIFS(OPERATING_COEFFS!$C:$C,OPERATING_COEFFS!$A:$A,"UrgencyClass",OPERATING_COEFFS!$B:$B,$AK62))</f>
        <v/>
      </c>
      <c r="AN62" t="str">
        <f>IF($AM62="","",INDEX(TAX_MODES!$B:$B,MATCH($AM62,TAX_MODES!$A:$A,0)))</f>
        <v/>
      </c>
    </row>
    <row r="63" spans="1:42" x14ac:dyDescent="0.3">
      <c r="A63" s="13"/>
      <c r="B63" s="13"/>
      <c r="C63" s="13"/>
      <c r="D63" s="21" t="str">
        <f>IF($C63="","",SUMIFS(SITE_COEFFS!$C:$C,SITE_COEFFS!$A:$A,"SoilWorkability",SITE_COEFFS!$B:$B,$C63))</f>
        <v/>
      </c>
      <c r="E63" s="13"/>
      <c r="F63" s="21" t="str">
        <f>IF($E63="","",SUMIFS(SITE_COEFFS!$C:$C,SITE_COEFFS!$A:$A,"SoilMoisture",SITE_COEFFS!$B:$B,$E63))</f>
        <v/>
      </c>
      <c r="G63" s="13"/>
      <c r="H63" s="21" t="str">
        <f>IF($G63="","",SUMIFS(SITE_COEFFS!$C:$C,SITE_COEFFS!$A:$A,"DebrisLevel",SITE_COEFFS!$B:$B,$G63))</f>
        <v/>
      </c>
      <c r="I63" s="13"/>
      <c r="J63" s="21" t="str">
        <f>IF($I63="","",SUMIFS(SITE_COEFFS!$C:$C,SITE_COEFFS!$A:$A,"SlopeClass",SITE_COEFFS!$B:$B,$I63))</f>
        <v/>
      </c>
      <c r="K63" s="13"/>
      <c r="L63" s="21" t="str">
        <f>IF($K63="","",SUMIFS(SITE_COEFFS!$C:$C,SITE_COEFFS!$A:$A,"SurfaceUnevenness",SITE_COEFFS!$B:$B,$K63))</f>
        <v/>
      </c>
      <c r="M63" s="13"/>
      <c r="N63" s="21" t="str">
        <f>IF($M63="","",SUMIFS(SITE_COEFFS!$C:$C,SITE_COEFFS!$A:$A,"AccessClass",SITE_COEFFS!$B:$B,$M63))</f>
        <v/>
      </c>
      <c r="O63" s="13"/>
      <c r="P63" s="21" t="str">
        <f>IF($O63="","",SUMIFS(SITE_COEFFS!$C:$C,SITE_COEFFS!$A:$A,"TurnSpace",SITE_COEFFS!$B:$B,$O63))</f>
        <v/>
      </c>
      <c r="Q63" s="13"/>
      <c r="R63" s="21" t="str">
        <f>IF($Q63="","",SUMIFS(SITE_COEFFS!$C:$C,SITE_COEFFS!$A:$A,"ProximityToBuildings",SITE_COEFFS!$B:$B,$Q63))</f>
        <v/>
      </c>
      <c r="S63" s="13"/>
      <c r="T63" s="21" t="str">
        <f>IF($S63="","",SUMIFS(SITE_COEFFS!$C:$C,SITE_COEFFS!$A:$A,"MachineryAllowed",SITE_COEFFS!$B:$B,$S63))</f>
        <v/>
      </c>
      <c r="U63" s="13"/>
      <c r="V63" s="13"/>
      <c r="W63" s="21" t="str">
        <f>IF($V63="","",SUMIFS(SITE_COEFFS!$C:$C,SITE_COEFFS!$A:$A,"GeometryComplexity",SITE_COEFFS!$B:$B,$V63))</f>
        <v/>
      </c>
      <c r="X63" s="13"/>
      <c r="Y63" s="13" t="str">
        <f>IF($X63="","",SUMIFS(TARIFF_PROFILES!$D:$D,TARIFF_PROFILES!$A:$A,$X63))</f>
        <v/>
      </c>
      <c r="Z63" s="13" t="str">
        <f>IF($X63="","",SUMIFS(TARIFF_PROFILES!$E:$E,TARIFF_PROFILES!$A:$A,$X63))</f>
        <v/>
      </c>
      <c r="AA63" s="13" t="str">
        <f>IF($X63="","",SUMIFS(TARIFF_PROFILES!$F:$F,TARIFF_PROFILES!$A:$A,$X63))</f>
        <v/>
      </c>
      <c r="AB63" s="13" t="str">
        <f>IF($X63="","",SUMIFS(TARIFF_PROFILES!$G:$G,TARIFF_PROFILES!$A:$A,$X63))</f>
        <v/>
      </c>
      <c r="AC63" s="13" t="str">
        <f>IF($X63="","",SUMIFS(TARIFF_PROFILES!$H:$H,TARIFF_PROFILES!$A:$A,$X63))</f>
        <v/>
      </c>
      <c r="AD63" s="13" t="str">
        <f>IF($X63="","",INDEX(TARIFF_PROFILES!$J:$J,MATCH($X63,TARIFF_PROFILES!$A:$A,0)))</f>
        <v/>
      </c>
      <c r="AE63" s="13" t="str">
        <f>IF($X63="","",INDEX(TARIFF_PROFILES!$K:$K,MATCH($X63,TARIFF_PROFILES!$A:$A,0)))</f>
        <v/>
      </c>
      <c r="AH63" t="str">
        <f>IF($AG63="","",SUMIFS(OPERATING_COEFFS!$C:$C,OPERATING_COEFFS!$A:$A,"DistanceClass",OPERATING_COEFFS!$B:$B,$AG63))</f>
        <v/>
      </c>
      <c r="AJ63" t="str">
        <f>IF($AI63="","",SUMIFS(OPERATING_COEFFS!$C:$C,OPERATING_COEFFS!$A:$A,"SeasonClass",OPERATING_COEFFS!$B:$B,$AI63))</f>
        <v/>
      </c>
      <c r="AL63" t="str">
        <f>IF($AK63="","",SUMIFS(OPERATING_COEFFS!$C:$C,OPERATING_COEFFS!$A:$A,"UrgencyClass",OPERATING_COEFFS!$B:$B,$AK63))</f>
        <v/>
      </c>
      <c r="AN63" t="str">
        <f>IF($AM63="","",INDEX(TAX_MODES!$B:$B,MATCH($AM63,TAX_MODES!$A:$A,0)))</f>
        <v/>
      </c>
    </row>
    <row r="64" spans="1:42" x14ac:dyDescent="0.3">
      <c r="A64" s="13"/>
      <c r="B64" s="13"/>
      <c r="C64" s="13"/>
      <c r="D64" s="21" t="str">
        <f>IF($C64="","",SUMIFS(SITE_COEFFS!$C:$C,SITE_COEFFS!$A:$A,"SoilWorkability",SITE_COEFFS!$B:$B,$C64))</f>
        <v/>
      </c>
      <c r="E64" s="13"/>
      <c r="F64" s="21" t="str">
        <f>IF($E64="","",SUMIFS(SITE_COEFFS!$C:$C,SITE_COEFFS!$A:$A,"SoilMoisture",SITE_COEFFS!$B:$B,$E64))</f>
        <v/>
      </c>
      <c r="G64" s="13"/>
      <c r="H64" s="21" t="str">
        <f>IF($G64="","",SUMIFS(SITE_COEFFS!$C:$C,SITE_COEFFS!$A:$A,"DebrisLevel",SITE_COEFFS!$B:$B,$G64))</f>
        <v/>
      </c>
      <c r="I64" s="13"/>
      <c r="J64" s="21" t="str">
        <f>IF($I64="","",SUMIFS(SITE_COEFFS!$C:$C,SITE_COEFFS!$A:$A,"SlopeClass",SITE_COEFFS!$B:$B,$I64))</f>
        <v/>
      </c>
      <c r="K64" s="13"/>
      <c r="L64" s="21" t="str">
        <f>IF($K64="","",SUMIFS(SITE_COEFFS!$C:$C,SITE_COEFFS!$A:$A,"SurfaceUnevenness",SITE_COEFFS!$B:$B,$K64))</f>
        <v/>
      </c>
      <c r="M64" s="13"/>
      <c r="N64" s="21" t="str">
        <f>IF($M64="","",SUMIFS(SITE_COEFFS!$C:$C,SITE_COEFFS!$A:$A,"AccessClass",SITE_COEFFS!$B:$B,$M64))</f>
        <v/>
      </c>
      <c r="O64" s="13"/>
      <c r="P64" s="21" t="str">
        <f>IF($O64="","",SUMIFS(SITE_COEFFS!$C:$C,SITE_COEFFS!$A:$A,"TurnSpace",SITE_COEFFS!$B:$B,$O64))</f>
        <v/>
      </c>
      <c r="Q64" s="13"/>
      <c r="R64" s="21" t="str">
        <f>IF($Q64="","",SUMIFS(SITE_COEFFS!$C:$C,SITE_COEFFS!$A:$A,"ProximityToBuildings",SITE_COEFFS!$B:$B,$Q64))</f>
        <v/>
      </c>
      <c r="S64" s="13"/>
      <c r="T64" s="21" t="str">
        <f>IF($S64="","",SUMIFS(SITE_COEFFS!$C:$C,SITE_COEFFS!$A:$A,"MachineryAllowed",SITE_COEFFS!$B:$B,$S64))</f>
        <v/>
      </c>
      <c r="U64" s="13"/>
      <c r="V64" s="13"/>
      <c r="W64" s="21" t="str">
        <f>IF($V64="","",SUMIFS(SITE_COEFFS!$C:$C,SITE_COEFFS!$A:$A,"GeometryComplexity",SITE_COEFFS!$B:$B,$V64))</f>
        <v/>
      </c>
      <c r="X64" s="13"/>
      <c r="Y64" s="13" t="str">
        <f>IF($X64="","",SUMIFS(TARIFF_PROFILES!$D:$D,TARIFF_PROFILES!$A:$A,$X64))</f>
        <v/>
      </c>
      <c r="Z64" s="13" t="str">
        <f>IF($X64="","",SUMIFS(TARIFF_PROFILES!$E:$E,TARIFF_PROFILES!$A:$A,$X64))</f>
        <v/>
      </c>
      <c r="AA64" s="13" t="str">
        <f>IF($X64="","",SUMIFS(TARIFF_PROFILES!$F:$F,TARIFF_PROFILES!$A:$A,$X64))</f>
        <v/>
      </c>
      <c r="AB64" s="13" t="str">
        <f>IF($X64="","",SUMIFS(TARIFF_PROFILES!$G:$G,TARIFF_PROFILES!$A:$A,$X64))</f>
        <v/>
      </c>
      <c r="AC64" s="13" t="str">
        <f>IF($X64="","",SUMIFS(TARIFF_PROFILES!$H:$H,TARIFF_PROFILES!$A:$A,$X64))</f>
        <v/>
      </c>
      <c r="AD64" s="13" t="str">
        <f>IF($X64="","",INDEX(TARIFF_PROFILES!$J:$J,MATCH($X64,TARIFF_PROFILES!$A:$A,0)))</f>
        <v/>
      </c>
      <c r="AE64" s="13" t="str">
        <f>IF($X64="","",INDEX(TARIFF_PROFILES!$K:$K,MATCH($X64,TARIFF_PROFILES!$A:$A,0)))</f>
        <v/>
      </c>
      <c r="AH64" t="str">
        <f>IF($AG64="","",SUMIFS(OPERATING_COEFFS!$C:$C,OPERATING_COEFFS!$A:$A,"DistanceClass",OPERATING_COEFFS!$B:$B,$AG64))</f>
        <v/>
      </c>
      <c r="AJ64" t="str">
        <f>IF($AI64="","",SUMIFS(OPERATING_COEFFS!$C:$C,OPERATING_COEFFS!$A:$A,"SeasonClass",OPERATING_COEFFS!$B:$B,$AI64))</f>
        <v/>
      </c>
      <c r="AL64" t="str">
        <f>IF($AK64="","",SUMIFS(OPERATING_COEFFS!$C:$C,OPERATING_COEFFS!$A:$A,"UrgencyClass",OPERATING_COEFFS!$B:$B,$AK64))</f>
        <v/>
      </c>
      <c r="AN64" t="str">
        <f>IF($AM64="","",INDEX(TAX_MODES!$B:$B,MATCH($AM64,TAX_MODES!$A:$A,0)))</f>
        <v/>
      </c>
    </row>
    <row r="65" spans="1:40" x14ac:dyDescent="0.3">
      <c r="A65" s="13"/>
      <c r="B65" s="13"/>
      <c r="C65" s="13"/>
      <c r="D65" s="21" t="str">
        <f>IF($C65="","",SUMIFS(SITE_COEFFS!$C:$C,SITE_COEFFS!$A:$A,"SoilWorkability",SITE_COEFFS!$B:$B,$C65))</f>
        <v/>
      </c>
      <c r="E65" s="13"/>
      <c r="F65" s="21" t="str">
        <f>IF($E65="","",SUMIFS(SITE_COEFFS!$C:$C,SITE_COEFFS!$A:$A,"SoilMoisture",SITE_COEFFS!$B:$B,$E65))</f>
        <v/>
      </c>
      <c r="G65" s="13"/>
      <c r="H65" s="21" t="str">
        <f>IF($G65="","",SUMIFS(SITE_COEFFS!$C:$C,SITE_COEFFS!$A:$A,"DebrisLevel",SITE_COEFFS!$B:$B,$G65))</f>
        <v/>
      </c>
      <c r="I65" s="13"/>
      <c r="J65" s="21" t="str">
        <f>IF($I65="","",SUMIFS(SITE_COEFFS!$C:$C,SITE_COEFFS!$A:$A,"SlopeClass",SITE_COEFFS!$B:$B,$I65))</f>
        <v/>
      </c>
      <c r="K65" s="13"/>
      <c r="L65" s="21" t="str">
        <f>IF($K65="","",SUMIFS(SITE_COEFFS!$C:$C,SITE_COEFFS!$A:$A,"SurfaceUnevenness",SITE_COEFFS!$B:$B,$K65))</f>
        <v/>
      </c>
      <c r="M65" s="13"/>
      <c r="N65" s="21" t="str">
        <f>IF($M65="","",SUMIFS(SITE_COEFFS!$C:$C,SITE_COEFFS!$A:$A,"AccessClass",SITE_COEFFS!$B:$B,$M65))</f>
        <v/>
      </c>
      <c r="O65" s="13"/>
      <c r="P65" s="21" t="str">
        <f>IF($O65="","",SUMIFS(SITE_COEFFS!$C:$C,SITE_COEFFS!$A:$A,"TurnSpace",SITE_COEFFS!$B:$B,$O65))</f>
        <v/>
      </c>
      <c r="Q65" s="13"/>
      <c r="R65" s="21" t="str">
        <f>IF($Q65="","",SUMIFS(SITE_COEFFS!$C:$C,SITE_COEFFS!$A:$A,"ProximityToBuildings",SITE_COEFFS!$B:$B,$Q65))</f>
        <v/>
      </c>
      <c r="S65" s="13"/>
      <c r="T65" s="21" t="str">
        <f>IF($S65="","",SUMIFS(SITE_COEFFS!$C:$C,SITE_COEFFS!$A:$A,"MachineryAllowed",SITE_COEFFS!$B:$B,$S65))</f>
        <v/>
      </c>
      <c r="U65" s="13"/>
      <c r="V65" s="13"/>
      <c r="W65" s="21" t="str">
        <f>IF($V65="","",SUMIFS(SITE_COEFFS!$C:$C,SITE_COEFFS!$A:$A,"GeometryComplexity",SITE_COEFFS!$B:$B,$V65))</f>
        <v/>
      </c>
      <c r="X65" s="13"/>
      <c r="Y65" s="13" t="str">
        <f>IF($X65="","",SUMIFS(TARIFF_PROFILES!$D:$D,TARIFF_PROFILES!$A:$A,$X65))</f>
        <v/>
      </c>
      <c r="Z65" s="13" t="str">
        <f>IF($X65="","",SUMIFS(TARIFF_PROFILES!$E:$E,TARIFF_PROFILES!$A:$A,$X65))</f>
        <v/>
      </c>
      <c r="AA65" s="13" t="str">
        <f>IF($X65="","",SUMIFS(TARIFF_PROFILES!$F:$F,TARIFF_PROFILES!$A:$A,$X65))</f>
        <v/>
      </c>
      <c r="AB65" s="13" t="str">
        <f>IF($X65="","",SUMIFS(TARIFF_PROFILES!$G:$G,TARIFF_PROFILES!$A:$A,$X65))</f>
        <v/>
      </c>
      <c r="AC65" s="13" t="str">
        <f>IF($X65="","",SUMIFS(TARIFF_PROFILES!$H:$H,TARIFF_PROFILES!$A:$A,$X65))</f>
        <v/>
      </c>
      <c r="AD65" s="13" t="str">
        <f>IF($X65="","",INDEX(TARIFF_PROFILES!$J:$J,MATCH($X65,TARIFF_PROFILES!$A:$A,0)))</f>
        <v/>
      </c>
      <c r="AE65" s="13" t="str">
        <f>IF($X65="","",INDEX(TARIFF_PROFILES!$K:$K,MATCH($X65,TARIFF_PROFILES!$A:$A,0)))</f>
        <v/>
      </c>
      <c r="AH65" t="str">
        <f>IF($AG65="","",SUMIFS(OPERATING_COEFFS!$C:$C,OPERATING_COEFFS!$A:$A,"DistanceClass",OPERATING_COEFFS!$B:$B,$AG65))</f>
        <v/>
      </c>
      <c r="AJ65" t="str">
        <f>IF($AI65="","",SUMIFS(OPERATING_COEFFS!$C:$C,OPERATING_COEFFS!$A:$A,"SeasonClass",OPERATING_COEFFS!$B:$B,$AI65))</f>
        <v/>
      </c>
      <c r="AL65" t="str">
        <f>IF($AK65="","",SUMIFS(OPERATING_COEFFS!$C:$C,OPERATING_COEFFS!$A:$A,"UrgencyClass",OPERATING_COEFFS!$B:$B,$AK65))</f>
        <v/>
      </c>
      <c r="AN65" t="str">
        <f>IF($AM65="","",INDEX(TAX_MODES!$B:$B,MATCH($AM65,TAX_MODES!$A:$A,0)))</f>
        <v/>
      </c>
    </row>
    <row r="66" spans="1:40" x14ac:dyDescent="0.3">
      <c r="A66" s="13"/>
      <c r="B66" s="13"/>
      <c r="C66" s="13"/>
      <c r="D66" s="21" t="str">
        <f>IF($C66="","",SUMIFS(SITE_COEFFS!$C:$C,SITE_COEFFS!$A:$A,"SoilWorkability",SITE_COEFFS!$B:$B,$C66))</f>
        <v/>
      </c>
      <c r="E66" s="13"/>
      <c r="F66" s="21" t="str">
        <f>IF($E66="","",SUMIFS(SITE_COEFFS!$C:$C,SITE_COEFFS!$A:$A,"SoilMoisture",SITE_COEFFS!$B:$B,$E66))</f>
        <v/>
      </c>
      <c r="G66" s="13"/>
      <c r="H66" s="21" t="str">
        <f>IF($G66="","",SUMIFS(SITE_COEFFS!$C:$C,SITE_COEFFS!$A:$A,"DebrisLevel",SITE_COEFFS!$B:$B,$G66))</f>
        <v/>
      </c>
      <c r="I66" s="13"/>
      <c r="J66" s="21" t="str">
        <f>IF($I66="","",SUMIFS(SITE_COEFFS!$C:$C,SITE_COEFFS!$A:$A,"SlopeClass",SITE_COEFFS!$B:$B,$I66))</f>
        <v/>
      </c>
      <c r="K66" s="13"/>
      <c r="L66" s="21" t="str">
        <f>IF($K66="","",SUMIFS(SITE_COEFFS!$C:$C,SITE_COEFFS!$A:$A,"SurfaceUnevenness",SITE_COEFFS!$B:$B,$K66))</f>
        <v/>
      </c>
      <c r="M66" s="13"/>
      <c r="N66" s="21" t="str">
        <f>IF($M66="","",SUMIFS(SITE_COEFFS!$C:$C,SITE_COEFFS!$A:$A,"AccessClass",SITE_COEFFS!$B:$B,$M66))</f>
        <v/>
      </c>
      <c r="O66" s="13"/>
      <c r="P66" s="21" t="str">
        <f>IF($O66="","",SUMIFS(SITE_COEFFS!$C:$C,SITE_COEFFS!$A:$A,"TurnSpace",SITE_COEFFS!$B:$B,$O66))</f>
        <v/>
      </c>
      <c r="Q66" s="13"/>
      <c r="R66" s="21" t="str">
        <f>IF($Q66="","",SUMIFS(SITE_COEFFS!$C:$C,SITE_COEFFS!$A:$A,"ProximityToBuildings",SITE_COEFFS!$B:$B,$Q66))</f>
        <v/>
      </c>
      <c r="S66" s="13"/>
      <c r="T66" s="21" t="str">
        <f>IF($S66="","",SUMIFS(SITE_COEFFS!$C:$C,SITE_COEFFS!$A:$A,"MachineryAllowed",SITE_COEFFS!$B:$B,$S66))</f>
        <v/>
      </c>
      <c r="U66" s="13"/>
      <c r="V66" s="13"/>
      <c r="W66" s="21" t="str">
        <f>IF($V66="","",SUMIFS(SITE_COEFFS!$C:$C,SITE_COEFFS!$A:$A,"GeometryComplexity",SITE_COEFFS!$B:$B,$V66))</f>
        <v/>
      </c>
      <c r="X66" s="13"/>
      <c r="Y66" s="13" t="str">
        <f>IF($X66="","",SUMIFS(TARIFF_PROFILES!$D:$D,TARIFF_PROFILES!$A:$A,$X66))</f>
        <v/>
      </c>
      <c r="Z66" s="13" t="str">
        <f>IF($X66="","",SUMIFS(TARIFF_PROFILES!$E:$E,TARIFF_PROFILES!$A:$A,$X66))</f>
        <v/>
      </c>
      <c r="AA66" s="13" t="str">
        <f>IF($X66="","",SUMIFS(TARIFF_PROFILES!$F:$F,TARIFF_PROFILES!$A:$A,$X66))</f>
        <v/>
      </c>
      <c r="AB66" s="13" t="str">
        <f>IF($X66="","",SUMIFS(TARIFF_PROFILES!$G:$G,TARIFF_PROFILES!$A:$A,$X66))</f>
        <v/>
      </c>
      <c r="AC66" s="13" t="str">
        <f>IF($X66="","",SUMIFS(TARIFF_PROFILES!$H:$H,TARIFF_PROFILES!$A:$A,$X66))</f>
        <v/>
      </c>
      <c r="AD66" s="13" t="str">
        <f>IF($X66="","",INDEX(TARIFF_PROFILES!$J:$J,MATCH($X66,TARIFF_PROFILES!$A:$A,0)))</f>
        <v/>
      </c>
      <c r="AE66" s="13" t="str">
        <f>IF($X66="","",INDEX(TARIFF_PROFILES!$K:$K,MATCH($X66,TARIFF_PROFILES!$A:$A,0)))</f>
        <v/>
      </c>
      <c r="AH66" t="str">
        <f>IF($AG66="","",SUMIFS(OPERATING_COEFFS!$C:$C,OPERATING_COEFFS!$A:$A,"DistanceClass",OPERATING_COEFFS!$B:$B,$AG66))</f>
        <v/>
      </c>
      <c r="AJ66" t="str">
        <f>IF($AI66="","",SUMIFS(OPERATING_COEFFS!$C:$C,OPERATING_COEFFS!$A:$A,"SeasonClass",OPERATING_COEFFS!$B:$B,$AI66))</f>
        <v/>
      </c>
      <c r="AL66" t="str">
        <f>IF($AK66="","",SUMIFS(OPERATING_COEFFS!$C:$C,OPERATING_COEFFS!$A:$A,"UrgencyClass",OPERATING_COEFFS!$B:$B,$AK66))</f>
        <v/>
      </c>
      <c r="AN66" t="str">
        <f>IF($AM66="","",INDEX(TAX_MODES!$B:$B,MATCH($AM66,TAX_MODES!$A:$A,0)))</f>
        <v/>
      </c>
    </row>
    <row r="67" spans="1:40" x14ac:dyDescent="0.3">
      <c r="A67" s="13"/>
      <c r="B67" s="13"/>
      <c r="C67" s="13"/>
      <c r="D67" s="21" t="str">
        <f>IF($C67="","",SUMIFS(SITE_COEFFS!$C:$C,SITE_COEFFS!$A:$A,"SoilWorkability",SITE_COEFFS!$B:$B,$C67))</f>
        <v/>
      </c>
      <c r="E67" s="13"/>
      <c r="F67" s="21" t="str">
        <f>IF($E67="","",SUMIFS(SITE_COEFFS!$C:$C,SITE_COEFFS!$A:$A,"SoilMoisture",SITE_COEFFS!$B:$B,$E67))</f>
        <v/>
      </c>
      <c r="G67" s="13"/>
      <c r="H67" s="21" t="str">
        <f>IF($G67="","",SUMIFS(SITE_COEFFS!$C:$C,SITE_COEFFS!$A:$A,"DebrisLevel",SITE_COEFFS!$B:$B,$G67))</f>
        <v/>
      </c>
      <c r="I67" s="13"/>
      <c r="J67" s="21" t="str">
        <f>IF($I67="","",SUMIFS(SITE_COEFFS!$C:$C,SITE_COEFFS!$A:$A,"SlopeClass",SITE_COEFFS!$B:$B,$I67))</f>
        <v/>
      </c>
      <c r="K67" s="13"/>
      <c r="L67" s="21" t="str">
        <f>IF($K67="","",SUMIFS(SITE_COEFFS!$C:$C,SITE_COEFFS!$A:$A,"SurfaceUnevenness",SITE_COEFFS!$B:$B,$K67))</f>
        <v/>
      </c>
      <c r="M67" s="13"/>
      <c r="N67" s="21" t="str">
        <f>IF($M67="","",SUMIFS(SITE_COEFFS!$C:$C,SITE_COEFFS!$A:$A,"AccessClass",SITE_COEFFS!$B:$B,$M67))</f>
        <v/>
      </c>
      <c r="O67" s="13"/>
      <c r="P67" s="21" t="str">
        <f>IF($O67="","",SUMIFS(SITE_COEFFS!$C:$C,SITE_COEFFS!$A:$A,"TurnSpace",SITE_COEFFS!$B:$B,$O67))</f>
        <v/>
      </c>
      <c r="Q67" s="13"/>
      <c r="R67" s="21" t="str">
        <f>IF($Q67="","",SUMIFS(SITE_COEFFS!$C:$C,SITE_COEFFS!$A:$A,"ProximityToBuildings",SITE_COEFFS!$B:$B,$Q67))</f>
        <v/>
      </c>
      <c r="S67" s="13"/>
      <c r="T67" s="21" t="str">
        <f>IF($S67="","",SUMIFS(SITE_COEFFS!$C:$C,SITE_COEFFS!$A:$A,"MachineryAllowed",SITE_COEFFS!$B:$B,$S67))</f>
        <v/>
      </c>
      <c r="U67" s="13"/>
      <c r="V67" s="13"/>
      <c r="W67" s="21" t="str">
        <f>IF($V67="","",SUMIFS(SITE_COEFFS!$C:$C,SITE_COEFFS!$A:$A,"GeometryComplexity",SITE_COEFFS!$B:$B,$V67))</f>
        <v/>
      </c>
      <c r="X67" s="13"/>
      <c r="Y67" s="13" t="str">
        <f>IF($X67="","",SUMIFS(TARIFF_PROFILES!$D:$D,TARIFF_PROFILES!$A:$A,$X67))</f>
        <v/>
      </c>
      <c r="Z67" s="13" t="str">
        <f>IF($X67="","",SUMIFS(TARIFF_PROFILES!$E:$E,TARIFF_PROFILES!$A:$A,$X67))</f>
        <v/>
      </c>
      <c r="AA67" s="13" t="str">
        <f>IF($X67="","",SUMIFS(TARIFF_PROFILES!$F:$F,TARIFF_PROFILES!$A:$A,$X67))</f>
        <v/>
      </c>
      <c r="AB67" s="13" t="str">
        <f>IF($X67="","",SUMIFS(TARIFF_PROFILES!$G:$G,TARIFF_PROFILES!$A:$A,$X67))</f>
        <v/>
      </c>
      <c r="AC67" s="13" t="str">
        <f>IF($X67="","",SUMIFS(TARIFF_PROFILES!$H:$H,TARIFF_PROFILES!$A:$A,$X67))</f>
        <v/>
      </c>
      <c r="AD67" s="13" t="str">
        <f>IF($X67="","",INDEX(TARIFF_PROFILES!$J:$J,MATCH($X67,TARIFF_PROFILES!$A:$A,0)))</f>
        <v/>
      </c>
      <c r="AE67" s="13" t="str">
        <f>IF($X67="","",INDEX(TARIFF_PROFILES!$K:$K,MATCH($X67,TARIFF_PROFILES!$A:$A,0)))</f>
        <v/>
      </c>
      <c r="AH67" t="str">
        <f>IF($AG67="","",SUMIFS(OPERATING_COEFFS!$C:$C,OPERATING_COEFFS!$A:$A,"DistanceClass",OPERATING_COEFFS!$B:$B,$AG67))</f>
        <v/>
      </c>
      <c r="AJ67" t="str">
        <f>IF($AI67="","",SUMIFS(OPERATING_COEFFS!$C:$C,OPERATING_COEFFS!$A:$A,"SeasonClass",OPERATING_COEFFS!$B:$B,$AI67))</f>
        <v/>
      </c>
      <c r="AL67" t="str">
        <f>IF($AK67="","",SUMIFS(OPERATING_COEFFS!$C:$C,OPERATING_COEFFS!$A:$A,"UrgencyClass",OPERATING_COEFFS!$B:$B,$AK67))</f>
        <v/>
      </c>
      <c r="AN67" t="str">
        <f>IF($AM67="","",INDEX(TAX_MODES!$B:$B,MATCH($AM67,TAX_MODES!$A:$A,0)))</f>
        <v/>
      </c>
    </row>
    <row r="68" spans="1:40" x14ac:dyDescent="0.3">
      <c r="A68" s="13"/>
      <c r="B68" s="13"/>
      <c r="C68" s="13"/>
      <c r="D68" s="21" t="str">
        <f>IF($C68="","",SUMIFS(SITE_COEFFS!$C:$C,SITE_COEFFS!$A:$A,"SoilWorkability",SITE_COEFFS!$B:$B,$C68))</f>
        <v/>
      </c>
      <c r="E68" s="13"/>
      <c r="F68" s="21" t="str">
        <f>IF($E68="","",SUMIFS(SITE_COEFFS!$C:$C,SITE_COEFFS!$A:$A,"SoilMoisture",SITE_COEFFS!$B:$B,$E68))</f>
        <v/>
      </c>
      <c r="G68" s="13"/>
      <c r="H68" s="21" t="str">
        <f>IF($G68="","",SUMIFS(SITE_COEFFS!$C:$C,SITE_COEFFS!$A:$A,"DebrisLevel",SITE_COEFFS!$B:$B,$G68))</f>
        <v/>
      </c>
      <c r="I68" s="13"/>
      <c r="J68" s="21" t="str">
        <f>IF($I68="","",SUMIFS(SITE_COEFFS!$C:$C,SITE_COEFFS!$A:$A,"SlopeClass",SITE_COEFFS!$B:$B,$I68))</f>
        <v/>
      </c>
      <c r="K68" s="13"/>
      <c r="L68" s="21" t="str">
        <f>IF($K68="","",SUMIFS(SITE_COEFFS!$C:$C,SITE_COEFFS!$A:$A,"SurfaceUnevenness",SITE_COEFFS!$B:$B,$K68))</f>
        <v/>
      </c>
      <c r="M68" s="13"/>
      <c r="N68" s="21" t="str">
        <f>IF($M68="","",SUMIFS(SITE_COEFFS!$C:$C,SITE_COEFFS!$A:$A,"AccessClass",SITE_COEFFS!$B:$B,$M68))</f>
        <v/>
      </c>
      <c r="O68" s="13"/>
      <c r="P68" s="21" t="str">
        <f>IF($O68="","",SUMIFS(SITE_COEFFS!$C:$C,SITE_COEFFS!$A:$A,"TurnSpace",SITE_COEFFS!$B:$B,$O68))</f>
        <v/>
      </c>
      <c r="Q68" s="13"/>
      <c r="R68" s="21" t="str">
        <f>IF($Q68="","",SUMIFS(SITE_COEFFS!$C:$C,SITE_COEFFS!$A:$A,"ProximityToBuildings",SITE_COEFFS!$B:$B,$Q68))</f>
        <v/>
      </c>
      <c r="S68" s="13"/>
      <c r="T68" s="21" t="str">
        <f>IF($S68="","",SUMIFS(SITE_COEFFS!$C:$C,SITE_COEFFS!$A:$A,"MachineryAllowed",SITE_COEFFS!$B:$B,$S68))</f>
        <v/>
      </c>
      <c r="U68" s="13"/>
      <c r="V68" s="13"/>
      <c r="W68" s="21" t="str">
        <f>IF($V68="","",SUMIFS(SITE_COEFFS!$C:$C,SITE_COEFFS!$A:$A,"GeometryComplexity",SITE_COEFFS!$B:$B,$V68))</f>
        <v/>
      </c>
      <c r="X68" s="13"/>
      <c r="Y68" s="13" t="str">
        <f>IF($X68="","",SUMIFS(TARIFF_PROFILES!$D:$D,TARIFF_PROFILES!$A:$A,$X68))</f>
        <v/>
      </c>
      <c r="Z68" s="13" t="str">
        <f>IF($X68="","",SUMIFS(TARIFF_PROFILES!$E:$E,TARIFF_PROFILES!$A:$A,$X68))</f>
        <v/>
      </c>
      <c r="AA68" s="13" t="str">
        <f>IF($X68="","",SUMIFS(TARIFF_PROFILES!$F:$F,TARIFF_PROFILES!$A:$A,$X68))</f>
        <v/>
      </c>
      <c r="AB68" s="13" t="str">
        <f>IF($X68="","",SUMIFS(TARIFF_PROFILES!$G:$G,TARIFF_PROFILES!$A:$A,$X68))</f>
        <v/>
      </c>
      <c r="AC68" s="13" t="str">
        <f>IF($X68="","",SUMIFS(TARIFF_PROFILES!$H:$H,TARIFF_PROFILES!$A:$A,$X68))</f>
        <v/>
      </c>
      <c r="AD68" s="13" t="str">
        <f>IF($X68="","",INDEX(TARIFF_PROFILES!$J:$J,MATCH($X68,TARIFF_PROFILES!$A:$A,0)))</f>
        <v/>
      </c>
      <c r="AE68" s="13" t="str">
        <f>IF($X68="","",INDEX(TARIFF_PROFILES!$K:$K,MATCH($X68,TARIFF_PROFILES!$A:$A,0)))</f>
        <v/>
      </c>
      <c r="AH68" t="str">
        <f>IF($AG68="","",SUMIFS(OPERATING_COEFFS!$C:$C,OPERATING_COEFFS!$A:$A,"DistanceClass",OPERATING_COEFFS!$B:$B,$AG68))</f>
        <v/>
      </c>
      <c r="AJ68" t="str">
        <f>IF($AI68="","",SUMIFS(OPERATING_COEFFS!$C:$C,OPERATING_COEFFS!$A:$A,"SeasonClass",OPERATING_COEFFS!$B:$B,$AI68))</f>
        <v/>
      </c>
      <c r="AL68" t="str">
        <f>IF($AK68="","",SUMIFS(OPERATING_COEFFS!$C:$C,OPERATING_COEFFS!$A:$A,"UrgencyClass",OPERATING_COEFFS!$B:$B,$AK68))</f>
        <v/>
      </c>
      <c r="AN68" t="str">
        <f>IF($AM68="","",INDEX(TAX_MODES!$B:$B,MATCH($AM68,TAX_MODES!$A:$A,0)))</f>
        <v/>
      </c>
    </row>
    <row r="69" spans="1:40" x14ac:dyDescent="0.3">
      <c r="A69" s="13"/>
      <c r="B69" s="13"/>
      <c r="C69" s="13"/>
      <c r="D69" s="21" t="str">
        <f>IF($C69="","",SUMIFS(SITE_COEFFS!$C:$C,SITE_COEFFS!$A:$A,"SoilWorkability",SITE_COEFFS!$B:$B,$C69))</f>
        <v/>
      </c>
      <c r="E69" s="13"/>
      <c r="F69" s="21" t="str">
        <f>IF($E69="","",SUMIFS(SITE_COEFFS!$C:$C,SITE_COEFFS!$A:$A,"SoilMoisture",SITE_COEFFS!$B:$B,$E69))</f>
        <v/>
      </c>
      <c r="G69" s="13"/>
      <c r="H69" s="21" t="str">
        <f>IF($G69="","",SUMIFS(SITE_COEFFS!$C:$C,SITE_COEFFS!$A:$A,"DebrisLevel",SITE_COEFFS!$B:$B,$G69))</f>
        <v/>
      </c>
      <c r="I69" s="13"/>
      <c r="J69" s="21" t="str">
        <f>IF($I69="","",SUMIFS(SITE_COEFFS!$C:$C,SITE_COEFFS!$A:$A,"SlopeClass",SITE_COEFFS!$B:$B,$I69))</f>
        <v/>
      </c>
      <c r="K69" s="13"/>
      <c r="L69" s="21" t="str">
        <f>IF($K69="","",SUMIFS(SITE_COEFFS!$C:$C,SITE_COEFFS!$A:$A,"SurfaceUnevenness",SITE_COEFFS!$B:$B,$K69))</f>
        <v/>
      </c>
      <c r="M69" s="13"/>
      <c r="N69" s="21" t="str">
        <f>IF($M69="","",SUMIFS(SITE_COEFFS!$C:$C,SITE_COEFFS!$A:$A,"AccessClass",SITE_COEFFS!$B:$B,$M69))</f>
        <v/>
      </c>
      <c r="O69" s="13"/>
      <c r="P69" s="21" t="str">
        <f>IF($O69="","",SUMIFS(SITE_COEFFS!$C:$C,SITE_COEFFS!$A:$A,"TurnSpace",SITE_COEFFS!$B:$B,$O69))</f>
        <v/>
      </c>
      <c r="Q69" s="13"/>
      <c r="R69" s="21" t="str">
        <f>IF($Q69="","",SUMIFS(SITE_COEFFS!$C:$C,SITE_COEFFS!$A:$A,"ProximityToBuildings",SITE_COEFFS!$B:$B,$Q69))</f>
        <v/>
      </c>
      <c r="S69" s="13"/>
      <c r="T69" s="21" t="str">
        <f>IF($S69="","",SUMIFS(SITE_COEFFS!$C:$C,SITE_COEFFS!$A:$A,"MachineryAllowed",SITE_COEFFS!$B:$B,$S69))</f>
        <v/>
      </c>
      <c r="U69" s="13"/>
      <c r="V69" s="13"/>
      <c r="W69" s="21" t="str">
        <f>IF($V69="","",SUMIFS(SITE_COEFFS!$C:$C,SITE_COEFFS!$A:$A,"GeometryComplexity",SITE_COEFFS!$B:$B,$V69))</f>
        <v/>
      </c>
      <c r="X69" s="13"/>
      <c r="Y69" s="13" t="str">
        <f>IF($X69="","",SUMIFS(TARIFF_PROFILES!$D:$D,TARIFF_PROFILES!$A:$A,$X69))</f>
        <v/>
      </c>
      <c r="Z69" s="13" t="str">
        <f>IF($X69="","",SUMIFS(TARIFF_PROFILES!$E:$E,TARIFF_PROFILES!$A:$A,$X69))</f>
        <v/>
      </c>
      <c r="AA69" s="13" t="str">
        <f>IF($X69="","",SUMIFS(TARIFF_PROFILES!$F:$F,TARIFF_PROFILES!$A:$A,$X69))</f>
        <v/>
      </c>
      <c r="AB69" s="13" t="str">
        <f>IF($X69="","",SUMIFS(TARIFF_PROFILES!$G:$G,TARIFF_PROFILES!$A:$A,$X69))</f>
        <v/>
      </c>
      <c r="AC69" s="13" t="str">
        <f>IF($X69="","",SUMIFS(TARIFF_PROFILES!$H:$H,TARIFF_PROFILES!$A:$A,$X69))</f>
        <v/>
      </c>
      <c r="AD69" s="13" t="str">
        <f>IF($X69="","",INDEX(TARIFF_PROFILES!$J:$J,MATCH($X69,TARIFF_PROFILES!$A:$A,0)))</f>
        <v/>
      </c>
      <c r="AE69" s="13" t="str">
        <f>IF($X69="","",INDEX(TARIFF_PROFILES!$K:$K,MATCH($X69,TARIFF_PROFILES!$A:$A,0)))</f>
        <v/>
      </c>
      <c r="AH69" t="str">
        <f>IF($AG69="","",SUMIFS(OPERATING_COEFFS!$C:$C,OPERATING_COEFFS!$A:$A,"DistanceClass",OPERATING_COEFFS!$B:$B,$AG69))</f>
        <v/>
      </c>
      <c r="AJ69" t="str">
        <f>IF($AI69="","",SUMIFS(OPERATING_COEFFS!$C:$C,OPERATING_COEFFS!$A:$A,"SeasonClass",OPERATING_COEFFS!$B:$B,$AI69))</f>
        <v/>
      </c>
      <c r="AL69" t="str">
        <f>IF($AK69="","",SUMIFS(OPERATING_COEFFS!$C:$C,OPERATING_COEFFS!$A:$A,"UrgencyClass",OPERATING_COEFFS!$B:$B,$AK69))</f>
        <v/>
      </c>
      <c r="AN69" t="str">
        <f>IF($AM69="","",INDEX(TAX_MODES!$B:$B,MATCH($AM69,TAX_MODES!$A:$A,0)))</f>
        <v/>
      </c>
    </row>
    <row r="70" spans="1:40" x14ac:dyDescent="0.3">
      <c r="A70" s="13"/>
      <c r="B70" s="13"/>
      <c r="C70" s="13"/>
      <c r="D70" s="21" t="str">
        <f>IF($C70="","",SUMIFS(SITE_COEFFS!$C:$C,SITE_COEFFS!$A:$A,"SoilWorkability",SITE_COEFFS!$B:$B,$C70))</f>
        <v/>
      </c>
      <c r="E70" s="13"/>
      <c r="F70" s="21" t="str">
        <f>IF($E70="","",SUMIFS(SITE_COEFFS!$C:$C,SITE_COEFFS!$A:$A,"SoilMoisture",SITE_COEFFS!$B:$B,$E70))</f>
        <v/>
      </c>
      <c r="G70" s="13"/>
      <c r="H70" s="21" t="str">
        <f>IF($G70="","",SUMIFS(SITE_COEFFS!$C:$C,SITE_COEFFS!$A:$A,"DebrisLevel",SITE_COEFFS!$B:$B,$G70))</f>
        <v/>
      </c>
      <c r="I70" s="13"/>
      <c r="J70" s="21" t="str">
        <f>IF($I70="","",SUMIFS(SITE_COEFFS!$C:$C,SITE_COEFFS!$A:$A,"SlopeClass",SITE_COEFFS!$B:$B,$I70))</f>
        <v/>
      </c>
      <c r="K70" s="13"/>
      <c r="L70" s="21" t="str">
        <f>IF($K70="","",SUMIFS(SITE_COEFFS!$C:$C,SITE_COEFFS!$A:$A,"SurfaceUnevenness",SITE_COEFFS!$B:$B,$K70))</f>
        <v/>
      </c>
      <c r="M70" s="13"/>
      <c r="N70" s="21" t="str">
        <f>IF($M70="","",SUMIFS(SITE_COEFFS!$C:$C,SITE_COEFFS!$A:$A,"AccessClass",SITE_COEFFS!$B:$B,$M70))</f>
        <v/>
      </c>
      <c r="O70" s="13"/>
      <c r="P70" s="21" t="str">
        <f>IF($O70="","",SUMIFS(SITE_COEFFS!$C:$C,SITE_COEFFS!$A:$A,"TurnSpace",SITE_COEFFS!$B:$B,$O70))</f>
        <v/>
      </c>
      <c r="Q70" s="13"/>
      <c r="R70" s="21" t="str">
        <f>IF($Q70="","",SUMIFS(SITE_COEFFS!$C:$C,SITE_COEFFS!$A:$A,"ProximityToBuildings",SITE_COEFFS!$B:$B,$Q70))</f>
        <v/>
      </c>
      <c r="S70" s="13"/>
      <c r="T70" s="21" t="str">
        <f>IF($S70="","",SUMIFS(SITE_COEFFS!$C:$C,SITE_COEFFS!$A:$A,"MachineryAllowed",SITE_COEFFS!$B:$B,$S70))</f>
        <v/>
      </c>
      <c r="U70" s="13"/>
      <c r="V70" s="13"/>
      <c r="W70" s="21" t="str">
        <f>IF($V70="","",SUMIFS(SITE_COEFFS!$C:$C,SITE_COEFFS!$A:$A,"GeometryComplexity",SITE_COEFFS!$B:$B,$V70))</f>
        <v/>
      </c>
      <c r="X70" s="13"/>
      <c r="Y70" s="13" t="str">
        <f>IF($X70="","",SUMIFS(TARIFF_PROFILES!$D:$D,TARIFF_PROFILES!$A:$A,$X70))</f>
        <v/>
      </c>
      <c r="Z70" s="13" t="str">
        <f>IF($X70="","",SUMIFS(TARIFF_PROFILES!$E:$E,TARIFF_PROFILES!$A:$A,$X70))</f>
        <v/>
      </c>
      <c r="AA70" s="13" t="str">
        <f>IF($X70="","",SUMIFS(TARIFF_PROFILES!$F:$F,TARIFF_PROFILES!$A:$A,$X70))</f>
        <v/>
      </c>
      <c r="AB70" s="13" t="str">
        <f>IF($X70="","",SUMIFS(TARIFF_PROFILES!$G:$G,TARIFF_PROFILES!$A:$A,$X70))</f>
        <v/>
      </c>
      <c r="AC70" s="13" t="str">
        <f>IF($X70="","",SUMIFS(TARIFF_PROFILES!$H:$H,TARIFF_PROFILES!$A:$A,$X70))</f>
        <v/>
      </c>
      <c r="AD70" s="13" t="str">
        <f>IF($X70="","",INDEX(TARIFF_PROFILES!$J:$J,MATCH($X70,TARIFF_PROFILES!$A:$A,0)))</f>
        <v/>
      </c>
      <c r="AE70" s="13" t="str">
        <f>IF($X70="","",INDEX(TARIFF_PROFILES!$K:$K,MATCH($X70,TARIFF_PROFILES!$A:$A,0)))</f>
        <v/>
      </c>
      <c r="AH70" t="str">
        <f>IF($AG70="","",SUMIFS(OPERATING_COEFFS!$C:$C,OPERATING_COEFFS!$A:$A,"DistanceClass",OPERATING_COEFFS!$B:$B,$AG70))</f>
        <v/>
      </c>
      <c r="AJ70" t="str">
        <f>IF($AI70="","",SUMIFS(OPERATING_COEFFS!$C:$C,OPERATING_COEFFS!$A:$A,"SeasonClass",OPERATING_COEFFS!$B:$B,$AI70))</f>
        <v/>
      </c>
      <c r="AL70" t="str">
        <f>IF($AK70="","",SUMIFS(OPERATING_COEFFS!$C:$C,OPERATING_COEFFS!$A:$A,"UrgencyClass",OPERATING_COEFFS!$B:$B,$AK70))</f>
        <v/>
      </c>
      <c r="AN70" t="str">
        <f>IF($AM70="","",INDEX(TAX_MODES!$B:$B,MATCH($AM70,TAX_MODES!$A:$A,0)))</f>
        <v/>
      </c>
    </row>
    <row r="71" spans="1:40" x14ac:dyDescent="0.3">
      <c r="A71" s="13"/>
      <c r="B71" s="13"/>
      <c r="C71" s="13"/>
      <c r="D71" s="21" t="str">
        <f>IF($C71="","",SUMIFS(SITE_COEFFS!$C:$C,SITE_COEFFS!$A:$A,"SoilWorkability",SITE_COEFFS!$B:$B,$C71))</f>
        <v/>
      </c>
      <c r="E71" s="13"/>
      <c r="F71" s="21" t="str">
        <f>IF($E71="","",SUMIFS(SITE_COEFFS!$C:$C,SITE_COEFFS!$A:$A,"SoilMoisture",SITE_COEFFS!$B:$B,$E71))</f>
        <v/>
      </c>
      <c r="G71" s="13"/>
      <c r="H71" s="21" t="str">
        <f>IF($G71="","",SUMIFS(SITE_COEFFS!$C:$C,SITE_COEFFS!$A:$A,"DebrisLevel",SITE_COEFFS!$B:$B,$G71))</f>
        <v/>
      </c>
      <c r="I71" s="13"/>
      <c r="J71" s="21" t="str">
        <f>IF($I71="","",SUMIFS(SITE_COEFFS!$C:$C,SITE_COEFFS!$A:$A,"SlopeClass",SITE_COEFFS!$B:$B,$I71))</f>
        <v/>
      </c>
      <c r="K71" s="13"/>
      <c r="L71" s="21" t="str">
        <f>IF($K71="","",SUMIFS(SITE_COEFFS!$C:$C,SITE_COEFFS!$A:$A,"SurfaceUnevenness",SITE_COEFFS!$B:$B,$K71))</f>
        <v/>
      </c>
      <c r="M71" s="13"/>
      <c r="N71" s="21" t="str">
        <f>IF($M71="","",SUMIFS(SITE_COEFFS!$C:$C,SITE_COEFFS!$A:$A,"AccessClass",SITE_COEFFS!$B:$B,$M71))</f>
        <v/>
      </c>
      <c r="O71" s="13"/>
      <c r="P71" s="21" t="str">
        <f>IF($O71="","",SUMIFS(SITE_COEFFS!$C:$C,SITE_COEFFS!$A:$A,"TurnSpace",SITE_COEFFS!$B:$B,$O71))</f>
        <v/>
      </c>
      <c r="Q71" s="13"/>
      <c r="R71" s="21" t="str">
        <f>IF($Q71="","",SUMIFS(SITE_COEFFS!$C:$C,SITE_COEFFS!$A:$A,"ProximityToBuildings",SITE_COEFFS!$B:$B,$Q71))</f>
        <v/>
      </c>
      <c r="S71" s="13"/>
      <c r="T71" s="21" t="str">
        <f>IF($S71="","",SUMIFS(SITE_COEFFS!$C:$C,SITE_COEFFS!$A:$A,"MachineryAllowed",SITE_COEFFS!$B:$B,$S71))</f>
        <v/>
      </c>
      <c r="U71" s="13"/>
      <c r="V71" s="13"/>
      <c r="W71" s="21" t="str">
        <f>IF($V71="","",SUMIFS(SITE_COEFFS!$C:$C,SITE_COEFFS!$A:$A,"GeometryComplexity",SITE_COEFFS!$B:$B,$V71))</f>
        <v/>
      </c>
      <c r="X71" s="13"/>
      <c r="Y71" s="13" t="str">
        <f>IF($X71="","",SUMIFS(TARIFF_PROFILES!$D:$D,TARIFF_PROFILES!$A:$A,$X71))</f>
        <v/>
      </c>
      <c r="Z71" s="13" t="str">
        <f>IF($X71="","",SUMIFS(TARIFF_PROFILES!$E:$E,TARIFF_PROFILES!$A:$A,$X71))</f>
        <v/>
      </c>
      <c r="AA71" s="13" t="str">
        <f>IF($X71="","",SUMIFS(TARIFF_PROFILES!$F:$F,TARIFF_PROFILES!$A:$A,$X71))</f>
        <v/>
      </c>
      <c r="AB71" s="13" t="str">
        <f>IF($X71="","",SUMIFS(TARIFF_PROFILES!$G:$G,TARIFF_PROFILES!$A:$A,$X71))</f>
        <v/>
      </c>
      <c r="AC71" s="13" t="str">
        <f>IF($X71="","",SUMIFS(TARIFF_PROFILES!$H:$H,TARIFF_PROFILES!$A:$A,$X71))</f>
        <v/>
      </c>
      <c r="AD71" s="13" t="str">
        <f>IF($X71="","",INDEX(TARIFF_PROFILES!$J:$J,MATCH($X71,TARIFF_PROFILES!$A:$A,0)))</f>
        <v/>
      </c>
      <c r="AE71" s="13" t="str">
        <f>IF($X71="","",INDEX(TARIFF_PROFILES!$K:$K,MATCH($X71,TARIFF_PROFILES!$A:$A,0)))</f>
        <v/>
      </c>
      <c r="AH71" t="str">
        <f>IF($AG71="","",SUMIFS(OPERATING_COEFFS!$C:$C,OPERATING_COEFFS!$A:$A,"DistanceClass",OPERATING_COEFFS!$B:$B,$AG71))</f>
        <v/>
      </c>
      <c r="AJ71" t="str">
        <f>IF($AI71="","",SUMIFS(OPERATING_COEFFS!$C:$C,OPERATING_COEFFS!$A:$A,"SeasonClass",OPERATING_COEFFS!$B:$B,$AI71))</f>
        <v/>
      </c>
      <c r="AL71" t="str">
        <f>IF($AK71="","",SUMIFS(OPERATING_COEFFS!$C:$C,OPERATING_COEFFS!$A:$A,"UrgencyClass",OPERATING_COEFFS!$B:$B,$AK71))</f>
        <v/>
      </c>
      <c r="AN71" t="str">
        <f>IF($AM71="","",INDEX(TAX_MODES!$B:$B,MATCH($AM71,TAX_MODES!$A:$A,0)))</f>
        <v/>
      </c>
    </row>
    <row r="72" spans="1:40" x14ac:dyDescent="0.3">
      <c r="A72" s="13"/>
      <c r="B72" s="13"/>
      <c r="C72" s="13"/>
      <c r="D72" s="21" t="str">
        <f>IF($C72="","",SUMIFS(SITE_COEFFS!$C:$C,SITE_COEFFS!$A:$A,"SoilWorkability",SITE_COEFFS!$B:$B,$C72))</f>
        <v/>
      </c>
      <c r="E72" s="13"/>
      <c r="F72" s="21" t="str">
        <f>IF($E72="","",SUMIFS(SITE_COEFFS!$C:$C,SITE_COEFFS!$A:$A,"SoilMoisture",SITE_COEFFS!$B:$B,$E72))</f>
        <v/>
      </c>
      <c r="G72" s="13"/>
      <c r="H72" s="21" t="str">
        <f>IF($G72="","",SUMIFS(SITE_COEFFS!$C:$C,SITE_COEFFS!$A:$A,"DebrisLevel",SITE_COEFFS!$B:$B,$G72))</f>
        <v/>
      </c>
      <c r="I72" s="13"/>
      <c r="J72" s="21" t="str">
        <f>IF($I72="","",SUMIFS(SITE_COEFFS!$C:$C,SITE_COEFFS!$A:$A,"SlopeClass",SITE_COEFFS!$B:$B,$I72))</f>
        <v/>
      </c>
      <c r="K72" s="13"/>
      <c r="L72" s="21" t="str">
        <f>IF($K72="","",SUMIFS(SITE_COEFFS!$C:$C,SITE_COEFFS!$A:$A,"SurfaceUnevenness",SITE_COEFFS!$B:$B,$K72))</f>
        <v/>
      </c>
      <c r="M72" s="13"/>
      <c r="N72" s="21" t="str">
        <f>IF($M72="","",SUMIFS(SITE_COEFFS!$C:$C,SITE_COEFFS!$A:$A,"AccessClass",SITE_COEFFS!$B:$B,$M72))</f>
        <v/>
      </c>
      <c r="O72" s="13"/>
      <c r="P72" s="21" t="str">
        <f>IF($O72="","",SUMIFS(SITE_COEFFS!$C:$C,SITE_COEFFS!$A:$A,"TurnSpace",SITE_COEFFS!$B:$B,$O72))</f>
        <v/>
      </c>
      <c r="Q72" s="13"/>
      <c r="R72" s="21" t="str">
        <f>IF($Q72="","",SUMIFS(SITE_COEFFS!$C:$C,SITE_COEFFS!$A:$A,"ProximityToBuildings",SITE_COEFFS!$B:$B,$Q72))</f>
        <v/>
      </c>
      <c r="S72" s="13"/>
      <c r="T72" s="21" t="str">
        <f>IF($S72="","",SUMIFS(SITE_COEFFS!$C:$C,SITE_COEFFS!$A:$A,"MachineryAllowed",SITE_COEFFS!$B:$B,$S72))</f>
        <v/>
      </c>
      <c r="U72" s="13"/>
      <c r="V72" s="13"/>
      <c r="W72" s="21" t="str">
        <f>IF($V72="","",SUMIFS(SITE_COEFFS!$C:$C,SITE_COEFFS!$A:$A,"GeometryComplexity",SITE_COEFFS!$B:$B,$V72))</f>
        <v/>
      </c>
      <c r="X72" s="13"/>
      <c r="Y72" s="13" t="str">
        <f>IF($X72="","",SUMIFS(TARIFF_PROFILES!$D:$D,TARIFF_PROFILES!$A:$A,$X72))</f>
        <v/>
      </c>
      <c r="Z72" s="13" t="str">
        <f>IF($X72="","",SUMIFS(TARIFF_PROFILES!$E:$E,TARIFF_PROFILES!$A:$A,$X72))</f>
        <v/>
      </c>
      <c r="AA72" s="13" t="str">
        <f>IF($X72="","",SUMIFS(TARIFF_PROFILES!$F:$F,TARIFF_PROFILES!$A:$A,$X72))</f>
        <v/>
      </c>
      <c r="AB72" s="13" t="str">
        <f>IF($X72="","",SUMIFS(TARIFF_PROFILES!$G:$G,TARIFF_PROFILES!$A:$A,$X72))</f>
        <v/>
      </c>
      <c r="AC72" s="13" t="str">
        <f>IF($X72="","",SUMIFS(TARIFF_PROFILES!$H:$H,TARIFF_PROFILES!$A:$A,$X72))</f>
        <v/>
      </c>
      <c r="AD72" s="13" t="str">
        <f>IF($X72="","",INDEX(TARIFF_PROFILES!$J:$J,MATCH($X72,TARIFF_PROFILES!$A:$A,0)))</f>
        <v/>
      </c>
      <c r="AE72" s="13" t="str">
        <f>IF($X72="","",INDEX(TARIFF_PROFILES!$K:$K,MATCH($X72,TARIFF_PROFILES!$A:$A,0)))</f>
        <v/>
      </c>
      <c r="AH72" t="str">
        <f>IF($AG72="","",SUMIFS(OPERATING_COEFFS!$C:$C,OPERATING_COEFFS!$A:$A,"DistanceClass",OPERATING_COEFFS!$B:$B,$AG72))</f>
        <v/>
      </c>
      <c r="AJ72" t="str">
        <f>IF($AI72="","",SUMIFS(OPERATING_COEFFS!$C:$C,OPERATING_COEFFS!$A:$A,"SeasonClass",OPERATING_COEFFS!$B:$B,$AI72))</f>
        <v/>
      </c>
      <c r="AL72" t="str">
        <f>IF($AK72="","",SUMIFS(OPERATING_COEFFS!$C:$C,OPERATING_COEFFS!$A:$A,"UrgencyClass",OPERATING_COEFFS!$B:$B,$AK72))</f>
        <v/>
      </c>
      <c r="AN72" t="str">
        <f>IF($AM72="","",INDEX(TAX_MODES!$B:$B,MATCH($AM72,TAX_MODES!$A:$A,0)))</f>
        <v/>
      </c>
    </row>
    <row r="73" spans="1:40" x14ac:dyDescent="0.3">
      <c r="A73" s="13"/>
      <c r="B73" s="13"/>
      <c r="C73" s="13"/>
      <c r="D73" s="21" t="str">
        <f>IF($C73="","",SUMIFS(SITE_COEFFS!$C:$C,SITE_COEFFS!$A:$A,"SoilWorkability",SITE_COEFFS!$B:$B,$C73))</f>
        <v/>
      </c>
      <c r="E73" s="13"/>
      <c r="F73" s="21" t="str">
        <f>IF($E73="","",SUMIFS(SITE_COEFFS!$C:$C,SITE_COEFFS!$A:$A,"SoilMoisture",SITE_COEFFS!$B:$B,$E73))</f>
        <v/>
      </c>
      <c r="G73" s="13"/>
      <c r="H73" s="21" t="str">
        <f>IF($G73="","",SUMIFS(SITE_COEFFS!$C:$C,SITE_COEFFS!$A:$A,"DebrisLevel",SITE_COEFFS!$B:$B,$G73))</f>
        <v/>
      </c>
      <c r="I73" s="13"/>
      <c r="J73" s="21" t="str">
        <f>IF($I73="","",SUMIFS(SITE_COEFFS!$C:$C,SITE_COEFFS!$A:$A,"SlopeClass",SITE_COEFFS!$B:$B,$I73))</f>
        <v/>
      </c>
      <c r="K73" s="13"/>
      <c r="L73" s="21" t="str">
        <f>IF($K73="","",SUMIFS(SITE_COEFFS!$C:$C,SITE_COEFFS!$A:$A,"SurfaceUnevenness",SITE_COEFFS!$B:$B,$K73))</f>
        <v/>
      </c>
      <c r="M73" s="13"/>
      <c r="N73" s="21" t="str">
        <f>IF($M73="","",SUMIFS(SITE_COEFFS!$C:$C,SITE_COEFFS!$A:$A,"AccessClass",SITE_COEFFS!$B:$B,$M73))</f>
        <v/>
      </c>
      <c r="O73" s="13"/>
      <c r="P73" s="21" t="str">
        <f>IF($O73="","",SUMIFS(SITE_COEFFS!$C:$C,SITE_COEFFS!$A:$A,"TurnSpace",SITE_COEFFS!$B:$B,$O73))</f>
        <v/>
      </c>
      <c r="Q73" s="13"/>
      <c r="R73" s="21" t="str">
        <f>IF($Q73="","",SUMIFS(SITE_COEFFS!$C:$C,SITE_COEFFS!$A:$A,"ProximityToBuildings",SITE_COEFFS!$B:$B,$Q73))</f>
        <v/>
      </c>
      <c r="S73" s="13"/>
      <c r="T73" s="21" t="str">
        <f>IF($S73="","",SUMIFS(SITE_COEFFS!$C:$C,SITE_COEFFS!$A:$A,"MachineryAllowed",SITE_COEFFS!$B:$B,$S73))</f>
        <v/>
      </c>
      <c r="U73" s="13"/>
      <c r="V73" s="13"/>
      <c r="W73" s="21" t="str">
        <f>IF($V73="","",SUMIFS(SITE_COEFFS!$C:$C,SITE_COEFFS!$A:$A,"GeometryComplexity",SITE_COEFFS!$B:$B,$V73))</f>
        <v/>
      </c>
      <c r="X73" s="13"/>
      <c r="Y73" s="13" t="str">
        <f>IF($X73="","",SUMIFS(TARIFF_PROFILES!$D:$D,TARIFF_PROFILES!$A:$A,$X73))</f>
        <v/>
      </c>
      <c r="Z73" s="13" t="str">
        <f>IF($X73="","",SUMIFS(TARIFF_PROFILES!$E:$E,TARIFF_PROFILES!$A:$A,$X73))</f>
        <v/>
      </c>
      <c r="AA73" s="13" t="str">
        <f>IF($X73="","",SUMIFS(TARIFF_PROFILES!$F:$F,TARIFF_PROFILES!$A:$A,$X73))</f>
        <v/>
      </c>
      <c r="AB73" s="13" t="str">
        <f>IF($X73="","",SUMIFS(TARIFF_PROFILES!$G:$G,TARIFF_PROFILES!$A:$A,$X73))</f>
        <v/>
      </c>
      <c r="AC73" s="13" t="str">
        <f>IF($X73="","",SUMIFS(TARIFF_PROFILES!$H:$H,TARIFF_PROFILES!$A:$A,$X73))</f>
        <v/>
      </c>
      <c r="AD73" s="13" t="str">
        <f>IF($X73="","",INDEX(TARIFF_PROFILES!$J:$J,MATCH($X73,TARIFF_PROFILES!$A:$A,0)))</f>
        <v/>
      </c>
      <c r="AE73" s="13" t="str">
        <f>IF($X73="","",INDEX(TARIFF_PROFILES!$K:$K,MATCH($X73,TARIFF_PROFILES!$A:$A,0)))</f>
        <v/>
      </c>
      <c r="AH73" t="str">
        <f>IF($AG73="","",SUMIFS(OPERATING_COEFFS!$C:$C,OPERATING_COEFFS!$A:$A,"DistanceClass",OPERATING_COEFFS!$B:$B,$AG73))</f>
        <v/>
      </c>
      <c r="AJ73" t="str">
        <f>IF($AI73="","",SUMIFS(OPERATING_COEFFS!$C:$C,OPERATING_COEFFS!$A:$A,"SeasonClass",OPERATING_COEFFS!$B:$B,$AI73))</f>
        <v/>
      </c>
      <c r="AL73" t="str">
        <f>IF($AK73="","",SUMIFS(OPERATING_COEFFS!$C:$C,OPERATING_COEFFS!$A:$A,"UrgencyClass",OPERATING_COEFFS!$B:$B,$AK73))</f>
        <v/>
      </c>
      <c r="AN73" t="str">
        <f>IF($AM73="","",INDEX(TAX_MODES!$B:$B,MATCH($AM73,TAX_MODES!$A:$A,0)))</f>
        <v/>
      </c>
    </row>
    <row r="74" spans="1:40" x14ac:dyDescent="0.3">
      <c r="A74" s="13"/>
      <c r="B74" s="13"/>
      <c r="C74" s="13"/>
      <c r="D74" s="21" t="str">
        <f>IF($C74="","",SUMIFS(SITE_COEFFS!$C:$C,SITE_COEFFS!$A:$A,"SoilWorkability",SITE_COEFFS!$B:$B,$C74))</f>
        <v/>
      </c>
      <c r="E74" s="13"/>
      <c r="F74" s="21" t="str">
        <f>IF($E74="","",SUMIFS(SITE_COEFFS!$C:$C,SITE_COEFFS!$A:$A,"SoilMoisture",SITE_COEFFS!$B:$B,$E74))</f>
        <v/>
      </c>
      <c r="G74" s="13"/>
      <c r="H74" s="21" t="str">
        <f>IF($G74="","",SUMIFS(SITE_COEFFS!$C:$C,SITE_COEFFS!$A:$A,"DebrisLevel",SITE_COEFFS!$B:$B,$G74))</f>
        <v/>
      </c>
      <c r="I74" s="13"/>
      <c r="J74" s="21" t="str">
        <f>IF($I74="","",SUMIFS(SITE_COEFFS!$C:$C,SITE_COEFFS!$A:$A,"SlopeClass",SITE_COEFFS!$B:$B,$I74))</f>
        <v/>
      </c>
      <c r="K74" s="13"/>
      <c r="L74" s="21" t="str">
        <f>IF($K74="","",SUMIFS(SITE_COEFFS!$C:$C,SITE_COEFFS!$A:$A,"SurfaceUnevenness",SITE_COEFFS!$B:$B,$K74))</f>
        <v/>
      </c>
      <c r="M74" s="13"/>
      <c r="N74" s="21" t="str">
        <f>IF($M74="","",SUMIFS(SITE_COEFFS!$C:$C,SITE_COEFFS!$A:$A,"AccessClass",SITE_COEFFS!$B:$B,$M74))</f>
        <v/>
      </c>
      <c r="O74" s="13"/>
      <c r="P74" s="21" t="str">
        <f>IF($O74="","",SUMIFS(SITE_COEFFS!$C:$C,SITE_COEFFS!$A:$A,"TurnSpace",SITE_COEFFS!$B:$B,$O74))</f>
        <v/>
      </c>
      <c r="Q74" s="13"/>
      <c r="R74" s="21" t="str">
        <f>IF($Q74="","",SUMIFS(SITE_COEFFS!$C:$C,SITE_COEFFS!$A:$A,"ProximityToBuildings",SITE_COEFFS!$B:$B,$Q74))</f>
        <v/>
      </c>
      <c r="S74" s="13"/>
      <c r="T74" s="21" t="str">
        <f>IF($S74="","",SUMIFS(SITE_COEFFS!$C:$C,SITE_COEFFS!$A:$A,"MachineryAllowed",SITE_COEFFS!$B:$B,$S74))</f>
        <v/>
      </c>
      <c r="U74" s="13"/>
      <c r="V74" s="13"/>
      <c r="W74" s="21" t="str">
        <f>IF($V74="","",SUMIFS(SITE_COEFFS!$C:$C,SITE_COEFFS!$A:$A,"GeometryComplexity",SITE_COEFFS!$B:$B,$V74))</f>
        <v/>
      </c>
      <c r="X74" s="13"/>
      <c r="Y74" s="13" t="str">
        <f>IF($X74="","",SUMIFS(TARIFF_PROFILES!$D:$D,TARIFF_PROFILES!$A:$A,$X74))</f>
        <v/>
      </c>
      <c r="Z74" s="13" t="str">
        <f>IF($X74="","",SUMIFS(TARIFF_PROFILES!$E:$E,TARIFF_PROFILES!$A:$A,$X74))</f>
        <v/>
      </c>
      <c r="AA74" s="13" t="str">
        <f>IF($X74="","",SUMIFS(TARIFF_PROFILES!$F:$F,TARIFF_PROFILES!$A:$A,$X74))</f>
        <v/>
      </c>
      <c r="AB74" s="13" t="str">
        <f>IF($X74="","",SUMIFS(TARIFF_PROFILES!$G:$G,TARIFF_PROFILES!$A:$A,$X74))</f>
        <v/>
      </c>
      <c r="AC74" s="13" t="str">
        <f>IF($X74="","",SUMIFS(TARIFF_PROFILES!$H:$H,TARIFF_PROFILES!$A:$A,$X74))</f>
        <v/>
      </c>
      <c r="AD74" s="13" t="str">
        <f>IF($X74="","",INDEX(TARIFF_PROFILES!$J:$J,MATCH($X74,TARIFF_PROFILES!$A:$A,0)))</f>
        <v/>
      </c>
      <c r="AE74" s="13" t="str">
        <f>IF($X74="","",INDEX(TARIFF_PROFILES!$K:$K,MATCH($X74,TARIFF_PROFILES!$A:$A,0)))</f>
        <v/>
      </c>
      <c r="AH74" t="str">
        <f>IF($AG74="","",SUMIFS(OPERATING_COEFFS!$C:$C,OPERATING_COEFFS!$A:$A,"DistanceClass",OPERATING_COEFFS!$B:$B,$AG74))</f>
        <v/>
      </c>
      <c r="AJ74" t="str">
        <f>IF($AI74="","",SUMIFS(OPERATING_COEFFS!$C:$C,OPERATING_COEFFS!$A:$A,"SeasonClass",OPERATING_COEFFS!$B:$B,$AI74))</f>
        <v/>
      </c>
      <c r="AL74" t="str">
        <f>IF($AK74="","",SUMIFS(OPERATING_COEFFS!$C:$C,OPERATING_COEFFS!$A:$A,"UrgencyClass",OPERATING_COEFFS!$B:$B,$AK74))</f>
        <v/>
      </c>
      <c r="AN74" t="str">
        <f>IF($AM74="","",INDEX(TAX_MODES!$B:$B,MATCH($AM74,TAX_MODES!$A:$A,0)))</f>
        <v/>
      </c>
    </row>
    <row r="75" spans="1:40" x14ac:dyDescent="0.3">
      <c r="A75" s="13"/>
      <c r="B75" s="13"/>
      <c r="C75" s="13"/>
      <c r="D75" s="21" t="str">
        <f>IF($C75="","",SUMIFS(SITE_COEFFS!$C:$C,SITE_COEFFS!$A:$A,"SoilWorkability",SITE_COEFFS!$B:$B,$C75))</f>
        <v/>
      </c>
      <c r="E75" s="13"/>
      <c r="F75" s="21" t="str">
        <f>IF($E75="","",SUMIFS(SITE_COEFFS!$C:$C,SITE_COEFFS!$A:$A,"SoilMoisture",SITE_COEFFS!$B:$B,$E75))</f>
        <v/>
      </c>
      <c r="G75" s="13"/>
      <c r="H75" s="21" t="str">
        <f>IF($G75="","",SUMIFS(SITE_COEFFS!$C:$C,SITE_COEFFS!$A:$A,"DebrisLevel",SITE_COEFFS!$B:$B,$G75))</f>
        <v/>
      </c>
      <c r="I75" s="13"/>
      <c r="J75" s="21" t="str">
        <f>IF($I75="","",SUMIFS(SITE_COEFFS!$C:$C,SITE_COEFFS!$A:$A,"SlopeClass",SITE_COEFFS!$B:$B,$I75))</f>
        <v/>
      </c>
      <c r="K75" s="13"/>
      <c r="L75" s="21" t="str">
        <f>IF($K75="","",SUMIFS(SITE_COEFFS!$C:$C,SITE_COEFFS!$A:$A,"SurfaceUnevenness",SITE_COEFFS!$B:$B,$K75))</f>
        <v/>
      </c>
      <c r="M75" s="13"/>
      <c r="N75" s="21" t="str">
        <f>IF($M75="","",SUMIFS(SITE_COEFFS!$C:$C,SITE_COEFFS!$A:$A,"AccessClass",SITE_COEFFS!$B:$B,$M75))</f>
        <v/>
      </c>
      <c r="O75" s="13"/>
      <c r="P75" s="21" t="str">
        <f>IF($O75="","",SUMIFS(SITE_COEFFS!$C:$C,SITE_COEFFS!$A:$A,"TurnSpace",SITE_COEFFS!$B:$B,$O75))</f>
        <v/>
      </c>
      <c r="Q75" s="13"/>
      <c r="R75" s="21" t="str">
        <f>IF($Q75="","",SUMIFS(SITE_COEFFS!$C:$C,SITE_COEFFS!$A:$A,"ProximityToBuildings",SITE_COEFFS!$B:$B,$Q75))</f>
        <v/>
      </c>
      <c r="S75" s="13"/>
      <c r="T75" s="21" t="str">
        <f>IF($S75="","",SUMIFS(SITE_COEFFS!$C:$C,SITE_COEFFS!$A:$A,"MachineryAllowed",SITE_COEFFS!$B:$B,$S75))</f>
        <v/>
      </c>
      <c r="U75" s="13"/>
      <c r="V75" s="13"/>
      <c r="W75" s="21" t="str">
        <f>IF($V75="","",SUMIFS(SITE_COEFFS!$C:$C,SITE_COEFFS!$A:$A,"GeometryComplexity",SITE_COEFFS!$B:$B,$V75))</f>
        <v/>
      </c>
      <c r="X75" s="13"/>
      <c r="Y75" s="13" t="str">
        <f>IF($X75="","",SUMIFS(TARIFF_PROFILES!$D:$D,TARIFF_PROFILES!$A:$A,$X75))</f>
        <v/>
      </c>
      <c r="Z75" s="13" t="str">
        <f>IF($X75="","",SUMIFS(TARIFF_PROFILES!$E:$E,TARIFF_PROFILES!$A:$A,$X75))</f>
        <v/>
      </c>
      <c r="AA75" s="13" t="str">
        <f>IF($X75="","",SUMIFS(TARIFF_PROFILES!$F:$F,TARIFF_PROFILES!$A:$A,$X75))</f>
        <v/>
      </c>
      <c r="AB75" s="13" t="str">
        <f>IF($X75="","",SUMIFS(TARIFF_PROFILES!$G:$G,TARIFF_PROFILES!$A:$A,$X75))</f>
        <v/>
      </c>
      <c r="AC75" s="13" t="str">
        <f>IF($X75="","",SUMIFS(TARIFF_PROFILES!$H:$H,TARIFF_PROFILES!$A:$A,$X75))</f>
        <v/>
      </c>
      <c r="AD75" s="13" t="str">
        <f>IF($X75="","",INDEX(TARIFF_PROFILES!$J:$J,MATCH($X75,TARIFF_PROFILES!$A:$A,0)))</f>
        <v/>
      </c>
      <c r="AE75" s="13" t="str">
        <f>IF($X75="","",INDEX(TARIFF_PROFILES!$K:$K,MATCH($X75,TARIFF_PROFILES!$A:$A,0)))</f>
        <v/>
      </c>
      <c r="AH75" t="str">
        <f>IF($AG75="","",SUMIFS(OPERATING_COEFFS!$C:$C,OPERATING_COEFFS!$A:$A,"DistanceClass",OPERATING_COEFFS!$B:$B,$AG75))</f>
        <v/>
      </c>
      <c r="AJ75" t="str">
        <f>IF($AI75="","",SUMIFS(OPERATING_COEFFS!$C:$C,OPERATING_COEFFS!$A:$A,"SeasonClass",OPERATING_COEFFS!$B:$B,$AI75))</f>
        <v/>
      </c>
      <c r="AL75" t="str">
        <f>IF($AK75="","",SUMIFS(OPERATING_COEFFS!$C:$C,OPERATING_COEFFS!$A:$A,"UrgencyClass",OPERATING_COEFFS!$B:$B,$AK75))</f>
        <v/>
      </c>
      <c r="AN75" t="str">
        <f>IF($AM75="","",INDEX(TAX_MODES!$B:$B,MATCH($AM75,TAX_MODES!$A:$A,0)))</f>
        <v/>
      </c>
    </row>
    <row r="76" spans="1:40" x14ac:dyDescent="0.3">
      <c r="A76" s="13"/>
      <c r="B76" s="13"/>
      <c r="C76" s="13"/>
      <c r="D76" s="21" t="str">
        <f>IF($C76="","",SUMIFS(SITE_COEFFS!$C:$C,SITE_COEFFS!$A:$A,"SoilWorkability",SITE_COEFFS!$B:$B,$C76))</f>
        <v/>
      </c>
      <c r="E76" s="13"/>
      <c r="F76" s="21" t="str">
        <f>IF($E76="","",SUMIFS(SITE_COEFFS!$C:$C,SITE_COEFFS!$A:$A,"SoilMoisture",SITE_COEFFS!$B:$B,$E76))</f>
        <v/>
      </c>
      <c r="G76" s="13"/>
      <c r="H76" s="21" t="str">
        <f>IF($G76="","",SUMIFS(SITE_COEFFS!$C:$C,SITE_COEFFS!$A:$A,"DebrisLevel",SITE_COEFFS!$B:$B,$G76))</f>
        <v/>
      </c>
      <c r="I76" s="13"/>
      <c r="J76" s="21" t="str">
        <f>IF($I76="","",SUMIFS(SITE_COEFFS!$C:$C,SITE_COEFFS!$A:$A,"SlopeClass",SITE_COEFFS!$B:$B,$I76))</f>
        <v/>
      </c>
      <c r="K76" s="13"/>
      <c r="L76" s="21" t="str">
        <f>IF($K76="","",SUMIFS(SITE_COEFFS!$C:$C,SITE_COEFFS!$A:$A,"SurfaceUnevenness",SITE_COEFFS!$B:$B,$K76))</f>
        <v/>
      </c>
      <c r="M76" s="13"/>
      <c r="N76" s="21" t="str">
        <f>IF($M76="","",SUMIFS(SITE_COEFFS!$C:$C,SITE_COEFFS!$A:$A,"AccessClass",SITE_COEFFS!$B:$B,$M76))</f>
        <v/>
      </c>
      <c r="O76" s="13"/>
      <c r="P76" s="21" t="str">
        <f>IF($O76="","",SUMIFS(SITE_COEFFS!$C:$C,SITE_COEFFS!$A:$A,"TurnSpace",SITE_COEFFS!$B:$B,$O76))</f>
        <v/>
      </c>
      <c r="Q76" s="13"/>
      <c r="R76" s="21" t="str">
        <f>IF($Q76="","",SUMIFS(SITE_COEFFS!$C:$C,SITE_COEFFS!$A:$A,"ProximityToBuildings",SITE_COEFFS!$B:$B,$Q76))</f>
        <v/>
      </c>
      <c r="S76" s="13"/>
      <c r="T76" s="21" t="str">
        <f>IF($S76="","",SUMIFS(SITE_COEFFS!$C:$C,SITE_COEFFS!$A:$A,"MachineryAllowed",SITE_COEFFS!$B:$B,$S76))</f>
        <v/>
      </c>
      <c r="U76" s="13"/>
      <c r="V76" s="13"/>
      <c r="W76" s="21" t="str">
        <f>IF($V76="","",SUMIFS(SITE_COEFFS!$C:$C,SITE_COEFFS!$A:$A,"GeometryComplexity",SITE_COEFFS!$B:$B,$V76))</f>
        <v/>
      </c>
      <c r="X76" s="13"/>
      <c r="Y76" s="13" t="str">
        <f>IF($X76="","",SUMIFS(TARIFF_PROFILES!$D:$D,TARIFF_PROFILES!$A:$A,$X76))</f>
        <v/>
      </c>
      <c r="Z76" s="13" t="str">
        <f>IF($X76="","",SUMIFS(TARIFF_PROFILES!$E:$E,TARIFF_PROFILES!$A:$A,$X76))</f>
        <v/>
      </c>
      <c r="AA76" s="13" t="str">
        <f>IF($X76="","",SUMIFS(TARIFF_PROFILES!$F:$F,TARIFF_PROFILES!$A:$A,$X76))</f>
        <v/>
      </c>
      <c r="AB76" s="13" t="str">
        <f>IF($X76="","",SUMIFS(TARIFF_PROFILES!$G:$G,TARIFF_PROFILES!$A:$A,$X76))</f>
        <v/>
      </c>
      <c r="AC76" s="13" t="str">
        <f>IF($X76="","",SUMIFS(TARIFF_PROFILES!$H:$H,TARIFF_PROFILES!$A:$A,$X76))</f>
        <v/>
      </c>
      <c r="AD76" s="13" t="str">
        <f>IF($X76="","",INDEX(TARIFF_PROFILES!$J:$J,MATCH($X76,TARIFF_PROFILES!$A:$A,0)))</f>
        <v/>
      </c>
      <c r="AE76" s="13" t="str">
        <f>IF($X76="","",INDEX(TARIFF_PROFILES!$K:$K,MATCH($X76,TARIFF_PROFILES!$A:$A,0)))</f>
        <v/>
      </c>
      <c r="AH76" t="str">
        <f>IF($AG76="","",SUMIFS(OPERATING_COEFFS!$C:$C,OPERATING_COEFFS!$A:$A,"DistanceClass",OPERATING_COEFFS!$B:$B,$AG76))</f>
        <v/>
      </c>
      <c r="AJ76" t="str">
        <f>IF($AI76="","",SUMIFS(OPERATING_COEFFS!$C:$C,OPERATING_COEFFS!$A:$A,"SeasonClass",OPERATING_COEFFS!$B:$B,$AI76))</f>
        <v/>
      </c>
      <c r="AL76" t="str">
        <f>IF($AK76="","",SUMIFS(OPERATING_COEFFS!$C:$C,OPERATING_COEFFS!$A:$A,"UrgencyClass",OPERATING_COEFFS!$B:$B,$AK76))</f>
        <v/>
      </c>
      <c r="AN76" t="str">
        <f>IF($AM76="","",INDEX(TAX_MODES!$B:$B,MATCH($AM76,TAX_MODES!$A:$A,0)))</f>
        <v/>
      </c>
    </row>
    <row r="77" spans="1:40" x14ac:dyDescent="0.3">
      <c r="A77" s="13"/>
      <c r="B77" s="13"/>
      <c r="C77" s="13"/>
      <c r="D77" s="21" t="str">
        <f>IF($C77="","",SUMIFS(SITE_COEFFS!$C:$C,SITE_COEFFS!$A:$A,"SoilWorkability",SITE_COEFFS!$B:$B,$C77))</f>
        <v/>
      </c>
      <c r="E77" s="13"/>
      <c r="F77" s="21" t="str">
        <f>IF($E77="","",SUMIFS(SITE_COEFFS!$C:$C,SITE_COEFFS!$A:$A,"SoilMoisture",SITE_COEFFS!$B:$B,$E77))</f>
        <v/>
      </c>
      <c r="G77" s="13"/>
      <c r="H77" s="21" t="str">
        <f>IF($G77="","",SUMIFS(SITE_COEFFS!$C:$C,SITE_COEFFS!$A:$A,"DebrisLevel",SITE_COEFFS!$B:$B,$G77))</f>
        <v/>
      </c>
      <c r="I77" s="13"/>
      <c r="J77" s="21" t="str">
        <f>IF($I77="","",SUMIFS(SITE_COEFFS!$C:$C,SITE_COEFFS!$A:$A,"SlopeClass",SITE_COEFFS!$B:$B,$I77))</f>
        <v/>
      </c>
      <c r="K77" s="13"/>
      <c r="L77" s="21" t="str">
        <f>IF($K77="","",SUMIFS(SITE_COEFFS!$C:$C,SITE_COEFFS!$A:$A,"SurfaceUnevenness",SITE_COEFFS!$B:$B,$K77))</f>
        <v/>
      </c>
      <c r="M77" s="13"/>
      <c r="N77" s="21" t="str">
        <f>IF($M77="","",SUMIFS(SITE_COEFFS!$C:$C,SITE_COEFFS!$A:$A,"AccessClass",SITE_COEFFS!$B:$B,$M77))</f>
        <v/>
      </c>
      <c r="O77" s="13"/>
      <c r="P77" s="21" t="str">
        <f>IF($O77="","",SUMIFS(SITE_COEFFS!$C:$C,SITE_COEFFS!$A:$A,"TurnSpace",SITE_COEFFS!$B:$B,$O77))</f>
        <v/>
      </c>
      <c r="Q77" s="13"/>
      <c r="R77" s="21" t="str">
        <f>IF($Q77="","",SUMIFS(SITE_COEFFS!$C:$C,SITE_COEFFS!$A:$A,"ProximityToBuildings",SITE_COEFFS!$B:$B,$Q77))</f>
        <v/>
      </c>
      <c r="S77" s="13"/>
      <c r="T77" s="21" t="str">
        <f>IF($S77="","",SUMIFS(SITE_COEFFS!$C:$C,SITE_COEFFS!$A:$A,"MachineryAllowed",SITE_COEFFS!$B:$B,$S77))</f>
        <v/>
      </c>
      <c r="U77" s="13"/>
      <c r="V77" s="13"/>
      <c r="W77" s="21" t="str">
        <f>IF($V77="","",SUMIFS(SITE_COEFFS!$C:$C,SITE_COEFFS!$A:$A,"GeometryComplexity",SITE_COEFFS!$B:$B,$V77))</f>
        <v/>
      </c>
      <c r="X77" s="13"/>
      <c r="Y77" s="13" t="str">
        <f>IF($X77="","",SUMIFS(TARIFF_PROFILES!$D:$D,TARIFF_PROFILES!$A:$A,$X77))</f>
        <v/>
      </c>
      <c r="Z77" s="13" t="str">
        <f>IF($X77="","",SUMIFS(TARIFF_PROFILES!$E:$E,TARIFF_PROFILES!$A:$A,$X77))</f>
        <v/>
      </c>
      <c r="AA77" s="13" t="str">
        <f>IF($X77="","",SUMIFS(TARIFF_PROFILES!$F:$F,TARIFF_PROFILES!$A:$A,$X77))</f>
        <v/>
      </c>
      <c r="AB77" s="13" t="str">
        <f>IF($X77="","",SUMIFS(TARIFF_PROFILES!$G:$G,TARIFF_PROFILES!$A:$A,$X77))</f>
        <v/>
      </c>
      <c r="AC77" s="13" t="str">
        <f>IF($X77="","",SUMIFS(TARIFF_PROFILES!$H:$H,TARIFF_PROFILES!$A:$A,$X77))</f>
        <v/>
      </c>
      <c r="AD77" s="13" t="str">
        <f>IF($X77="","",INDEX(TARIFF_PROFILES!$J:$J,MATCH($X77,TARIFF_PROFILES!$A:$A,0)))</f>
        <v/>
      </c>
      <c r="AE77" s="13" t="str">
        <f>IF($X77="","",INDEX(TARIFF_PROFILES!$K:$K,MATCH($X77,TARIFF_PROFILES!$A:$A,0)))</f>
        <v/>
      </c>
      <c r="AH77" t="str">
        <f>IF($AG77="","",SUMIFS(OPERATING_COEFFS!$C:$C,OPERATING_COEFFS!$A:$A,"DistanceClass",OPERATING_COEFFS!$B:$B,$AG77))</f>
        <v/>
      </c>
      <c r="AJ77" t="str">
        <f>IF($AI77="","",SUMIFS(OPERATING_COEFFS!$C:$C,OPERATING_COEFFS!$A:$A,"SeasonClass",OPERATING_COEFFS!$B:$B,$AI77))</f>
        <v/>
      </c>
      <c r="AL77" t="str">
        <f>IF($AK77="","",SUMIFS(OPERATING_COEFFS!$C:$C,OPERATING_COEFFS!$A:$A,"UrgencyClass",OPERATING_COEFFS!$B:$B,$AK77))</f>
        <v/>
      </c>
      <c r="AN77" t="str">
        <f>IF($AM77="","",INDEX(TAX_MODES!$B:$B,MATCH($AM77,TAX_MODES!$A:$A,0)))</f>
        <v/>
      </c>
    </row>
    <row r="78" spans="1:40" x14ac:dyDescent="0.3">
      <c r="A78" s="13"/>
      <c r="B78" s="13"/>
      <c r="C78" s="13"/>
      <c r="D78" s="21" t="str">
        <f>IF($C78="","",SUMIFS(SITE_COEFFS!$C:$C,SITE_COEFFS!$A:$A,"SoilWorkability",SITE_COEFFS!$B:$B,$C78))</f>
        <v/>
      </c>
      <c r="E78" s="13"/>
      <c r="F78" s="21" t="str">
        <f>IF($E78="","",SUMIFS(SITE_COEFFS!$C:$C,SITE_COEFFS!$A:$A,"SoilMoisture",SITE_COEFFS!$B:$B,$E78))</f>
        <v/>
      </c>
      <c r="G78" s="13"/>
      <c r="H78" s="21" t="str">
        <f>IF($G78="","",SUMIFS(SITE_COEFFS!$C:$C,SITE_COEFFS!$A:$A,"DebrisLevel",SITE_COEFFS!$B:$B,$G78))</f>
        <v/>
      </c>
      <c r="I78" s="13"/>
      <c r="J78" s="21" t="str">
        <f>IF($I78="","",SUMIFS(SITE_COEFFS!$C:$C,SITE_COEFFS!$A:$A,"SlopeClass",SITE_COEFFS!$B:$B,$I78))</f>
        <v/>
      </c>
      <c r="K78" s="13"/>
      <c r="L78" s="21" t="str">
        <f>IF($K78="","",SUMIFS(SITE_COEFFS!$C:$C,SITE_COEFFS!$A:$A,"SurfaceUnevenness",SITE_COEFFS!$B:$B,$K78))</f>
        <v/>
      </c>
      <c r="M78" s="13"/>
      <c r="N78" s="21" t="str">
        <f>IF($M78="","",SUMIFS(SITE_COEFFS!$C:$C,SITE_COEFFS!$A:$A,"AccessClass",SITE_COEFFS!$B:$B,$M78))</f>
        <v/>
      </c>
      <c r="O78" s="13"/>
      <c r="P78" s="21" t="str">
        <f>IF($O78="","",SUMIFS(SITE_COEFFS!$C:$C,SITE_COEFFS!$A:$A,"TurnSpace",SITE_COEFFS!$B:$B,$O78))</f>
        <v/>
      </c>
      <c r="Q78" s="13"/>
      <c r="R78" s="21" t="str">
        <f>IF($Q78="","",SUMIFS(SITE_COEFFS!$C:$C,SITE_COEFFS!$A:$A,"ProximityToBuildings",SITE_COEFFS!$B:$B,$Q78))</f>
        <v/>
      </c>
      <c r="S78" s="13"/>
      <c r="T78" s="21" t="str">
        <f>IF($S78="","",SUMIFS(SITE_COEFFS!$C:$C,SITE_COEFFS!$A:$A,"MachineryAllowed",SITE_COEFFS!$B:$B,$S78))</f>
        <v/>
      </c>
      <c r="U78" s="13"/>
      <c r="V78" s="13"/>
      <c r="W78" s="21" t="str">
        <f>IF($V78="","",SUMIFS(SITE_COEFFS!$C:$C,SITE_COEFFS!$A:$A,"GeometryComplexity",SITE_COEFFS!$B:$B,$V78))</f>
        <v/>
      </c>
      <c r="X78" s="13"/>
      <c r="Y78" s="13" t="str">
        <f>IF($X78="","",SUMIFS(TARIFF_PROFILES!$D:$D,TARIFF_PROFILES!$A:$A,$X78))</f>
        <v/>
      </c>
      <c r="Z78" s="13" t="str">
        <f>IF($X78="","",SUMIFS(TARIFF_PROFILES!$E:$E,TARIFF_PROFILES!$A:$A,$X78))</f>
        <v/>
      </c>
      <c r="AA78" s="13" t="str">
        <f>IF($X78="","",SUMIFS(TARIFF_PROFILES!$F:$F,TARIFF_PROFILES!$A:$A,$X78))</f>
        <v/>
      </c>
      <c r="AB78" s="13" t="str">
        <f>IF($X78="","",SUMIFS(TARIFF_PROFILES!$G:$G,TARIFF_PROFILES!$A:$A,$X78))</f>
        <v/>
      </c>
      <c r="AC78" s="13" t="str">
        <f>IF($X78="","",SUMIFS(TARIFF_PROFILES!$H:$H,TARIFF_PROFILES!$A:$A,$X78))</f>
        <v/>
      </c>
      <c r="AD78" s="13" t="str">
        <f>IF($X78="","",INDEX(TARIFF_PROFILES!$J:$J,MATCH($X78,TARIFF_PROFILES!$A:$A,0)))</f>
        <v/>
      </c>
      <c r="AE78" s="13" t="str">
        <f>IF($X78="","",INDEX(TARIFF_PROFILES!$K:$K,MATCH($X78,TARIFF_PROFILES!$A:$A,0)))</f>
        <v/>
      </c>
      <c r="AH78" t="str">
        <f>IF($AG78="","",SUMIFS(OPERATING_COEFFS!$C:$C,OPERATING_COEFFS!$A:$A,"DistanceClass",OPERATING_COEFFS!$B:$B,$AG78))</f>
        <v/>
      </c>
      <c r="AJ78" t="str">
        <f>IF($AI78="","",SUMIFS(OPERATING_COEFFS!$C:$C,OPERATING_COEFFS!$A:$A,"SeasonClass",OPERATING_COEFFS!$B:$B,$AI78))</f>
        <v/>
      </c>
      <c r="AL78" t="str">
        <f>IF($AK78="","",SUMIFS(OPERATING_COEFFS!$C:$C,OPERATING_COEFFS!$A:$A,"UrgencyClass",OPERATING_COEFFS!$B:$B,$AK78))</f>
        <v/>
      </c>
      <c r="AN78" t="str">
        <f>IF($AM78="","",INDEX(TAX_MODES!$B:$B,MATCH($AM78,TAX_MODES!$A:$A,0)))</f>
        <v/>
      </c>
    </row>
    <row r="79" spans="1:40" x14ac:dyDescent="0.3">
      <c r="A79" s="13"/>
      <c r="B79" s="13"/>
      <c r="C79" s="13"/>
      <c r="D79" s="21" t="str">
        <f>IF($C79="","",SUMIFS(SITE_COEFFS!$C:$C,SITE_COEFFS!$A:$A,"SoilWorkability",SITE_COEFFS!$B:$B,$C79))</f>
        <v/>
      </c>
      <c r="E79" s="13"/>
      <c r="F79" s="21" t="str">
        <f>IF($E79="","",SUMIFS(SITE_COEFFS!$C:$C,SITE_COEFFS!$A:$A,"SoilMoisture",SITE_COEFFS!$B:$B,$E79))</f>
        <v/>
      </c>
      <c r="G79" s="13"/>
      <c r="H79" s="21" t="str">
        <f>IF($G79="","",SUMIFS(SITE_COEFFS!$C:$C,SITE_COEFFS!$A:$A,"DebrisLevel",SITE_COEFFS!$B:$B,$G79))</f>
        <v/>
      </c>
      <c r="I79" s="13"/>
      <c r="J79" s="21" t="str">
        <f>IF($I79="","",SUMIFS(SITE_COEFFS!$C:$C,SITE_COEFFS!$A:$A,"SlopeClass",SITE_COEFFS!$B:$B,$I79))</f>
        <v/>
      </c>
      <c r="K79" s="13"/>
      <c r="L79" s="21" t="str">
        <f>IF($K79="","",SUMIFS(SITE_COEFFS!$C:$C,SITE_COEFFS!$A:$A,"SurfaceUnevenness",SITE_COEFFS!$B:$B,$K79))</f>
        <v/>
      </c>
      <c r="M79" s="13"/>
      <c r="N79" s="21" t="str">
        <f>IF($M79="","",SUMIFS(SITE_COEFFS!$C:$C,SITE_COEFFS!$A:$A,"AccessClass",SITE_COEFFS!$B:$B,$M79))</f>
        <v/>
      </c>
      <c r="O79" s="13"/>
      <c r="P79" s="21" t="str">
        <f>IF($O79="","",SUMIFS(SITE_COEFFS!$C:$C,SITE_COEFFS!$A:$A,"TurnSpace",SITE_COEFFS!$B:$B,$O79))</f>
        <v/>
      </c>
      <c r="Q79" s="13"/>
      <c r="R79" s="21" t="str">
        <f>IF($Q79="","",SUMIFS(SITE_COEFFS!$C:$C,SITE_COEFFS!$A:$A,"ProximityToBuildings",SITE_COEFFS!$B:$B,$Q79))</f>
        <v/>
      </c>
      <c r="S79" s="13"/>
      <c r="T79" s="21" t="str">
        <f>IF($S79="","",SUMIFS(SITE_COEFFS!$C:$C,SITE_COEFFS!$A:$A,"MachineryAllowed",SITE_COEFFS!$B:$B,$S79))</f>
        <v/>
      </c>
      <c r="U79" s="13"/>
      <c r="V79" s="13"/>
      <c r="W79" s="21" t="str">
        <f>IF($V79="","",SUMIFS(SITE_COEFFS!$C:$C,SITE_COEFFS!$A:$A,"GeometryComplexity",SITE_COEFFS!$B:$B,$V79))</f>
        <v/>
      </c>
      <c r="X79" s="13"/>
      <c r="Y79" s="13" t="str">
        <f>IF($X79="","",SUMIFS(TARIFF_PROFILES!$D:$D,TARIFF_PROFILES!$A:$A,$X79))</f>
        <v/>
      </c>
      <c r="Z79" s="13" t="str">
        <f>IF($X79="","",SUMIFS(TARIFF_PROFILES!$E:$E,TARIFF_PROFILES!$A:$A,$X79))</f>
        <v/>
      </c>
      <c r="AA79" s="13" t="str">
        <f>IF($X79="","",SUMIFS(TARIFF_PROFILES!$F:$F,TARIFF_PROFILES!$A:$A,$X79))</f>
        <v/>
      </c>
      <c r="AB79" s="13" t="str">
        <f>IF($X79="","",SUMIFS(TARIFF_PROFILES!$G:$G,TARIFF_PROFILES!$A:$A,$X79))</f>
        <v/>
      </c>
      <c r="AC79" s="13" t="str">
        <f>IF($X79="","",SUMIFS(TARIFF_PROFILES!$H:$H,TARIFF_PROFILES!$A:$A,$X79))</f>
        <v/>
      </c>
      <c r="AD79" s="13" t="str">
        <f>IF($X79="","",INDEX(TARIFF_PROFILES!$J:$J,MATCH($X79,TARIFF_PROFILES!$A:$A,0)))</f>
        <v/>
      </c>
      <c r="AE79" s="13" t="str">
        <f>IF($X79="","",INDEX(TARIFF_PROFILES!$K:$K,MATCH($X79,TARIFF_PROFILES!$A:$A,0)))</f>
        <v/>
      </c>
      <c r="AH79" t="str">
        <f>IF($AG79="","",SUMIFS(OPERATING_COEFFS!$C:$C,OPERATING_COEFFS!$A:$A,"DistanceClass",OPERATING_COEFFS!$B:$B,$AG79))</f>
        <v/>
      </c>
      <c r="AJ79" t="str">
        <f>IF($AI79="","",SUMIFS(OPERATING_COEFFS!$C:$C,OPERATING_COEFFS!$A:$A,"SeasonClass",OPERATING_COEFFS!$B:$B,$AI79))</f>
        <v/>
      </c>
      <c r="AL79" t="str">
        <f>IF($AK79="","",SUMIFS(OPERATING_COEFFS!$C:$C,OPERATING_COEFFS!$A:$A,"UrgencyClass",OPERATING_COEFFS!$B:$B,$AK79))</f>
        <v/>
      </c>
      <c r="AN79" t="str">
        <f>IF($AM79="","",INDEX(TAX_MODES!$B:$B,MATCH($AM79,TAX_MODES!$A:$A,0)))</f>
        <v/>
      </c>
    </row>
    <row r="80" spans="1:40" x14ac:dyDescent="0.3">
      <c r="A80" s="13"/>
      <c r="B80" s="13"/>
      <c r="C80" s="13"/>
      <c r="D80" s="21" t="str">
        <f>IF($C80="","",SUMIFS(SITE_COEFFS!$C:$C,SITE_COEFFS!$A:$A,"SoilWorkability",SITE_COEFFS!$B:$B,$C80))</f>
        <v/>
      </c>
      <c r="E80" s="13"/>
      <c r="F80" s="21" t="str">
        <f>IF($E80="","",SUMIFS(SITE_COEFFS!$C:$C,SITE_COEFFS!$A:$A,"SoilMoisture",SITE_COEFFS!$B:$B,$E80))</f>
        <v/>
      </c>
      <c r="G80" s="13"/>
      <c r="H80" s="21" t="str">
        <f>IF($G80="","",SUMIFS(SITE_COEFFS!$C:$C,SITE_COEFFS!$A:$A,"DebrisLevel",SITE_COEFFS!$B:$B,$G80))</f>
        <v/>
      </c>
      <c r="I80" s="13"/>
      <c r="J80" s="21" t="str">
        <f>IF($I80="","",SUMIFS(SITE_COEFFS!$C:$C,SITE_COEFFS!$A:$A,"SlopeClass",SITE_COEFFS!$B:$B,$I80))</f>
        <v/>
      </c>
      <c r="K80" s="13"/>
      <c r="L80" s="21" t="str">
        <f>IF($K80="","",SUMIFS(SITE_COEFFS!$C:$C,SITE_COEFFS!$A:$A,"SurfaceUnevenness",SITE_COEFFS!$B:$B,$K80))</f>
        <v/>
      </c>
      <c r="M80" s="13"/>
      <c r="N80" s="21" t="str">
        <f>IF($M80="","",SUMIFS(SITE_COEFFS!$C:$C,SITE_COEFFS!$A:$A,"AccessClass",SITE_COEFFS!$B:$B,$M80))</f>
        <v/>
      </c>
      <c r="O80" s="13"/>
      <c r="P80" s="21" t="str">
        <f>IF($O80="","",SUMIFS(SITE_COEFFS!$C:$C,SITE_COEFFS!$A:$A,"TurnSpace",SITE_COEFFS!$B:$B,$O80))</f>
        <v/>
      </c>
      <c r="Q80" s="13"/>
      <c r="R80" s="21" t="str">
        <f>IF($Q80="","",SUMIFS(SITE_COEFFS!$C:$C,SITE_COEFFS!$A:$A,"ProximityToBuildings",SITE_COEFFS!$B:$B,$Q80))</f>
        <v/>
      </c>
      <c r="S80" s="13"/>
      <c r="T80" s="21" t="str">
        <f>IF($S80="","",SUMIFS(SITE_COEFFS!$C:$C,SITE_COEFFS!$A:$A,"MachineryAllowed",SITE_COEFFS!$B:$B,$S80))</f>
        <v/>
      </c>
      <c r="U80" s="13"/>
      <c r="V80" s="13"/>
      <c r="W80" s="21" t="str">
        <f>IF($V80="","",SUMIFS(SITE_COEFFS!$C:$C,SITE_COEFFS!$A:$A,"GeometryComplexity",SITE_COEFFS!$B:$B,$V80))</f>
        <v/>
      </c>
      <c r="X80" s="13"/>
      <c r="Y80" s="13" t="str">
        <f>IF($X80="","",SUMIFS(TARIFF_PROFILES!$D:$D,TARIFF_PROFILES!$A:$A,$X80))</f>
        <v/>
      </c>
      <c r="Z80" s="13" t="str">
        <f>IF($X80="","",SUMIFS(TARIFF_PROFILES!$E:$E,TARIFF_PROFILES!$A:$A,$X80))</f>
        <v/>
      </c>
      <c r="AA80" s="13" t="str">
        <f>IF($X80="","",SUMIFS(TARIFF_PROFILES!$F:$F,TARIFF_PROFILES!$A:$A,$X80))</f>
        <v/>
      </c>
      <c r="AB80" s="13" t="str">
        <f>IF($X80="","",SUMIFS(TARIFF_PROFILES!$G:$G,TARIFF_PROFILES!$A:$A,$X80))</f>
        <v/>
      </c>
      <c r="AC80" s="13" t="str">
        <f>IF($X80="","",SUMIFS(TARIFF_PROFILES!$H:$H,TARIFF_PROFILES!$A:$A,$X80))</f>
        <v/>
      </c>
      <c r="AD80" s="13" t="str">
        <f>IF($X80="","",INDEX(TARIFF_PROFILES!$J:$J,MATCH($X80,TARIFF_PROFILES!$A:$A,0)))</f>
        <v/>
      </c>
      <c r="AE80" s="13" t="str">
        <f>IF($X80="","",INDEX(TARIFF_PROFILES!$K:$K,MATCH($X80,TARIFF_PROFILES!$A:$A,0)))</f>
        <v/>
      </c>
      <c r="AH80" t="str">
        <f>IF($AG80="","",SUMIFS(OPERATING_COEFFS!$C:$C,OPERATING_COEFFS!$A:$A,"DistanceClass",OPERATING_COEFFS!$B:$B,$AG80))</f>
        <v/>
      </c>
      <c r="AJ80" t="str">
        <f>IF($AI80="","",SUMIFS(OPERATING_COEFFS!$C:$C,OPERATING_COEFFS!$A:$A,"SeasonClass",OPERATING_COEFFS!$B:$B,$AI80))</f>
        <v/>
      </c>
      <c r="AL80" t="str">
        <f>IF($AK80="","",SUMIFS(OPERATING_COEFFS!$C:$C,OPERATING_COEFFS!$A:$A,"UrgencyClass",OPERATING_COEFFS!$B:$B,$AK80))</f>
        <v/>
      </c>
      <c r="AN80" t="str">
        <f>IF($AM80="","",INDEX(TAX_MODES!$B:$B,MATCH($AM80,TAX_MODES!$A:$A,0)))</f>
        <v/>
      </c>
    </row>
    <row r="81" spans="1:40" x14ac:dyDescent="0.3">
      <c r="A81" s="13"/>
      <c r="B81" s="13"/>
      <c r="C81" s="13"/>
      <c r="D81" s="21" t="str">
        <f>IF($C81="","",SUMIFS(SITE_COEFFS!$C:$C,SITE_COEFFS!$A:$A,"SoilWorkability",SITE_COEFFS!$B:$B,$C81))</f>
        <v/>
      </c>
      <c r="E81" s="13"/>
      <c r="F81" s="21" t="str">
        <f>IF($E81="","",SUMIFS(SITE_COEFFS!$C:$C,SITE_COEFFS!$A:$A,"SoilMoisture",SITE_COEFFS!$B:$B,$E81))</f>
        <v/>
      </c>
      <c r="G81" s="13"/>
      <c r="H81" s="21" t="str">
        <f>IF($G81="","",SUMIFS(SITE_COEFFS!$C:$C,SITE_COEFFS!$A:$A,"DebrisLevel",SITE_COEFFS!$B:$B,$G81))</f>
        <v/>
      </c>
      <c r="I81" s="13"/>
      <c r="J81" s="21" t="str">
        <f>IF($I81="","",SUMIFS(SITE_COEFFS!$C:$C,SITE_COEFFS!$A:$A,"SlopeClass",SITE_COEFFS!$B:$B,$I81))</f>
        <v/>
      </c>
      <c r="K81" s="13"/>
      <c r="L81" s="21" t="str">
        <f>IF($K81="","",SUMIFS(SITE_COEFFS!$C:$C,SITE_COEFFS!$A:$A,"SurfaceUnevenness",SITE_COEFFS!$B:$B,$K81))</f>
        <v/>
      </c>
      <c r="M81" s="13"/>
      <c r="N81" s="21" t="str">
        <f>IF($M81="","",SUMIFS(SITE_COEFFS!$C:$C,SITE_COEFFS!$A:$A,"AccessClass",SITE_COEFFS!$B:$B,$M81))</f>
        <v/>
      </c>
      <c r="O81" s="13"/>
      <c r="P81" s="21" t="str">
        <f>IF($O81="","",SUMIFS(SITE_COEFFS!$C:$C,SITE_COEFFS!$A:$A,"TurnSpace",SITE_COEFFS!$B:$B,$O81))</f>
        <v/>
      </c>
      <c r="Q81" s="13"/>
      <c r="R81" s="21" t="str">
        <f>IF($Q81="","",SUMIFS(SITE_COEFFS!$C:$C,SITE_COEFFS!$A:$A,"ProximityToBuildings",SITE_COEFFS!$B:$B,$Q81))</f>
        <v/>
      </c>
      <c r="S81" s="13"/>
      <c r="T81" s="21" t="str">
        <f>IF($S81="","",SUMIFS(SITE_COEFFS!$C:$C,SITE_COEFFS!$A:$A,"MachineryAllowed",SITE_COEFFS!$B:$B,$S81))</f>
        <v/>
      </c>
      <c r="U81" s="13"/>
      <c r="V81" s="13"/>
      <c r="W81" s="21" t="str">
        <f>IF($V81="","",SUMIFS(SITE_COEFFS!$C:$C,SITE_COEFFS!$A:$A,"GeometryComplexity",SITE_COEFFS!$B:$B,$V81))</f>
        <v/>
      </c>
      <c r="X81" s="13"/>
      <c r="Y81" s="13" t="str">
        <f>IF($X81="","",SUMIFS(TARIFF_PROFILES!$D:$D,TARIFF_PROFILES!$A:$A,$X81))</f>
        <v/>
      </c>
      <c r="Z81" s="13" t="str">
        <f>IF($X81="","",SUMIFS(TARIFF_PROFILES!$E:$E,TARIFF_PROFILES!$A:$A,$X81))</f>
        <v/>
      </c>
      <c r="AA81" s="13" t="str">
        <f>IF($X81="","",SUMIFS(TARIFF_PROFILES!$F:$F,TARIFF_PROFILES!$A:$A,$X81))</f>
        <v/>
      </c>
      <c r="AB81" s="13" t="str">
        <f>IF($X81="","",SUMIFS(TARIFF_PROFILES!$G:$G,TARIFF_PROFILES!$A:$A,$X81))</f>
        <v/>
      </c>
      <c r="AC81" s="13" t="str">
        <f>IF($X81="","",SUMIFS(TARIFF_PROFILES!$H:$H,TARIFF_PROFILES!$A:$A,$X81))</f>
        <v/>
      </c>
      <c r="AD81" s="13" t="str">
        <f>IF($X81="","",INDEX(TARIFF_PROFILES!$J:$J,MATCH($X81,TARIFF_PROFILES!$A:$A,0)))</f>
        <v/>
      </c>
      <c r="AE81" s="13" t="str">
        <f>IF($X81="","",INDEX(TARIFF_PROFILES!$K:$K,MATCH($X81,TARIFF_PROFILES!$A:$A,0)))</f>
        <v/>
      </c>
      <c r="AH81" t="str">
        <f>IF($AG81="","",SUMIFS(OPERATING_COEFFS!$C:$C,OPERATING_COEFFS!$A:$A,"DistanceClass",OPERATING_COEFFS!$B:$B,$AG81))</f>
        <v/>
      </c>
      <c r="AJ81" t="str">
        <f>IF($AI81="","",SUMIFS(OPERATING_COEFFS!$C:$C,OPERATING_COEFFS!$A:$A,"SeasonClass",OPERATING_COEFFS!$B:$B,$AI81))</f>
        <v/>
      </c>
      <c r="AL81" t="str">
        <f>IF($AK81="","",SUMIFS(OPERATING_COEFFS!$C:$C,OPERATING_COEFFS!$A:$A,"UrgencyClass",OPERATING_COEFFS!$B:$B,$AK81))</f>
        <v/>
      </c>
      <c r="AN81" t="str">
        <f>IF($AM81="","",INDEX(TAX_MODES!$B:$B,MATCH($AM81,TAX_MODES!$A:$A,0)))</f>
        <v/>
      </c>
    </row>
    <row r="82" spans="1:40" x14ac:dyDescent="0.3">
      <c r="A82" s="13"/>
      <c r="B82" s="13"/>
      <c r="C82" s="13"/>
      <c r="D82" s="21" t="str">
        <f>IF($C82="","",SUMIFS(SITE_COEFFS!$C:$C,SITE_COEFFS!$A:$A,"SoilWorkability",SITE_COEFFS!$B:$B,$C82))</f>
        <v/>
      </c>
      <c r="E82" s="13"/>
      <c r="F82" s="21" t="str">
        <f>IF($E82="","",SUMIFS(SITE_COEFFS!$C:$C,SITE_COEFFS!$A:$A,"SoilMoisture",SITE_COEFFS!$B:$B,$E82))</f>
        <v/>
      </c>
      <c r="G82" s="13"/>
      <c r="H82" s="21" t="str">
        <f>IF($G82="","",SUMIFS(SITE_COEFFS!$C:$C,SITE_COEFFS!$A:$A,"DebrisLevel",SITE_COEFFS!$B:$B,$G82))</f>
        <v/>
      </c>
      <c r="I82" s="13"/>
      <c r="J82" s="21" t="str">
        <f>IF($I82="","",SUMIFS(SITE_COEFFS!$C:$C,SITE_COEFFS!$A:$A,"SlopeClass",SITE_COEFFS!$B:$B,$I82))</f>
        <v/>
      </c>
      <c r="K82" s="13"/>
      <c r="L82" s="21" t="str">
        <f>IF($K82="","",SUMIFS(SITE_COEFFS!$C:$C,SITE_COEFFS!$A:$A,"SurfaceUnevenness",SITE_COEFFS!$B:$B,$K82))</f>
        <v/>
      </c>
      <c r="M82" s="13"/>
      <c r="N82" s="21" t="str">
        <f>IF($M82="","",SUMIFS(SITE_COEFFS!$C:$C,SITE_COEFFS!$A:$A,"AccessClass",SITE_COEFFS!$B:$B,$M82))</f>
        <v/>
      </c>
      <c r="O82" s="13"/>
      <c r="P82" s="21" t="str">
        <f>IF($O82="","",SUMIFS(SITE_COEFFS!$C:$C,SITE_COEFFS!$A:$A,"TurnSpace",SITE_COEFFS!$B:$B,$O82))</f>
        <v/>
      </c>
      <c r="Q82" s="13"/>
      <c r="R82" s="21" t="str">
        <f>IF($Q82="","",SUMIFS(SITE_COEFFS!$C:$C,SITE_COEFFS!$A:$A,"ProximityToBuildings",SITE_COEFFS!$B:$B,$Q82))</f>
        <v/>
      </c>
      <c r="S82" s="13"/>
      <c r="T82" s="21" t="str">
        <f>IF($S82="","",SUMIFS(SITE_COEFFS!$C:$C,SITE_COEFFS!$A:$A,"MachineryAllowed",SITE_COEFFS!$B:$B,$S82))</f>
        <v/>
      </c>
      <c r="U82" s="13"/>
      <c r="V82" s="13"/>
      <c r="W82" s="21" t="str">
        <f>IF($V82="","",SUMIFS(SITE_COEFFS!$C:$C,SITE_COEFFS!$A:$A,"GeometryComplexity",SITE_COEFFS!$B:$B,$V82))</f>
        <v/>
      </c>
      <c r="X82" s="13"/>
      <c r="Y82" s="13" t="str">
        <f>IF($X82="","",SUMIFS(TARIFF_PROFILES!$D:$D,TARIFF_PROFILES!$A:$A,$X82))</f>
        <v/>
      </c>
      <c r="Z82" s="13" t="str">
        <f>IF($X82="","",SUMIFS(TARIFF_PROFILES!$E:$E,TARIFF_PROFILES!$A:$A,$X82))</f>
        <v/>
      </c>
      <c r="AA82" s="13" t="str">
        <f>IF($X82="","",SUMIFS(TARIFF_PROFILES!$F:$F,TARIFF_PROFILES!$A:$A,$X82))</f>
        <v/>
      </c>
      <c r="AB82" s="13" t="str">
        <f>IF($X82="","",SUMIFS(TARIFF_PROFILES!$G:$G,TARIFF_PROFILES!$A:$A,$X82))</f>
        <v/>
      </c>
      <c r="AC82" s="13" t="str">
        <f>IF($X82="","",SUMIFS(TARIFF_PROFILES!$H:$H,TARIFF_PROFILES!$A:$A,$X82))</f>
        <v/>
      </c>
      <c r="AD82" s="13" t="str">
        <f>IF($X82="","",INDEX(TARIFF_PROFILES!$J:$J,MATCH($X82,TARIFF_PROFILES!$A:$A,0)))</f>
        <v/>
      </c>
      <c r="AE82" s="13" t="str">
        <f>IF($X82="","",INDEX(TARIFF_PROFILES!$K:$K,MATCH($X82,TARIFF_PROFILES!$A:$A,0)))</f>
        <v/>
      </c>
      <c r="AH82" t="str">
        <f>IF($AG82="","",SUMIFS(OPERATING_COEFFS!$C:$C,OPERATING_COEFFS!$A:$A,"DistanceClass",OPERATING_COEFFS!$B:$B,$AG82))</f>
        <v/>
      </c>
      <c r="AJ82" t="str">
        <f>IF($AI82="","",SUMIFS(OPERATING_COEFFS!$C:$C,OPERATING_COEFFS!$A:$A,"SeasonClass",OPERATING_COEFFS!$B:$B,$AI82))</f>
        <v/>
      </c>
      <c r="AL82" t="str">
        <f>IF($AK82="","",SUMIFS(OPERATING_COEFFS!$C:$C,OPERATING_COEFFS!$A:$A,"UrgencyClass",OPERATING_COEFFS!$B:$B,$AK82))</f>
        <v/>
      </c>
      <c r="AN82" t="str">
        <f>IF($AM82="","",INDEX(TAX_MODES!$B:$B,MATCH($AM82,TAX_MODES!$A:$A,0)))</f>
        <v/>
      </c>
    </row>
    <row r="83" spans="1:40" x14ac:dyDescent="0.3">
      <c r="A83" s="13"/>
      <c r="B83" s="13"/>
      <c r="C83" s="13"/>
      <c r="D83" s="21" t="str">
        <f>IF($C83="","",SUMIFS(SITE_COEFFS!$C:$C,SITE_COEFFS!$A:$A,"SoilWorkability",SITE_COEFFS!$B:$B,$C83))</f>
        <v/>
      </c>
      <c r="E83" s="13"/>
      <c r="F83" s="21" t="str">
        <f>IF($E83="","",SUMIFS(SITE_COEFFS!$C:$C,SITE_COEFFS!$A:$A,"SoilMoisture",SITE_COEFFS!$B:$B,$E83))</f>
        <v/>
      </c>
      <c r="G83" s="13"/>
      <c r="H83" s="21" t="str">
        <f>IF($G83="","",SUMIFS(SITE_COEFFS!$C:$C,SITE_COEFFS!$A:$A,"DebrisLevel",SITE_COEFFS!$B:$B,$G83))</f>
        <v/>
      </c>
      <c r="I83" s="13"/>
      <c r="J83" s="21" t="str">
        <f>IF($I83="","",SUMIFS(SITE_COEFFS!$C:$C,SITE_COEFFS!$A:$A,"SlopeClass",SITE_COEFFS!$B:$B,$I83))</f>
        <v/>
      </c>
      <c r="K83" s="13"/>
      <c r="L83" s="21" t="str">
        <f>IF($K83="","",SUMIFS(SITE_COEFFS!$C:$C,SITE_COEFFS!$A:$A,"SurfaceUnevenness",SITE_COEFFS!$B:$B,$K83))</f>
        <v/>
      </c>
      <c r="M83" s="13"/>
      <c r="N83" s="21" t="str">
        <f>IF($M83="","",SUMIFS(SITE_COEFFS!$C:$C,SITE_COEFFS!$A:$A,"AccessClass",SITE_COEFFS!$B:$B,$M83))</f>
        <v/>
      </c>
      <c r="O83" s="13"/>
      <c r="P83" s="21" t="str">
        <f>IF($O83="","",SUMIFS(SITE_COEFFS!$C:$C,SITE_COEFFS!$A:$A,"TurnSpace",SITE_COEFFS!$B:$B,$O83))</f>
        <v/>
      </c>
      <c r="Q83" s="13"/>
      <c r="R83" s="21" t="str">
        <f>IF($Q83="","",SUMIFS(SITE_COEFFS!$C:$C,SITE_COEFFS!$A:$A,"ProximityToBuildings",SITE_COEFFS!$B:$B,$Q83))</f>
        <v/>
      </c>
      <c r="S83" s="13"/>
      <c r="T83" s="21" t="str">
        <f>IF($S83="","",SUMIFS(SITE_COEFFS!$C:$C,SITE_COEFFS!$A:$A,"MachineryAllowed",SITE_COEFFS!$B:$B,$S83))</f>
        <v/>
      </c>
      <c r="U83" s="13"/>
      <c r="V83" s="13"/>
      <c r="W83" s="21" t="str">
        <f>IF($V83="","",SUMIFS(SITE_COEFFS!$C:$C,SITE_COEFFS!$A:$A,"GeometryComplexity",SITE_COEFFS!$B:$B,$V83))</f>
        <v/>
      </c>
      <c r="X83" s="13"/>
      <c r="Y83" s="13" t="str">
        <f>IF($X83="","",SUMIFS(TARIFF_PROFILES!$D:$D,TARIFF_PROFILES!$A:$A,$X83))</f>
        <v/>
      </c>
      <c r="Z83" s="13" t="str">
        <f>IF($X83="","",SUMIFS(TARIFF_PROFILES!$E:$E,TARIFF_PROFILES!$A:$A,$X83))</f>
        <v/>
      </c>
      <c r="AA83" s="13" t="str">
        <f>IF($X83="","",SUMIFS(TARIFF_PROFILES!$F:$F,TARIFF_PROFILES!$A:$A,$X83))</f>
        <v/>
      </c>
      <c r="AB83" s="13" t="str">
        <f>IF($X83="","",SUMIFS(TARIFF_PROFILES!$G:$G,TARIFF_PROFILES!$A:$A,$X83))</f>
        <v/>
      </c>
      <c r="AC83" s="13" t="str">
        <f>IF($X83="","",SUMIFS(TARIFF_PROFILES!$H:$H,TARIFF_PROFILES!$A:$A,$X83))</f>
        <v/>
      </c>
      <c r="AD83" s="13" t="str">
        <f>IF($X83="","",INDEX(TARIFF_PROFILES!$J:$J,MATCH($X83,TARIFF_PROFILES!$A:$A,0)))</f>
        <v/>
      </c>
      <c r="AE83" s="13" t="str">
        <f>IF($X83="","",INDEX(TARIFF_PROFILES!$K:$K,MATCH($X83,TARIFF_PROFILES!$A:$A,0)))</f>
        <v/>
      </c>
      <c r="AH83" t="str">
        <f>IF($AG83="","",SUMIFS(OPERATING_COEFFS!$C:$C,OPERATING_COEFFS!$A:$A,"DistanceClass",OPERATING_COEFFS!$B:$B,$AG83))</f>
        <v/>
      </c>
      <c r="AJ83" t="str">
        <f>IF($AI83="","",SUMIFS(OPERATING_COEFFS!$C:$C,OPERATING_COEFFS!$A:$A,"SeasonClass",OPERATING_COEFFS!$B:$B,$AI83))</f>
        <v/>
      </c>
      <c r="AL83" t="str">
        <f>IF($AK83="","",SUMIFS(OPERATING_COEFFS!$C:$C,OPERATING_COEFFS!$A:$A,"UrgencyClass",OPERATING_COEFFS!$B:$B,$AK83))</f>
        <v/>
      </c>
      <c r="AN83" t="str">
        <f>IF($AM83="","",INDEX(TAX_MODES!$B:$B,MATCH($AM83,TAX_MODES!$A:$A,0)))</f>
        <v/>
      </c>
    </row>
    <row r="84" spans="1:40" x14ac:dyDescent="0.3">
      <c r="A84" s="13"/>
      <c r="B84" s="13"/>
      <c r="C84" s="13"/>
      <c r="D84" s="21" t="str">
        <f>IF($C84="","",SUMIFS(SITE_COEFFS!$C:$C,SITE_COEFFS!$A:$A,"SoilWorkability",SITE_COEFFS!$B:$B,$C84))</f>
        <v/>
      </c>
      <c r="E84" s="13"/>
      <c r="F84" s="21" t="str">
        <f>IF($E84="","",SUMIFS(SITE_COEFFS!$C:$C,SITE_COEFFS!$A:$A,"SoilMoisture",SITE_COEFFS!$B:$B,$E84))</f>
        <v/>
      </c>
      <c r="G84" s="13"/>
      <c r="H84" s="21" t="str">
        <f>IF($G84="","",SUMIFS(SITE_COEFFS!$C:$C,SITE_COEFFS!$A:$A,"DebrisLevel",SITE_COEFFS!$B:$B,$G84))</f>
        <v/>
      </c>
      <c r="I84" s="13"/>
      <c r="J84" s="21" t="str">
        <f>IF($I84="","",SUMIFS(SITE_COEFFS!$C:$C,SITE_COEFFS!$A:$A,"SlopeClass",SITE_COEFFS!$B:$B,$I84))</f>
        <v/>
      </c>
      <c r="K84" s="13"/>
      <c r="L84" s="21" t="str">
        <f>IF($K84="","",SUMIFS(SITE_COEFFS!$C:$C,SITE_COEFFS!$A:$A,"SurfaceUnevenness",SITE_COEFFS!$B:$B,$K84))</f>
        <v/>
      </c>
      <c r="M84" s="13"/>
      <c r="N84" s="21" t="str">
        <f>IF($M84="","",SUMIFS(SITE_COEFFS!$C:$C,SITE_COEFFS!$A:$A,"AccessClass",SITE_COEFFS!$B:$B,$M84))</f>
        <v/>
      </c>
      <c r="O84" s="13"/>
      <c r="P84" s="21" t="str">
        <f>IF($O84="","",SUMIFS(SITE_COEFFS!$C:$C,SITE_COEFFS!$A:$A,"TurnSpace",SITE_COEFFS!$B:$B,$O84))</f>
        <v/>
      </c>
      <c r="Q84" s="13"/>
      <c r="R84" s="21" t="str">
        <f>IF($Q84="","",SUMIFS(SITE_COEFFS!$C:$C,SITE_COEFFS!$A:$A,"ProximityToBuildings",SITE_COEFFS!$B:$B,$Q84))</f>
        <v/>
      </c>
      <c r="S84" s="13"/>
      <c r="T84" s="21" t="str">
        <f>IF($S84="","",SUMIFS(SITE_COEFFS!$C:$C,SITE_COEFFS!$A:$A,"MachineryAllowed",SITE_COEFFS!$B:$B,$S84))</f>
        <v/>
      </c>
      <c r="U84" s="13"/>
      <c r="V84" s="13"/>
      <c r="W84" s="21" t="str">
        <f>IF($V84="","",SUMIFS(SITE_COEFFS!$C:$C,SITE_COEFFS!$A:$A,"GeometryComplexity",SITE_COEFFS!$B:$B,$V84))</f>
        <v/>
      </c>
      <c r="X84" s="13"/>
      <c r="Y84" s="13" t="str">
        <f>IF($X84="","",SUMIFS(TARIFF_PROFILES!$D:$D,TARIFF_PROFILES!$A:$A,$X84))</f>
        <v/>
      </c>
      <c r="Z84" s="13" t="str">
        <f>IF($X84="","",SUMIFS(TARIFF_PROFILES!$E:$E,TARIFF_PROFILES!$A:$A,$X84))</f>
        <v/>
      </c>
      <c r="AA84" s="13" t="str">
        <f>IF($X84="","",SUMIFS(TARIFF_PROFILES!$F:$F,TARIFF_PROFILES!$A:$A,$X84))</f>
        <v/>
      </c>
      <c r="AB84" s="13" t="str">
        <f>IF($X84="","",SUMIFS(TARIFF_PROFILES!$G:$G,TARIFF_PROFILES!$A:$A,$X84))</f>
        <v/>
      </c>
      <c r="AC84" s="13" t="str">
        <f>IF($X84="","",SUMIFS(TARIFF_PROFILES!$H:$H,TARIFF_PROFILES!$A:$A,$X84))</f>
        <v/>
      </c>
      <c r="AD84" s="13" t="str">
        <f>IF($X84="","",INDEX(TARIFF_PROFILES!$J:$J,MATCH($X84,TARIFF_PROFILES!$A:$A,0)))</f>
        <v/>
      </c>
      <c r="AE84" s="13" t="str">
        <f>IF($X84="","",INDEX(TARIFF_PROFILES!$K:$K,MATCH($X84,TARIFF_PROFILES!$A:$A,0)))</f>
        <v/>
      </c>
      <c r="AH84" t="str">
        <f>IF($AG84="","",SUMIFS(OPERATING_COEFFS!$C:$C,OPERATING_COEFFS!$A:$A,"DistanceClass",OPERATING_COEFFS!$B:$B,$AG84))</f>
        <v/>
      </c>
      <c r="AJ84" t="str">
        <f>IF($AI84="","",SUMIFS(OPERATING_COEFFS!$C:$C,OPERATING_COEFFS!$A:$A,"SeasonClass",OPERATING_COEFFS!$B:$B,$AI84))</f>
        <v/>
      </c>
      <c r="AL84" t="str">
        <f>IF($AK84="","",SUMIFS(OPERATING_COEFFS!$C:$C,OPERATING_COEFFS!$A:$A,"UrgencyClass",OPERATING_COEFFS!$B:$B,$AK84))</f>
        <v/>
      </c>
      <c r="AN84" t="str">
        <f>IF($AM84="","",INDEX(TAX_MODES!$B:$B,MATCH($AM84,TAX_MODES!$A:$A,0)))</f>
        <v/>
      </c>
    </row>
    <row r="85" spans="1:40" x14ac:dyDescent="0.3">
      <c r="A85" s="13"/>
      <c r="B85" s="13"/>
      <c r="C85" s="13"/>
      <c r="D85" s="21" t="str">
        <f>IF($C85="","",SUMIFS(SITE_COEFFS!$C:$C,SITE_COEFFS!$A:$A,"SoilWorkability",SITE_COEFFS!$B:$B,$C85))</f>
        <v/>
      </c>
      <c r="E85" s="13"/>
      <c r="F85" s="21" t="str">
        <f>IF($E85="","",SUMIFS(SITE_COEFFS!$C:$C,SITE_COEFFS!$A:$A,"SoilMoisture",SITE_COEFFS!$B:$B,$E85))</f>
        <v/>
      </c>
      <c r="G85" s="13"/>
      <c r="H85" s="21" t="str">
        <f>IF($G85="","",SUMIFS(SITE_COEFFS!$C:$C,SITE_COEFFS!$A:$A,"DebrisLevel",SITE_COEFFS!$B:$B,$G85))</f>
        <v/>
      </c>
      <c r="I85" s="13"/>
      <c r="J85" s="21" t="str">
        <f>IF($I85="","",SUMIFS(SITE_COEFFS!$C:$C,SITE_COEFFS!$A:$A,"SlopeClass",SITE_COEFFS!$B:$B,$I85))</f>
        <v/>
      </c>
      <c r="K85" s="13"/>
      <c r="L85" s="21" t="str">
        <f>IF($K85="","",SUMIFS(SITE_COEFFS!$C:$C,SITE_COEFFS!$A:$A,"SurfaceUnevenness",SITE_COEFFS!$B:$B,$K85))</f>
        <v/>
      </c>
      <c r="M85" s="13"/>
      <c r="N85" s="21" t="str">
        <f>IF($M85="","",SUMIFS(SITE_COEFFS!$C:$C,SITE_COEFFS!$A:$A,"AccessClass",SITE_COEFFS!$B:$B,$M85))</f>
        <v/>
      </c>
      <c r="O85" s="13"/>
      <c r="P85" s="21" t="str">
        <f>IF($O85="","",SUMIFS(SITE_COEFFS!$C:$C,SITE_COEFFS!$A:$A,"TurnSpace",SITE_COEFFS!$B:$B,$O85))</f>
        <v/>
      </c>
      <c r="Q85" s="13"/>
      <c r="R85" s="21" t="str">
        <f>IF($Q85="","",SUMIFS(SITE_COEFFS!$C:$C,SITE_COEFFS!$A:$A,"ProximityToBuildings",SITE_COEFFS!$B:$B,$Q85))</f>
        <v/>
      </c>
      <c r="S85" s="13"/>
      <c r="T85" s="21" t="str">
        <f>IF($S85="","",SUMIFS(SITE_COEFFS!$C:$C,SITE_COEFFS!$A:$A,"MachineryAllowed",SITE_COEFFS!$B:$B,$S85))</f>
        <v/>
      </c>
      <c r="U85" s="13"/>
      <c r="V85" s="13"/>
      <c r="W85" s="21" t="str">
        <f>IF($V85="","",SUMIFS(SITE_COEFFS!$C:$C,SITE_COEFFS!$A:$A,"GeometryComplexity",SITE_COEFFS!$B:$B,$V85))</f>
        <v/>
      </c>
      <c r="X85" s="13"/>
      <c r="Y85" s="13" t="str">
        <f>IF($X85="","",SUMIFS(TARIFF_PROFILES!$D:$D,TARIFF_PROFILES!$A:$A,$X85))</f>
        <v/>
      </c>
      <c r="Z85" s="13" t="str">
        <f>IF($X85="","",SUMIFS(TARIFF_PROFILES!$E:$E,TARIFF_PROFILES!$A:$A,$X85))</f>
        <v/>
      </c>
      <c r="AA85" s="13" t="str">
        <f>IF($X85="","",SUMIFS(TARIFF_PROFILES!$F:$F,TARIFF_PROFILES!$A:$A,$X85))</f>
        <v/>
      </c>
      <c r="AB85" s="13" t="str">
        <f>IF($X85="","",SUMIFS(TARIFF_PROFILES!$G:$G,TARIFF_PROFILES!$A:$A,$X85))</f>
        <v/>
      </c>
      <c r="AC85" s="13" t="str">
        <f>IF($X85="","",SUMIFS(TARIFF_PROFILES!$H:$H,TARIFF_PROFILES!$A:$A,$X85))</f>
        <v/>
      </c>
      <c r="AD85" s="13" t="str">
        <f>IF($X85="","",INDEX(TARIFF_PROFILES!$J:$J,MATCH($X85,TARIFF_PROFILES!$A:$A,0)))</f>
        <v/>
      </c>
      <c r="AE85" s="13" t="str">
        <f>IF($X85="","",INDEX(TARIFF_PROFILES!$K:$K,MATCH($X85,TARIFF_PROFILES!$A:$A,0)))</f>
        <v/>
      </c>
      <c r="AH85" t="str">
        <f>IF($AG85="","",SUMIFS(OPERATING_COEFFS!$C:$C,OPERATING_COEFFS!$A:$A,"DistanceClass",OPERATING_COEFFS!$B:$B,$AG85))</f>
        <v/>
      </c>
      <c r="AJ85" t="str">
        <f>IF($AI85="","",SUMIFS(OPERATING_COEFFS!$C:$C,OPERATING_COEFFS!$A:$A,"SeasonClass",OPERATING_COEFFS!$B:$B,$AI85))</f>
        <v/>
      </c>
      <c r="AL85" t="str">
        <f>IF($AK85="","",SUMIFS(OPERATING_COEFFS!$C:$C,OPERATING_COEFFS!$A:$A,"UrgencyClass",OPERATING_COEFFS!$B:$B,$AK85))</f>
        <v/>
      </c>
      <c r="AN85" t="str">
        <f>IF($AM85="","",INDEX(TAX_MODES!$B:$B,MATCH($AM85,TAX_MODES!$A:$A,0)))</f>
        <v/>
      </c>
    </row>
    <row r="86" spans="1:40" x14ac:dyDescent="0.3">
      <c r="A86" s="13"/>
      <c r="B86" s="13"/>
      <c r="C86" s="13"/>
      <c r="D86" s="21" t="str">
        <f>IF($C86="","",SUMIFS(SITE_COEFFS!$C:$C,SITE_COEFFS!$A:$A,"SoilWorkability",SITE_COEFFS!$B:$B,$C86))</f>
        <v/>
      </c>
      <c r="E86" s="13"/>
      <c r="F86" s="21" t="str">
        <f>IF($E86="","",SUMIFS(SITE_COEFFS!$C:$C,SITE_COEFFS!$A:$A,"SoilMoisture",SITE_COEFFS!$B:$B,$E86))</f>
        <v/>
      </c>
      <c r="G86" s="13"/>
      <c r="H86" s="21" t="str">
        <f>IF($G86="","",SUMIFS(SITE_COEFFS!$C:$C,SITE_COEFFS!$A:$A,"DebrisLevel",SITE_COEFFS!$B:$B,$G86))</f>
        <v/>
      </c>
      <c r="I86" s="13"/>
      <c r="J86" s="21" t="str">
        <f>IF($I86="","",SUMIFS(SITE_COEFFS!$C:$C,SITE_COEFFS!$A:$A,"SlopeClass",SITE_COEFFS!$B:$B,$I86))</f>
        <v/>
      </c>
      <c r="K86" s="13"/>
      <c r="L86" s="21" t="str">
        <f>IF($K86="","",SUMIFS(SITE_COEFFS!$C:$C,SITE_COEFFS!$A:$A,"SurfaceUnevenness",SITE_COEFFS!$B:$B,$K86))</f>
        <v/>
      </c>
      <c r="M86" s="13"/>
      <c r="N86" s="21" t="str">
        <f>IF($M86="","",SUMIFS(SITE_COEFFS!$C:$C,SITE_COEFFS!$A:$A,"AccessClass",SITE_COEFFS!$B:$B,$M86))</f>
        <v/>
      </c>
      <c r="O86" s="13"/>
      <c r="P86" s="21" t="str">
        <f>IF($O86="","",SUMIFS(SITE_COEFFS!$C:$C,SITE_COEFFS!$A:$A,"TurnSpace",SITE_COEFFS!$B:$B,$O86))</f>
        <v/>
      </c>
      <c r="Q86" s="13"/>
      <c r="R86" s="21" t="str">
        <f>IF($Q86="","",SUMIFS(SITE_COEFFS!$C:$C,SITE_COEFFS!$A:$A,"ProximityToBuildings",SITE_COEFFS!$B:$B,$Q86))</f>
        <v/>
      </c>
      <c r="S86" s="13"/>
      <c r="T86" s="21" t="str">
        <f>IF($S86="","",SUMIFS(SITE_COEFFS!$C:$C,SITE_COEFFS!$A:$A,"MachineryAllowed",SITE_COEFFS!$B:$B,$S86))</f>
        <v/>
      </c>
      <c r="U86" s="13"/>
      <c r="V86" s="13"/>
      <c r="W86" s="21" t="str">
        <f>IF($V86="","",SUMIFS(SITE_COEFFS!$C:$C,SITE_COEFFS!$A:$A,"GeometryComplexity",SITE_COEFFS!$B:$B,$V86))</f>
        <v/>
      </c>
      <c r="X86" s="13"/>
      <c r="Y86" s="13" t="str">
        <f>IF($X86="","",SUMIFS(TARIFF_PROFILES!$D:$D,TARIFF_PROFILES!$A:$A,$X86))</f>
        <v/>
      </c>
      <c r="Z86" s="13" t="str">
        <f>IF($X86="","",SUMIFS(TARIFF_PROFILES!$E:$E,TARIFF_PROFILES!$A:$A,$X86))</f>
        <v/>
      </c>
      <c r="AA86" s="13" t="str">
        <f>IF($X86="","",SUMIFS(TARIFF_PROFILES!$F:$F,TARIFF_PROFILES!$A:$A,$X86))</f>
        <v/>
      </c>
      <c r="AB86" s="13" t="str">
        <f>IF($X86="","",SUMIFS(TARIFF_PROFILES!$G:$G,TARIFF_PROFILES!$A:$A,$X86))</f>
        <v/>
      </c>
      <c r="AC86" s="13" t="str">
        <f>IF($X86="","",SUMIFS(TARIFF_PROFILES!$H:$H,TARIFF_PROFILES!$A:$A,$X86))</f>
        <v/>
      </c>
      <c r="AD86" s="13" t="str">
        <f>IF($X86="","",INDEX(TARIFF_PROFILES!$J:$J,MATCH($X86,TARIFF_PROFILES!$A:$A,0)))</f>
        <v/>
      </c>
      <c r="AE86" s="13" t="str">
        <f>IF($X86="","",INDEX(TARIFF_PROFILES!$K:$K,MATCH($X86,TARIFF_PROFILES!$A:$A,0)))</f>
        <v/>
      </c>
      <c r="AH86" t="str">
        <f>IF($AG86="","",SUMIFS(OPERATING_COEFFS!$C:$C,OPERATING_COEFFS!$A:$A,"DistanceClass",OPERATING_COEFFS!$B:$B,$AG86))</f>
        <v/>
      </c>
      <c r="AJ86" t="str">
        <f>IF($AI86="","",SUMIFS(OPERATING_COEFFS!$C:$C,OPERATING_COEFFS!$A:$A,"SeasonClass",OPERATING_COEFFS!$B:$B,$AI86))</f>
        <v/>
      </c>
      <c r="AL86" t="str">
        <f>IF($AK86="","",SUMIFS(OPERATING_COEFFS!$C:$C,OPERATING_COEFFS!$A:$A,"UrgencyClass",OPERATING_COEFFS!$B:$B,$AK86))</f>
        <v/>
      </c>
      <c r="AN86" t="str">
        <f>IF($AM86="","",INDEX(TAX_MODES!$B:$B,MATCH($AM86,TAX_MODES!$A:$A,0)))</f>
        <v/>
      </c>
    </row>
    <row r="87" spans="1:40" x14ac:dyDescent="0.3">
      <c r="A87" s="13"/>
      <c r="B87" s="13"/>
      <c r="C87" s="13"/>
      <c r="D87" s="21" t="str">
        <f>IF($C87="","",SUMIFS(SITE_COEFFS!$C:$C,SITE_COEFFS!$A:$A,"SoilWorkability",SITE_COEFFS!$B:$B,$C87))</f>
        <v/>
      </c>
      <c r="E87" s="13"/>
      <c r="F87" s="21" t="str">
        <f>IF($E87="","",SUMIFS(SITE_COEFFS!$C:$C,SITE_COEFFS!$A:$A,"SoilMoisture",SITE_COEFFS!$B:$B,$E87))</f>
        <v/>
      </c>
      <c r="G87" s="13"/>
      <c r="H87" s="21" t="str">
        <f>IF($G87="","",SUMIFS(SITE_COEFFS!$C:$C,SITE_COEFFS!$A:$A,"DebrisLevel",SITE_COEFFS!$B:$B,$G87))</f>
        <v/>
      </c>
      <c r="I87" s="13"/>
      <c r="J87" s="21" t="str">
        <f>IF($I87="","",SUMIFS(SITE_COEFFS!$C:$C,SITE_COEFFS!$A:$A,"SlopeClass",SITE_COEFFS!$B:$B,$I87))</f>
        <v/>
      </c>
      <c r="K87" s="13"/>
      <c r="L87" s="21" t="str">
        <f>IF($K87="","",SUMIFS(SITE_COEFFS!$C:$C,SITE_COEFFS!$A:$A,"SurfaceUnevenness",SITE_COEFFS!$B:$B,$K87))</f>
        <v/>
      </c>
      <c r="M87" s="13"/>
      <c r="N87" s="21" t="str">
        <f>IF($M87="","",SUMIFS(SITE_COEFFS!$C:$C,SITE_COEFFS!$A:$A,"AccessClass",SITE_COEFFS!$B:$B,$M87))</f>
        <v/>
      </c>
      <c r="O87" s="13"/>
      <c r="P87" s="21" t="str">
        <f>IF($O87="","",SUMIFS(SITE_COEFFS!$C:$C,SITE_COEFFS!$A:$A,"TurnSpace",SITE_COEFFS!$B:$B,$O87))</f>
        <v/>
      </c>
      <c r="Q87" s="13"/>
      <c r="R87" s="21" t="str">
        <f>IF($Q87="","",SUMIFS(SITE_COEFFS!$C:$C,SITE_COEFFS!$A:$A,"ProximityToBuildings",SITE_COEFFS!$B:$B,$Q87))</f>
        <v/>
      </c>
      <c r="S87" s="13"/>
      <c r="T87" s="21" t="str">
        <f>IF($S87="","",SUMIFS(SITE_COEFFS!$C:$C,SITE_COEFFS!$A:$A,"MachineryAllowed",SITE_COEFFS!$B:$B,$S87))</f>
        <v/>
      </c>
      <c r="U87" s="13"/>
      <c r="V87" s="13"/>
      <c r="W87" s="21" t="str">
        <f>IF($V87="","",SUMIFS(SITE_COEFFS!$C:$C,SITE_COEFFS!$A:$A,"GeometryComplexity",SITE_COEFFS!$B:$B,$V87))</f>
        <v/>
      </c>
      <c r="X87" s="13"/>
      <c r="Y87" s="13" t="str">
        <f>IF($X87="","",SUMIFS(TARIFF_PROFILES!$D:$D,TARIFF_PROFILES!$A:$A,$X87))</f>
        <v/>
      </c>
      <c r="Z87" s="13" t="str">
        <f>IF($X87="","",SUMIFS(TARIFF_PROFILES!$E:$E,TARIFF_PROFILES!$A:$A,$X87))</f>
        <v/>
      </c>
      <c r="AA87" s="13" t="str">
        <f>IF($X87="","",SUMIFS(TARIFF_PROFILES!$F:$F,TARIFF_PROFILES!$A:$A,$X87))</f>
        <v/>
      </c>
      <c r="AB87" s="13" t="str">
        <f>IF($X87="","",SUMIFS(TARIFF_PROFILES!$G:$G,TARIFF_PROFILES!$A:$A,$X87))</f>
        <v/>
      </c>
      <c r="AC87" s="13" t="str">
        <f>IF($X87="","",SUMIFS(TARIFF_PROFILES!$H:$H,TARIFF_PROFILES!$A:$A,$X87))</f>
        <v/>
      </c>
      <c r="AD87" s="13" t="str">
        <f>IF($X87="","",INDEX(TARIFF_PROFILES!$J:$J,MATCH($X87,TARIFF_PROFILES!$A:$A,0)))</f>
        <v/>
      </c>
      <c r="AE87" s="13" t="str">
        <f>IF($X87="","",INDEX(TARIFF_PROFILES!$K:$K,MATCH($X87,TARIFF_PROFILES!$A:$A,0)))</f>
        <v/>
      </c>
      <c r="AH87" t="str">
        <f>IF($AG87="","",SUMIFS(OPERATING_COEFFS!$C:$C,OPERATING_COEFFS!$A:$A,"DistanceClass",OPERATING_COEFFS!$B:$B,$AG87))</f>
        <v/>
      </c>
      <c r="AJ87" t="str">
        <f>IF($AI87="","",SUMIFS(OPERATING_COEFFS!$C:$C,OPERATING_COEFFS!$A:$A,"SeasonClass",OPERATING_COEFFS!$B:$B,$AI87))</f>
        <v/>
      </c>
      <c r="AL87" t="str">
        <f>IF($AK87="","",SUMIFS(OPERATING_COEFFS!$C:$C,OPERATING_COEFFS!$A:$A,"UrgencyClass",OPERATING_COEFFS!$B:$B,$AK87))</f>
        <v/>
      </c>
      <c r="AN87" t="str">
        <f>IF($AM87="","",INDEX(TAX_MODES!$B:$B,MATCH($AM87,TAX_MODES!$A:$A,0)))</f>
        <v/>
      </c>
    </row>
    <row r="88" spans="1:40" x14ac:dyDescent="0.3">
      <c r="A88" s="13"/>
      <c r="B88" s="13"/>
      <c r="C88" s="13"/>
      <c r="D88" s="21" t="str">
        <f>IF($C88="","",SUMIFS(SITE_COEFFS!$C:$C,SITE_COEFFS!$A:$A,"SoilWorkability",SITE_COEFFS!$B:$B,$C88))</f>
        <v/>
      </c>
      <c r="E88" s="13"/>
      <c r="F88" s="21" t="str">
        <f>IF($E88="","",SUMIFS(SITE_COEFFS!$C:$C,SITE_COEFFS!$A:$A,"SoilMoisture",SITE_COEFFS!$B:$B,$E88))</f>
        <v/>
      </c>
      <c r="G88" s="13"/>
      <c r="H88" s="21" t="str">
        <f>IF($G88="","",SUMIFS(SITE_COEFFS!$C:$C,SITE_COEFFS!$A:$A,"DebrisLevel",SITE_COEFFS!$B:$B,$G88))</f>
        <v/>
      </c>
      <c r="I88" s="13"/>
      <c r="J88" s="21" t="str">
        <f>IF($I88="","",SUMIFS(SITE_COEFFS!$C:$C,SITE_COEFFS!$A:$A,"SlopeClass",SITE_COEFFS!$B:$B,$I88))</f>
        <v/>
      </c>
      <c r="K88" s="13"/>
      <c r="L88" s="21" t="str">
        <f>IF($K88="","",SUMIFS(SITE_COEFFS!$C:$C,SITE_COEFFS!$A:$A,"SurfaceUnevenness",SITE_COEFFS!$B:$B,$K88))</f>
        <v/>
      </c>
      <c r="M88" s="13"/>
      <c r="N88" s="21" t="str">
        <f>IF($M88="","",SUMIFS(SITE_COEFFS!$C:$C,SITE_COEFFS!$A:$A,"AccessClass",SITE_COEFFS!$B:$B,$M88))</f>
        <v/>
      </c>
      <c r="O88" s="13"/>
      <c r="P88" s="21" t="str">
        <f>IF($O88="","",SUMIFS(SITE_COEFFS!$C:$C,SITE_COEFFS!$A:$A,"TurnSpace",SITE_COEFFS!$B:$B,$O88))</f>
        <v/>
      </c>
      <c r="Q88" s="13"/>
      <c r="R88" s="21" t="str">
        <f>IF($Q88="","",SUMIFS(SITE_COEFFS!$C:$C,SITE_COEFFS!$A:$A,"ProximityToBuildings",SITE_COEFFS!$B:$B,$Q88))</f>
        <v/>
      </c>
      <c r="S88" s="13"/>
      <c r="T88" s="21" t="str">
        <f>IF($S88="","",SUMIFS(SITE_COEFFS!$C:$C,SITE_COEFFS!$A:$A,"MachineryAllowed",SITE_COEFFS!$B:$B,$S88))</f>
        <v/>
      </c>
      <c r="U88" s="13"/>
      <c r="V88" s="13"/>
      <c r="W88" s="21" t="str">
        <f>IF($V88="","",SUMIFS(SITE_COEFFS!$C:$C,SITE_COEFFS!$A:$A,"GeometryComplexity",SITE_COEFFS!$B:$B,$V88))</f>
        <v/>
      </c>
      <c r="X88" s="13"/>
      <c r="Y88" s="13" t="str">
        <f>IF($X88="","",SUMIFS(TARIFF_PROFILES!$D:$D,TARIFF_PROFILES!$A:$A,$X88))</f>
        <v/>
      </c>
      <c r="Z88" s="13" t="str">
        <f>IF($X88="","",SUMIFS(TARIFF_PROFILES!$E:$E,TARIFF_PROFILES!$A:$A,$X88))</f>
        <v/>
      </c>
      <c r="AA88" s="13" t="str">
        <f>IF($X88="","",SUMIFS(TARIFF_PROFILES!$F:$F,TARIFF_PROFILES!$A:$A,$X88))</f>
        <v/>
      </c>
      <c r="AB88" s="13" t="str">
        <f>IF($X88="","",SUMIFS(TARIFF_PROFILES!$G:$G,TARIFF_PROFILES!$A:$A,$X88))</f>
        <v/>
      </c>
      <c r="AC88" s="13" t="str">
        <f>IF($X88="","",SUMIFS(TARIFF_PROFILES!$H:$H,TARIFF_PROFILES!$A:$A,$X88))</f>
        <v/>
      </c>
      <c r="AD88" s="13" t="str">
        <f>IF($X88="","",INDEX(TARIFF_PROFILES!$J:$J,MATCH($X88,TARIFF_PROFILES!$A:$A,0)))</f>
        <v/>
      </c>
      <c r="AE88" s="13" t="str">
        <f>IF($X88="","",INDEX(TARIFF_PROFILES!$K:$K,MATCH($X88,TARIFF_PROFILES!$A:$A,0)))</f>
        <v/>
      </c>
      <c r="AH88" t="str">
        <f>IF($AG88="","",SUMIFS(OPERATING_COEFFS!$C:$C,OPERATING_COEFFS!$A:$A,"DistanceClass",OPERATING_COEFFS!$B:$B,$AG88))</f>
        <v/>
      </c>
      <c r="AJ88" t="str">
        <f>IF($AI88="","",SUMIFS(OPERATING_COEFFS!$C:$C,OPERATING_COEFFS!$A:$A,"SeasonClass",OPERATING_COEFFS!$B:$B,$AI88))</f>
        <v/>
      </c>
      <c r="AL88" t="str">
        <f>IF($AK88="","",SUMIFS(OPERATING_COEFFS!$C:$C,OPERATING_COEFFS!$A:$A,"UrgencyClass",OPERATING_COEFFS!$B:$B,$AK88))</f>
        <v/>
      </c>
      <c r="AN88" t="str">
        <f>IF($AM88="","",INDEX(TAX_MODES!$B:$B,MATCH($AM88,TAX_MODES!$A:$A,0)))</f>
        <v/>
      </c>
    </row>
    <row r="89" spans="1:40" x14ac:dyDescent="0.3">
      <c r="A89" s="13"/>
      <c r="B89" s="13"/>
      <c r="C89" s="13"/>
      <c r="D89" s="21" t="str">
        <f>IF($C89="","",SUMIFS(SITE_COEFFS!$C:$C,SITE_COEFFS!$A:$A,"SoilWorkability",SITE_COEFFS!$B:$B,$C89))</f>
        <v/>
      </c>
      <c r="E89" s="13"/>
      <c r="F89" s="21" t="str">
        <f>IF($E89="","",SUMIFS(SITE_COEFFS!$C:$C,SITE_COEFFS!$A:$A,"SoilMoisture",SITE_COEFFS!$B:$B,$E89))</f>
        <v/>
      </c>
      <c r="G89" s="13"/>
      <c r="H89" s="21" t="str">
        <f>IF($G89="","",SUMIFS(SITE_COEFFS!$C:$C,SITE_COEFFS!$A:$A,"DebrisLevel",SITE_COEFFS!$B:$B,$G89))</f>
        <v/>
      </c>
      <c r="I89" s="13"/>
      <c r="J89" s="21" t="str">
        <f>IF($I89="","",SUMIFS(SITE_COEFFS!$C:$C,SITE_COEFFS!$A:$A,"SlopeClass",SITE_COEFFS!$B:$B,$I89))</f>
        <v/>
      </c>
      <c r="K89" s="13"/>
      <c r="L89" s="21" t="str">
        <f>IF($K89="","",SUMIFS(SITE_COEFFS!$C:$C,SITE_COEFFS!$A:$A,"SurfaceUnevenness",SITE_COEFFS!$B:$B,$K89))</f>
        <v/>
      </c>
      <c r="M89" s="13"/>
      <c r="N89" s="21" t="str">
        <f>IF($M89="","",SUMIFS(SITE_COEFFS!$C:$C,SITE_COEFFS!$A:$A,"AccessClass",SITE_COEFFS!$B:$B,$M89))</f>
        <v/>
      </c>
      <c r="O89" s="13"/>
      <c r="P89" s="21" t="str">
        <f>IF($O89="","",SUMIFS(SITE_COEFFS!$C:$C,SITE_COEFFS!$A:$A,"TurnSpace",SITE_COEFFS!$B:$B,$O89))</f>
        <v/>
      </c>
      <c r="Q89" s="13"/>
      <c r="R89" s="21" t="str">
        <f>IF($Q89="","",SUMIFS(SITE_COEFFS!$C:$C,SITE_COEFFS!$A:$A,"ProximityToBuildings",SITE_COEFFS!$B:$B,$Q89))</f>
        <v/>
      </c>
      <c r="S89" s="13"/>
      <c r="T89" s="21" t="str">
        <f>IF($S89="","",SUMIFS(SITE_COEFFS!$C:$C,SITE_COEFFS!$A:$A,"MachineryAllowed",SITE_COEFFS!$B:$B,$S89))</f>
        <v/>
      </c>
      <c r="U89" s="13"/>
      <c r="V89" s="13"/>
      <c r="W89" s="21" t="str">
        <f>IF($V89="","",SUMIFS(SITE_COEFFS!$C:$C,SITE_COEFFS!$A:$A,"GeometryComplexity",SITE_COEFFS!$B:$B,$V89))</f>
        <v/>
      </c>
      <c r="X89" s="13"/>
      <c r="Y89" s="13" t="str">
        <f>IF($X89="","",SUMIFS(TARIFF_PROFILES!$D:$D,TARIFF_PROFILES!$A:$A,$X89))</f>
        <v/>
      </c>
      <c r="Z89" s="13" t="str">
        <f>IF($X89="","",SUMIFS(TARIFF_PROFILES!$E:$E,TARIFF_PROFILES!$A:$A,$X89))</f>
        <v/>
      </c>
      <c r="AA89" s="13" t="str">
        <f>IF($X89="","",SUMIFS(TARIFF_PROFILES!$F:$F,TARIFF_PROFILES!$A:$A,$X89))</f>
        <v/>
      </c>
      <c r="AB89" s="13" t="str">
        <f>IF($X89="","",SUMIFS(TARIFF_PROFILES!$G:$G,TARIFF_PROFILES!$A:$A,$X89))</f>
        <v/>
      </c>
      <c r="AC89" s="13" t="str">
        <f>IF($X89="","",SUMIFS(TARIFF_PROFILES!$H:$H,TARIFF_PROFILES!$A:$A,$X89))</f>
        <v/>
      </c>
      <c r="AD89" s="13" t="str">
        <f>IF($X89="","",INDEX(TARIFF_PROFILES!$J:$J,MATCH($X89,TARIFF_PROFILES!$A:$A,0)))</f>
        <v/>
      </c>
      <c r="AE89" s="13" t="str">
        <f>IF($X89="","",INDEX(TARIFF_PROFILES!$K:$K,MATCH($X89,TARIFF_PROFILES!$A:$A,0)))</f>
        <v/>
      </c>
      <c r="AH89" t="str">
        <f>IF($AG89="","",SUMIFS(OPERATING_COEFFS!$C:$C,OPERATING_COEFFS!$A:$A,"DistanceClass",OPERATING_COEFFS!$B:$B,$AG89))</f>
        <v/>
      </c>
      <c r="AJ89" t="str">
        <f>IF($AI89="","",SUMIFS(OPERATING_COEFFS!$C:$C,OPERATING_COEFFS!$A:$A,"SeasonClass",OPERATING_COEFFS!$B:$B,$AI89))</f>
        <v/>
      </c>
      <c r="AL89" t="str">
        <f>IF($AK89="","",SUMIFS(OPERATING_COEFFS!$C:$C,OPERATING_COEFFS!$A:$A,"UrgencyClass",OPERATING_COEFFS!$B:$B,$AK89))</f>
        <v/>
      </c>
      <c r="AN89" t="str">
        <f>IF($AM89="","",INDEX(TAX_MODES!$B:$B,MATCH($AM89,TAX_MODES!$A:$A,0)))</f>
        <v/>
      </c>
    </row>
    <row r="90" spans="1:40" x14ac:dyDescent="0.3">
      <c r="A90" s="13"/>
      <c r="B90" s="13"/>
      <c r="C90" s="13"/>
      <c r="D90" s="21" t="str">
        <f>IF($C90="","",SUMIFS(SITE_COEFFS!$C:$C,SITE_COEFFS!$A:$A,"SoilWorkability",SITE_COEFFS!$B:$B,$C90))</f>
        <v/>
      </c>
      <c r="E90" s="13"/>
      <c r="F90" s="21" t="str">
        <f>IF($E90="","",SUMIFS(SITE_COEFFS!$C:$C,SITE_COEFFS!$A:$A,"SoilMoisture",SITE_COEFFS!$B:$B,$E90))</f>
        <v/>
      </c>
      <c r="G90" s="13"/>
      <c r="H90" s="21" t="str">
        <f>IF($G90="","",SUMIFS(SITE_COEFFS!$C:$C,SITE_COEFFS!$A:$A,"DebrisLevel",SITE_COEFFS!$B:$B,$G90))</f>
        <v/>
      </c>
      <c r="I90" s="13"/>
      <c r="J90" s="21" t="str">
        <f>IF($I90="","",SUMIFS(SITE_COEFFS!$C:$C,SITE_COEFFS!$A:$A,"SlopeClass",SITE_COEFFS!$B:$B,$I90))</f>
        <v/>
      </c>
      <c r="K90" s="13"/>
      <c r="L90" s="21" t="str">
        <f>IF($K90="","",SUMIFS(SITE_COEFFS!$C:$C,SITE_COEFFS!$A:$A,"SurfaceUnevenness",SITE_COEFFS!$B:$B,$K90))</f>
        <v/>
      </c>
      <c r="M90" s="13"/>
      <c r="N90" s="21" t="str">
        <f>IF($M90="","",SUMIFS(SITE_COEFFS!$C:$C,SITE_COEFFS!$A:$A,"AccessClass",SITE_COEFFS!$B:$B,$M90))</f>
        <v/>
      </c>
      <c r="O90" s="13"/>
      <c r="P90" s="21" t="str">
        <f>IF($O90="","",SUMIFS(SITE_COEFFS!$C:$C,SITE_COEFFS!$A:$A,"TurnSpace",SITE_COEFFS!$B:$B,$O90))</f>
        <v/>
      </c>
      <c r="Q90" s="13"/>
      <c r="R90" s="21" t="str">
        <f>IF($Q90="","",SUMIFS(SITE_COEFFS!$C:$C,SITE_COEFFS!$A:$A,"ProximityToBuildings",SITE_COEFFS!$B:$B,$Q90))</f>
        <v/>
      </c>
      <c r="S90" s="13"/>
      <c r="T90" s="21" t="str">
        <f>IF($S90="","",SUMIFS(SITE_COEFFS!$C:$C,SITE_COEFFS!$A:$A,"MachineryAllowed",SITE_COEFFS!$B:$B,$S90))</f>
        <v/>
      </c>
      <c r="U90" s="13"/>
      <c r="V90" s="13"/>
      <c r="W90" s="21" t="str">
        <f>IF($V90="","",SUMIFS(SITE_COEFFS!$C:$C,SITE_COEFFS!$A:$A,"GeometryComplexity",SITE_COEFFS!$B:$B,$V90))</f>
        <v/>
      </c>
      <c r="X90" s="13"/>
      <c r="Y90" s="13" t="str">
        <f>IF($X90="","",SUMIFS(TARIFF_PROFILES!$D:$D,TARIFF_PROFILES!$A:$A,$X90))</f>
        <v/>
      </c>
      <c r="Z90" s="13" t="str">
        <f>IF($X90="","",SUMIFS(TARIFF_PROFILES!$E:$E,TARIFF_PROFILES!$A:$A,$X90))</f>
        <v/>
      </c>
      <c r="AA90" s="13" t="str">
        <f>IF($X90="","",SUMIFS(TARIFF_PROFILES!$F:$F,TARIFF_PROFILES!$A:$A,$X90))</f>
        <v/>
      </c>
      <c r="AB90" s="13" t="str">
        <f>IF($X90="","",SUMIFS(TARIFF_PROFILES!$G:$G,TARIFF_PROFILES!$A:$A,$X90))</f>
        <v/>
      </c>
      <c r="AC90" s="13" t="str">
        <f>IF($X90="","",SUMIFS(TARIFF_PROFILES!$H:$H,TARIFF_PROFILES!$A:$A,$X90))</f>
        <v/>
      </c>
      <c r="AD90" s="13" t="str">
        <f>IF($X90="","",INDEX(TARIFF_PROFILES!$J:$J,MATCH($X90,TARIFF_PROFILES!$A:$A,0)))</f>
        <v/>
      </c>
      <c r="AE90" s="13" t="str">
        <f>IF($X90="","",INDEX(TARIFF_PROFILES!$K:$K,MATCH($X90,TARIFF_PROFILES!$A:$A,0)))</f>
        <v/>
      </c>
      <c r="AH90" t="str">
        <f>IF($AG90="","",SUMIFS(OPERATING_COEFFS!$C:$C,OPERATING_COEFFS!$A:$A,"DistanceClass",OPERATING_COEFFS!$B:$B,$AG90))</f>
        <v/>
      </c>
      <c r="AJ90" t="str">
        <f>IF($AI90="","",SUMIFS(OPERATING_COEFFS!$C:$C,OPERATING_COEFFS!$A:$A,"SeasonClass",OPERATING_COEFFS!$B:$B,$AI90))</f>
        <v/>
      </c>
      <c r="AL90" t="str">
        <f>IF($AK90="","",SUMIFS(OPERATING_COEFFS!$C:$C,OPERATING_COEFFS!$A:$A,"UrgencyClass",OPERATING_COEFFS!$B:$B,$AK90))</f>
        <v/>
      </c>
      <c r="AN90" t="str">
        <f>IF($AM90="","",INDEX(TAX_MODES!$B:$B,MATCH($AM90,TAX_MODES!$A:$A,0)))</f>
        <v/>
      </c>
    </row>
    <row r="91" spans="1:40" x14ac:dyDescent="0.3">
      <c r="A91" s="13"/>
      <c r="B91" s="13"/>
      <c r="C91" s="13"/>
      <c r="D91" s="21" t="str">
        <f>IF($C91="","",SUMIFS(SITE_COEFFS!$C:$C,SITE_COEFFS!$A:$A,"SoilWorkability",SITE_COEFFS!$B:$B,$C91))</f>
        <v/>
      </c>
      <c r="E91" s="13"/>
      <c r="F91" s="21" t="str">
        <f>IF($E91="","",SUMIFS(SITE_COEFFS!$C:$C,SITE_COEFFS!$A:$A,"SoilMoisture",SITE_COEFFS!$B:$B,$E91))</f>
        <v/>
      </c>
      <c r="G91" s="13"/>
      <c r="H91" s="21" t="str">
        <f>IF($G91="","",SUMIFS(SITE_COEFFS!$C:$C,SITE_COEFFS!$A:$A,"DebrisLevel",SITE_COEFFS!$B:$B,$G91))</f>
        <v/>
      </c>
      <c r="I91" s="13"/>
      <c r="J91" s="21" t="str">
        <f>IF($I91="","",SUMIFS(SITE_COEFFS!$C:$C,SITE_COEFFS!$A:$A,"SlopeClass",SITE_COEFFS!$B:$B,$I91))</f>
        <v/>
      </c>
      <c r="K91" s="13"/>
      <c r="L91" s="21" t="str">
        <f>IF($K91="","",SUMIFS(SITE_COEFFS!$C:$C,SITE_COEFFS!$A:$A,"SurfaceUnevenness",SITE_COEFFS!$B:$B,$K91))</f>
        <v/>
      </c>
      <c r="M91" s="13"/>
      <c r="N91" s="21" t="str">
        <f>IF($M91="","",SUMIFS(SITE_COEFFS!$C:$C,SITE_COEFFS!$A:$A,"AccessClass",SITE_COEFFS!$B:$B,$M91))</f>
        <v/>
      </c>
      <c r="O91" s="13"/>
      <c r="P91" s="21" t="str">
        <f>IF($O91="","",SUMIFS(SITE_COEFFS!$C:$C,SITE_COEFFS!$A:$A,"TurnSpace",SITE_COEFFS!$B:$B,$O91))</f>
        <v/>
      </c>
      <c r="Q91" s="13"/>
      <c r="R91" s="21" t="str">
        <f>IF($Q91="","",SUMIFS(SITE_COEFFS!$C:$C,SITE_COEFFS!$A:$A,"ProximityToBuildings",SITE_COEFFS!$B:$B,$Q91))</f>
        <v/>
      </c>
      <c r="S91" s="13"/>
      <c r="T91" s="21" t="str">
        <f>IF($S91="","",SUMIFS(SITE_COEFFS!$C:$C,SITE_COEFFS!$A:$A,"MachineryAllowed",SITE_COEFFS!$B:$B,$S91))</f>
        <v/>
      </c>
      <c r="U91" s="13"/>
      <c r="V91" s="13"/>
      <c r="W91" s="21" t="str">
        <f>IF($V91="","",SUMIFS(SITE_COEFFS!$C:$C,SITE_COEFFS!$A:$A,"GeometryComplexity",SITE_COEFFS!$B:$B,$V91))</f>
        <v/>
      </c>
      <c r="X91" s="13"/>
      <c r="Y91" s="13" t="str">
        <f>IF($X91="","",SUMIFS(TARIFF_PROFILES!$D:$D,TARIFF_PROFILES!$A:$A,$X91))</f>
        <v/>
      </c>
      <c r="Z91" s="13" t="str">
        <f>IF($X91="","",SUMIFS(TARIFF_PROFILES!$E:$E,TARIFF_PROFILES!$A:$A,$X91))</f>
        <v/>
      </c>
      <c r="AA91" s="13" t="str">
        <f>IF($X91="","",SUMIFS(TARIFF_PROFILES!$F:$F,TARIFF_PROFILES!$A:$A,$X91))</f>
        <v/>
      </c>
      <c r="AB91" s="13" t="str">
        <f>IF($X91="","",SUMIFS(TARIFF_PROFILES!$G:$G,TARIFF_PROFILES!$A:$A,$X91))</f>
        <v/>
      </c>
      <c r="AC91" s="13" t="str">
        <f>IF($X91="","",SUMIFS(TARIFF_PROFILES!$H:$H,TARIFF_PROFILES!$A:$A,$X91))</f>
        <v/>
      </c>
      <c r="AD91" s="13" t="str">
        <f>IF($X91="","",INDEX(TARIFF_PROFILES!$J:$J,MATCH($X91,TARIFF_PROFILES!$A:$A,0)))</f>
        <v/>
      </c>
      <c r="AE91" s="13" t="str">
        <f>IF($X91="","",INDEX(TARIFF_PROFILES!$K:$K,MATCH($X91,TARIFF_PROFILES!$A:$A,0)))</f>
        <v/>
      </c>
      <c r="AH91" t="str">
        <f>IF($AG91="","",SUMIFS(OPERATING_COEFFS!$C:$C,OPERATING_COEFFS!$A:$A,"DistanceClass",OPERATING_COEFFS!$B:$B,$AG91))</f>
        <v/>
      </c>
      <c r="AJ91" t="str">
        <f>IF($AI91="","",SUMIFS(OPERATING_COEFFS!$C:$C,OPERATING_COEFFS!$A:$A,"SeasonClass",OPERATING_COEFFS!$B:$B,$AI91))</f>
        <v/>
      </c>
      <c r="AL91" t="str">
        <f>IF($AK91="","",SUMIFS(OPERATING_COEFFS!$C:$C,OPERATING_COEFFS!$A:$A,"UrgencyClass",OPERATING_COEFFS!$B:$B,$AK91))</f>
        <v/>
      </c>
      <c r="AN91" t="str">
        <f>IF($AM91="","",INDEX(TAX_MODES!$B:$B,MATCH($AM91,TAX_MODES!$A:$A,0)))</f>
        <v/>
      </c>
    </row>
    <row r="92" spans="1:40" x14ac:dyDescent="0.3">
      <c r="A92" s="13"/>
      <c r="B92" s="13"/>
      <c r="C92" s="13"/>
      <c r="D92" s="21" t="str">
        <f>IF($C92="","",SUMIFS(SITE_COEFFS!$C:$C,SITE_COEFFS!$A:$A,"SoilWorkability",SITE_COEFFS!$B:$B,$C92))</f>
        <v/>
      </c>
      <c r="E92" s="13"/>
      <c r="F92" s="21" t="str">
        <f>IF($E92="","",SUMIFS(SITE_COEFFS!$C:$C,SITE_COEFFS!$A:$A,"SoilMoisture",SITE_COEFFS!$B:$B,$E92))</f>
        <v/>
      </c>
      <c r="G92" s="13"/>
      <c r="H92" s="21" t="str">
        <f>IF($G92="","",SUMIFS(SITE_COEFFS!$C:$C,SITE_COEFFS!$A:$A,"DebrisLevel",SITE_COEFFS!$B:$B,$G92))</f>
        <v/>
      </c>
      <c r="I92" s="13"/>
      <c r="J92" s="21" t="str">
        <f>IF($I92="","",SUMIFS(SITE_COEFFS!$C:$C,SITE_COEFFS!$A:$A,"SlopeClass",SITE_COEFFS!$B:$B,$I92))</f>
        <v/>
      </c>
      <c r="K92" s="13"/>
      <c r="L92" s="21" t="str">
        <f>IF($K92="","",SUMIFS(SITE_COEFFS!$C:$C,SITE_COEFFS!$A:$A,"SurfaceUnevenness",SITE_COEFFS!$B:$B,$K92))</f>
        <v/>
      </c>
      <c r="M92" s="13"/>
      <c r="N92" s="21" t="str">
        <f>IF($M92="","",SUMIFS(SITE_COEFFS!$C:$C,SITE_COEFFS!$A:$A,"AccessClass",SITE_COEFFS!$B:$B,$M92))</f>
        <v/>
      </c>
      <c r="O92" s="13"/>
      <c r="P92" s="21" t="str">
        <f>IF($O92="","",SUMIFS(SITE_COEFFS!$C:$C,SITE_COEFFS!$A:$A,"TurnSpace",SITE_COEFFS!$B:$B,$O92))</f>
        <v/>
      </c>
      <c r="Q92" s="13"/>
      <c r="R92" s="21" t="str">
        <f>IF($Q92="","",SUMIFS(SITE_COEFFS!$C:$C,SITE_COEFFS!$A:$A,"ProximityToBuildings",SITE_COEFFS!$B:$B,$Q92))</f>
        <v/>
      </c>
      <c r="S92" s="13"/>
      <c r="T92" s="21" t="str">
        <f>IF($S92="","",SUMIFS(SITE_COEFFS!$C:$C,SITE_COEFFS!$A:$A,"MachineryAllowed",SITE_COEFFS!$B:$B,$S92))</f>
        <v/>
      </c>
      <c r="U92" s="13"/>
      <c r="V92" s="13"/>
      <c r="W92" s="21" t="str">
        <f>IF($V92="","",SUMIFS(SITE_COEFFS!$C:$C,SITE_COEFFS!$A:$A,"GeometryComplexity",SITE_COEFFS!$B:$B,$V92))</f>
        <v/>
      </c>
      <c r="X92" s="13"/>
      <c r="Y92" s="13" t="str">
        <f>IF($X92="","",SUMIFS(TARIFF_PROFILES!$D:$D,TARIFF_PROFILES!$A:$A,$X92))</f>
        <v/>
      </c>
      <c r="Z92" s="13" t="str">
        <f>IF($X92="","",SUMIFS(TARIFF_PROFILES!$E:$E,TARIFF_PROFILES!$A:$A,$X92))</f>
        <v/>
      </c>
      <c r="AA92" s="13" t="str">
        <f>IF($X92="","",SUMIFS(TARIFF_PROFILES!$F:$F,TARIFF_PROFILES!$A:$A,$X92))</f>
        <v/>
      </c>
      <c r="AB92" s="13" t="str">
        <f>IF($X92="","",SUMIFS(TARIFF_PROFILES!$G:$G,TARIFF_PROFILES!$A:$A,$X92))</f>
        <v/>
      </c>
      <c r="AC92" s="13" t="str">
        <f>IF($X92="","",SUMIFS(TARIFF_PROFILES!$H:$H,TARIFF_PROFILES!$A:$A,$X92))</f>
        <v/>
      </c>
      <c r="AD92" s="13" t="str">
        <f>IF($X92="","",INDEX(TARIFF_PROFILES!$J:$J,MATCH($X92,TARIFF_PROFILES!$A:$A,0)))</f>
        <v/>
      </c>
      <c r="AE92" s="13" t="str">
        <f>IF($X92="","",INDEX(TARIFF_PROFILES!$K:$K,MATCH($X92,TARIFF_PROFILES!$A:$A,0)))</f>
        <v/>
      </c>
      <c r="AH92" t="str">
        <f>IF($AG92="","",SUMIFS(OPERATING_COEFFS!$C:$C,OPERATING_COEFFS!$A:$A,"DistanceClass",OPERATING_COEFFS!$B:$B,$AG92))</f>
        <v/>
      </c>
      <c r="AJ92" t="str">
        <f>IF($AI92="","",SUMIFS(OPERATING_COEFFS!$C:$C,OPERATING_COEFFS!$A:$A,"SeasonClass",OPERATING_COEFFS!$B:$B,$AI92))</f>
        <v/>
      </c>
      <c r="AL92" t="str">
        <f>IF($AK92="","",SUMIFS(OPERATING_COEFFS!$C:$C,OPERATING_COEFFS!$A:$A,"UrgencyClass",OPERATING_COEFFS!$B:$B,$AK92))</f>
        <v/>
      </c>
      <c r="AN92" t="str">
        <f>IF($AM92="","",INDEX(TAX_MODES!$B:$B,MATCH($AM92,TAX_MODES!$A:$A,0)))</f>
        <v/>
      </c>
    </row>
    <row r="93" spans="1:40" x14ac:dyDescent="0.3">
      <c r="A93" s="13"/>
      <c r="B93" s="13"/>
      <c r="C93" s="13"/>
      <c r="D93" s="21" t="str">
        <f>IF($C93="","",SUMIFS(SITE_COEFFS!$C:$C,SITE_COEFFS!$A:$A,"SoilWorkability",SITE_COEFFS!$B:$B,$C93))</f>
        <v/>
      </c>
      <c r="E93" s="13"/>
      <c r="F93" s="21" t="str">
        <f>IF($E93="","",SUMIFS(SITE_COEFFS!$C:$C,SITE_COEFFS!$A:$A,"SoilMoisture",SITE_COEFFS!$B:$B,$E93))</f>
        <v/>
      </c>
      <c r="G93" s="13"/>
      <c r="H93" s="21" t="str">
        <f>IF($G93="","",SUMIFS(SITE_COEFFS!$C:$C,SITE_COEFFS!$A:$A,"DebrisLevel",SITE_COEFFS!$B:$B,$G93))</f>
        <v/>
      </c>
      <c r="I93" s="13"/>
      <c r="J93" s="21" t="str">
        <f>IF($I93="","",SUMIFS(SITE_COEFFS!$C:$C,SITE_COEFFS!$A:$A,"SlopeClass",SITE_COEFFS!$B:$B,$I93))</f>
        <v/>
      </c>
      <c r="K93" s="13"/>
      <c r="L93" s="21" t="str">
        <f>IF($K93="","",SUMIFS(SITE_COEFFS!$C:$C,SITE_COEFFS!$A:$A,"SurfaceUnevenness",SITE_COEFFS!$B:$B,$K93))</f>
        <v/>
      </c>
      <c r="M93" s="13"/>
      <c r="N93" s="21" t="str">
        <f>IF($M93="","",SUMIFS(SITE_COEFFS!$C:$C,SITE_COEFFS!$A:$A,"AccessClass",SITE_COEFFS!$B:$B,$M93))</f>
        <v/>
      </c>
      <c r="O93" s="13"/>
      <c r="P93" s="21" t="str">
        <f>IF($O93="","",SUMIFS(SITE_COEFFS!$C:$C,SITE_COEFFS!$A:$A,"TurnSpace",SITE_COEFFS!$B:$B,$O93))</f>
        <v/>
      </c>
      <c r="Q93" s="13"/>
      <c r="R93" s="21" t="str">
        <f>IF($Q93="","",SUMIFS(SITE_COEFFS!$C:$C,SITE_COEFFS!$A:$A,"ProximityToBuildings",SITE_COEFFS!$B:$B,$Q93))</f>
        <v/>
      </c>
      <c r="S93" s="13"/>
      <c r="T93" s="21" t="str">
        <f>IF($S93="","",SUMIFS(SITE_COEFFS!$C:$C,SITE_COEFFS!$A:$A,"MachineryAllowed",SITE_COEFFS!$B:$B,$S93))</f>
        <v/>
      </c>
      <c r="U93" s="13"/>
      <c r="V93" s="13"/>
      <c r="W93" s="21" t="str">
        <f>IF($V93="","",SUMIFS(SITE_COEFFS!$C:$C,SITE_COEFFS!$A:$A,"GeometryComplexity",SITE_COEFFS!$B:$B,$V93))</f>
        <v/>
      </c>
      <c r="X93" s="13"/>
      <c r="Y93" s="13" t="str">
        <f>IF($X93="","",SUMIFS(TARIFF_PROFILES!$D:$D,TARIFF_PROFILES!$A:$A,$X93))</f>
        <v/>
      </c>
      <c r="Z93" s="13" t="str">
        <f>IF($X93="","",SUMIFS(TARIFF_PROFILES!$E:$E,TARIFF_PROFILES!$A:$A,$X93))</f>
        <v/>
      </c>
      <c r="AA93" s="13" t="str">
        <f>IF($X93="","",SUMIFS(TARIFF_PROFILES!$F:$F,TARIFF_PROFILES!$A:$A,$X93))</f>
        <v/>
      </c>
      <c r="AB93" s="13" t="str">
        <f>IF($X93="","",SUMIFS(TARIFF_PROFILES!$G:$G,TARIFF_PROFILES!$A:$A,$X93))</f>
        <v/>
      </c>
      <c r="AC93" s="13" t="str">
        <f>IF($X93="","",SUMIFS(TARIFF_PROFILES!$H:$H,TARIFF_PROFILES!$A:$A,$X93))</f>
        <v/>
      </c>
      <c r="AD93" s="13" t="str">
        <f>IF($X93="","",INDEX(TARIFF_PROFILES!$J:$J,MATCH($X93,TARIFF_PROFILES!$A:$A,0)))</f>
        <v/>
      </c>
      <c r="AE93" s="13" t="str">
        <f>IF($X93="","",INDEX(TARIFF_PROFILES!$K:$K,MATCH($X93,TARIFF_PROFILES!$A:$A,0)))</f>
        <v/>
      </c>
      <c r="AH93" t="str">
        <f>IF($AG93="","",SUMIFS(OPERATING_COEFFS!$C:$C,OPERATING_COEFFS!$A:$A,"DistanceClass",OPERATING_COEFFS!$B:$B,$AG93))</f>
        <v/>
      </c>
      <c r="AJ93" t="str">
        <f>IF($AI93="","",SUMIFS(OPERATING_COEFFS!$C:$C,OPERATING_COEFFS!$A:$A,"SeasonClass",OPERATING_COEFFS!$B:$B,$AI93))</f>
        <v/>
      </c>
      <c r="AL93" t="str">
        <f>IF($AK93="","",SUMIFS(OPERATING_COEFFS!$C:$C,OPERATING_COEFFS!$A:$A,"UrgencyClass",OPERATING_COEFFS!$B:$B,$AK93))</f>
        <v/>
      </c>
      <c r="AN93" t="str">
        <f>IF($AM93="","",INDEX(TAX_MODES!$B:$B,MATCH($AM93,TAX_MODES!$A:$A,0)))</f>
        <v/>
      </c>
    </row>
    <row r="94" spans="1:40" x14ac:dyDescent="0.3">
      <c r="A94" s="13"/>
      <c r="B94" s="13"/>
      <c r="C94" s="13"/>
      <c r="D94" s="21" t="str">
        <f>IF($C94="","",SUMIFS(SITE_COEFFS!$C:$C,SITE_COEFFS!$A:$A,"SoilWorkability",SITE_COEFFS!$B:$B,$C94))</f>
        <v/>
      </c>
      <c r="E94" s="13"/>
      <c r="F94" s="21" t="str">
        <f>IF($E94="","",SUMIFS(SITE_COEFFS!$C:$C,SITE_COEFFS!$A:$A,"SoilMoisture",SITE_COEFFS!$B:$B,$E94))</f>
        <v/>
      </c>
      <c r="G94" s="13"/>
      <c r="H94" s="21" t="str">
        <f>IF($G94="","",SUMIFS(SITE_COEFFS!$C:$C,SITE_COEFFS!$A:$A,"DebrisLevel",SITE_COEFFS!$B:$B,$G94))</f>
        <v/>
      </c>
      <c r="I94" s="13"/>
      <c r="J94" s="21" t="str">
        <f>IF($I94="","",SUMIFS(SITE_COEFFS!$C:$C,SITE_COEFFS!$A:$A,"SlopeClass",SITE_COEFFS!$B:$B,$I94))</f>
        <v/>
      </c>
      <c r="K94" s="13"/>
      <c r="L94" s="21" t="str">
        <f>IF($K94="","",SUMIFS(SITE_COEFFS!$C:$C,SITE_COEFFS!$A:$A,"SurfaceUnevenness",SITE_COEFFS!$B:$B,$K94))</f>
        <v/>
      </c>
      <c r="M94" s="13"/>
      <c r="N94" s="21" t="str">
        <f>IF($M94="","",SUMIFS(SITE_COEFFS!$C:$C,SITE_COEFFS!$A:$A,"AccessClass",SITE_COEFFS!$B:$B,$M94))</f>
        <v/>
      </c>
      <c r="O94" s="13"/>
      <c r="P94" s="21" t="str">
        <f>IF($O94="","",SUMIFS(SITE_COEFFS!$C:$C,SITE_COEFFS!$A:$A,"TurnSpace",SITE_COEFFS!$B:$B,$O94))</f>
        <v/>
      </c>
      <c r="Q94" s="13"/>
      <c r="R94" s="21" t="str">
        <f>IF($Q94="","",SUMIFS(SITE_COEFFS!$C:$C,SITE_COEFFS!$A:$A,"ProximityToBuildings",SITE_COEFFS!$B:$B,$Q94))</f>
        <v/>
      </c>
      <c r="S94" s="13"/>
      <c r="T94" s="21" t="str">
        <f>IF($S94="","",SUMIFS(SITE_COEFFS!$C:$C,SITE_COEFFS!$A:$A,"MachineryAllowed",SITE_COEFFS!$B:$B,$S94))</f>
        <v/>
      </c>
      <c r="U94" s="13"/>
      <c r="V94" s="13"/>
      <c r="W94" s="21" t="str">
        <f>IF($V94="","",SUMIFS(SITE_COEFFS!$C:$C,SITE_COEFFS!$A:$A,"GeometryComplexity",SITE_COEFFS!$B:$B,$V94))</f>
        <v/>
      </c>
      <c r="X94" s="13"/>
      <c r="Y94" s="13" t="str">
        <f>IF($X94="","",SUMIFS(TARIFF_PROFILES!$D:$D,TARIFF_PROFILES!$A:$A,$X94))</f>
        <v/>
      </c>
      <c r="Z94" s="13" t="str">
        <f>IF($X94="","",SUMIFS(TARIFF_PROFILES!$E:$E,TARIFF_PROFILES!$A:$A,$X94))</f>
        <v/>
      </c>
      <c r="AA94" s="13" t="str">
        <f>IF($X94="","",SUMIFS(TARIFF_PROFILES!$F:$F,TARIFF_PROFILES!$A:$A,$X94))</f>
        <v/>
      </c>
      <c r="AB94" s="13" t="str">
        <f>IF($X94="","",SUMIFS(TARIFF_PROFILES!$G:$G,TARIFF_PROFILES!$A:$A,$X94))</f>
        <v/>
      </c>
      <c r="AC94" s="13" t="str">
        <f>IF($X94="","",SUMIFS(TARIFF_PROFILES!$H:$H,TARIFF_PROFILES!$A:$A,$X94))</f>
        <v/>
      </c>
      <c r="AD94" s="13" t="str">
        <f>IF($X94="","",INDEX(TARIFF_PROFILES!$J:$J,MATCH($X94,TARIFF_PROFILES!$A:$A,0)))</f>
        <v/>
      </c>
      <c r="AE94" s="13" t="str">
        <f>IF($X94="","",INDEX(TARIFF_PROFILES!$K:$K,MATCH($X94,TARIFF_PROFILES!$A:$A,0)))</f>
        <v/>
      </c>
      <c r="AH94" t="str">
        <f>IF($AG94="","",SUMIFS(OPERATING_COEFFS!$C:$C,OPERATING_COEFFS!$A:$A,"DistanceClass",OPERATING_COEFFS!$B:$B,$AG94))</f>
        <v/>
      </c>
      <c r="AJ94" t="str">
        <f>IF($AI94="","",SUMIFS(OPERATING_COEFFS!$C:$C,OPERATING_COEFFS!$A:$A,"SeasonClass",OPERATING_COEFFS!$B:$B,$AI94))</f>
        <v/>
      </c>
      <c r="AL94" t="str">
        <f>IF($AK94="","",SUMIFS(OPERATING_COEFFS!$C:$C,OPERATING_COEFFS!$A:$A,"UrgencyClass",OPERATING_COEFFS!$B:$B,$AK94))</f>
        <v/>
      </c>
      <c r="AN94" t="str">
        <f>IF($AM94="","",INDEX(TAX_MODES!$B:$B,MATCH($AM94,TAX_MODES!$A:$A,0)))</f>
        <v/>
      </c>
    </row>
    <row r="95" spans="1:40" x14ac:dyDescent="0.3">
      <c r="A95" s="13"/>
      <c r="B95" s="13"/>
      <c r="C95" s="13"/>
      <c r="D95" s="21" t="str">
        <f>IF($C95="","",SUMIFS(SITE_COEFFS!$C:$C,SITE_COEFFS!$A:$A,"SoilWorkability",SITE_COEFFS!$B:$B,$C95))</f>
        <v/>
      </c>
      <c r="E95" s="13"/>
      <c r="F95" s="21" t="str">
        <f>IF($E95="","",SUMIFS(SITE_COEFFS!$C:$C,SITE_COEFFS!$A:$A,"SoilMoisture",SITE_COEFFS!$B:$B,$E95))</f>
        <v/>
      </c>
      <c r="G95" s="13"/>
      <c r="H95" s="21" t="str">
        <f>IF($G95="","",SUMIFS(SITE_COEFFS!$C:$C,SITE_COEFFS!$A:$A,"DebrisLevel",SITE_COEFFS!$B:$B,$G95))</f>
        <v/>
      </c>
      <c r="I95" s="13"/>
      <c r="J95" s="21" t="str">
        <f>IF($I95="","",SUMIFS(SITE_COEFFS!$C:$C,SITE_COEFFS!$A:$A,"SlopeClass",SITE_COEFFS!$B:$B,$I95))</f>
        <v/>
      </c>
      <c r="K95" s="13"/>
      <c r="L95" s="21" t="str">
        <f>IF($K95="","",SUMIFS(SITE_COEFFS!$C:$C,SITE_COEFFS!$A:$A,"SurfaceUnevenness",SITE_COEFFS!$B:$B,$K95))</f>
        <v/>
      </c>
      <c r="M95" s="13"/>
      <c r="N95" s="21" t="str">
        <f>IF($M95="","",SUMIFS(SITE_COEFFS!$C:$C,SITE_COEFFS!$A:$A,"AccessClass",SITE_COEFFS!$B:$B,$M95))</f>
        <v/>
      </c>
      <c r="O95" s="13"/>
      <c r="P95" s="21" t="str">
        <f>IF($O95="","",SUMIFS(SITE_COEFFS!$C:$C,SITE_COEFFS!$A:$A,"TurnSpace",SITE_COEFFS!$B:$B,$O95))</f>
        <v/>
      </c>
      <c r="Q95" s="13"/>
      <c r="R95" s="21" t="str">
        <f>IF($Q95="","",SUMIFS(SITE_COEFFS!$C:$C,SITE_COEFFS!$A:$A,"ProximityToBuildings",SITE_COEFFS!$B:$B,$Q95))</f>
        <v/>
      </c>
      <c r="S95" s="13"/>
      <c r="T95" s="21" t="str">
        <f>IF($S95="","",SUMIFS(SITE_COEFFS!$C:$C,SITE_COEFFS!$A:$A,"MachineryAllowed",SITE_COEFFS!$B:$B,$S95))</f>
        <v/>
      </c>
      <c r="U95" s="13"/>
      <c r="V95" s="13"/>
      <c r="W95" s="21" t="str">
        <f>IF($V95="","",SUMIFS(SITE_COEFFS!$C:$C,SITE_COEFFS!$A:$A,"GeometryComplexity",SITE_COEFFS!$B:$B,$V95))</f>
        <v/>
      </c>
      <c r="X95" s="13"/>
      <c r="Y95" s="13" t="str">
        <f>IF($X95="","",SUMIFS(TARIFF_PROFILES!$D:$D,TARIFF_PROFILES!$A:$A,$X95))</f>
        <v/>
      </c>
      <c r="Z95" s="13" t="str">
        <f>IF($X95="","",SUMIFS(TARIFF_PROFILES!$E:$E,TARIFF_PROFILES!$A:$A,$X95))</f>
        <v/>
      </c>
      <c r="AA95" s="13" t="str">
        <f>IF($X95="","",SUMIFS(TARIFF_PROFILES!$F:$F,TARIFF_PROFILES!$A:$A,$X95))</f>
        <v/>
      </c>
      <c r="AB95" s="13" t="str">
        <f>IF($X95="","",SUMIFS(TARIFF_PROFILES!$G:$G,TARIFF_PROFILES!$A:$A,$X95))</f>
        <v/>
      </c>
      <c r="AC95" s="13" t="str">
        <f>IF($X95="","",SUMIFS(TARIFF_PROFILES!$H:$H,TARIFF_PROFILES!$A:$A,$X95))</f>
        <v/>
      </c>
      <c r="AD95" s="13" t="str">
        <f>IF($X95="","",INDEX(TARIFF_PROFILES!$J:$J,MATCH($X95,TARIFF_PROFILES!$A:$A,0)))</f>
        <v/>
      </c>
      <c r="AE95" s="13" t="str">
        <f>IF($X95="","",INDEX(TARIFF_PROFILES!$K:$K,MATCH($X95,TARIFF_PROFILES!$A:$A,0)))</f>
        <v/>
      </c>
      <c r="AH95" t="str">
        <f>IF($AG95="","",SUMIFS(OPERATING_COEFFS!$C:$C,OPERATING_COEFFS!$A:$A,"DistanceClass",OPERATING_COEFFS!$B:$B,$AG95))</f>
        <v/>
      </c>
      <c r="AJ95" t="str">
        <f>IF($AI95="","",SUMIFS(OPERATING_COEFFS!$C:$C,OPERATING_COEFFS!$A:$A,"SeasonClass",OPERATING_COEFFS!$B:$B,$AI95))</f>
        <v/>
      </c>
      <c r="AL95" t="str">
        <f>IF($AK95="","",SUMIFS(OPERATING_COEFFS!$C:$C,OPERATING_COEFFS!$A:$A,"UrgencyClass",OPERATING_COEFFS!$B:$B,$AK95))</f>
        <v/>
      </c>
      <c r="AN95" t="str">
        <f>IF($AM95="","",INDEX(TAX_MODES!$B:$B,MATCH($AM95,TAX_MODES!$A:$A,0)))</f>
        <v/>
      </c>
    </row>
    <row r="96" spans="1:40" x14ac:dyDescent="0.3">
      <c r="A96" s="13"/>
      <c r="B96" s="13"/>
      <c r="C96" s="13"/>
      <c r="D96" s="21" t="str">
        <f>IF($C96="","",SUMIFS(SITE_COEFFS!$C:$C,SITE_COEFFS!$A:$A,"SoilWorkability",SITE_COEFFS!$B:$B,$C96))</f>
        <v/>
      </c>
      <c r="E96" s="13"/>
      <c r="F96" s="21" t="str">
        <f>IF($E96="","",SUMIFS(SITE_COEFFS!$C:$C,SITE_COEFFS!$A:$A,"SoilMoisture",SITE_COEFFS!$B:$B,$E96))</f>
        <v/>
      </c>
      <c r="G96" s="13"/>
      <c r="H96" s="21" t="str">
        <f>IF($G96="","",SUMIFS(SITE_COEFFS!$C:$C,SITE_COEFFS!$A:$A,"DebrisLevel",SITE_COEFFS!$B:$B,$G96))</f>
        <v/>
      </c>
      <c r="I96" s="13"/>
      <c r="J96" s="21" t="str">
        <f>IF($I96="","",SUMIFS(SITE_COEFFS!$C:$C,SITE_COEFFS!$A:$A,"SlopeClass",SITE_COEFFS!$B:$B,$I96))</f>
        <v/>
      </c>
      <c r="K96" s="13"/>
      <c r="L96" s="21" t="str">
        <f>IF($K96="","",SUMIFS(SITE_COEFFS!$C:$C,SITE_COEFFS!$A:$A,"SurfaceUnevenness",SITE_COEFFS!$B:$B,$K96))</f>
        <v/>
      </c>
      <c r="M96" s="13"/>
      <c r="N96" s="21" t="str">
        <f>IF($M96="","",SUMIFS(SITE_COEFFS!$C:$C,SITE_COEFFS!$A:$A,"AccessClass",SITE_COEFFS!$B:$B,$M96))</f>
        <v/>
      </c>
      <c r="O96" s="13"/>
      <c r="P96" s="21" t="str">
        <f>IF($O96="","",SUMIFS(SITE_COEFFS!$C:$C,SITE_COEFFS!$A:$A,"TurnSpace",SITE_COEFFS!$B:$B,$O96))</f>
        <v/>
      </c>
      <c r="Q96" s="13"/>
      <c r="R96" s="21" t="str">
        <f>IF($Q96="","",SUMIFS(SITE_COEFFS!$C:$C,SITE_COEFFS!$A:$A,"ProximityToBuildings",SITE_COEFFS!$B:$B,$Q96))</f>
        <v/>
      </c>
      <c r="S96" s="13"/>
      <c r="T96" s="21" t="str">
        <f>IF($S96="","",SUMIFS(SITE_COEFFS!$C:$C,SITE_COEFFS!$A:$A,"MachineryAllowed",SITE_COEFFS!$B:$B,$S96))</f>
        <v/>
      </c>
      <c r="U96" s="13"/>
      <c r="V96" s="13"/>
      <c r="W96" s="21" t="str">
        <f>IF($V96="","",SUMIFS(SITE_COEFFS!$C:$C,SITE_COEFFS!$A:$A,"GeometryComplexity",SITE_COEFFS!$B:$B,$V96))</f>
        <v/>
      </c>
      <c r="X96" s="13"/>
      <c r="Y96" s="13" t="str">
        <f>IF($X96="","",SUMIFS(TARIFF_PROFILES!$D:$D,TARIFF_PROFILES!$A:$A,$X96))</f>
        <v/>
      </c>
      <c r="Z96" s="13" t="str">
        <f>IF($X96="","",SUMIFS(TARIFF_PROFILES!$E:$E,TARIFF_PROFILES!$A:$A,$X96))</f>
        <v/>
      </c>
      <c r="AA96" s="13" t="str">
        <f>IF($X96="","",SUMIFS(TARIFF_PROFILES!$F:$F,TARIFF_PROFILES!$A:$A,$X96))</f>
        <v/>
      </c>
      <c r="AB96" s="13" t="str">
        <f>IF($X96="","",SUMIFS(TARIFF_PROFILES!$G:$G,TARIFF_PROFILES!$A:$A,$X96))</f>
        <v/>
      </c>
      <c r="AC96" s="13" t="str">
        <f>IF($X96="","",SUMIFS(TARIFF_PROFILES!$H:$H,TARIFF_PROFILES!$A:$A,$X96))</f>
        <v/>
      </c>
      <c r="AD96" s="13" t="str">
        <f>IF($X96="","",INDEX(TARIFF_PROFILES!$J:$J,MATCH($X96,TARIFF_PROFILES!$A:$A,0)))</f>
        <v/>
      </c>
      <c r="AE96" s="13" t="str">
        <f>IF($X96="","",INDEX(TARIFF_PROFILES!$K:$K,MATCH($X96,TARIFF_PROFILES!$A:$A,0)))</f>
        <v/>
      </c>
      <c r="AH96" t="str">
        <f>IF($AG96="","",SUMIFS(OPERATING_COEFFS!$C:$C,OPERATING_COEFFS!$A:$A,"DistanceClass",OPERATING_COEFFS!$B:$B,$AG96))</f>
        <v/>
      </c>
      <c r="AJ96" t="str">
        <f>IF($AI96="","",SUMIFS(OPERATING_COEFFS!$C:$C,OPERATING_COEFFS!$A:$A,"SeasonClass",OPERATING_COEFFS!$B:$B,$AI96))</f>
        <v/>
      </c>
      <c r="AL96" t="str">
        <f>IF($AK96="","",SUMIFS(OPERATING_COEFFS!$C:$C,OPERATING_COEFFS!$A:$A,"UrgencyClass",OPERATING_COEFFS!$B:$B,$AK96))</f>
        <v/>
      </c>
      <c r="AN96" t="str">
        <f>IF($AM96="","",INDEX(TAX_MODES!$B:$B,MATCH($AM96,TAX_MODES!$A:$A,0)))</f>
        <v/>
      </c>
    </row>
    <row r="97" spans="1:40" x14ac:dyDescent="0.3">
      <c r="A97" s="13"/>
      <c r="B97" s="13"/>
      <c r="C97" s="13"/>
      <c r="D97" s="21" t="str">
        <f>IF($C97="","",SUMIFS(SITE_COEFFS!$C:$C,SITE_COEFFS!$A:$A,"SoilWorkability",SITE_COEFFS!$B:$B,$C97))</f>
        <v/>
      </c>
      <c r="E97" s="13"/>
      <c r="F97" s="21" t="str">
        <f>IF($E97="","",SUMIFS(SITE_COEFFS!$C:$C,SITE_COEFFS!$A:$A,"SoilMoisture",SITE_COEFFS!$B:$B,$E97))</f>
        <v/>
      </c>
      <c r="G97" s="13"/>
      <c r="H97" s="21" t="str">
        <f>IF($G97="","",SUMIFS(SITE_COEFFS!$C:$C,SITE_COEFFS!$A:$A,"DebrisLevel",SITE_COEFFS!$B:$B,$G97))</f>
        <v/>
      </c>
      <c r="I97" s="13"/>
      <c r="J97" s="21" t="str">
        <f>IF($I97="","",SUMIFS(SITE_COEFFS!$C:$C,SITE_COEFFS!$A:$A,"SlopeClass",SITE_COEFFS!$B:$B,$I97))</f>
        <v/>
      </c>
      <c r="K97" s="13"/>
      <c r="L97" s="21" t="str">
        <f>IF($K97="","",SUMIFS(SITE_COEFFS!$C:$C,SITE_COEFFS!$A:$A,"SurfaceUnevenness",SITE_COEFFS!$B:$B,$K97))</f>
        <v/>
      </c>
      <c r="M97" s="13"/>
      <c r="N97" s="21" t="str">
        <f>IF($M97="","",SUMIFS(SITE_COEFFS!$C:$C,SITE_COEFFS!$A:$A,"AccessClass",SITE_COEFFS!$B:$B,$M97))</f>
        <v/>
      </c>
      <c r="O97" s="13"/>
      <c r="P97" s="21" t="str">
        <f>IF($O97="","",SUMIFS(SITE_COEFFS!$C:$C,SITE_COEFFS!$A:$A,"TurnSpace",SITE_COEFFS!$B:$B,$O97))</f>
        <v/>
      </c>
      <c r="Q97" s="13"/>
      <c r="R97" s="21" t="str">
        <f>IF($Q97="","",SUMIFS(SITE_COEFFS!$C:$C,SITE_COEFFS!$A:$A,"ProximityToBuildings",SITE_COEFFS!$B:$B,$Q97))</f>
        <v/>
      </c>
      <c r="S97" s="13"/>
      <c r="T97" s="21" t="str">
        <f>IF($S97="","",SUMIFS(SITE_COEFFS!$C:$C,SITE_COEFFS!$A:$A,"MachineryAllowed",SITE_COEFFS!$B:$B,$S97))</f>
        <v/>
      </c>
      <c r="U97" s="13"/>
      <c r="V97" s="13"/>
      <c r="W97" s="21" t="str">
        <f>IF($V97="","",SUMIFS(SITE_COEFFS!$C:$C,SITE_COEFFS!$A:$A,"GeometryComplexity",SITE_COEFFS!$B:$B,$V97))</f>
        <v/>
      </c>
      <c r="X97" s="13"/>
      <c r="Y97" s="13" t="str">
        <f>IF($X97="","",SUMIFS(TARIFF_PROFILES!$D:$D,TARIFF_PROFILES!$A:$A,$X97))</f>
        <v/>
      </c>
      <c r="Z97" s="13" t="str">
        <f>IF($X97="","",SUMIFS(TARIFF_PROFILES!$E:$E,TARIFF_PROFILES!$A:$A,$X97))</f>
        <v/>
      </c>
      <c r="AA97" s="13" t="str">
        <f>IF($X97="","",SUMIFS(TARIFF_PROFILES!$F:$F,TARIFF_PROFILES!$A:$A,$X97))</f>
        <v/>
      </c>
      <c r="AB97" s="13" t="str">
        <f>IF($X97="","",SUMIFS(TARIFF_PROFILES!$G:$G,TARIFF_PROFILES!$A:$A,$X97))</f>
        <v/>
      </c>
      <c r="AC97" s="13" t="str">
        <f>IF($X97="","",SUMIFS(TARIFF_PROFILES!$H:$H,TARIFF_PROFILES!$A:$A,$X97))</f>
        <v/>
      </c>
      <c r="AD97" s="13" t="str">
        <f>IF($X97="","",INDEX(TARIFF_PROFILES!$J:$J,MATCH($X97,TARIFF_PROFILES!$A:$A,0)))</f>
        <v/>
      </c>
      <c r="AE97" s="13" t="str">
        <f>IF($X97="","",INDEX(TARIFF_PROFILES!$K:$K,MATCH($X97,TARIFF_PROFILES!$A:$A,0)))</f>
        <v/>
      </c>
      <c r="AH97" t="str">
        <f>IF($AG97="","",SUMIFS(OPERATING_COEFFS!$C:$C,OPERATING_COEFFS!$A:$A,"DistanceClass",OPERATING_COEFFS!$B:$B,$AG97))</f>
        <v/>
      </c>
      <c r="AJ97" t="str">
        <f>IF($AI97="","",SUMIFS(OPERATING_COEFFS!$C:$C,OPERATING_COEFFS!$A:$A,"SeasonClass",OPERATING_COEFFS!$B:$B,$AI97))</f>
        <v/>
      </c>
      <c r="AL97" t="str">
        <f>IF($AK97="","",SUMIFS(OPERATING_COEFFS!$C:$C,OPERATING_COEFFS!$A:$A,"UrgencyClass",OPERATING_COEFFS!$B:$B,$AK97))</f>
        <v/>
      </c>
      <c r="AN97" t="str">
        <f>IF($AM97="","",INDEX(TAX_MODES!$B:$B,MATCH($AM97,TAX_MODES!$A:$A,0)))</f>
        <v/>
      </c>
    </row>
    <row r="98" spans="1:40" x14ac:dyDescent="0.3">
      <c r="A98" s="13"/>
      <c r="B98" s="13"/>
      <c r="C98" s="13"/>
      <c r="D98" s="21" t="str">
        <f>IF($C98="","",SUMIFS(SITE_COEFFS!$C:$C,SITE_COEFFS!$A:$A,"SoilWorkability",SITE_COEFFS!$B:$B,$C98))</f>
        <v/>
      </c>
      <c r="E98" s="13"/>
      <c r="F98" s="21" t="str">
        <f>IF($E98="","",SUMIFS(SITE_COEFFS!$C:$C,SITE_COEFFS!$A:$A,"SoilMoisture",SITE_COEFFS!$B:$B,$E98))</f>
        <v/>
      </c>
      <c r="G98" s="13"/>
      <c r="H98" s="21" t="str">
        <f>IF($G98="","",SUMIFS(SITE_COEFFS!$C:$C,SITE_COEFFS!$A:$A,"DebrisLevel",SITE_COEFFS!$B:$B,$G98))</f>
        <v/>
      </c>
      <c r="I98" s="13"/>
      <c r="J98" s="21" t="str">
        <f>IF($I98="","",SUMIFS(SITE_COEFFS!$C:$C,SITE_COEFFS!$A:$A,"SlopeClass",SITE_COEFFS!$B:$B,$I98))</f>
        <v/>
      </c>
      <c r="K98" s="13"/>
      <c r="L98" s="21" t="str">
        <f>IF($K98="","",SUMIFS(SITE_COEFFS!$C:$C,SITE_COEFFS!$A:$A,"SurfaceUnevenness",SITE_COEFFS!$B:$B,$K98))</f>
        <v/>
      </c>
      <c r="M98" s="13"/>
      <c r="N98" s="21" t="str">
        <f>IF($M98="","",SUMIFS(SITE_COEFFS!$C:$C,SITE_COEFFS!$A:$A,"AccessClass",SITE_COEFFS!$B:$B,$M98))</f>
        <v/>
      </c>
      <c r="O98" s="13"/>
      <c r="P98" s="21" t="str">
        <f>IF($O98="","",SUMIFS(SITE_COEFFS!$C:$C,SITE_COEFFS!$A:$A,"TurnSpace",SITE_COEFFS!$B:$B,$O98))</f>
        <v/>
      </c>
      <c r="Q98" s="13"/>
      <c r="R98" s="21" t="str">
        <f>IF($Q98="","",SUMIFS(SITE_COEFFS!$C:$C,SITE_COEFFS!$A:$A,"ProximityToBuildings",SITE_COEFFS!$B:$B,$Q98))</f>
        <v/>
      </c>
      <c r="S98" s="13"/>
      <c r="T98" s="21" t="str">
        <f>IF($S98="","",SUMIFS(SITE_COEFFS!$C:$C,SITE_COEFFS!$A:$A,"MachineryAllowed",SITE_COEFFS!$B:$B,$S98))</f>
        <v/>
      </c>
      <c r="U98" s="13"/>
      <c r="V98" s="13"/>
      <c r="W98" s="21" t="str">
        <f>IF($V98="","",SUMIFS(SITE_COEFFS!$C:$C,SITE_COEFFS!$A:$A,"GeometryComplexity",SITE_COEFFS!$B:$B,$V98))</f>
        <v/>
      </c>
      <c r="X98" s="13"/>
      <c r="Y98" s="13" t="str">
        <f>IF($X98="","",SUMIFS(TARIFF_PROFILES!$D:$D,TARIFF_PROFILES!$A:$A,$X98))</f>
        <v/>
      </c>
      <c r="Z98" s="13" t="str">
        <f>IF($X98="","",SUMIFS(TARIFF_PROFILES!$E:$E,TARIFF_PROFILES!$A:$A,$X98))</f>
        <v/>
      </c>
      <c r="AA98" s="13" t="str">
        <f>IF($X98="","",SUMIFS(TARIFF_PROFILES!$F:$F,TARIFF_PROFILES!$A:$A,$X98))</f>
        <v/>
      </c>
      <c r="AB98" s="13" t="str">
        <f>IF($X98="","",SUMIFS(TARIFF_PROFILES!$G:$G,TARIFF_PROFILES!$A:$A,$X98))</f>
        <v/>
      </c>
      <c r="AC98" s="13" t="str">
        <f>IF($X98="","",SUMIFS(TARIFF_PROFILES!$H:$H,TARIFF_PROFILES!$A:$A,$X98))</f>
        <v/>
      </c>
      <c r="AD98" s="13" t="str">
        <f>IF($X98="","",INDEX(TARIFF_PROFILES!$J:$J,MATCH($X98,TARIFF_PROFILES!$A:$A,0)))</f>
        <v/>
      </c>
      <c r="AE98" s="13" t="str">
        <f>IF($X98="","",INDEX(TARIFF_PROFILES!$K:$K,MATCH($X98,TARIFF_PROFILES!$A:$A,0)))</f>
        <v/>
      </c>
      <c r="AH98" t="str">
        <f>IF($AG98="","",SUMIFS(OPERATING_COEFFS!$C:$C,OPERATING_COEFFS!$A:$A,"DistanceClass",OPERATING_COEFFS!$B:$B,$AG98))</f>
        <v/>
      </c>
      <c r="AJ98" t="str">
        <f>IF($AI98="","",SUMIFS(OPERATING_COEFFS!$C:$C,OPERATING_COEFFS!$A:$A,"SeasonClass",OPERATING_COEFFS!$B:$B,$AI98))</f>
        <v/>
      </c>
      <c r="AL98" t="str">
        <f>IF($AK98="","",SUMIFS(OPERATING_COEFFS!$C:$C,OPERATING_COEFFS!$A:$A,"UrgencyClass",OPERATING_COEFFS!$B:$B,$AK98))</f>
        <v/>
      </c>
      <c r="AN98" t="str">
        <f>IF($AM98="","",INDEX(TAX_MODES!$B:$B,MATCH($AM98,TAX_MODES!$A:$A,0)))</f>
        <v/>
      </c>
    </row>
    <row r="99" spans="1:40" x14ac:dyDescent="0.3">
      <c r="A99" s="13"/>
      <c r="B99" s="13"/>
      <c r="C99" s="13"/>
      <c r="D99" s="21" t="str">
        <f>IF($C99="","",SUMIFS(SITE_COEFFS!$C:$C,SITE_COEFFS!$A:$A,"SoilWorkability",SITE_COEFFS!$B:$B,$C99))</f>
        <v/>
      </c>
      <c r="E99" s="13"/>
      <c r="F99" s="21" t="str">
        <f>IF($E99="","",SUMIFS(SITE_COEFFS!$C:$C,SITE_COEFFS!$A:$A,"SoilMoisture",SITE_COEFFS!$B:$B,$E99))</f>
        <v/>
      </c>
      <c r="G99" s="13"/>
      <c r="H99" s="21" t="str">
        <f>IF($G99="","",SUMIFS(SITE_COEFFS!$C:$C,SITE_COEFFS!$A:$A,"DebrisLevel",SITE_COEFFS!$B:$B,$G99))</f>
        <v/>
      </c>
      <c r="I99" s="13"/>
      <c r="J99" s="21" t="str">
        <f>IF($I99="","",SUMIFS(SITE_COEFFS!$C:$C,SITE_COEFFS!$A:$A,"SlopeClass",SITE_COEFFS!$B:$B,$I99))</f>
        <v/>
      </c>
      <c r="K99" s="13"/>
      <c r="L99" s="21" t="str">
        <f>IF($K99="","",SUMIFS(SITE_COEFFS!$C:$C,SITE_COEFFS!$A:$A,"SurfaceUnevenness",SITE_COEFFS!$B:$B,$K99))</f>
        <v/>
      </c>
      <c r="M99" s="13"/>
      <c r="N99" s="21" t="str">
        <f>IF($M99="","",SUMIFS(SITE_COEFFS!$C:$C,SITE_COEFFS!$A:$A,"AccessClass",SITE_COEFFS!$B:$B,$M99))</f>
        <v/>
      </c>
      <c r="O99" s="13"/>
      <c r="P99" s="21" t="str">
        <f>IF($O99="","",SUMIFS(SITE_COEFFS!$C:$C,SITE_COEFFS!$A:$A,"TurnSpace",SITE_COEFFS!$B:$B,$O99))</f>
        <v/>
      </c>
      <c r="Q99" s="13"/>
      <c r="R99" s="21" t="str">
        <f>IF($Q99="","",SUMIFS(SITE_COEFFS!$C:$C,SITE_COEFFS!$A:$A,"ProximityToBuildings",SITE_COEFFS!$B:$B,$Q99))</f>
        <v/>
      </c>
      <c r="S99" s="13"/>
      <c r="T99" s="21" t="str">
        <f>IF($S99="","",SUMIFS(SITE_COEFFS!$C:$C,SITE_COEFFS!$A:$A,"MachineryAllowed",SITE_COEFFS!$B:$B,$S99))</f>
        <v/>
      </c>
      <c r="U99" s="13"/>
      <c r="V99" s="13"/>
      <c r="W99" s="21" t="str">
        <f>IF($V99="","",SUMIFS(SITE_COEFFS!$C:$C,SITE_COEFFS!$A:$A,"GeometryComplexity",SITE_COEFFS!$B:$B,$V99))</f>
        <v/>
      </c>
      <c r="X99" s="13"/>
      <c r="Y99" s="13" t="str">
        <f>IF($X99="","",SUMIFS(TARIFF_PROFILES!$D:$D,TARIFF_PROFILES!$A:$A,$X99))</f>
        <v/>
      </c>
      <c r="Z99" s="13" t="str">
        <f>IF($X99="","",SUMIFS(TARIFF_PROFILES!$E:$E,TARIFF_PROFILES!$A:$A,$X99))</f>
        <v/>
      </c>
      <c r="AA99" s="13" t="str">
        <f>IF($X99="","",SUMIFS(TARIFF_PROFILES!$F:$F,TARIFF_PROFILES!$A:$A,$X99))</f>
        <v/>
      </c>
      <c r="AB99" s="13" t="str">
        <f>IF($X99="","",SUMIFS(TARIFF_PROFILES!$G:$G,TARIFF_PROFILES!$A:$A,$X99))</f>
        <v/>
      </c>
      <c r="AC99" s="13" t="str">
        <f>IF($X99="","",SUMIFS(TARIFF_PROFILES!$H:$H,TARIFF_PROFILES!$A:$A,$X99))</f>
        <v/>
      </c>
      <c r="AD99" s="13" t="str">
        <f>IF($X99="","",INDEX(TARIFF_PROFILES!$J:$J,MATCH($X99,TARIFF_PROFILES!$A:$A,0)))</f>
        <v/>
      </c>
      <c r="AE99" s="13" t="str">
        <f>IF($X99="","",INDEX(TARIFF_PROFILES!$K:$K,MATCH($X99,TARIFF_PROFILES!$A:$A,0)))</f>
        <v/>
      </c>
      <c r="AH99" t="str">
        <f>IF($AG99="","",SUMIFS(OPERATING_COEFFS!$C:$C,OPERATING_COEFFS!$A:$A,"DistanceClass",OPERATING_COEFFS!$B:$B,$AG99))</f>
        <v/>
      </c>
      <c r="AJ99" t="str">
        <f>IF($AI99="","",SUMIFS(OPERATING_COEFFS!$C:$C,OPERATING_COEFFS!$A:$A,"SeasonClass",OPERATING_COEFFS!$B:$B,$AI99))</f>
        <v/>
      </c>
      <c r="AL99" t="str">
        <f>IF($AK99="","",SUMIFS(OPERATING_COEFFS!$C:$C,OPERATING_COEFFS!$A:$A,"UrgencyClass",OPERATING_COEFFS!$B:$B,$AK99))</f>
        <v/>
      </c>
      <c r="AN99" t="str">
        <f>IF($AM99="","",INDEX(TAX_MODES!$B:$B,MATCH($AM99,TAX_MODES!$A:$A,0)))</f>
        <v/>
      </c>
    </row>
    <row r="100" spans="1:40" x14ac:dyDescent="0.3">
      <c r="A100" s="13"/>
      <c r="B100" s="13"/>
      <c r="C100" s="13"/>
      <c r="D100" s="21" t="str">
        <f>IF($C100="","",SUMIFS(SITE_COEFFS!$C:$C,SITE_COEFFS!$A:$A,"SoilWorkability",SITE_COEFFS!$B:$B,$C100))</f>
        <v/>
      </c>
      <c r="E100" s="13"/>
      <c r="F100" s="21" t="str">
        <f>IF($E100="","",SUMIFS(SITE_COEFFS!$C:$C,SITE_COEFFS!$A:$A,"SoilMoisture",SITE_COEFFS!$B:$B,$E100))</f>
        <v/>
      </c>
      <c r="G100" s="13"/>
      <c r="H100" s="21" t="str">
        <f>IF($G100="","",SUMIFS(SITE_COEFFS!$C:$C,SITE_COEFFS!$A:$A,"DebrisLevel",SITE_COEFFS!$B:$B,$G100))</f>
        <v/>
      </c>
      <c r="I100" s="13"/>
      <c r="J100" s="21" t="str">
        <f>IF($I100="","",SUMIFS(SITE_COEFFS!$C:$C,SITE_COEFFS!$A:$A,"SlopeClass",SITE_COEFFS!$B:$B,$I100))</f>
        <v/>
      </c>
      <c r="K100" s="13"/>
      <c r="L100" s="21" t="str">
        <f>IF($K100="","",SUMIFS(SITE_COEFFS!$C:$C,SITE_COEFFS!$A:$A,"SurfaceUnevenness",SITE_COEFFS!$B:$B,$K100))</f>
        <v/>
      </c>
      <c r="M100" s="13"/>
      <c r="N100" s="21" t="str">
        <f>IF($M100="","",SUMIFS(SITE_COEFFS!$C:$C,SITE_COEFFS!$A:$A,"AccessClass",SITE_COEFFS!$B:$B,$M100))</f>
        <v/>
      </c>
      <c r="O100" s="13"/>
      <c r="P100" s="21" t="str">
        <f>IF($O100="","",SUMIFS(SITE_COEFFS!$C:$C,SITE_COEFFS!$A:$A,"TurnSpace",SITE_COEFFS!$B:$B,$O100))</f>
        <v/>
      </c>
      <c r="Q100" s="13"/>
      <c r="R100" s="21" t="str">
        <f>IF($Q100="","",SUMIFS(SITE_COEFFS!$C:$C,SITE_COEFFS!$A:$A,"ProximityToBuildings",SITE_COEFFS!$B:$B,$Q100))</f>
        <v/>
      </c>
      <c r="S100" s="13"/>
      <c r="T100" s="21" t="str">
        <f>IF($S100="","",SUMIFS(SITE_COEFFS!$C:$C,SITE_COEFFS!$A:$A,"MachineryAllowed",SITE_COEFFS!$B:$B,$S100))</f>
        <v/>
      </c>
      <c r="U100" s="13"/>
      <c r="V100" s="13"/>
      <c r="W100" s="21" t="str">
        <f>IF($V100="","",SUMIFS(SITE_COEFFS!$C:$C,SITE_COEFFS!$A:$A,"GeometryComplexity",SITE_COEFFS!$B:$B,$V100))</f>
        <v/>
      </c>
      <c r="X100" s="13"/>
      <c r="Y100" s="13" t="str">
        <f>IF($X100="","",SUMIFS(TARIFF_PROFILES!$D:$D,TARIFF_PROFILES!$A:$A,$X100))</f>
        <v/>
      </c>
      <c r="Z100" s="13" t="str">
        <f>IF($X100="","",SUMIFS(TARIFF_PROFILES!$E:$E,TARIFF_PROFILES!$A:$A,$X100))</f>
        <v/>
      </c>
      <c r="AA100" s="13" t="str">
        <f>IF($X100="","",SUMIFS(TARIFF_PROFILES!$F:$F,TARIFF_PROFILES!$A:$A,$X100))</f>
        <v/>
      </c>
      <c r="AB100" s="13" t="str">
        <f>IF($X100="","",SUMIFS(TARIFF_PROFILES!$G:$G,TARIFF_PROFILES!$A:$A,$X100))</f>
        <v/>
      </c>
      <c r="AC100" s="13" t="str">
        <f>IF($X100="","",SUMIFS(TARIFF_PROFILES!$H:$H,TARIFF_PROFILES!$A:$A,$X100))</f>
        <v/>
      </c>
      <c r="AD100" s="13" t="str">
        <f>IF($X100="","",INDEX(TARIFF_PROFILES!$J:$J,MATCH($X100,TARIFF_PROFILES!$A:$A,0)))</f>
        <v/>
      </c>
      <c r="AE100" s="13" t="str">
        <f>IF($X100="","",INDEX(TARIFF_PROFILES!$K:$K,MATCH($X100,TARIFF_PROFILES!$A:$A,0)))</f>
        <v/>
      </c>
      <c r="AH100" t="str">
        <f>IF($AG100="","",SUMIFS(OPERATING_COEFFS!$C:$C,OPERATING_COEFFS!$A:$A,"DistanceClass",OPERATING_COEFFS!$B:$B,$AG100))</f>
        <v/>
      </c>
      <c r="AJ100" t="str">
        <f>IF($AI100="","",SUMIFS(OPERATING_COEFFS!$C:$C,OPERATING_COEFFS!$A:$A,"SeasonClass",OPERATING_COEFFS!$B:$B,$AI100))</f>
        <v/>
      </c>
      <c r="AL100" t="str">
        <f>IF($AK100="","",SUMIFS(OPERATING_COEFFS!$C:$C,OPERATING_COEFFS!$A:$A,"UrgencyClass",OPERATING_COEFFS!$B:$B,$AK100))</f>
        <v/>
      </c>
      <c r="AN100" t="str">
        <f>IF($AM100="","",INDEX(TAX_MODES!$B:$B,MATCH($AM100,TAX_MODES!$A:$A,0)))</f>
        <v/>
      </c>
    </row>
    <row r="101" spans="1:40" x14ac:dyDescent="0.3">
      <c r="A101" s="13"/>
      <c r="B101" s="13"/>
      <c r="C101" s="13"/>
      <c r="D101" s="21" t="str">
        <f>IF($C101="","",SUMIFS(SITE_COEFFS!$C:$C,SITE_COEFFS!$A:$A,"SoilWorkability",SITE_COEFFS!$B:$B,$C101))</f>
        <v/>
      </c>
      <c r="E101" s="13"/>
      <c r="F101" s="21" t="str">
        <f>IF($E101="","",SUMIFS(SITE_COEFFS!$C:$C,SITE_COEFFS!$A:$A,"SoilMoisture",SITE_COEFFS!$B:$B,$E101))</f>
        <v/>
      </c>
      <c r="G101" s="13"/>
      <c r="H101" s="21" t="str">
        <f>IF($G101="","",SUMIFS(SITE_COEFFS!$C:$C,SITE_COEFFS!$A:$A,"DebrisLevel",SITE_COEFFS!$B:$B,$G101))</f>
        <v/>
      </c>
      <c r="I101" s="13"/>
      <c r="J101" s="21" t="str">
        <f>IF($I101="","",SUMIFS(SITE_COEFFS!$C:$C,SITE_COEFFS!$A:$A,"SlopeClass",SITE_COEFFS!$B:$B,$I101))</f>
        <v/>
      </c>
      <c r="K101" s="13"/>
      <c r="L101" s="21" t="str">
        <f>IF($K101="","",SUMIFS(SITE_COEFFS!$C:$C,SITE_COEFFS!$A:$A,"SurfaceUnevenness",SITE_COEFFS!$B:$B,$K101))</f>
        <v/>
      </c>
      <c r="M101" s="13"/>
      <c r="N101" s="21" t="str">
        <f>IF($M101="","",SUMIFS(SITE_COEFFS!$C:$C,SITE_COEFFS!$A:$A,"AccessClass",SITE_COEFFS!$B:$B,$M101))</f>
        <v/>
      </c>
      <c r="O101" s="13"/>
      <c r="P101" s="21" t="str">
        <f>IF($O101="","",SUMIFS(SITE_COEFFS!$C:$C,SITE_COEFFS!$A:$A,"TurnSpace",SITE_COEFFS!$B:$B,$O101))</f>
        <v/>
      </c>
      <c r="Q101" s="13"/>
      <c r="R101" s="21" t="str">
        <f>IF($Q101="","",SUMIFS(SITE_COEFFS!$C:$C,SITE_COEFFS!$A:$A,"ProximityToBuildings",SITE_COEFFS!$B:$B,$Q101))</f>
        <v/>
      </c>
      <c r="S101" s="13"/>
      <c r="T101" s="21" t="str">
        <f>IF($S101="","",SUMIFS(SITE_COEFFS!$C:$C,SITE_COEFFS!$A:$A,"MachineryAllowed",SITE_COEFFS!$B:$B,$S101))</f>
        <v/>
      </c>
      <c r="U101" s="13"/>
      <c r="V101" s="13"/>
      <c r="W101" s="21" t="str">
        <f>IF($V101="","",SUMIFS(SITE_COEFFS!$C:$C,SITE_COEFFS!$A:$A,"GeometryComplexity",SITE_COEFFS!$B:$B,$V101))</f>
        <v/>
      </c>
      <c r="X101" s="13"/>
      <c r="Y101" s="13" t="str">
        <f>IF($X101="","",SUMIFS(TARIFF_PROFILES!$D:$D,TARIFF_PROFILES!$A:$A,$X101))</f>
        <v/>
      </c>
      <c r="Z101" s="13" t="str">
        <f>IF($X101="","",SUMIFS(TARIFF_PROFILES!$E:$E,TARIFF_PROFILES!$A:$A,$X101))</f>
        <v/>
      </c>
      <c r="AA101" s="13" t="str">
        <f>IF($X101="","",SUMIFS(TARIFF_PROFILES!$F:$F,TARIFF_PROFILES!$A:$A,$X101))</f>
        <v/>
      </c>
      <c r="AB101" s="13" t="str">
        <f>IF($X101="","",SUMIFS(TARIFF_PROFILES!$G:$G,TARIFF_PROFILES!$A:$A,$X101))</f>
        <v/>
      </c>
      <c r="AC101" s="13" t="str">
        <f>IF($X101="","",SUMIFS(TARIFF_PROFILES!$H:$H,TARIFF_PROFILES!$A:$A,$X101))</f>
        <v/>
      </c>
      <c r="AD101" s="13" t="str">
        <f>IF($X101="","",INDEX(TARIFF_PROFILES!$J:$J,MATCH($X101,TARIFF_PROFILES!$A:$A,0)))</f>
        <v/>
      </c>
      <c r="AE101" s="13" t="str">
        <f>IF($X101="","",INDEX(TARIFF_PROFILES!$K:$K,MATCH($X101,TARIFF_PROFILES!$A:$A,0)))</f>
        <v/>
      </c>
      <c r="AH101" t="str">
        <f>IF($AG101="","",SUMIFS(OPERATING_COEFFS!$C:$C,OPERATING_COEFFS!$A:$A,"DistanceClass",OPERATING_COEFFS!$B:$B,$AG101))</f>
        <v/>
      </c>
      <c r="AJ101" t="str">
        <f>IF($AI101="","",SUMIFS(OPERATING_COEFFS!$C:$C,OPERATING_COEFFS!$A:$A,"SeasonClass",OPERATING_COEFFS!$B:$B,$AI101))</f>
        <v/>
      </c>
      <c r="AL101" t="str">
        <f>IF($AK101="","",SUMIFS(OPERATING_COEFFS!$C:$C,OPERATING_COEFFS!$A:$A,"UrgencyClass",OPERATING_COEFFS!$B:$B,$AK101))</f>
        <v/>
      </c>
      <c r="AN101" t="str">
        <f>IF($AM101="","",INDEX(TAX_MODES!$B:$B,MATCH($AM101,TAX_MODES!$A:$A,0)))</f>
        <v/>
      </c>
    </row>
    <row r="102" spans="1:40" x14ac:dyDescent="0.3">
      <c r="A102" s="13"/>
      <c r="B102" s="13"/>
      <c r="C102" s="13"/>
      <c r="D102" s="21" t="str">
        <f>IF($C102="","",SUMIFS(SITE_COEFFS!$C:$C,SITE_COEFFS!$A:$A,"SoilWorkability",SITE_COEFFS!$B:$B,$C102))</f>
        <v/>
      </c>
      <c r="E102" s="13"/>
      <c r="F102" s="21" t="str">
        <f>IF($E102="","",SUMIFS(SITE_COEFFS!$C:$C,SITE_COEFFS!$A:$A,"SoilMoisture",SITE_COEFFS!$B:$B,$E102))</f>
        <v/>
      </c>
      <c r="G102" s="13"/>
      <c r="H102" s="21" t="str">
        <f>IF($G102="","",SUMIFS(SITE_COEFFS!$C:$C,SITE_COEFFS!$A:$A,"DebrisLevel",SITE_COEFFS!$B:$B,$G102))</f>
        <v/>
      </c>
      <c r="I102" s="13"/>
      <c r="J102" s="21" t="str">
        <f>IF($I102="","",SUMIFS(SITE_COEFFS!$C:$C,SITE_COEFFS!$A:$A,"SlopeClass",SITE_COEFFS!$B:$B,$I102))</f>
        <v/>
      </c>
      <c r="K102" s="13"/>
      <c r="L102" s="21" t="str">
        <f>IF($K102="","",SUMIFS(SITE_COEFFS!$C:$C,SITE_COEFFS!$A:$A,"SurfaceUnevenness",SITE_COEFFS!$B:$B,$K102))</f>
        <v/>
      </c>
      <c r="M102" s="13"/>
      <c r="N102" s="21" t="str">
        <f>IF($M102="","",SUMIFS(SITE_COEFFS!$C:$C,SITE_COEFFS!$A:$A,"AccessClass",SITE_COEFFS!$B:$B,$M102))</f>
        <v/>
      </c>
      <c r="O102" s="13"/>
      <c r="P102" s="21" t="str">
        <f>IF($O102="","",SUMIFS(SITE_COEFFS!$C:$C,SITE_COEFFS!$A:$A,"TurnSpace",SITE_COEFFS!$B:$B,$O102))</f>
        <v/>
      </c>
      <c r="Q102" s="13"/>
      <c r="R102" s="21" t="str">
        <f>IF($Q102="","",SUMIFS(SITE_COEFFS!$C:$C,SITE_COEFFS!$A:$A,"ProximityToBuildings",SITE_COEFFS!$B:$B,$Q102))</f>
        <v/>
      </c>
      <c r="S102" s="13"/>
      <c r="T102" s="21" t="str">
        <f>IF($S102="","",SUMIFS(SITE_COEFFS!$C:$C,SITE_COEFFS!$A:$A,"MachineryAllowed",SITE_COEFFS!$B:$B,$S102))</f>
        <v/>
      </c>
      <c r="U102" s="13"/>
      <c r="V102" s="13"/>
      <c r="W102" s="21" t="str">
        <f>IF($V102="","",SUMIFS(SITE_COEFFS!$C:$C,SITE_COEFFS!$A:$A,"GeometryComplexity",SITE_COEFFS!$B:$B,$V102))</f>
        <v/>
      </c>
      <c r="X102" s="13"/>
      <c r="Y102" s="13" t="str">
        <f>IF($X102="","",SUMIFS(TARIFF_PROFILES!$D:$D,TARIFF_PROFILES!$A:$A,$X102))</f>
        <v/>
      </c>
      <c r="Z102" s="13" t="str">
        <f>IF($X102="","",SUMIFS(TARIFF_PROFILES!$E:$E,TARIFF_PROFILES!$A:$A,$X102))</f>
        <v/>
      </c>
      <c r="AA102" s="13" t="str">
        <f>IF($X102="","",SUMIFS(TARIFF_PROFILES!$F:$F,TARIFF_PROFILES!$A:$A,$X102))</f>
        <v/>
      </c>
      <c r="AB102" s="13" t="str">
        <f>IF($X102="","",SUMIFS(TARIFF_PROFILES!$G:$G,TARIFF_PROFILES!$A:$A,$X102))</f>
        <v/>
      </c>
      <c r="AC102" s="13" t="str">
        <f>IF($X102="","",SUMIFS(TARIFF_PROFILES!$H:$H,TARIFF_PROFILES!$A:$A,$X102))</f>
        <v/>
      </c>
      <c r="AD102" s="13" t="str">
        <f>IF($X102="","",INDEX(TARIFF_PROFILES!$J:$J,MATCH($X102,TARIFF_PROFILES!$A:$A,0)))</f>
        <v/>
      </c>
      <c r="AE102" s="13" t="str">
        <f>IF($X102="","",INDEX(TARIFF_PROFILES!$K:$K,MATCH($X102,TARIFF_PROFILES!$A:$A,0)))</f>
        <v/>
      </c>
      <c r="AH102" t="str">
        <f>IF($AG102="","",SUMIFS(OPERATING_COEFFS!$C:$C,OPERATING_COEFFS!$A:$A,"DistanceClass",OPERATING_COEFFS!$B:$B,$AG102))</f>
        <v/>
      </c>
      <c r="AJ102" t="str">
        <f>IF($AI102="","",SUMIFS(OPERATING_COEFFS!$C:$C,OPERATING_COEFFS!$A:$A,"SeasonClass",OPERATING_COEFFS!$B:$B,$AI102))</f>
        <v/>
      </c>
      <c r="AL102" t="str">
        <f>IF($AK102="","",SUMIFS(OPERATING_COEFFS!$C:$C,OPERATING_COEFFS!$A:$A,"UrgencyClass",OPERATING_COEFFS!$B:$B,$AK102))</f>
        <v/>
      </c>
      <c r="AN102" t="str">
        <f>IF($AM102="","",INDEX(TAX_MODES!$B:$B,MATCH($AM102,TAX_MODES!$A:$A,0)))</f>
        <v/>
      </c>
    </row>
    <row r="103" spans="1:40" x14ac:dyDescent="0.3">
      <c r="A103" s="13"/>
      <c r="B103" s="13"/>
      <c r="C103" s="13"/>
      <c r="D103" s="21" t="str">
        <f>IF($C103="","",SUMIFS(SITE_COEFFS!$C:$C,SITE_COEFFS!$A:$A,"SoilWorkability",SITE_COEFFS!$B:$B,$C103))</f>
        <v/>
      </c>
      <c r="E103" s="13"/>
      <c r="F103" s="21" t="str">
        <f>IF($E103="","",SUMIFS(SITE_COEFFS!$C:$C,SITE_COEFFS!$A:$A,"SoilMoisture",SITE_COEFFS!$B:$B,$E103))</f>
        <v/>
      </c>
      <c r="G103" s="13"/>
      <c r="H103" s="21" t="str">
        <f>IF($G103="","",SUMIFS(SITE_COEFFS!$C:$C,SITE_COEFFS!$A:$A,"DebrisLevel",SITE_COEFFS!$B:$B,$G103))</f>
        <v/>
      </c>
      <c r="I103" s="13"/>
      <c r="J103" s="21" t="str">
        <f>IF($I103="","",SUMIFS(SITE_COEFFS!$C:$C,SITE_COEFFS!$A:$A,"SlopeClass",SITE_COEFFS!$B:$B,$I103))</f>
        <v/>
      </c>
      <c r="K103" s="13"/>
      <c r="L103" s="21" t="str">
        <f>IF($K103="","",SUMIFS(SITE_COEFFS!$C:$C,SITE_COEFFS!$A:$A,"SurfaceUnevenness",SITE_COEFFS!$B:$B,$K103))</f>
        <v/>
      </c>
      <c r="M103" s="13"/>
      <c r="N103" s="21" t="str">
        <f>IF($M103="","",SUMIFS(SITE_COEFFS!$C:$C,SITE_COEFFS!$A:$A,"AccessClass",SITE_COEFFS!$B:$B,$M103))</f>
        <v/>
      </c>
      <c r="O103" s="13"/>
      <c r="P103" s="21" t="str">
        <f>IF($O103="","",SUMIFS(SITE_COEFFS!$C:$C,SITE_COEFFS!$A:$A,"TurnSpace",SITE_COEFFS!$B:$B,$O103))</f>
        <v/>
      </c>
      <c r="Q103" s="13"/>
      <c r="R103" s="21" t="str">
        <f>IF($Q103="","",SUMIFS(SITE_COEFFS!$C:$C,SITE_COEFFS!$A:$A,"ProximityToBuildings",SITE_COEFFS!$B:$B,$Q103))</f>
        <v/>
      </c>
      <c r="S103" s="13"/>
      <c r="T103" s="21" t="str">
        <f>IF($S103="","",SUMIFS(SITE_COEFFS!$C:$C,SITE_COEFFS!$A:$A,"MachineryAllowed",SITE_COEFFS!$B:$B,$S103))</f>
        <v/>
      </c>
      <c r="U103" s="13"/>
      <c r="V103" s="13"/>
      <c r="W103" s="21" t="str">
        <f>IF($V103="","",SUMIFS(SITE_COEFFS!$C:$C,SITE_COEFFS!$A:$A,"GeometryComplexity",SITE_COEFFS!$B:$B,$V103))</f>
        <v/>
      </c>
      <c r="X103" s="13"/>
      <c r="Y103" s="13" t="str">
        <f>IF($X103="","",SUMIFS(TARIFF_PROFILES!$D:$D,TARIFF_PROFILES!$A:$A,$X103))</f>
        <v/>
      </c>
      <c r="Z103" s="13" t="str">
        <f>IF($X103="","",SUMIFS(TARIFF_PROFILES!$E:$E,TARIFF_PROFILES!$A:$A,$X103))</f>
        <v/>
      </c>
      <c r="AA103" s="13" t="str">
        <f>IF($X103="","",SUMIFS(TARIFF_PROFILES!$F:$F,TARIFF_PROFILES!$A:$A,$X103))</f>
        <v/>
      </c>
      <c r="AB103" s="13" t="str">
        <f>IF($X103="","",SUMIFS(TARIFF_PROFILES!$G:$G,TARIFF_PROFILES!$A:$A,$X103))</f>
        <v/>
      </c>
      <c r="AC103" s="13" t="str">
        <f>IF($X103="","",SUMIFS(TARIFF_PROFILES!$H:$H,TARIFF_PROFILES!$A:$A,$X103))</f>
        <v/>
      </c>
      <c r="AD103" s="13" t="str">
        <f>IF($X103="","",INDEX(TARIFF_PROFILES!$J:$J,MATCH($X103,TARIFF_PROFILES!$A:$A,0)))</f>
        <v/>
      </c>
      <c r="AE103" s="13" t="str">
        <f>IF($X103="","",INDEX(TARIFF_PROFILES!$K:$K,MATCH($X103,TARIFF_PROFILES!$A:$A,0)))</f>
        <v/>
      </c>
      <c r="AH103" t="str">
        <f>IF($AG103="","",SUMIFS(OPERATING_COEFFS!$C:$C,OPERATING_COEFFS!$A:$A,"DistanceClass",OPERATING_COEFFS!$B:$B,$AG103))</f>
        <v/>
      </c>
      <c r="AJ103" t="str">
        <f>IF($AI103="","",SUMIFS(OPERATING_COEFFS!$C:$C,OPERATING_COEFFS!$A:$A,"SeasonClass",OPERATING_COEFFS!$B:$B,$AI103))</f>
        <v/>
      </c>
      <c r="AL103" t="str">
        <f>IF($AK103="","",SUMIFS(OPERATING_COEFFS!$C:$C,OPERATING_COEFFS!$A:$A,"UrgencyClass",OPERATING_COEFFS!$B:$B,$AK103))</f>
        <v/>
      </c>
      <c r="AN103" t="str">
        <f>IF($AM103="","",INDEX(TAX_MODES!$B:$B,MATCH($AM103,TAX_MODES!$A:$A,0)))</f>
        <v/>
      </c>
    </row>
    <row r="104" spans="1:40" x14ac:dyDescent="0.3">
      <c r="A104" s="13"/>
      <c r="B104" s="13"/>
      <c r="C104" s="13"/>
      <c r="D104" s="21" t="str">
        <f>IF($C104="","",SUMIFS(SITE_COEFFS!$C:$C,SITE_COEFFS!$A:$A,"SoilWorkability",SITE_COEFFS!$B:$B,$C104))</f>
        <v/>
      </c>
      <c r="E104" s="13"/>
      <c r="F104" s="21" t="str">
        <f>IF($E104="","",SUMIFS(SITE_COEFFS!$C:$C,SITE_COEFFS!$A:$A,"SoilMoisture",SITE_COEFFS!$B:$B,$E104))</f>
        <v/>
      </c>
      <c r="G104" s="13"/>
      <c r="H104" s="21" t="str">
        <f>IF($G104="","",SUMIFS(SITE_COEFFS!$C:$C,SITE_COEFFS!$A:$A,"DebrisLevel",SITE_COEFFS!$B:$B,$G104))</f>
        <v/>
      </c>
      <c r="I104" s="13"/>
      <c r="J104" s="21" t="str">
        <f>IF($I104="","",SUMIFS(SITE_COEFFS!$C:$C,SITE_COEFFS!$A:$A,"SlopeClass",SITE_COEFFS!$B:$B,$I104))</f>
        <v/>
      </c>
      <c r="K104" s="13"/>
      <c r="L104" s="21" t="str">
        <f>IF($K104="","",SUMIFS(SITE_COEFFS!$C:$C,SITE_COEFFS!$A:$A,"SurfaceUnevenness",SITE_COEFFS!$B:$B,$K104))</f>
        <v/>
      </c>
      <c r="M104" s="13"/>
      <c r="N104" s="21" t="str">
        <f>IF($M104="","",SUMIFS(SITE_COEFFS!$C:$C,SITE_COEFFS!$A:$A,"AccessClass",SITE_COEFFS!$B:$B,$M104))</f>
        <v/>
      </c>
      <c r="O104" s="13"/>
      <c r="P104" s="21" t="str">
        <f>IF($O104="","",SUMIFS(SITE_COEFFS!$C:$C,SITE_COEFFS!$A:$A,"TurnSpace",SITE_COEFFS!$B:$B,$O104))</f>
        <v/>
      </c>
      <c r="Q104" s="13"/>
      <c r="R104" s="21" t="str">
        <f>IF($Q104="","",SUMIFS(SITE_COEFFS!$C:$C,SITE_COEFFS!$A:$A,"ProximityToBuildings",SITE_COEFFS!$B:$B,$Q104))</f>
        <v/>
      </c>
      <c r="S104" s="13"/>
      <c r="T104" s="21" t="str">
        <f>IF($S104="","",SUMIFS(SITE_COEFFS!$C:$C,SITE_COEFFS!$A:$A,"MachineryAllowed",SITE_COEFFS!$B:$B,$S104))</f>
        <v/>
      </c>
      <c r="U104" s="13"/>
      <c r="V104" s="13"/>
      <c r="W104" s="21" t="str">
        <f>IF($V104="","",SUMIFS(SITE_COEFFS!$C:$C,SITE_COEFFS!$A:$A,"GeometryComplexity",SITE_COEFFS!$B:$B,$V104))</f>
        <v/>
      </c>
      <c r="X104" s="13"/>
      <c r="Y104" s="13" t="str">
        <f>IF($X104="","",SUMIFS(TARIFF_PROFILES!$D:$D,TARIFF_PROFILES!$A:$A,$X104))</f>
        <v/>
      </c>
      <c r="Z104" s="13" t="str">
        <f>IF($X104="","",SUMIFS(TARIFF_PROFILES!$E:$E,TARIFF_PROFILES!$A:$A,$X104))</f>
        <v/>
      </c>
      <c r="AA104" s="13" t="str">
        <f>IF($X104="","",SUMIFS(TARIFF_PROFILES!$F:$F,TARIFF_PROFILES!$A:$A,$X104))</f>
        <v/>
      </c>
      <c r="AB104" s="13" t="str">
        <f>IF($X104="","",SUMIFS(TARIFF_PROFILES!$G:$G,TARIFF_PROFILES!$A:$A,$X104))</f>
        <v/>
      </c>
      <c r="AC104" s="13" t="str">
        <f>IF($X104="","",SUMIFS(TARIFF_PROFILES!$H:$H,TARIFF_PROFILES!$A:$A,$X104))</f>
        <v/>
      </c>
      <c r="AD104" s="13" t="str">
        <f>IF($X104="","",INDEX(TARIFF_PROFILES!$J:$J,MATCH($X104,TARIFF_PROFILES!$A:$A,0)))</f>
        <v/>
      </c>
      <c r="AE104" s="13" t="str">
        <f>IF($X104="","",INDEX(TARIFF_PROFILES!$K:$K,MATCH($X104,TARIFF_PROFILES!$A:$A,0)))</f>
        <v/>
      </c>
      <c r="AH104" t="str">
        <f>IF($AG104="","",SUMIFS(OPERATING_COEFFS!$C:$C,OPERATING_COEFFS!$A:$A,"DistanceClass",OPERATING_COEFFS!$B:$B,$AG104))</f>
        <v/>
      </c>
      <c r="AJ104" t="str">
        <f>IF($AI104="","",SUMIFS(OPERATING_COEFFS!$C:$C,OPERATING_COEFFS!$A:$A,"SeasonClass",OPERATING_COEFFS!$B:$B,$AI104))</f>
        <v/>
      </c>
      <c r="AL104" t="str">
        <f>IF($AK104="","",SUMIFS(OPERATING_COEFFS!$C:$C,OPERATING_COEFFS!$A:$A,"UrgencyClass",OPERATING_COEFFS!$B:$B,$AK104))</f>
        <v/>
      </c>
      <c r="AN104" t="str">
        <f>IF($AM104="","",INDEX(TAX_MODES!$B:$B,MATCH($AM104,TAX_MODES!$A:$A,0)))</f>
        <v/>
      </c>
    </row>
    <row r="105" spans="1:40" x14ac:dyDescent="0.3">
      <c r="A105" s="13"/>
      <c r="B105" s="13"/>
      <c r="C105" s="13"/>
      <c r="D105" s="21" t="str">
        <f>IF($C105="","",SUMIFS(SITE_COEFFS!$C:$C,SITE_COEFFS!$A:$A,"SoilWorkability",SITE_COEFFS!$B:$B,$C105))</f>
        <v/>
      </c>
      <c r="E105" s="13"/>
      <c r="F105" s="21" t="str">
        <f>IF($E105="","",SUMIFS(SITE_COEFFS!$C:$C,SITE_COEFFS!$A:$A,"SoilMoisture",SITE_COEFFS!$B:$B,$E105))</f>
        <v/>
      </c>
      <c r="G105" s="13"/>
      <c r="H105" s="21" t="str">
        <f>IF($G105="","",SUMIFS(SITE_COEFFS!$C:$C,SITE_COEFFS!$A:$A,"DebrisLevel",SITE_COEFFS!$B:$B,$G105))</f>
        <v/>
      </c>
      <c r="I105" s="13"/>
      <c r="J105" s="21" t="str">
        <f>IF($I105="","",SUMIFS(SITE_COEFFS!$C:$C,SITE_COEFFS!$A:$A,"SlopeClass",SITE_COEFFS!$B:$B,$I105))</f>
        <v/>
      </c>
      <c r="K105" s="13"/>
      <c r="L105" s="21" t="str">
        <f>IF($K105="","",SUMIFS(SITE_COEFFS!$C:$C,SITE_COEFFS!$A:$A,"SurfaceUnevenness",SITE_COEFFS!$B:$B,$K105))</f>
        <v/>
      </c>
      <c r="M105" s="13"/>
      <c r="N105" s="21" t="str">
        <f>IF($M105="","",SUMIFS(SITE_COEFFS!$C:$C,SITE_COEFFS!$A:$A,"AccessClass",SITE_COEFFS!$B:$B,$M105))</f>
        <v/>
      </c>
      <c r="O105" s="13"/>
      <c r="P105" s="21" t="str">
        <f>IF($O105="","",SUMIFS(SITE_COEFFS!$C:$C,SITE_COEFFS!$A:$A,"TurnSpace",SITE_COEFFS!$B:$B,$O105))</f>
        <v/>
      </c>
      <c r="Q105" s="13"/>
      <c r="R105" s="21" t="str">
        <f>IF($Q105="","",SUMIFS(SITE_COEFFS!$C:$C,SITE_COEFFS!$A:$A,"ProximityToBuildings",SITE_COEFFS!$B:$B,$Q105))</f>
        <v/>
      </c>
      <c r="S105" s="13"/>
      <c r="T105" s="21" t="str">
        <f>IF($S105="","",SUMIFS(SITE_COEFFS!$C:$C,SITE_COEFFS!$A:$A,"MachineryAllowed",SITE_COEFFS!$B:$B,$S105))</f>
        <v/>
      </c>
      <c r="U105" s="13"/>
      <c r="V105" s="13"/>
      <c r="W105" s="21" t="str">
        <f>IF($V105="","",SUMIFS(SITE_COEFFS!$C:$C,SITE_COEFFS!$A:$A,"GeometryComplexity",SITE_COEFFS!$B:$B,$V105))</f>
        <v/>
      </c>
      <c r="X105" s="13"/>
      <c r="Y105" s="13" t="str">
        <f>IF($X105="","",SUMIFS(TARIFF_PROFILES!$D:$D,TARIFF_PROFILES!$A:$A,$X105))</f>
        <v/>
      </c>
      <c r="Z105" s="13" t="str">
        <f>IF($X105="","",SUMIFS(TARIFF_PROFILES!$E:$E,TARIFF_PROFILES!$A:$A,$X105))</f>
        <v/>
      </c>
      <c r="AA105" s="13" t="str">
        <f>IF($X105="","",SUMIFS(TARIFF_PROFILES!$F:$F,TARIFF_PROFILES!$A:$A,$X105))</f>
        <v/>
      </c>
      <c r="AB105" s="13" t="str">
        <f>IF($X105="","",SUMIFS(TARIFF_PROFILES!$G:$G,TARIFF_PROFILES!$A:$A,$X105))</f>
        <v/>
      </c>
      <c r="AC105" s="13" t="str">
        <f>IF($X105="","",SUMIFS(TARIFF_PROFILES!$H:$H,TARIFF_PROFILES!$A:$A,$X105))</f>
        <v/>
      </c>
      <c r="AD105" s="13" t="str">
        <f>IF($X105="","",INDEX(TARIFF_PROFILES!$J:$J,MATCH($X105,TARIFF_PROFILES!$A:$A,0)))</f>
        <v/>
      </c>
      <c r="AE105" s="13" t="str">
        <f>IF($X105="","",INDEX(TARIFF_PROFILES!$K:$K,MATCH($X105,TARIFF_PROFILES!$A:$A,0)))</f>
        <v/>
      </c>
      <c r="AH105" t="str">
        <f>IF($AG105="","",SUMIFS(OPERATING_COEFFS!$C:$C,OPERATING_COEFFS!$A:$A,"DistanceClass",OPERATING_COEFFS!$B:$B,$AG105))</f>
        <v/>
      </c>
      <c r="AJ105" t="str">
        <f>IF($AI105="","",SUMIFS(OPERATING_COEFFS!$C:$C,OPERATING_COEFFS!$A:$A,"SeasonClass",OPERATING_COEFFS!$B:$B,$AI105))</f>
        <v/>
      </c>
      <c r="AL105" t="str">
        <f>IF($AK105="","",SUMIFS(OPERATING_COEFFS!$C:$C,OPERATING_COEFFS!$A:$A,"UrgencyClass",OPERATING_COEFFS!$B:$B,$AK105))</f>
        <v/>
      </c>
      <c r="AN105" t="str">
        <f>IF($AM105="","",INDEX(TAX_MODES!$B:$B,MATCH($AM105,TAX_MODES!$A:$A,0)))</f>
        <v/>
      </c>
    </row>
    <row r="106" spans="1:40" x14ac:dyDescent="0.3">
      <c r="A106" s="13"/>
      <c r="B106" s="13"/>
      <c r="C106" s="13"/>
      <c r="D106" s="21" t="str">
        <f>IF($C106="","",SUMIFS(SITE_COEFFS!$C:$C,SITE_COEFFS!$A:$A,"SoilWorkability",SITE_COEFFS!$B:$B,$C106))</f>
        <v/>
      </c>
      <c r="E106" s="13"/>
      <c r="F106" s="21" t="str">
        <f>IF($E106="","",SUMIFS(SITE_COEFFS!$C:$C,SITE_COEFFS!$A:$A,"SoilMoisture",SITE_COEFFS!$B:$B,$E106))</f>
        <v/>
      </c>
      <c r="G106" s="13"/>
      <c r="H106" s="21" t="str">
        <f>IF($G106="","",SUMIFS(SITE_COEFFS!$C:$C,SITE_COEFFS!$A:$A,"DebrisLevel",SITE_COEFFS!$B:$B,$G106))</f>
        <v/>
      </c>
      <c r="I106" s="13"/>
      <c r="J106" s="21" t="str">
        <f>IF($I106="","",SUMIFS(SITE_COEFFS!$C:$C,SITE_COEFFS!$A:$A,"SlopeClass",SITE_COEFFS!$B:$B,$I106))</f>
        <v/>
      </c>
      <c r="K106" s="13"/>
      <c r="L106" s="21" t="str">
        <f>IF($K106="","",SUMIFS(SITE_COEFFS!$C:$C,SITE_COEFFS!$A:$A,"SurfaceUnevenness",SITE_COEFFS!$B:$B,$K106))</f>
        <v/>
      </c>
      <c r="M106" s="13"/>
      <c r="N106" s="21" t="str">
        <f>IF($M106="","",SUMIFS(SITE_COEFFS!$C:$C,SITE_COEFFS!$A:$A,"AccessClass",SITE_COEFFS!$B:$B,$M106))</f>
        <v/>
      </c>
      <c r="O106" s="13"/>
      <c r="P106" s="21" t="str">
        <f>IF($O106="","",SUMIFS(SITE_COEFFS!$C:$C,SITE_COEFFS!$A:$A,"TurnSpace",SITE_COEFFS!$B:$B,$O106))</f>
        <v/>
      </c>
      <c r="Q106" s="13"/>
      <c r="R106" s="21" t="str">
        <f>IF($Q106="","",SUMIFS(SITE_COEFFS!$C:$C,SITE_COEFFS!$A:$A,"ProximityToBuildings",SITE_COEFFS!$B:$B,$Q106))</f>
        <v/>
      </c>
      <c r="S106" s="13"/>
      <c r="T106" s="21" t="str">
        <f>IF($S106="","",SUMIFS(SITE_COEFFS!$C:$C,SITE_COEFFS!$A:$A,"MachineryAllowed",SITE_COEFFS!$B:$B,$S106))</f>
        <v/>
      </c>
      <c r="U106" s="13"/>
      <c r="V106" s="13"/>
      <c r="W106" s="21" t="str">
        <f>IF($V106="","",SUMIFS(SITE_COEFFS!$C:$C,SITE_COEFFS!$A:$A,"GeometryComplexity",SITE_COEFFS!$B:$B,$V106))</f>
        <v/>
      </c>
      <c r="X106" s="13"/>
      <c r="Y106" s="13" t="str">
        <f>IF($X106="","",SUMIFS(TARIFF_PROFILES!$D:$D,TARIFF_PROFILES!$A:$A,$X106))</f>
        <v/>
      </c>
      <c r="Z106" s="13" t="str">
        <f>IF($X106="","",SUMIFS(TARIFF_PROFILES!$E:$E,TARIFF_PROFILES!$A:$A,$X106))</f>
        <v/>
      </c>
      <c r="AA106" s="13" t="str">
        <f>IF($X106="","",SUMIFS(TARIFF_PROFILES!$F:$F,TARIFF_PROFILES!$A:$A,$X106))</f>
        <v/>
      </c>
      <c r="AB106" s="13" t="str">
        <f>IF($X106="","",SUMIFS(TARIFF_PROFILES!$G:$G,TARIFF_PROFILES!$A:$A,$X106))</f>
        <v/>
      </c>
      <c r="AC106" s="13" t="str">
        <f>IF($X106="","",SUMIFS(TARIFF_PROFILES!$H:$H,TARIFF_PROFILES!$A:$A,$X106))</f>
        <v/>
      </c>
      <c r="AD106" s="13" t="str">
        <f>IF($X106="","",INDEX(TARIFF_PROFILES!$J:$J,MATCH($X106,TARIFF_PROFILES!$A:$A,0)))</f>
        <v/>
      </c>
      <c r="AE106" s="13" t="str">
        <f>IF($X106="","",INDEX(TARIFF_PROFILES!$K:$K,MATCH($X106,TARIFF_PROFILES!$A:$A,0)))</f>
        <v/>
      </c>
      <c r="AH106" t="str">
        <f>IF($AG106="","",SUMIFS(OPERATING_COEFFS!$C:$C,OPERATING_COEFFS!$A:$A,"DistanceClass",OPERATING_COEFFS!$B:$B,$AG106))</f>
        <v/>
      </c>
      <c r="AJ106" t="str">
        <f>IF($AI106="","",SUMIFS(OPERATING_COEFFS!$C:$C,OPERATING_COEFFS!$A:$A,"SeasonClass",OPERATING_COEFFS!$B:$B,$AI106))</f>
        <v/>
      </c>
      <c r="AL106" t="str">
        <f>IF($AK106="","",SUMIFS(OPERATING_COEFFS!$C:$C,OPERATING_COEFFS!$A:$A,"UrgencyClass",OPERATING_COEFFS!$B:$B,$AK106))</f>
        <v/>
      </c>
      <c r="AN106" t="str">
        <f>IF($AM106="","",INDEX(TAX_MODES!$B:$B,MATCH($AM106,TAX_MODES!$A:$A,0)))</f>
        <v/>
      </c>
    </row>
    <row r="107" spans="1:40" x14ac:dyDescent="0.3">
      <c r="A107" s="13"/>
      <c r="B107" s="13"/>
      <c r="C107" s="13"/>
      <c r="D107" s="21" t="str">
        <f>IF($C107="","",SUMIFS(SITE_COEFFS!$C:$C,SITE_COEFFS!$A:$A,"SoilWorkability",SITE_COEFFS!$B:$B,$C107))</f>
        <v/>
      </c>
      <c r="E107" s="13"/>
      <c r="F107" s="21" t="str">
        <f>IF($E107="","",SUMIFS(SITE_COEFFS!$C:$C,SITE_COEFFS!$A:$A,"SoilMoisture",SITE_COEFFS!$B:$B,$E107))</f>
        <v/>
      </c>
      <c r="G107" s="13"/>
      <c r="H107" s="21" t="str">
        <f>IF($G107="","",SUMIFS(SITE_COEFFS!$C:$C,SITE_COEFFS!$A:$A,"DebrisLevel",SITE_COEFFS!$B:$B,$G107))</f>
        <v/>
      </c>
      <c r="I107" s="13"/>
      <c r="J107" s="21" t="str">
        <f>IF($I107="","",SUMIFS(SITE_COEFFS!$C:$C,SITE_COEFFS!$A:$A,"SlopeClass",SITE_COEFFS!$B:$B,$I107))</f>
        <v/>
      </c>
      <c r="K107" s="13"/>
      <c r="L107" s="21" t="str">
        <f>IF($K107="","",SUMIFS(SITE_COEFFS!$C:$C,SITE_COEFFS!$A:$A,"SurfaceUnevenness",SITE_COEFFS!$B:$B,$K107))</f>
        <v/>
      </c>
      <c r="M107" s="13"/>
      <c r="N107" s="21" t="str">
        <f>IF($M107="","",SUMIFS(SITE_COEFFS!$C:$C,SITE_COEFFS!$A:$A,"AccessClass",SITE_COEFFS!$B:$B,$M107))</f>
        <v/>
      </c>
      <c r="O107" s="13"/>
      <c r="P107" s="21" t="str">
        <f>IF($O107="","",SUMIFS(SITE_COEFFS!$C:$C,SITE_COEFFS!$A:$A,"TurnSpace",SITE_COEFFS!$B:$B,$O107))</f>
        <v/>
      </c>
      <c r="Q107" s="13"/>
      <c r="R107" s="21" t="str">
        <f>IF($Q107="","",SUMIFS(SITE_COEFFS!$C:$C,SITE_COEFFS!$A:$A,"ProximityToBuildings",SITE_COEFFS!$B:$B,$Q107))</f>
        <v/>
      </c>
      <c r="S107" s="13"/>
      <c r="T107" s="21" t="str">
        <f>IF($S107="","",SUMIFS(SITE_COEFFS!$C:$C,SITE_COEFFS!$A:$A,"MachineryAllowed",SITE_COEFFS!$B:$B,$S107))</f>
        <v/>
      </c>
      <c r="U107" s="13"/>
      <c r="V107" s="13"/>
      <c r="W107" s="21" t="str">
        <f>IF($V107="","",SUMIFS(SITE_COEFFS!$C:$C,SITE_COEFFS!$A:$A,"GeometryComplexity",SITE_COEFFS!$B:$B,$V107))</f>
        <v/>
      </c>
      <c r="X107" s="13"/>
      <c r="Y107" s="13" t="str">
        <f>IF($X107="","",SUMIFS(TARIFF_PROFILES!$D:$D,TARIFF_PROFILES!$A:$A,$X107))</f>
        <v/>
      </c>
      <c r="Z107" s="13" t="str">
        <f>IF($X107="","",SUMIFS(TARIFF_PROFILES!$E:$E,TARIFF_PROFILES!$A:$A,$X107))</f>
        <v/>
      </c>
      <c r="AA107" s="13" t="str">
        <f>IF($X107="","",SUMIFS(TARIFF_PROFILES!$F:$F,TARIFF_PROFILES!$A:$A,$X107))</f>
        <v/>
      </c>
      <c r="AB107" s="13" t="str">
        <f>IF($X107="","",SUMIFS(TARIFF_PROFILES!$G:$G,TARIFF_PROFILES!$A:$A,$X107))</f>
        <v/>
      </c>
      <c r="AC107" s="13" t="str">
        <f>IF($X107="","",SUMIFS(TARIFF_PROFILES!$H:$H,TARIFF_PROFILES!$A:$A,$X107))</f>
        <v/>
      </c>
      <c r="AD107" s="13" t="str">
        <f>IF($X107="","",INDEX(TARIFF_PROFILES!$J:$J,MATCH($X107,TARIFF_PROFILES!$A:$A,0)))</f>
        <v/>
      </c>
      <c r="AE107" s="13" t="str">
        <f>IF($X107="","",INDEX(TARIFF_PROFILES!$K:$K,MATCH($X107,TARIFF_PROFILES!$A:$A,0)))</f>
        <v/>
      </c>
      <c r="AH107" t="str">
        <f>IF($AG107="","",SUMIFS(OPERATING_COEFFS!$C:$C,OPERATING_COEFFS!$A:$A,"DistanceClass",OPERATING_COEFFS!$B:$B,$AG107))</f>
        <v/>
      </c>
      <c r="AJ107" t="str">
        <f>IF($AI107="","",SUMIFS(OPERATING_COEFFS!$C:$C,OPERATING_COEFFS!$A:$A,"SeasonClass",OPERATING_COEFFS!$B:$B,$AI107))</f>
        <v/>
      </c>
      <c r="AL107" t="str">
        <f>IF($AK107="","",SUMIFS(OPERATING_COEFFS!$C:$C,OPERATING_COEFFS!$A:$A,"UrgencyClass",OPERATING_COEFFS!$B:$B,$AK107))</f>
        <v/>
      </c>
      <c r="AN107" t="str">
        <f>IF($AM107="","",INDEX(TAX_MODES!$B:$B,MATCH($AM107,TAX_MODES!$A:$A,0)))</f>
        <v/>
      </c>
    </row>
    <row r="108" spans="1:40" x14ac:dyDescent="0.3">
      <c r="A108" s="13"/>
      <c r="B108" s="13"/>
      <c r="C108" s="13"/>
      <c r="D108" s="21" t="str">
        <f>IF($C108="","",SUMIFS(SITE_COEFFS!$C:$C,SITE_COEFFS!$A:$A,"SoilWorkability",SITE_COEFFS!$B:$B,$C108))</f>
        <v/>
      </c>
      <c r="E108" s="13"/>
      <c r="F108" s="21" t="str">
        <f>IF($E108="","",SUMIFS(SITE_COEFFS!$C:$C,SITE_COEFFS!$A:$A,"SoilMoisture",SITE_COEFFS!$B:$B,$E108))</f>
        <v/>
      </c>
      <c r="G108" s="13"/>
      <c r="H108" s="21" t="str">
        <f>IF($G108="","",SUMIFS(SITE_COEFFS!$C:$C,SITE_COEFFS!$A:$A,"DebrisLevel",SITE_COEFFS!$B:$B,$G108))</f>
        <v/>
      </c>
      <c r="I108" s="13"/>
      <c r="J108" s="21" t="str">
        <f>IF($I108="","",SUMIFS(SITE_COEFFS!$C:$C,SITE_COEFFS!$A:$A,"SlopeClass",SITE_COEFFS!$B:$B,$I108))</f>
        <v/>
      </c>
      <c r="K108" s="13"/>
      <c r="L108" s="21" t="str">
        <f>IF($K108="","",SUMIFS(SITE_COEFFS!$C:$C,SITE_COEFFS!$A:$A,"SurfaceUnevenness",SITE_COEFFS!$B:$B,$K108))</f>
        <v/>
      </c>
      <c r="M108" s="13"/>
      <c r="N108" s="21" t="str">
        <f>IF($M108="","",SUMIFS(SITE_COEFFS!$C:$C,SITE_COEFFS!$A:$A,"AccessClass",SITE_COEFFS!$B:$B,$M108))</f>
        <v/>
      </c>
      <c r="O108" s="13"/>
      <c r="P108" s="21" t="str">
        <f>IF($O108="","",SUMIFS(SITE_COEFFS!$C:$C,SITE_COEFFS!$A:$A,"TurnSpace",SITE_COEFFS!$B:$B,$O108))</f>
        <v/>
      </c>
      <c r="Q108" s="13"/>
      <c r="R108" s="21" t="str">
        <f>IF($Q108="","",SUMIFS(SITE_COEFFS!$C:$C,SITE_COEFFS!$A:$A,"ProximityToBuildings",SITE_COEFFS!$B:$B,$Q108))</f>
        <v/>
      </c>
      <c r="S108" s="13"/>
      <c r="T108" s="21" t="str">
        <f>IF($S108="","",SUMIFS(SITE_COEFFS!$C:$C,SITE_COEFFS!$A:$A,"MachineryAllowed",SITE_COEFFS!$B:$B,$S108))</f>
        <v/>
      </c>
      <c r="U108" s="13"/>
      <c r="V108" s="13"/>
      <c r="W108" s="21" t="str">
        <f>IF($V108="","",SUMIFS(SITE_COEFFS!$C:$C,SITE_COEFFS!$A:$A,"GeometryComplexity",SITE_COEFFS!$B:$B,$V108))</f>
        <v/>
      </c>
      <c r="X108" s="13"/>
      <c r="Y108" s="13" t="str">
        <f>IF($X108="","",SUMIFS(TARIFF_PROFILES!$D:$D,TARIFF_PROFILES!$A:$A,$X108))</f>
        <v/>
      </c>
      <c r="Z108" s="13" t="str">
        <f>IF($X108="","",SUMIFS(TARIFF_PROFILES!$E:$E,TARIFF_PROFILES!$A:$A,$X108))</f>
        <v/>
      </c>
      <c r="AA108" s="13" t="str">
        <f>IF($X108="","",SUMIFS(TARIFF_PROFILES!$F:$F,TARIFF_PROFILES!$A:$A,$X108))</f>
        <v/>
      </c>
      <c r="AB108" s="13" t="str">
        <f>IF($X108="","",SUMIFS(TARIFF_PROFILES!$G:$G,TARIFF_PROFILES!$A:$A,$X108))</f>
        <v/>
      </c>
      <c r="AC108" s="13" t="str">
        <f>IF($X108="","",SUMIFS(TARIFF_PROFILES!$H:$H,TARIFF_PROFILES!$A:$A,$X108))</f>
        <v/>
      </c>
      <c r="AD108" s="13" t="str">
        <f>IF($X108="","",INDEX(TARIFF_PROFILES!$J:$J,MATCH($X108,TARIFF_PROFILES!$A:$A,0)))</f>
        <v/>
      </c>
      <c r="AE108" s="13" t="str">
        <f>IF($X108="","",INDEX(TARIFF_PROFILES!$K:$K,MATCH($X108,TARIFF_PROFILES!$A:$A,0)))</f>
        <v/>
      </c>
      <c r="AH108" t="str">
        <f>IF($AG108="","",SUMIFS(OPERATING_COEFFS!$C:$C,OPERATING_COEFFS!$A:$A,"DistanceClass",OPERATING_COEFFS!$B:$B,$AG108))</f>
        <v/>
      </c>
      <c r="AJ108" t="str">
        <f>IF($AI108="","",SUMIFS(OPERATING_COEFFS!$C:$C,OPERATING_COEFFS!$A:$A,"SeasonClass",OPERATING_COEFFS!$B:$B,$AI108))</f>
        <v/>
      </c>
      <c r="AL108" t="str">
        <f>IF($AK108="","",SUMIFS(OPERATING_COEFFS!$C:$C,OPERATING_COEFFS!$A:$A,"UrgencyClass",OPERATING_COEFFS!$B:$B,$AK108))</f>
        <v/>
      </c>
      <c r="AN108" t="str">
        <f>IF($AM108="","",INDEX(TAX_MODES!$B:$B,MATCH($AM108,TAX_MODES!$A:$A,0)))</f>
        <v/>
      </c>
    </row>
    <row r="109" spans="1:40" x14ac:dyDescent="0.3">
      <c r="A109" s="13"/>
      <c r="B109" s="13"/>
      <c r="C109" s="13"/>
      <c r="D109" s="21" t="str">
        <f>IF($C109="","",SUMIFS(SITE_COEFFS!$C:$C,SITE_COEFFS!$A:$A,"SoilWorkability",SITE_COEFFS!$B:$B,$C109))</f>
        <v/>
      </c>
      <c r="E109" s="13"/>
      <c r="F109" s="21" t="str">
        <f>IF($E109="","",SUMIFS(SITE_COEFFS!$C:$C,SITE_COEFFS!$A:$A,"SoilMoisture",SITE_COEFFS!$B:$B,$E109))</f>
        <v/>
      </c>
      <c r="G109" s="13"/>
      <c r="H109" s="21" t="str">
        <f>IF($G109="","",SUMIFS(SITE_COEFFS!$C:$C,SITE_COEFFS!$A:$A,"DebrisLevel",SITE_COEFFS!$B:$B,$G109))</f>
        <v/>
      </c>
      <c r="I109" s="13"/>
      <c r="J109" s="21" t="str">
        <f>IF($I109="","",SUMIFS(SITE_COEFFS!$C:$C,SITE_COEFFS!$A:$A,"SlopeClass",SITE_COEFFS!$B:$B,$I109))</f>
        <v/>
      </c>
      <c r="K109" s="13"/>
      <c r="L109" s="21" t="str">
        <f>IF($K109="","",SUMIFS(SITE_COEFFS!$C:$C,SITE_COEFFS!$A:$A,"SurfaceUnevenness",SITE_COEFFS!$B:$B,$K109))</f>
        <v/>
      </c>
      <c r="M109" s="13"/>
      <c r="N109" s="21" t="str">
        <f>IF($M109="","",SUMIFS(SITE_COEFFS!$C:$C,SITE_COEFFS!$A:$A,"AccessClass",SITE_COEFFS!$B:$B,$M109))</f>
        <v/>
      </c>
      <c r="O109" s="13"/>
      <c r="P109" s="21" t="str">
        <f>IF($O109="","",SUMIFS(SITE_COEFFS!$C:$C,SITE_COEFFS!$A:$A,"TurnSpace",SITE_COEFFS!$B:$B,$O109))</f>
        <v/>
      </c>
      <c r="Q109" s="13"/>
      <c r="R109" s="21" t="str">
        <f>IF($Q109="","",SUMIFS(SITE_COEFFS!$C:$C,SITE_COEFFS!$A:$A,"ProximityToBuildings",SITE_COEFFS!$B:$B,$Q109))</f>
        <v/>
      </c>
      <c r="S109" s="13"/>
      <c r="T109" s="21" t="str">
        <f>IF($S109="","",SUMIFS(SITE_COEFFS!$C:$C,SITE_COEFFS!$A:$A,"MachineryAllowed",SITE_COEFFS!$B:$B,$S109))</f>
        <v/>
      </c>
      <c r="U109" s="13"/>
      <c r="V109" s="13"/>
      <c r="W109" s="21" t="str">
        <f>IF($V109="","",SUMIFS(SITE_COEFFS!$C:$C,SITE_COEFFS!$A:$A,"GeometryComplexity",SITE_COEFFS!$B:$B,$V109))</f>
        <v/>
      </c>
      <c r="X109" s="13"/>
      <c r="Y109" s="13" t="str">
        <f>IF($X109="","",SUMIFS(TARIFF_PROFILES!$D:$D,TARIFF_PROFILES!$A:$A,$X109))</f>
        <v/>
      </c>
      <c r="Z109" s="13" t="str">
        <f>IF($X109="","",SUMIFS(TARIFF_PROFILES!$E:$E,TARIFF_PROFILES!$A:$A,$X109))</f>
        <v/>
      </c>
      <c r="AA109" s="13" t="str">
        <f>IF($X109="","",SUMIFS(TARIFF_PROFILES!$F:$F,TARIFF_PROFILES!$A:$A,$X109))</f>
        <v/>
      </c>
      <c r="AB109" s="13" t="str">
        <f>IF($X109="","",SUMIFS(TARIFF_PROFILES!$G:$G,TARIFF_PROFILES!$A:$A,$X109))</f>
        <v/>
      </c>
      <c r="AC109" s="13" t="str">
        <f>IF($X109="","",SUMIFS(TARIFF_PROFILES!$H:$H,TARIFF_PROFILES!$A:$A,$X109))</f>
        <v/>
      </c>
      <c r="AD109" s="13" t="str">
        <f>IF($X109="","",INDEX(TARIFF_PROFILES!$J:$J,MATCH($X109,TARIFF_PROFILES!$A:$A,0)))</f>
        <v/>
      </c>
      <c r="AE109" s="13" t="str">
        <f>IF($X109="","",INDEX(TARIFF_PROFILES!$K:$K,MATCH($X109,TARIFF_PROFILES!$A:$A,0)))</f>
        <v/>
      </c>
      <c r="AH109" t="str">
        <f>IF($AG109="","",SUMIFS(OPERATING_COEFFS!$C:$C,OPERATING_COEFFS!$A:$A,"DistanceClass",OPERATING_COEFFS!$B:$B,$AG109))</f>
        <v/>
      </c>
      <c r="AJ109" t="str">
        <f>IF($AI109="","",SUMIFS(OPERATING_COEFFS!$C:$C,OPERATING_COEFFS!$A:$A,"SeasonClass",OPERATING_COEFFS!$B:$B,$AI109))</f>
        <v/>
      </c>
      <c r="AL109" t="str">
        <f>IF($AK109="","",SUMIFS(OPERATING_COEFFS!$C:$C,OPERATING_COEFFS!$A:$A,"UrgencyClass",OPERATING_COEFFS!$B:$B,$AK109))</f>
        <v/>
      </c>
      <c r="AN109" t="str">
        <f>IF($AM109="","",INDEX(TAX_MODES!$B:$B,MATCH($AM109,TAX_MODES!$A:$A,0)))</f>
        <v/>
      </c>
    </row>
    <row r="110" spans="1:40" x14ac:dyDescent="0.3">
      <c r="A110" s="13"/>
      <c r="B110" s="13"/>
      <c r="C110" s="13"/>
      <c r="D110" s="21" t="str">
        <f>IF($C110="","",SUMIFS(SITE_COEFFS!$C:$C,SITE_COEFFS!$A:$A,"SoilWorkability",SITE_COEFFS!$B:$B,$C110))</f>
        <v/>
      </c>
      <c r="E110" s="13"/>
      <c r="F110" s="21" t="str">
        <f>IF($E110="","",SUMIFS(SITE_COEFFS!$C:$C,SITE_COEFFS!$A:$A,"SoilMoisture",SITE_COEFFS!$B:$B,$E110))</f>
        <v/>
      </c>
      <c r="G110" s="13"/>
      <c r="H110" s="21" t="str">
        <f>IF($G110="","",SUMIFS(SITE_COEFFS!$C:$C,SITE_COEFFS!$A:$A,"DebrisLevel",SITE_COEFFS!$B:$B,$G110))</f>
        <v/>
      </c>
      <c r="I110" s="13"/>
      <c r="J110" s="21" t="str">
        <f>IF($I110="","",SUMIFS(SITE_COEFFS!$C:$C,SITE_COEFFS!$A:$A,"SlopeClass",SITE_COEFFS!$B:$B,$I110))</f>
        <v/>
      </c>
      <c r="K110" s="13"/>
      <c r="L110" s="21" t="str">
        <f>IF($K110="","",SUMIFS(SITE_COEFFS!$C:$C,SITE_COEFFS!$A:$A,"SurfaceUnevenness",SITE_COEFFS!$B:$B,$K110))</f>
        <v/>
      </c>
      <c r="M110" s="13"/>
      <c r="N110" s="21" t="str">
        <f>IF($M110="","",SUMIFS(SITE_COEFFS!$C:$C,SITE_COEFFS!$A:$A,"AccessClass",SITE_COEFFS!$B:$B,$M110))</f>
        <v/>
      </c>
      <c r="O110" s="13"/>
      <c r="P110" s="21" t="str">
        <f>IF($O110="","",SUMIFS(SITE_COEFFS!$C:$C,SITE_COEFFS!$A:$A,"TurnSpace",SITE_COEFFS!$B:$B,$O110))</f>
        <v/>
      </c>
      <c r="Q110" s="13"/>
      <c r="R110" s="21" t="str">
        <f>IF($Q110="","",SUMIFS(SITE_COEFFS!$C:$C,SITE_COEFFS!$A:$A,"ProximityToBuildings",SITE_COEFFS!$B:$B,$Q110))</f>
        <v/>
      </c>
      <c r="S110" s="13"/>
      <c r="T110" s="21" t="str">
        <f>IF($S110="","",SUMIFS(SITE_COEFFS!$C:$C,SITE_COEFFS!$A:$A,"MachineryAllowed",SITE_COEFFS!$B:$B,$S110))</f>
        <v/>
      </c>
      <c r="U110" s="13"/>
      <c r="V110" s="13"/>
      <c r="W110" s="21" t="str">
        <f>IF($V110="","",SUMIFS(SITE_COEFFS!$C:$C,SITE_COEFFS!$A:$A,"GeometryComplexity",SITE_COEFFS!$B:$B,$V110))</f>
        <v/>
      </c>
      <c r="X110" s="13"/>
      <c r="Y110" s="13" t="str">
        <f>IF($X110="","",SUMIFS(TARIFF_PROFILES!$D:$D,TARIFF_PROFILES!$A:$A,$X110))</f>
        <v/>
      </c>
      <c r="Z110" s="13" t="str">
        <f>IF($X110="","",SUMIFS(TARIFF_PROFILES!$E:$E,TARIFF_PROFILES!$A:$A,$X110))</f>
        <v/>
      </c>
      <c r="AA110" s="13" t="str">
        <f>IF($X110="","",SUMIFS(TARIFF_PROFILES!$F:$F,TARIFF_PROFILES!$A:$A,$X110))</f>
        <v/>
      </c>
      <c r="AB110" s="13" t="str">
        <f>IF($X110="","",SUMIFS(TARIFF_PROFILES!$G:$G,TARIFF_PROFILES!$A:$A,$X110))</f>
        <v/>
      </c>
      <c r="AC110" s="13" t="str">
        <f>IF($X110="","",SUMIFS(TARIFF_PROFILES!$H:$H,TARIFF_PROFILES!$A:$A,$X110))</f>
        <v/>
      </c>
      <c r="AD110" s="13" t="str">
        <f>IF($X110="","",INDEX(TARIFF_PROFILES!$J:$J,MATCH($X110,TARIFF_PROFILES!$A:$A,0)))</f>
        <v/>
      </c>
      <c r="AE110" s="13" t="str">
        <f>IF($X110="","",INDEX(TARIFF_PROFILES!$K:$K,MATCH($X110,TARIFF_PROFILES!$A:$A,0)))</f>
        <v/>
      </c>
      <c r="AH110" t="str">
        <f>IF($AG110="","",SUMIFS(OPERATING_COEFFS!$C:$C,OPERATING_COEFFS!$A:$A,"DistanceClass",OPERATING_COEFFS!$B:$B,$AG110))</f>
        <v/>
      </c>
      <c r="AJ110" t="str">
        <f>IF($AI110="","",SUMIFS(OPERATING_COEFFS!$C:$C,OPERATING_COEFFS!$A:$A,"SeasonClass",OPERATING_COEFFS!$B:$B,$AI110))</f>
        <v/>
      </c>
      <c r="AL110" t="str">
        <f>IF($AK110="","",SUMIFS(OPERATING_COEFFS!$C:$C,OPERATING_COEFFS!$A:$A,"UrgencyClass",OPERATING_COEFFS!$B:$B,$AK110))</f>
        <v/>
      </c>
      <c r="AN110" t="str">
        <f>IF($AM110="","",INDEX(TAX_MODES!$B:$B,MATCH($AM110,TAX_MODES!$A:$A,0)))</f>
        <v/>
      </c>
    </row>
    <row r="111" spans="1:40" x14ac:dyDescent="0.3">
      <c r="A111" s="13"/>
      <c r="B111" s="13"/>
      <c r="C111" s="13"/>
      <c r="D111" s="21" t="str">
        <f>IF($C111="","",SUMIFS(SITE_COEFFS!$C:$C,SITE_COEFFS!$A:$A,"SoilWorkability",SITE_COEFFS!$B:$B,$C111))</f>
        <v/>
      </c>
      <c r="E111" s="13"/>
      <c r="F111" s="21" t="str">
        <f>IF($E111="","",SUMIFS(SITE_COEFFS!$C:$C,SITE_COEFFS!$A:$A,"SoilMoisture",SITE_COEFFS!$B:$B,$E111))</f>
        <v/>
      </c>
      <c r="G111" s="13"/>
      <c r="H111" s="21" t="str">
        <f>IF($G111="","",SUMIFS(SITE_COEFFS!$C:$C,SITE_COEFFS!$A:$A,"DebrisLevel",SITE_COEFFS!$B:$B,$G111))</f>
        <v/>
      </c>
      <c r="I111" s="13"/>
      <c r="J111" s="21" t="str">
        <f>IF($I111="","",SUMIFS(SITE_COEFFS!$C:$C,SITE_COEFFS!$A:$A,"SlopeClass",SITE_COEFFS!$B:$B,$I111))</f>
        <v/>
      </c>
      <c r="K111" s="13"/>
      <c r="L111" s="21" t="str">
        <f>IF($K111="","",SUMIFS(SITE_COEFFS!$C:$C,SITE_COEFFS!$A:$A,"SurfaceUnevenness",SITE_COEFFS!$B:$B,$K111))</f>
        <v/>
      </c>
      <c r="M111" s="13"/>
      <c r="N111" s="21" t="str">
        <f>IF($M111="","",SUMIFS(SITE_COEFFS!$C:$C,SITE_COEFFS!$A:$A,"AccessClass",SITE_COEFFS!$B:$B,$M111))</f>
        <v/>
      </c>
      <c r="O111" s="13"/>
      <c r="P111" s="21" t="str">
        <f>IF($O111="","",SUMIFS(SITE_COEFFS!$C:$C,SITE_COEFFS!$A:$A,"TurnSpace",SITE_COEFFS!$B:$B,$O111))</f>
        <v/>
      </c>
      <c r="Q111" s="13"/>
      <c r="R111" s="21" t="str">
        <f>IF($Q111="","",SUMIFS(SITE_COEFFS!$C:$C,SITE_COEFFS!$A:$A,"ProximityToBuildings",SITE_COEFFS!$B:$B,$Q111))</f>
        <v/>
      </c>
      <c r="S111" s="13"/>
      <c r="T111" s="21" t="str">
        <f>IF($S111="","",SUMIFS(SITE_COEFFS!$C:$C,SITE_COEFFS!$A:$A,"MachineryAllowed",SITE_COEFFS!$B:$B,$S111))</f>
        <v/>
      </c>
      <c r="U111" s="13"/>
      <c r="V111" s="13"/>
      <c r="W111" s="21" t="str">
        <f>IF($V111="","",SUMIFS(SITE_COEFFS!$C:$C,SITE_COEFFS!$A:$A,"GeometryComplexity",SITE_COEFFS!$B:$B,$V111))</f>
        <v/>
      </c>
      <c r="X111" s="13"/>
      <c r="Y111" s="13" t="str">
        <f>IF($X111="","",SUMIFS(TARIFF_PROFILES!$D:$D,TARIFF_PROFILES!$A:$A,$X111))</f>
        <v/>
      </c>
      <c r="Z111" s="13" t="str">
        <f>IF($X111="","",SUMIFS(TARIFF_PROFILES!$E:$E,TARIFF_PROFILES!$A:$A,$X111))</f>
        <v/>
      </c>
      <c r="AA111" s="13" t="str">
        <f>IF($X111="","",SUMIFS(TARIFF_PROFILES!$F:$F,TARIFF_PROFILES!$A:$A,$X111))</f>
        <v/>
      </c>
      <c r="AB111" s="13" t="str">
        <f>IF($X111="","",SUMIFS(TARIFF_PROFILES!$G:$G,TARIFF_PROFILES!$A:$A,$X111))</f>
        <v/>
      </c>
      <c r="AC111" s="13" t="str">
        <f>IF($X111="","",SUMIFS(TARIFF_PROFILES!$H:$H,TARIFF_PROFILES!$A:$A,$X111))</f>
        <v/>
      </c>
      <c r="AD111" s="13" t="str">
        <f>IF($X111="","",INDEX(TARIFF_PROFILES!$J:$J,MATCH($X111,TARIFF_PROFILES!$A:$A,0)))</f>
        <v/>
      </c>
      <c r="AE111" s="13" t="str">
        <f>IF($X111="","",INDEX(TARIFF_PROFILES!$K:$K,MATCH($X111,TARIFF_PROFILES!$A:$A,0)))</f>
        <v/>
      </c>
      <c r="AH111" t="str">
        <f>IF($AG111="","",SUMIFS(OPERATING_COEFFS!$C:$C,OPERATING_COEFFS!$A:$A,"DistanceClass",OPERATING_COEFFS!$B:$B,$AG111))</f>
        <v/>
      </c>
      <c r="AJ111" t="str">
        <f>IF($AI111="","",SUMIFS(OPERATING_COEFFS!$C:$C,OPERATING_COEFFS!$A:$A,"SeasonClass",OPERATING_COEFFS!$B:$B,$AI111))</f>
        <v/>
      </c>
      <c r="AL111" t="str">
        <f>IF($AK111="","",SUMIFS(OPERATING_COEFFS!$C:$C,OPERATING_COEFFS!$A:$A,"UrgencyClass",OPERATING_COEFFS!$B:$B,$AK111))</f>
        <v/>
      </c>
      <c r="AN111" t="str">
        <f>IF($AM111="","",INDEX(TAX_MODES!$B:$B,MATCH($AM111,TAX_MODES!$A:$A,0)))</f>
        <v/>
      </c>
    </row>
    <row r="112" spans="1:40" x14ac:dyDescent="0.3">
      <c r="A112" s="13"/>
      <c r="B112" s="13"/>
      <c r="C112" s="13"/>
      <c r="D112" s="21" t="str">
        <f>IF($C112="","",SUMIFS(SITE_COEFFS!$C:$C,SITE_COEFFS!$A:$A,"SoilWorkability",SITE_COEFFS!$B:$B,$C112))</f>
        <v/>
      </c>
      <c r="E112" s="13"/>
      <c r="F112" s="21" t="str">
        <f>IF($E112="","",SUMIFS(SITE_COEFFS!$C:$C,SITE_COEFFS!$A:$A,"SoilMoisture",SITE_COEFFS!$B:$B,$E112))</f>
        <v/>
      </c>
      <c r="G112" s="13"/>
      <c r="H112" s="21" t="str">
        <f>IF($G112="","",SUMIFS(SITE_COEFFS!$C:$C,SITE_COEFFS!$A:$A,"DebrisLevel",SITE_COEFFS!$B:$B,$G112))</f>
        <v/>
      </c>
      <c r="I112" s="13"/>
      <c r="J112" s="21" t="str">
        <f>IF($I112="","",SUMIFS(SITE_COEFFS!$C:$C,SITE_COEFFS!$A:$A,"SlopeClass",SITE_COEFFS!$B:$B,$I112))</f>
        <v/>
      </c>
      <c r="K112" s="13"/>
      <c r="L112" s="21" t="str">
        <f>IF($K112="","",SUMIFS(SITE_COEFFS!$C:$C,SITE_COEFFS!$A:$A,"SurfaceUnevenness",SITE_COEFFS!$B:$B,$K112))</f>
        <v/>
      </c>
      <c r="M112" s="13"/>
      <c r="N112" s="21" t="str">
        <f>IF($M112="","",SUMIFS(SITE_COEFFS!$C:$C,SITE_COEFFS!$A:$A,"AccessClass",SITE_COEFFS!$B:$B,$M112))</f>
        <v/>
      </c>
      <c r="O112" s="13"/>
      <c r="P112" s="21" t="str">
        <f>IF($O112="","",SUMIFS(SITE_COEFFS!$C:$C,SITE_COEFFS!$A:$A,"TurnSpace",SITE_COEFFS!$B:$B,$O112))</f>
        <v/>
      </c>
      <c r="Q112" s="13"/>
      <c r="R112" s="21" t="str">
        <f>IF($Q112="","",SUMIFS(SITE_COEFFS!$C:$C,SITE_COEFFS!$A:$A,"ProximityToBuildings",SITE_COEFFS!$B:$B,$Q112))</f>
        <v/>
      </c>
      <c r="S112" s="13"/>
      <c r="T112" s="21" t="str">
        <f>IF($S112="","",SUMIFS(SITE_COEFFS!$C:$C,SITE_COEFFS!$A:$A,"MachineryAllowed",SITE_COEFFS!$B:$B,$S112))</f>
        <v/>
      </c>
      <c r="U112" s="13"/>
      <c r="V112" s="13"/>
      <c r="W112" s="21" t="str">
        <f>IF($V112="","",SUMIFS(SITE_COEFFS!$C:$C,SITE_COEFFS!$A:$A,"GeometryComplexity",SITE_COEFFS!$B:$B,$V112))</f>
        <v/>
      </c>
      <c r="X112" s="13"/>
      <c r="Y112" s="13" t="str">
        <f>IF($X112="","",SUMIFS(TARIFF_PROFILES!$D:$D,TARIFF_PROFILES!$A:$A,$X112))</f>
        <v/>
      </c>
      <c r="Z112" s="13" t="str">
        <f>IF($X112="","",SUMIFS(TARIFF_PROFILES!$E:$E,TARIFF_PROFILES!$A:$A,$X112))</f>
        <v/>
      </c>
      <c r="AA112" s="13" t="str">
        <f>IF($X112="","",SUMIFS(TARIFF_PROFILES!$F:$F,TARIFF_PROFILES!$A:$A,$X112))</f>
        <v/>
      </c>
      <c r="AB112" s="13" t="str">
        <f>IF($X112="","",SUMIFS(TARIFF_PROFILES!$G:$G,TARIFF_PROFILES!$A:$A,$X112))</f>
        <v/>
      </c>
      <c r="AC112" s="13" t="str">
        <f>IF($X112="","",SUMIFS(TARIFF_PROFILES!$H:$H,TARIFF_PROFILES!$A:$A,$X112))</f>
        <v/>
      </c>
      <c r="AD112" s="13" t="str">
        <f>IF($X112="","",INDEX(TARIFF_PROFILES!$J:$J,MATCH($X112,TARIFF_PROFILES!$A:$A,0)))</f>
        <v/>
      </c>
      <c r="AE112" s="13" t="str">
        <f>IF($X112="","",INDEX(TARIFF_PROFILES!$K:$K,MATCH($X112,TARIFF_PROFILES!$A:$A,0)))</f>
        <v/>
      </c>
      <c r="AH112" t="str">
        <f>IF($AG112="","",SUMIFS(OPERATING_COEFFS!$C:$C,OPERATING_COEFFS!$A:$A,"DistanceClass",OPERATING_COEFFS!$B:$B,$AG112))</f>
        <v/>
      </c>
      <c r="AJ112" t="str">
        <f>IF($AI112="","",SUMIFS(OPERATING_COEFFS!$C:$C,OPERATING_COEFFS!$A:$A,"SeasonClass",OPERATING_COEFFS!$B:$B,$AI112))</f>
        <v/>
      </c>
      <c r="AL112" t="str">
        <f>IF($AK112="","",SUMIFS(OPERATING_COEFFS!$C:$C,OPERATING_COEFFS!$A:$A,"UrgencyClass",OPERATING_COEFFS!$B:$B,$AK112))</f>
        <v/>
      </c>
      <c r="AN112" t="str">
        <f>IF($AM112="","",INDEX(TAX_MODES!$B:$B,MATCH($AM112,TAX_MODES!$A:$A,0)))</f>
        <v/>
      </c>
    </row>
    <row r="113" spans="1:40" x14ac:dyDescent="0.3">
      <c r="A113" s="13"/>
      <c r="B113" s="13"/>
      <c r="C113" s="13"/>
      <c r="D113" s="21" t="str">
        <f>IF($C113="","",SUMIFS(SITE_COEFFS!$C:$C,SITE_COEFFS!$A:$A,"SoilWorkability",SITE_COEFFS!$B:$B,$C113))</f>
        <v/>
      </c>
      <c r="E113" s="13"/>
      <c r="F113" s="21" t="str">
        <f>IF($E113="","",SUMIFS(SITE_COEFFS!$C:$C,SITE_COEFFS!$A:$A,"SoilMoisture",SITE_COEFFS!$B:$B,$E113))</f>
        <v/>
      </c>
      <c r="G113" s="13"/>
      <c r="H113" s="21" t="str">
        <f>IF($G113="","",SUMIFS(SITE_COEFFS!$C:$C,SITE_COEFFS!$A:$A,"DebrisLevel",SITE_COEFFS!$B:$B,$G113))</f>
        <v/>
      </c>
      <c r="I113" s="13"/>
      <c r="J113" s="21" t="str">
        <f>IF($I113="","",SUMIFS(SITE_COEFFS!$C:$C,SITE_COEFFS!$A:$A,"SlopeClass",SITE_COEFFS!$B:$B,$I113))</f>
        <v/>
      </c>
      <c r="K113" s="13"/>
      <c r="L113" s="21" t="str">
        <f>IF($K113="","",SUMIFS(SITE_COEFFS!$C:$C,SITE_COEFFS!$A:$A,"SurfaceUnevenness",SITE_COEFFS!$B:$B,$K113))</f>
        <v/>
      </c>
      <c r="M113" s="13"/>
      <c r="N113" s="21" t="str">
        <f>IF($M113="","",SUMIFS(SITE_COEFFS!$C:$C,SITE_COEFFS!$A:$A,"AccessClass",SITE_COEFFS!$B:$B,$M113))</f>
        <v/>
      </c>
      <c r="O113" s="13"/>
      <c r="P113" s="21" t="str">
        <f>IF($O113="","",SUMIFS(SITE_COEFFS!$C:$C,SITE_COEFFS!$A:$A,"TurnSpace",SITE_COEFFS!$B:$B,$O113))</f>
        <v/>
      </c>
      <c r="Q113" s="13"/>
      <c r="R113" s="21" t="str">
        <f>IF($Q113="","",SUMIFS(SITE_COEFFS!$C:$C,SITE_COEFFS!$A:$A,"ProximityToBuildings",SITE_COEFFS!$B:$B,$Q113))</f>
        <v/>
      </c>
      <c r="S113" s="13"/>
      <c r="T113" s="21" t="str">
        <f>IF($S113="","",SUMIFS(SITE_COEFFS!$C:$C,SITE_COEFFS!$A:$A,"MachineryAllowed",SITE_COEFFS!$B:$B,$S113))</f>
        <v/>
      </c>
      <c r="U113" s="13"/>
      <c r="V113" s="13"/>
      <c r="W113" s="21" t="str">
        <f>IF($V113="","",SUMIFS(SITE_COEFFS!$C:$C,SITE_COEFFS!$A:$A,"GeometryComplexity",SITE_COEFFS!$B:$B,$V113))</f>
        <v/>
      </c>
      <c r="X113" s="13"/>
      <c r="Y113" s="13" t="str">
        <f>IF($X113="","",SUMIFS(TARIFF_PROFILES!$D:$D,TARIFF_PROFILES!$A:$A,$X113))</f>
        <v/>
      </c>
      <c r="Z113" s="13" t="str">
        <f>IF($X113="","",SUMIFS(TARIFF_PROFILES!$E:$E,TARIFF_PROFILES!$A:$A,$X113))</f>
        <v/>
      </c>
      <c r="AA113" s="13" t="str">
        <f>IF($X113="","",SUMIFS(TARIFF_PROFILES!$F:$F,TARIFF_PROFILES!$A:$A,$X113))</f>
        <v/>
      </c>
      <c r="AB113" s="13" t="str">
        <f>IF($X113="","",SUMIFS(TARIFF_PROFILES!$G:$G,TARIFF_PROFILES!$A:$A,$X113))</f>
        <v/>
      </c>
      <c r="AC113" s="13" t="str">
        <f>IF($X113="","",SUMIFS(TARIFF_PROFILES!$H:$H,TARIFF_PROFILES!$A:$A,$X113))</f>
        <v/>
      </c>
      <c r="AD113" s="13" t="str">
        <f>IF($X113="","",INDEX(TARIFF_PROFILES!$J:$J,MATCH($X113,TARIFF_PROFILES!$A:$A,0)))</f>
        <v/>
      </c>
      <c r="AE113" s="13" t="str">
        <f>IF($X113="","",INDEX(TARIFF_PROFILES!$K:$K,MATCH($X113,TARIFF_PROFILES!$A:$A,0)))</f>
        <v/>
      </c>
      <c r="AH113" t="str">
        <f>IF($AG113="","",SUMIFS(OPERATING_COEFFS!$C:$C,OPERATING_COEFFS!$A:$A,"DistanceClass",OPERATING_COEFFS!$B:$B,$AG113))</f>
        <v/>
      </c>
      <c r="AJ113" t="str">
        <f>IF($AI113="","",SUMIFS(OPERATING_COEFFS!$C:$C,OPERATING_COEFFS!$A:$A,"SeasonClass",OPERATING_COEFFS!$B:$B,$AI113))</f>
        <v/>
      </c>
      <c r="AL113" t="str">
        <f>IF($AK113="","",SUMIFS(OPERATING_COEFFS!$C:$C,OPERATING_COEFFS!$A:$A,"UrgencyClass",OPERATING_COEFFS!$B:$B,$AK113))</f>
        <v/>
      </c>
      <c r="AN113" t="str">
        <f>IF($AM113="","",INDEX(TAX_MODES!$B:$B,MATCH($AM113,TAX_MODES!$A:$A,0)))</f>
        <v/>
      </c>
    </row>
    <row r="114" spans="1:40" x14ac:dyDescent="0.3">
      <c r="A114" s="13"/>
      <c r="B114" s="13"/>
      <c r="C114" s="13"/>
      <c r="D114" s="21" t="str">
        <f>IF($C114="","",SUMIFS(SITE_COEFFS!$C:$C,SITE_COEFFS!$A:$A,"SoilWorkability",SITE_COEFFS!$B:$B,$C114))</f>
        <v/>
      </c>
      <c r="E114" s="13"/>
      <c r="F114" s="21" t="str">
        <f>IF($E114="","",SUMIFS(SITE_COEFFS!$C:$C,SITE_COEFFS!$A:$A,"SoilMoisture",SITE_COEFFS!$B:$B,$E114))</f>
        <v/>
      </c>
      <c r="G114" s="13"/>
      <c r="H114" s="21" t="str">
        <f>IF($G114="","",SUMIFS(SITE_COEFFS!$C:$C,SITE_COEFFS!$A:$A,"DebrisLevel",SITE_COEFFS!$B:$B,$G114))</f>
        <v/>
      </c>
      <c r="I114" s="13"/>
      <c r="J114" s="21" t="str">
        <f>IF($I114="","",SUMIFS(SITE_COEFFS!$C:$C,SITE_COEFFS!$A:$A,"SlopeClass",SITE_COEFFS!$B:$B,$I114))</f>
        <v/>
      </c>
      <c r="K114" s="13"/>
      <c r="L114" s="21" t="str">
        <f>IF($K114="","",SUMIFS(SITE_COEFFS!$C:$C,SITE_COEFFS!$A:$A,"SurfaceUnevenness",SITE_COEFFS!$B:$B,$K114))</f>
        <v/>
      </c>
      <c r="M114" s="13"/>
      <c r="N114" s="21" t="str">
        <f>IF($M114="","",SUMIFS(SITE_COEFFS!$C:$C,SITE_COEFFS!$A:$A,"AccessClass",SITE_COEFFS!$B:$B,$M114))</f>
        <v/>
      </c>
      <c r="O114" s="13"/>
      <c r="P114" s="21" t="str">
        <f>IF($O114="","",SUMIFS(SITE_COEFFS!$C:$C,SITE_COEFFS!$A:$A,"TurnSpace",SITE_COEFFS!$B:$B,$O114))</f>
        <v/>
      </c>
      <c r="Q114" s="13"/>
      <c r="R114" s="21" t="str">
        <f>IF($Q114="","",SUMIFS(SITE_COEFFS!$C:$C,SITE_COEFFS!$A:$A,"ProximityToBuildings",SITE_COEFFS!$B:$B,$Q114))</f>
        <v/>
      </c>
      <c r="S114" s="13"/>
      <c r="T114" s="21" t="str">
        <f>IF($S114="","",SUMIFS(SITE_COEFFS!$C:$C,SITE_COEFFS!$A:$A,"MachineryAllowed",SITE_COEFFS!$B:$B,$S114))</f>
        <v/>
      </c>
      <c r="U114" s="13"/>
      <c r="V114" s="13"/>
      <c r="W114" s="21" t="str">
        <f>IF($V114="","",SUMIFS(SITE_COEFFS!$C:$C,SITE_COEFFS!$A:$A,"GeometryComplexity",SITE_COEFFS!$B:$B,$V114))</f>
        <v/>
      </c>
      <c r="X114" s="13"/>
      <c r="Y114" s="13" t="str">
        <f>IF($X114="","",SUMIFS(TARIFF_PROFILES!$D:$D,TARIFF_PROFILES!$A:$A,$X114))</f>
        <v/>
      </c>
      <c r="Z114" s="13" t="str">
        <f>IF($X114="","",SUMIFS(TARIFF_PROFILES!$E:$E,TARIFF_PROFILES!$A:$A,$X114))</f>
        <v/>
      </c>
      <c r="AA114" s="13" t="str">
        <f>IF($X114="","",SUMIFS(TARIFF_PROFILES!$F:$F,TARIFF_PROFILES!$A:$A,$X114))</f>
        <v/>
      </c>
      <c r="AB114" s="13" t="str">
        <f>IF($X114="","",SUMIFS(TARIFF_PROFILES!$G:$G,TARIFF_PROFILES!$A:$A,$X114))</f>
        <v/>
      </c>
      <c r="AC114" s="13" t="str">
        <f>IF($X114="","",SUMIFS(TARIFF_PROFILES!$H:$H,TARIFF_PROFILES!$A:$A,$X114))</f>
        <v/>
      </c>
      <c r="AD114" s="13" t="str">
        <f>IF($X114="","",INDEX(TARIFF_PROFILES!$J:$J,MATCH($X114,TARIFF_PROFILES!$A:$A,0)))</f>
        <v/>
      </c>
      <c r="AE114" s="13" t="str">
        <f>IF($X114="","",INDEX(TARIFF_PROFILES!$K:$K,MATCH($X114,TARIFF_PROFILES!$A:$A,0)))</f>
        <v/>
      </c>
      <c r="AH114" t="str">
        <f>IF($AG114="","",SUMIFS(OPERATING_COEFFS!$C:$C,OPERATING_COEFFS!$A:$A,"DistanceClass",OPERATING_COEFFS!$B:$B,$AG114))</f>
        <v/>
      </c>
      <c r="AJ114" t="str">
        <f>IF($AI114="","",SUMIFS(OPERATING_COEFFS!$C:$C,OPERATING_COEFFS!$A:$A,"SeasonClass",OPERATING_COEFFS!$B:$B,$AI114))</f>
        <v/>
      </c>
      <c r="AL114" t="str">
        <f>IF($AK114="","",SUMIFS(OPERATING_COEFFS!$C:$C,OPERATING_COEFFS!$A:$A,"UrgencyClass",OPERATING_COEFFS!$B:$B,$AK114))</f>
        <v/>
      </c>
      <c r="AN114" t="str">
        <f>IF($AM114="","",INDEX(TAX_MODES!$B:$B,MATCH($AM114,TAX_MODES!$A:$A,0)))</f>
        <v/>
      </c>
    </row>
    <row r="115" spans="1:40" x14ac:dyDescent="0.3">
      <c r="A115" s="13"/>
      <c r="B115" s="13"/>
      <c r="C115" s="13"/>
      <c r="D115" s="21" t="str">
        <f>IF($C115="","",SUMIFS(SITE_COEFFS!$C:$C,SITE_COEFFS!$A:$A,"SoilWorkability",SITE_COEFFS!$B:$B,$C115))</f>
        <v/>
      </c>
      <c r="E115" s="13"/>
      <c r="F115" s="21" t="str">
        <f>IF($E115="","",SUMIFS(SITE_COEFFS!$C:$C,SITE_COEFFS!$A:$A,"SoilMoisture",SITE_COEFFS!$B:$B,$E115))</f>
        <v/>
      </c>
      <c r="G115" s="13"/>
      <c r="H115" s="21" t="str">
        <f>IF($G115="","",SUMIFS(SITE_COEFFS!$C:$C,SITE_COEFFS!$A:$A,"DebrisLevel",SITE_COEFFS!$B:$B,$G115))</f>
        <v/>
      </c>
      <c r="I115" s="13"/>
      <c r="J115" s="21" t="str">
        <f>IF($I115="","",SUMIFS(SITE_COEFFS!$C:$C,SITE_COEFFS!$A:$A,"SlopeClass",SITE_COEFFS!$B:$B,$I115))</f>
        <v/>
      </c>
      <c r="K115" s="13"/>
      <c r="L115" s="21" t="str">
        <f>IF($K115="","",SUMIFS(SITE_COEFFS!$C:$C,SITE_COEFFS!$A:$A,"SurfaceUnevenness",SITE_COEFFS!$B:$B,$K115))</f>
        <v/>
      </c>
      <c r="M115" s="13"/>
      <c r="N115" s="21" t="str">
        <f>IF($M115="","",SUMIFS(SITE_COEFFS!$C:$C,SITE_COEFFS!$A:$A,"AccessClass",SITE_COEFFS!$B:$B,$M115))</f>
        <v/>
      </c>
      <c r="O115" s="13"/>
      <c r="P115" s="21" t="str">
        <f>IF($O115="","",SUMIFS(SITE_COEFFS!$C:$C,SITE_COEFFS!$A:$A,"TurnSpace",SITE_COEFFS!$B:$B,$O115))</f>
        <v/>
      </c>
      <c r="Q115" s="13"/>
      <c r="R115" s="21" t="str">
        <f>IF($Q115="","",SUMIFS(SITE_COEFFS!$C:$C,SITE_COEFFS!$A:$A,"ProximityToBuildings",SITE_COEFFS!$B:$B,$Q115))</f>
        <v/>
      </c>
      <c r="S115" s="13"/>
      <c r="T115" s="21" t="str">
        <f>IF($S115="","",SUMIFS(SITE_COEFFS!$C:$C,SITE_COEFFS!$A:$A,"MachineryAllowed",SITE_COEFFS!$B:$B,$S115))</f>
        <v/>
      </c>
      <c r="U115" s="13"/>
      <c r="V115" s="13"/>
      <c r="W115" s="21" t="str">
        <f>IF($V115="","",SUMIFS(SITE_COEFFS!$C:$C,SITE_COEFFS!$A:$A,"GeometryComplexity",SITE_COEFFS!$B:$B,$V115))</f>
        <v/>
      </c>
      <c r="X115" s="13"/>
      <c r="Y115" s="13" t="str">
        <f>IF($X115="","",SUMIFS(TARIFF_PROFILES!$D:$D,TARIFF_PROFILES!$A:$A,$X115))</f>
        <v/>
      </c>
      <c r="Z115" s="13" t="str">
        <f>IF($X115="","",SUMIFS(TARIFF_PROFILES!$E:$E,TARIFF_PROFILES!$A:$A,$X115))</f>
        <v/>
      </c>
      <c r="AA115" s="13" t="str">
        <f>IF($X115="","",SUMIFS(TARIFF_PROFILES!$F:$F,TARIFF_PROFILES!$A:$A,$X115))</f>
        <v/>
      </c>
      <c r="AB115" s="13" t="str">
        <f>IF($X115="","",SUMIFS(TARIFF_PROFILES!$G:$G,TARIFF_PROFILES!$A:$A,$X115))</f>
        <v/>
      </c>
      <c r="AC115" s="13" t="str">
        <f>IF($X115="","",SUMIFS(TARIFF_PROFILES!$H:$H,TARIFF_PROFILES!$A:$A,$X115))</f>
        <v/>
      </c>
      <c r="AD115" s="13" t="str">
        <f>IF($X115="","",INDEX(TARIFF_PROFILES!$J:$J,MATCH($X115,TARIFF_PROFILES!$A:$A,0)))</f>
        <v/>
      </c>
      <c r="AE115" s="13" t="str">
        <f>IF($X115="","",INDEX(TARIFF_PROFILES!$K:$K,MATCH($X115,TARIFF_PROFILES!$A:$A,0)))</f>
        <v/>
      </c>
      <c r="AH115" t="str">
        <f>IF($AG115="","",SUMIFS(OPERATING_COEFFS!$C:$C,OPERATING_COEFFS!$A:$A,"DistanceClass",OPERATING_COEFFS!$B:$B,$AG115))</f>
        <v/>
      </c>
      <c r="AJ115" t="str">
        <f>IF($AI115="","",SUMIFS(OPERATING_COEFFS!$C:$C,OPERATING_COEFFS!$A:$A,"SeasonClass",OPERATING_COEFFS!$B:$B,$AI115))</f>
        <v/>
      </c>
      <c r="AL115" t="str">
        <f>IF($AK115="","",SUMIFS(OPERATING_COEFFS!$C:$C,OPERATING_COEFFS!$A:$A,"UrgencyClass",OPERATING_COEFFS!$B:$B,$AK115))</f>
        <v/>
      </c>
      <c r="AN115" t="str">
        <f>IF($AM115="","",INDEX(TAX_MODES!$B:$B,MATCH($AM115,TAX_MODES!$A:$A,0)))</f>
        <v/>
      </c>
    </row>
    <row r="116" spans="1:40" x14ac:dyDescent="0.3">
      <c r="A116" s="13"/>
      <c r="B116" s="13"/>
      <c r="C116" s="13"/>
      <c r="D116" s="21" t="str">
        <f>IF($C116="","",SUMIFS(SITE_COEFFS!$C:$C,SITE_COEFFS!$A:$A,"SoilWorkability",SITE_COEFFS!$B:$B,$C116))</f>
        <v/>
      </c>
      <c r="E116" s="13"/>
      <c r="F116" s="21" t="str">
        <f>IF($E116="","",SUMIFS(SITE_COEFFS!$C:$C,SITE_COEFFS!$A:$A,"SoilMoisture",SITE_COEFFS!$B:$B,$E116))</f>
        <v/>
      </c>
      <c r="G116" s="13"/>
      <c r="H116" s="21" t="str">
        <f>IF($G116="","",SUMIFS(SITE_COEFFS!$C:$C,SITE_COEFFS!$A:$A,"DebrisLevel",SITE_COEFFS!$B:$B,$G116))</f>
        <v/>
      </c>
      <c r="I116" s="13"/>
      <c r="J116" s="21" t="str">
        <f>IF($I116="","",SUMIFS(SITE_COEFFS!$C:$C,SITE_COEFFS!$A:$A,"SlopeClass",SITE_COEFFS!$B:$B,$I116))</f>
        <v/>
      </c>
      <c r="K116" s="13"/>
      <c r="L116" s="21" t="str">
        <f>IF($K116="","",SUMIFS(SITE_COEFFS!$C:$C,SITE_COEFFS!$A:$A,"SurfaceUnevenness",SITE_COEFFS!$B:$B,$K116))</f>
        <v/>
      </c>
      <c r="M116" s="13"/>
      <c r="N116" s="21" t="str">
        <f>IF($M116="","",SUMIFS(SITE_COEFFS!$C:$C,SITE_COEFFS!$A:$A,"AccessClass",SITE_COEFFS!$B:$B,$M116))</f>
        <v/>
      </c>
      <c r="O116" s="13"/>
      <c r="P116" s="21" t="str">
        <f>IF($O116="","",SUMIFS(SITE_COEFFS!$C:$C,SITE_COEFFS!$A:$A,"TurnSpace",SITE_COEFFS!$B:$B,$O116))</f>
        <v/>
      </c>
      <c r="Q116" s="13"/>
      <c r="R116" s="21" t="str">
        <f>IF($Q116="","",SUMIFS(SITE_COEFFS!$C:$C,SITE_COEFFS!$A:$A,"ProximityToBuildings",SITE_COEFFS!$B:$B,$Q116))</f>
        <v/>
      </c>
      <c r="S116" s="13"/>
      <c r="T116" s="21" t="str">
        <f>IF($S116="","",SUMIFS(SITE_COEFFS!$C:$C,SITE_COEFFS!$A:$A,"MachineryAllowed",SITE_COEFFS!$B:$B,$S116))</f>
        <v/>
      </c>
      <c r="U116" s="13"/>
      <c r="V116" s="13"/>
      <c r="W116" s="21" t="str">
        <f>IF($V116="","",SUMIFS(SITE_COEFFS!$C:$C,SITE_COEFFS!$A:$A,"GeometryComplexity",SITE_COEFFS!$B:$B,$V116))</f>
        <v/>
      </c>
      <c r="X116" s="13"/>
      <c r="Y116" s="13" t="str">
        <f>IF($X116="","",SUMIFS(TARIFF_PROFILES!$D:$D,TARIFF_PROFILES!$A:$A,$X116))</f>
        <v/>
      </c>
      <c r="Z116" s="13" t="str">
        <f>IF($X116="","",SUMIFS(TARIFF_PROFILES!$E:$E,TARIFF_PROFILES!$A:$A,$X116))</f>
        <v/>
      </c>
      <c r="AA116" s="13" t="str">
        <f>IF($X116="","",SUMIFS(TARIFF_PROFILES!$F:$F,TARIFF_PROFILES!$A:$A,$X116))</f>
        <v/>
      </c>
      <c r="AB116" s="13" t="str">
        <f>IF($X116="","",SUMIFS(TARIFF_PROFILES!$G:$G,TARIFF_PROFILES!$A:$A,$X116))</f>
        <v/>
      </c>
      <c r="AC116" s="13" t="str">
        <f>IF($X116="","",SUMIFS(TARIFF_PROFILES!$H:$H,TARIFF_PROFILES!$A:$A,$X116))</f>
        <v/>
      </c>
      <c r="AD116" s="13" t="str">
        <f>IF($X116="","",INDEX(TARIFF_PROFILES!$J:$J,MATCH($X116,TARIFF_PROFILES!$A:$A,0)))</f>
        <v/>
      </c>
      <c r="AE116" s="13" t="str">
        <f>IF($X116="","",INDEX(TARIFF_PROFILES!$K:$K,MATCH($X116,TARIFF_PROFILES!$A:$A,0)))</f>
        <v/>
      </c>
      <c r="AH116" t="str">
        <f>IF($AG116="","",SUMIFS(OPERATING_COEFFS!$C:$C,OPERATING_COEFFS!$A:$A,"DistanceClass",OPERATING_COEFFS!$B:$B,$AG116))</f>
        <v/>
      </c>
      <c r="AJ116" t="str">
        <f>IF($AI116="","",SUMIFS(OPERATING_COEFFS!$C:$C,OPERATING_COEFFS!$A:$A,"SeasonClass",OPERATING_COEFFS!$B:$B,$AI116))</f>
        <v/>
      </c>
      <c r="AL116" t="str">
        <f>IF($AK116="","",SUMIFS(OPERATING_COEFFS!$C:$C,OPERATING_COEFFS!$A:$A,"UrgencyClass",OPERATING_COEFFS!$B:$B,$AK116))</f>
        <v/>
      </c>
      <c r="AN116" t="str">
        <f>IF($AM116="","",INDEX(TAX_MODES!$B:$B,MATCH($AM116,TAX_MODES!$A:$A,0)))</f>
        <v/>
      </c>
    </row>
    <row r="117" spans="1:40" x14ac:dyDescent="0.3">
      <c r="A117" s="13"/>
      <c r="B117" s="13"/>
      <c r="C117" s="13"/>
      <c r="D117" s="21" t="str">
        <f>IF($C117="","",SUMIFS(SITE_COEFFS!$C:$C,SITE_COEFFS!$A:$A,"SoilWorkability",SITE_COEFFS!$B:$B,$C117))</f>
        <v/>
      </c>
      <c r="E117" s="13"/>
      <c r="F117" s="21" t="str">
        <f>IF($E117="","",SUMIFS(SITE_COEFFS!$C:$C,SITE_COEFFS!$A:$A,"SoilMoisture",SITE_COEFFS!$B:$B,$E117))</f>
        <v/>
      </c>
      <c r="G117" s="13"/>
      <c r="H117" s="21" t="str">
        <f>IF($G117="","",SUMIFS(SITE_COEFFS!$C:$C,SITE_COEFFS!$A:$A,"DebrisLevel",SITE_COEFFS!$B:$B,$G117))</f>
        <v/>
      </c>
      <c r="I117" s="13"/>
      <c r="J117" s="21" t="str">
        <f>IF($I117="","",SUMIFS(SITE_COEFFS!$C:$C,SITE_COEFFS!$A:$A,"SlopeClass",SITE_COEFFS!$B:$B,$I117))</f>
        <v/>
      </c>
      <c r="K117" s="13"/>
      <c r="L117" s="21" t="str">
        <f>IF($K117="","",SUMIFS(SITE_COEFFS!$C:$C,SITE_COEFFS!$A:$A,"SurfaceUnevenness",SITE_COEFFS!$B:$B,$K117))</f>
        <v/>
      </c>
      <c r="M117" s="13"/>
      <c r="N117" s="21" t="str">
        <f>IF($M117="","",SUMIFS(SITE_COEFFS!$C:$C,SITE_COEFFS!$A:$A,"AccessClass",SITE_COEFFS!$B:$B,$M117))</f>
        <v/>
      </c>
      <c r="O117" s="13"/>
      <c r="P117" s="21" t="str">
        <f>IF($O117="","",SUMIFS(SITE_COEFFS!$C:$C,SITE_COEFFS!$A:$A,"TurnSpace",SITE_COEFFS!$B:$B,$O117))</f>
        <v/>
      </c>
      <c r="Q117" s="13"/>
      <c r="R117" s="21" t="str">
        <f>IF($Q117="","",SUMIFS(SITE_COEFFS!$C:$C,SITE_COEFFS!$A:$A,"ProximityToBuildings",SITE_COEFFS!$B:$B,$Q117))</f>
        <v/>
      </c>
      <c r="S117" s="13"/>
      <c r="T117" s="21" t="str">
        <f>IF($S117="","",SUMIFS(SITE_COEFFS!$C:$C,SITE_COEFFS!$A:$A,"MachineryAllowed",SITE_COEFFS!$B:$B,$S117))</f>
        <v/>
      </c>
      <c r="U117" s="13"/>
      <c r="V117" s="13"/>
      <c r="W117" s="21" t="str">
        <f>IF($V117="","",SUMIFS(SITE_COEFFS!$C:$C,SITE_COEFFS!$A:$A,"GeometryComplexity",SITE_COEFFS!$B:$B,$V117))</f>
        <v/>
      </c>
      <c r="X117" s="13"/>
      <c r="Y117" s="13" t="str">
        <f>IF($X117="","",SUMIFS(TARIFF_PROFILES!$D:$D,TARIFF_PROFILES!$A:$A,$X117))</f>
        <v/>
      </c>
      <c r="Z117" s="13" t="str">
        <f>IF($X117="","",SUMIFS(TARIFF_PROFILES!$E:$E,TARIFF_PROFILES!$A:$A,$X117))</f>
        <v/>
      </c>
      <c r="AA117" s="13" t="str">
        <f>IF($X117="","",SUMIFS(TARIFF_PROFILES!$F:$F,TARIFF_PROFILES!$A:$A,$X117))</f>
        <v/>
      </c>
      <c r="AB117" s="13" t="str">
        <f>IF($X117="","",SUMIFS(TARIFF_PROFILES!$G:$G,TARIFF_PROFILES!$A:$A,$X117))</f>
        <v/>
      </c>
      <c r="AC117" s="13" t="str">
        <f>IF($X117="","",SUMIFS(TARIFF_PROFILES!$H:$H,TARIFF_PROFILES!$A:$A,$X117))</f>
        <v/>
      </c>
      <c r="AD117" s="13" t="str">
        <f>IF($X117="","",INDEX(TARIFF_PROFILES!$J:$J,MATCH($X117,TARIFF_PROFILES!$A:$A,0)))</f>
        <v/>
      </c>
      <c r="AE117" s="13" t="str">
        <f>IF($X117="","",INDEX(TARIFF_PROFILES!$K:$K,MATCH($X117,TARIFF_PROFILES!$A:$A,0)))</f>
        <v/>
      </c>
      <c r="AH117" t="str">
        <f>IF($AG117="","",SUMIFS(OPERATING_COEFFS!$C:$C,OPERATING_COEFFS!$A:$A,"DistanceClass",OPERATING_COEFFS!$B:$B,$AG117))</f>
        <v/>
      </c>
      <c r="AJ117" t="str">
        <f>IF($AI117="","",SUMIFS(OPERATING_COEFFS!$C:$C,OPERATING_COEFFS!$A:$A,"SeasonClass",OPERATING_COEFFS!$B:$B,$AI117))</f>
        <v/>
      </c>
      <c r="AL117" t="str">
        <f>IF($AK117="","",SUMIFS(OPERATING_COEFFS!$C:$C,OPERATING_COEFFS!$A:$A,"UrgencyClass",OPERATING_COEFFS!$B:$B,$AK117))</f>
        <v/>
      </c>
      <c r="AN117" t="str">
        <f>IF($AM117="","",INDEX(TAX_MODES!$B:$B,MATCH($AM117,TAX_MODES!$A:$A,0)))</f>
        <v/>
      </c>
    </row>
    <row r="118" spans="1:40" x14ac:dyDescent="0.3">
      <c r="A118" s="13"/>
      <c r="B118" s="13"/>
      <c r="C118" s="13"/>
      <c r="D118" s="21" t="str">
        <f>IF($C118="","",SUMIFS(SITE_COEFFS!$C:$C,SITE_COEFFS!$A:$A,"SoilWorkability",SITE_COEFFS!$B:$B,$C118))</f>
        <v/>
      </c>
      <c r="E118" s="13"/>
      <c r="F118" s="21" t="str">
        <f>IF($E118="","",SUMIFS(SITE_COEFFS!$C:$C,SITE_COEFFS!$A:$A,"SoilMoisture",SITE_COEFFS!$B:$B,$E118))</f>
        <v/>
      </c>
      <c r="G118" s="13"/>
      <c r="H118" s="21" t="str">
        <f>IF($G118="","",SUMIFS(SITE_COEFFS!$C:$C,SITE_COEFFS!$A:$A,"DebrisLevel",SITE_COEFFS!$B:$B,$G118))</f>
        <v/>
      </c>
      <c r="I118" s="13"/>
      <c r="J118" s="21" t="str">
        <f>IF($I118="","",SUMIFS(SITE_COEFFS!$C:$C,SITE_COEFFS!$A:$A,"SlopeClass",SITE_COEFFS!$B:$B,$I118))</f>
        <v/>
      </c>
      <c r="K118" s="13"/>
      <c r="L118" s="21" t="str">
        <f>IF($K118="","",SUMIFS(SITE_COEFFS!$C:$C,SITE_COEFFS!$A:$A,"SurfaceUnevenness",SITE_COEFFS!$B:$B,$K118))</f>
        <v/>
      </c>
      <c r="M118" s="13"/>
      <c r="N118" s="21" t="str">
        <f>IF($M118="","",SUMIFS(SITE_COEFFS!$C:$C,SITE_COEFFS!$A:$A,"AccessClass",SITE_COEFFS!$B:$B,$M118))</f>
        <v/>
      </c>
      <c r="O118" s="13"/>
      <c r="P118" s="21" t="str">
        <f>IF($O118="","",SUMIFS(SITE_COEFFS!$C:$C,SITE_COEFFS!$A:$A,"TurnSpace",SITE_COEFFS!$B:$B,$O118))</f>
        <v/>
      </c>
      <c r="Q118" s="13"/>
      <c r="R118" s="21" t="str">
        <f>IF($Q118="","",SUMIFS(SITE_COEFFS!$C:$C,SITE_COEFFS!$A:$A,"ProximityToBuildings",SITE_COEFFS!$B:$B,$Q118))</f>
        <v/>
      </c>
      <c r="S118" s="13"/>
      <c r="T118" s="21" t="str">
        <f>IF($S118="","",SUMIFS(SITE_COEFFS!$C:$C,SITE_COEFFS!$A:$A,"MachineryAllowed",SITE_COEFFS!$B:$B,$S118))</f>
        <v/>
      </c>
      <c r="U118" s="13"/>
      <c r="V118" s="13"/>
      <c r="W118" s="21" t="str">
        <f>IF($V118="","",SUMIFS(SITE_COEFFS!$C:$C,SITE_COEFFS!$A:$A,"GeometryComplexity",SITE_COEFFS!$B:$B,$V118))</f>
        <v/>
      </c>
      <c r="X118" s="13"/>
      <c r="Y118" s="13" t="str">
        <f>IF($X118="","",SUMIFS(TARIFF_PROFILES!$D:$D,TARIFF_PROFILES!$A:$A,$X118))</f>
        <v/>
      </c>
      <c r="Z118" s="13" t="str">
        <f>IF($X118="","",SUMIFS(TARIFF_PROFILES!$E:$E,TARIFF_PROFILES!$A:$A,$X118))</f>
        <v/>
      </c>
      <c r="AA118" s="13" t="str">
        <f>IF($X118="","",SUMIFS(TARIFF_PROFILES!$F:$F,TARIFF_PROFILES!$A:$A,$X118))</f>
        <v/>
      </c>
      <c r="AB118" s="13" t="str">
        <f>IF($X118="","",SUMIFS(TARIFF_PROFILES!$G:$G,TARIFF_PROFILES!$A:$A,$X118))</f>
        <v/>
      </c>
      <c r="AC118" s="13" t="str">
        <f>IF($X118="","",SUMIFS(TARIFF_PROFILES!$H:$H,TARIFF_PROFILES!$A:$A,$X118))</f>
        <v/>
      </c>
      <c r="AD118" s="13" t="str">
        <f>IF($X118="","",INDEX(TARIFF_PROFILES!$J:$J,MATCH($X118,TARIFF_PROFILES!$A:$A,0)))</f>
        <v/>
      </c>
      <c r="AE118" s="13" t="str">
        <f>IF($X118="","",INDEX(TARIFF_PROFILES!$K:$K,MATCH($X118,TARIFF_PROFILES!$A:$A,0)))</f>
        <v/>
      </c>
      <c r="AH118" t="str">
        <f>IF($AG118="","",SUMIFS(OPERATING_COEFFS!$C:$C,OPERATING_COEFFS!$A:$A,"DistanceClass",OPERATING_COEFFS!$B:$B,$AG118))</f>
        <v/>
      </c>
      <c r="AJ118" t="str">
        <f>IF($AI118="","",SUMIFS(OPERATING_COEFFS!$C:$C,OPERATING_COEFFS!$A:$A,"SeasonClass",OPERATING_COEFFS!$B:$B,$AI118))</f>
        <v/>
      </c>
      <c r="AL118" t="str">
        <f>IF($AK118="","",SUMIFS(OPERATING_COEFFS!$C:$C,OPERATING_COEFFS!$A:$A,"UrgencyClass",OPERATING_COEFFS!$B:$B,$AK118))</f>
        <v/>
      </c>
      <c r="AN118" t="str">
        <f>IF($AM118="","",INDEX(TAX_MODES!$B:$B,MATCH($AM118,TAX_MODES!$A:$A,0)))</f>
        <v/>
      </c>
    </row>
    <row r="119" spans="1:40" x14ac:dyDescent="0.3">
      <c r="A119" s="13"/>
      <c r="B119" s="13"/>
      <c r="C119" s="13"/>
      <c r="D119" s="21" t="str">
        <f>IF($C119="","",SUMIFS(SITE_COEFFS!$C:$C,SITE_COEFFS!$A:$A,"SoilWorkability",SITE_COEFFS!$B:$B,$C119))</f>
        <v/>
      </c>
      <c r="E119" s="13"/>
      <c r="F119" s="21" t="str">
        <f>IF($E119="","",SUMIFS(SITE_COEFFS!$C:$C,SITE_COEFFS!$A:$A,"SoilMoisture",SITE_COEFFS!$B:$B,$E119))</f>
        <v/>
      </c>
      <c r="G119" s="13"/>
      <c r="H119" s="21" t="str">
        <f>IF($G119="","",SUMIFS(SITE_COEFFS!$C:$C,SITE_COEFFS!$A:$A,"DebrisLevel",SITE_COEFFS!$B:$B,$G119))</f>
        <v/>
      </c>
      <c r="I119" s="13"/>
      <c r="J119" s="21" t="str">
        <f>IF($I119="","",SUMIFS(SITE_COEFFS!$C:$C,SITE_COEFFS!$A:$A,"SlopeClass",SITE_COEFFS!$B:$B,$I119))</f>
        <v/>
      </c>
      <c r="K119" s="13"/>
      <c r="L119" s="21" t="str">
        <f>IF($K119="","",SUMIFS(SITE_COEFFS!$C:$C,SITE_COEFFS!$A:$A,"SurfaceUnevenness",SITE_COEFFS!$B:$B,$K119))</f>
        <v/>
      </c>
      <c r="M119" s="13"/>
      <c r="N119" s="21" t="str">
        <f>IF($M119="","",SUMIFS(SITE_COEFFS!$C:$C,SITE_COEFFS!$A:$A,"AccessClass",SITE_COEFFS!$B:$B,$M119))</f>
        <v/>
      </c>
      <c r="O119" s="13"/>
      <c r="P119" s="21" t="str">
        <f>IF($O119="","",SUMIFS(SITE_COEFFS!$C:$C,SITE_COEFFS!$A:$A,"TurnSpace",SITE_COEFFS!$B:$B,$O119))</f>
        <v/>
      </c>
      <c r="Q119" s="13"/>
      <c r="R119" s="21" t="str">
        <f>IF($Q119="","",SUMIFS(SITE_COEFFS!$C:$C,SITE_COEFFS!$A:$A,"ProximityToBuildings",SITE_COEFFS!$B:$B,$Q119))</f>
        <v/>
      </c>
      <c r="S119" s="13"/>
      <c r="T119" s="21" t="str">
        <f>IF($S119="","",SUMIFS(SITE_COEFFS!$C:$C,SITE_COEFFS!$A:$A,"MachineryAllowed",SITE_COEFFS!$B:$B,$S119))</f>
        <v/>
      </c>
      <c r="U119" s="13"/>
      <c r="V119" s="13"/>
      <c r="W119" s="21" t="str">
        <f>IF($V119="","",SUMIFS(SITE_COEFFS!$C:$C,SITE_COEFFS!$A:$A,"GeometryComplexity",SITE_COEFFS!$B:$B,$V119))</f>
        <v/>
      </c>
      <c r="X119" s="13"/>
      <c r="Y119" s="13" t="str">
        <f>IF($X119="","",SUMIFS(TARIFF_PROFILES!$D:$D,TARIFF_PROFILES!$A:$A,$X119))</f>
        <v/>
      </c>
      <c r="Z119" s="13" t="str">
        <f>IF($X119="","",SUMIFS(TARIFF_PROFILES!$E:$E,TARIFF_PROFILES!$A:$A,$X119))</f>
        <v/>
      </c>
      <c r="AA119" s="13" t="str">
        <f>IF($X119="","",SUMIFS(TARIFF_PROFILES!$F:$F,TARIFF_PROFILES!$A:$A,$X119))</f>
        <v/>
      </c>
      <c r="AB119" s="13" t="str">
        <f>IF($X119="","",SUMIFS(TARIFF_PROFILES!$G:$G,TARIFF_PROFILES!$A:$A,$X119))</f>
        <v/>
      </c>
      <c r="AC119" s="13" t="str">
        <f>IF($X119="","",SUMIFS(TARIFF_PROFILES!$H:$H,TARIFF_PROFILES!$A:$A,$X119))</f>
        <v/>
      </c>
      <c r="AD119" s="13" t="str">
        <f>IF($X119="","",INDEX(TARIFF_PROFILES!$J:$J,MATCH($X119,TARIFF_PROFILES!$A:$A,0)))</f>
        <v/>
      </c>
      <c r="AE119" s="13" t="str">
        <f>IF($X119="","",INDEX(TARIFF_PROFILES!$K:$K,MATCH($X119,TARIFF_PROFILES!$A:$A,0)))</f>
        <v/>
      </c>
      <c r="AH119" t="str">
        <f>IF($AG119="","",SUMIFS(OPERATING_COEFFS!$C:$C,OPERATING_COEFFS!$A:$A,"DistanceClass",OPERATING_COEFFS!$B:$B,$AG119))</f>
        <v/>
      </c>
      <c r="AJ119" t="str">
        <f>IF($AI119="","",SUMIFS(OPERATING_COEFFS!$C:$C,OPERATING_COEFFS!$A:$A,"SeasonClass",OPERATING_COEFFS!$B:$B,$AI119))</f>
        <v/>
      </c>
      <c r="AL119" t="str">
        <f>IF($AK119="","",SUMIFS(OPERATING_COEFFS!$C:$C,OPERATING_COEFFS!$A:$A,"UrgencyClass",OPERATING_COEFFS!$B:$B,$AK119))</f>
        <v/>
      </c>
      <c r="AN119" t="str">
        <f>IF($AM119="","",INDEX(TAX_MODES!$B:$B,MATCH($AM119,TAX_MODES!$A:$A,0)))</f>
        <v/>
      </c>
    </row>
    <row r="120" spans="1:40" x14ac:dyDescent="0.3">
      <c r="A120" s="13"/>
      <c r="B120" s="13"/>
      <c r="C120" s="13"/>
      <c r="D120" s="21" t="str">
        <f>IF($C120="","",SUMIFS(SITE_COEFFS!$C:$C,SITE_COEFFS!$A:$A,"SoilWorkability",SITE_COEFFS!$B:$B,$C120))</f>
        <v/>
      </c>
      <c r="E120" s="13"/>
      <c r="F120" s="21" t="str">
        <f>IF($E120="","",SUMIFS(SITE_COEFFS!$C:$C,SITE_COEFFS!$A:$A,"SoilMoisture",SITE_COEFFS!$B:$B,$E120))</f>
        <v/>
      </c>
      <c r="G120" s="13"/>
      <c r="H120" s="21" t="str">
        <f>IF($G120="","",SUMIFS(SITE_COEFFS!$C:$C,SITE_COEFFS!$A:$A,"DebrisLevel",SITE_COEFFS!$B:$B,$G120))</f>
        <v/>
      </c>
      <c r="I120" s="13"/>
      <c r="J120" s="21" t="str">
        <f>IF($I120="","",SUMIFS(SITE_COEFFS!$C:$C,SITE_COEFFS!$A:$A,"SlopeClass",SITE_COEFFS!$B:$B,$I120))</f>
        <v/>
      </c>
      <c r="K120" s="13"/>
      <c r="L120" s="21" t="str">
        <f>IF($K120="","",SUMIFS(SITE_COEFFS!$C:$C,SITE_COEFFS!$A:$A,"SurfaceUnevenness",SITE_COEFFS!$B:$B,$K120))</f>
        <v/>
      </c>
      <c r="M120" s="13"/>
      <c r="N120" s="21" t="str">
        <f>IF($M120="","",SUMIFS(SITE_COEFFS!$C:$C,SITE_COEFFS!$A:$A,"AccessClass",SITE_COEFFS!$B:$B,$M120))</f>
        <v/>
      </c>
      <c r="O120" s="13"/>
      <c r="P120" s="21" t="str">
        <f>IF($O120="","",SUMIFS(SITE_COEFFS!$C:$C,SITE_COEFFS!$A:$A,"TurnSpace",SITE_COEFFS!$B:$B,$O120))</f>
        <v/>
      </c>
      <c r="Q120" s="13"/>
      <c r="R120" s="21" t="str">
        <f>IF($Q120="","",SUMIFS(SITE_COEFFS!$C:$C,SITE_COEFFS!$A:$A,"ProximityToBuildings",SITE_COEFFS!$B:$B,$Q120))</f>
        <v/>
      </c>
      <c r="S120" s="13"/>
      <c r="T120" s="21" t="str">
        <f>IF($S120="","",SUMIFS(SITE_COEFFS!$C:$C,SITE_COEFFS!$A:$A,"MachineryAllowed",SITE_COEFFS!$B:$B,$S120))</f>
        <v/>
      </c>
      <c r="U120" s="13"/>
      <c r="V120" s="13"/>
      <c r="W120" s="21" t="str">
        <f>IF($V120="","",SUMIFS(SITE_COEFFS!$C:$C,SITE_COEFFS!$A:$A,"GeometryComplexity",SITE_COEFFS!$B:$B,$V120))</f>
        <v/>
      </c>
      <c r="X120" s="13"/>
      <c r="Y120" s="13" t="str">
        <f>IF($X120="","",SUMIFS(TARIFF_PROFILES!$D:$D,TARIFF_PROFILES!$A:$A,$X120))</f>
        <v/>
      </c>
      <c r="Z120" s="13" t="str">
        <f>IF($X120="","",SUMIFS(TARIFF_PROFILES!$E:$E,TARIFF_PROFILES!$A:$A,$X120))</f>
        <v/>
      </c>
      <c r="AA120" s="13" t="str">
        <f>IF($X120="","",SUMIFS(TARIFF_PROFILES!$F:$F,TARIFF_PROFILES!$A:$A,$X120))</f>
        <v/>
      </c>
      <c r="AB120" s="13" t="str">
        <f>IF($X120="","",SUMIFS(TARIFF_PROFILES!$G:$G,TARIFF_PROFILES!$A:$A,$X120))</f>
        <v/>
      </c>
      <c r="AC120" s="13" t="str">
        <f>IF($X120="","",SUMIFS(TARIFF_PROFILES!$H:$H,TARIFF_PROFILES!$A:$A,$X120))</f>
        <v/>
      </c>
      <c r="AD120" s="13" t="str">
        <f>IF($X120="","",INDEX(TARIFF_PROFILES!$J:$J,MATCH($X120,TARIFF_PROFILES!$A:$A,0)))</f>
        <v/>
      </c>
      <c r="AE120" s="13" t="str">
        <f>IF($X120="","",INDEX(TARIFF_PROFILES!$K:$K,MATCH($X120,TARIFF_PROFILES!$A:$A,0)))</f>
        <v/>
      </c>
      <c r="AH120" t="str">
        <f>IF($AG120="","",SUMIFS(OPERATING_COEFFS!$C:$C,OPERATING_COEFFS!$A:$A,"DistanceClass",OPERATING_COEFFS!$B:$B,$AG120))</f>
        <v/>
      </c>
      <c r="AJ120" t="str">
        <f>IF($AI120="","",SUMIFS(OPERATING_COEFFS!$C:$C,OPERATING_COEFFS!$A:$A,"SeasonClass",OPERATING_COEFFS!$B:$B,$AI120))</f>
        <v/>
      </c>
      <c r="AL120" t="str">
        <f>IF($AK120="","",SUMIFS(OPERATING_COEFFS!$C:$C,OPERATING_COEFFS!$A:$A,"UrgencyClass",OPERATING_COEFFS!$B:$B,$AK120))</f>
        <v/>
      </c>
      <c r="AN120" t="str">
        <f>IF($AM120="","",INDEX(TAX_MODES!$B:$B,MATCH($AM120,TAX_MODES!$A:$A,0)))</f>
        <v/>
      </c>
    </row>
    <row r="121" spans="1:40" x14ac:dyDescent="0.3">
      <c r="A121" s="13"/>
      <c r="B121" s="13"/>
      <c r="C121" s="13"/>
      <c r="D121" s="21" t="str">
        <f>IF($C121="","",SUMIFS(SITE_COEFFS!$C:$C,SITE_COEFFS!$A:$A,"SoilWorkability",SITE_COEFFS!$B:$B,$C121))</f>
        <v/>
      </c>
      <c r="E121" s="13"/>
      <c r="F121" s="21" t="str">
        <f>IF($E121="","",SUMIFS(SITE_COEFFS!$C:$C,SITE_COEFFS!$A:$A,"SoilMoisture",SITE_COEFFS!$B:$B,$E121))</f>
        <v/>
      </c>
      <c r="G121" s="13"/>
      <c r="H121" s="21" t="str">
        <f>IF($G121="","",SUMIFS(SITE_COEFFS!$C:$C,SITE_COEFFS!$A:$A,"DebrisLevel",SITE_COEFFS!$B:$B,$G121))</f>
        <v/>
      </c>
      <c r="I121" s="13"/>
      <c r="J121" s="21" t="str">
        <f>IF($I121="","",SUMIFS(SITE_COEFFS!$C:$C,SITE_COEFFS!$A:$A,"SlopeClass",SITE_COEFFS!$B:$B,$I121))</f>
        <v/>
      </c>
      <c r="K121" s="13"/>
      <c r="L121" s="21" t="str">
        <f>IF($K121="","",SUMIFS(SITE_COEFFS!$C:$C,SITE_COEFFS!$A:$A,"SurfaceUnevenness",SITE_COEFFS!$B:$B,$K121))</f>
        <v/>
      </c>
      <c r="M121" s="13"/>
      <c r="N121" s="21" t="str">
        <f>IF($M121="","",SUMIFS(SITE_COEFFS!$C:$C,SITE_COEFFS!$A:$A,"AccessClass",SITE_COEFFS!$B:$B,$M121))</f>
        <v/>
      </c>
      <c r="O121" s="13"/>
      <c r="P121" s="21" t="str">
        <f>IF($O121="","",SUMIFS(SITE_COEFFS!$C:$C,SITE_COEFFS!$A:$A,"TurnSpace",SITE_COEFFS!$B:$B,$O121))</f>
        <v/>
      </c>
      <c r="Q121" s="13"/>
      <c r="R121" s="21" t="str">
        <f>IF($Q121="","",SUMIFS(SITE_COEFFS!$C:$C,SITE_COEFFS!$A:$A,"ProximityToBuildings",SITE_COEFFS!$B:$B,$Q121))</f>
        <v/>
      </c>
      <c r="S121" s="13"/>
      <c r="T121" s="21" t="str">
        <f>IF($S121="","",SUMIFS(SITE_COEFFS!$C:$C,SITE_COEFFS!$A:$A,"MachineryAllowed",SITE_COEFFS!$B:$B,$S121))</f>
        <v/>
      </c>
      <c r="U121" s="13"/>
      <c r="V121" s="13"/>
      <c r="W121" s="21" t="str">
        <f>IF($V121="","",SUMIFS(SITE_COEFFS!$C:$C,SITE_COEFFS!$A:$A,"GeometryComplexity",SITE_COEFFS!$B:$B,$V121))</f>
        <v/>
      </c>
      <c r="X121" s="13"/>
      <c r="Y121" s="13" t="str">
        <f>IF($X121="","",SUMIFS(TARIFF_PROFILES!$D:$D,TARIFF_PROFILES!$A:$A,$X121))</f>
        <v/>
      </c>
      <c r="Z121" s="13" t="str">
        <f>IF($X121="","",SUMIFS(TARIFF_PROFILES!$E:$E,TARIFF_PROFILES!$A:$A,$X121))</f>
        <v/>
      </c>
      <c r="AA121" s="13" t="str">
        <f>IF($X121="","",SUMIFS(TARIFF_PROFILES!$F:$F,TARIFF_PROFILES!$A:$A,$X121))</f>
        <v/>
      </c>
      <c r="AB121" s="13" t="str">
        <f>IF($X121="","",SUMIFS(TARIFF_PROFILES!$G:$G,TARIFF_PROFILES!$A:$A,$X121))</f>
        <v/>
      </c>
      <c r="AC121" s="13" t="str">
        <f>IF($X121="","",SUMIFS(TARIFF_PROFILES!$H:$H,TARIFF_PROFILES!$A:$A,$X121))</f>
        <v/>
      </c>
      <c r="AD121" s="13" t="str">
        <f>IF($X121="","",INDEX(TARIFF_PROFILES!$J:$J,MATCH($X121,TARIFF_PROFILES!$A:$A,0)))</f>
        <v/>
      </c>
      <c r="AE121" s="13" t="str">
        <f>IF($X121="","",INDEX(TARIFF_PROFILES!$K:$K,MATCH($X121,TARIFF_PROFILES!$A:$A,0)))</f>
        <v/>
      </c>
      <c r="AH121" t="str">
        <f>IF($AG121="","",SUMIFS(OPERATING_COEFFS!$C:$C,OPERATING_COEFFS!$A:$A,"DistanceClass",OPERATING_COEFFS!$B:$B,$AG121))</f>
        <v/>
      </c>
      <c r="AJ121" t="str">
        <f>IF($AI121="","",SUMIFS(OPERATING_COEFFS!$C:$C,OPERATING_COEFFS!$A:$A,"SeasonClass",OPERATING_COEFFS!$B:$B,$AI121))</f>
        <v/>
      </c>
      <c r="AL121" t="str">
        <f>IF($AK121="","",SUMIFS(OPERATING_COEFFS!$C:$C,OPERATING_COEFFS!$A:$A,"UrgencyClass",OPERATING_COEFFS!$B:$B,$AK121))</f>
        <v/>
      </c>
      <c r="AN121" t="str">
        <f>IF($AM121="","",INDEX(TAX_MODES!$B:$B,MATCH($AM121,TAX_MODES!$A:$A,0)))</f>
        <v/>
      </c>
    </row>
    <row r="122" spans="1:40" x14ac:dyDescent="0.3">
      <c r="A122" s="13"/>
      <c r="B122" s="13"/>
      <c r="C122" s="13"/>
      <c r="D122" s="21" t="str">
        <f>IF($C122="","",SUMIFS(SITE_COEFFS!$C:$C,SITE_COEFFS!$A:$A,"SoilWorkability",SITE_COEFFS!$B:$B,$C122))</f>
        <v/>
      </c>
      <c r="E122" s="13"/>
      <c r="F122" s="21" t="str">
        <f>IF($E122="","",SUMIFS(SITE_COEFFS!$C:$C,SITE_COEFFS!$A:$A,"SoilMoisture",SITE_COEFFS!$B:$B,$E122))</f>
        <v/>
      </c>
      <c r="G122" s="13"/>
      <c r="H122" s="21" t="str">
        <f>IF($G122="","",SUMIFS(SITE_COEFFS!$C:$C,SITE_COEFFS!$A:$A,"DebrisLevel",SITE_COEFFS!$B:$B,$G122))</f>
        <v/>
      </c>
      <c r="I122" s="13"/>
      <c r="J122" s="21" t="str">
        <f>IF($I122="","",SUMIFS(SITE_COEFFS!$C:$C,SITE_COEFFS!$A:$A,"SlopeClass",SITE_COEFFS!$B:$B,$I122))</f>
        <v/>
      </c>
      <c r="K122" s="13"/>
      <c r="L122" s="21" t="str">
        <f>IF($K122="","",SUMIFS(SITE_COEFFS!$C:$C,SITE_COEFFS!$A:$A,"SurfaceUnevenness",SITE_COEFFS!$B:$B,$K122))</f>
        <v/>
      </c>
      <c r="M122" s="13"/>
      <c r="N122" s="21" t="str">
        <f>IF($M122="","",SUMIFS(SITE_COEFFS!$C:$C,SITE_COEFFS!$A:$A,"AccessClass",SITE_COEFFS!$B:$B,$M122))</f>
        <v/>
      </c>
      <c r="O122" s="13"/>
      <c r="P122" s="21" t="str">
        <f>IF($O122="","",SUMIFS(SITE_COEFFS!$C:$C,SITE_COEFFS!$A:$A,"TurnSpace",SITE_COEFFS!$B:$B,$O122))</f>
        <v/>
      </c>
      <c r="Q122" s="13"/>
      <c r="R122" s="21" t="str">
        <f>IF($Q122="","",SUMIFS(SITE_COEFFS!$C:$C,SITE_COEFFS!$A:$A,"ProximityToBuildings",SITE_COEFFS!$B:$B,$Q122))</f>
        <v/>
      </c>
      <c r="S122" s="13"/>
      <c r="T122" s="21" t="str">
        <f>IF($S122="","",SUMIFS(SITE_COEFFS!$C:$C,SITE_COEFFS!$A:$A,"MachineryAllowed",SITE_COEFFS!$B:$B,$S122))</f>
        <v/>
      </c>
      <c r="U122" s="13"/>
      <c r="V122" s="13"/>
      <c r="W122" s="21" t="str">
        <f>IF($V122="","",SUMIFS(SITE_COEFFS!$C:$C,SITE_COEFFS!$A:$A,"GeometryComplexity",SITE_COEFFS!$B:$B,$V122))</f>
        <v/>
      </c>
      <c r="X122" s="13"/>
      <c r="Y122" s="13" t="str">
        <f>IF($X122="","",SUMIFS(TARIFF_PROFILES!$D:$D,TARIFF_PROFILES!$A:$A,$X122))</f>
        <v/>
      </c>
      <c r="Z122" s="13" t="str">
        <f>IF($X122="","",SUMIFS(TARIFF_PROFILES!$E:$E,TARIFF_PROFILES!$A:$A,$X122))</f>
        <v/>
      </c>
      <c r="AA122" s="13" t="str">
        <f>IF($X122="","",SUMIFS(TARIFF_PROFILES!$F:$F,TARIFF_PROFILES!$A:$A,$X122))</f>
        <v/>
      </c>
      <c r="AB122" s="13" t="str">
        <f>IF($X122="","",SUMIFS(TARIFF_PROFILES!$G:$G,TARIFF_PROFILES!$A:$A,$X122))</f>
        <v/>
      </c>
      <c r="AC122" s="13" t="str">
        <f>IF($X122="","",SUMIFS(TARIFF_PROFILES!$H:$H,TARIFF_PROFILES!$A:$A,$X122))</f>
        <v/>
      </c>
      <c r="AD122" s="13" t="str">
        <f>IF($X122="","",INDEX(TARIFF_PROFILES!$J:$J,MATCH($X122,TARIFF_PROFILES!$A:$A,0)))</f>
        <v/>
      </c>
      <c r="AE122" s="13" t="str">
        <f>IF($X122="","",INDEX(TARIFF_PROFILES!$K:$K,MATCH($X122,TARIFF_PROFILES!$A:$A,0)))</f>
        <v/>
      </c>
      <c r="AH122" t="str">
        <f>IF($AG122="","",SUMIFS(OPERATING_COEFFS!$C:$C,OPERATING_COEFFS!$A:$A,"DistanceClass",OPERATING_COEFFS!$B:$B,$AG122))</f>
        <v/>
      </c>
      <c r="AJ122" t="str">
        <f>IF($AI122="","",SUMIFS(OPERATING_COEFFS!$C:$C,OPERATING_COEFFS!$A:$A,"SeasonClass",OPERATING_COEFFS!$B:$B,$AI122))</f>
        <v/>
      </c>
      <c r="AL122" t="str">
        <f>IF($AK122="","",SUMIFS(OPERATING_COEFFS!$C:$C,OPERATING_COEFFS!$A:$A,"UrgencyClass",OPERATING_COEFFS!$B:$B,$AK122))</f>
        <v/>
      </c>
      <c r="AN122" t="str">
        <f>IF($AM122="","",INDEX(TAX_MODES!$B:$B,MATCH($AM122,TAX_MODES!$A:$A,0)))</f>
        <v/>
      </c>
    </row>
    <row r="123" spans="1:40" x14ac:dyDescent="0.3">
      <c r="A123" s="13"/>
      <c r="B123" s="13"/>
      <c r="C123" s="13"/>
      <c r="D123" s="21" t="str">
        <f>IF($C123="","",SUMIFS(SITE_COEFFS!$C:$C,SITE_COEFFS!$A:$A,"SoilWorkability",SITE_COEFFS!$B:$B,$C123))</f>
        <v/>
      </c>
      <c r="E123" s="13"/>
      <c r="F123" s="21" t="str">
        <f>IF($E123="","",SUMIFS(SITE_COEFFS!$C:$C,SITE_COEFFS!$A:$A,"SoilMoisture",SITE_COEFFS!$B:$B,$E123))</f>
        <v/>
      </c>
      <c r="G123" s="13"/>
      <c r="H123" s="21" t="str">
        <f>IF($G123="","",SUMIFS(SITE_COEFFS!$C:$C,SITE_COEFFS!$A:$A,"DebrisLevel",SITE_COEFFS!$B:$B,$G123))</f>
        <v/>
      </c>
      <c r="I123" s="13"/>
      <c r="J123" s="21" t="str">
        <f>IF($I123="","",SUMIFS(SITE_COEFFS!$C:$C,SITE_COEFFS!$A:$A,"SlopeClass",SITE_COEFFS!$B:$B,$I123))</f>
        <v/>
      </c>
      <c r="K123" s="13"/>
      <c r="L123" s="21" t="str">
        <f>IF($K123="","",SUMIFS(SITE_COEFFS!$C:$C,SITE_COEFFS!$A:$A,"SurfaceUnevenness",SITE_COEFFS!$B:$B,$K123))</f>
        <v/>
      </c>
      <c r="M123" s="13"/>
      <c r="N123" s="21" t="str">
        <f>IF($M123="","",SUMIFS(SITE_COEFFS!$C:$C,SITE_COEFFS!$A:$A,"AccessClass",SITE_COEFFS!$B:$B,$M123))</f>
        <v/>
      </c>
      <c r="O123" s="13"/>
      <c r="P123" s="21" t="str">
        <f>IF($O123="","",SUMIFS(SITE_COEFFS!$C:$C,SITE_COEFFS!$A:$A,"TurnSpace",SITE_COEFFS!$B:$B,$O123))</f>
        <v/>
      </c>
      <c r="Q123" s="13"/>
      <c r="R123" s="21" t="str">
        <f>IF($Q123="","",SUMIFS(SITE_COEFFS!$C:$C,SITE_COEFFS!$A:$A,"ProximityToBuildings",SITE_COEFFS!$B:$B,$Q123))</f>
        <v/>
      </c>
      <c r="S123" s="13"/>
      <c r="T123" s="21" t="str">
        <f>IF($S123="","",SUMIFS(SITE_COEFFS!$C:$C,SITE_COEFFS!$A:$A,"MachineryAllowed",SITE_COEFFS!$B:$B,$S123))</f>
        <v/>
      </c>
      <c r="U123" s="13"/>
      <c r="V123" s="13"/>
      <c r="W123" s="21" t="str">
        <f>IF($V123="","",SUMIFS(SITE_COEFFS!$C:$C,SITE_COEFFS!$A:$A,"GeometryComplexity",SITE_COEFFS!$B:$B,$V123))</f>
        <v/>
      </c>
      <c r="X123" s="13"/>
      <c r="Y123" s="13" t="str">
        <f>IF($X123="","",SUMIFS(TARIFF_PROFILES!$D:$D,TARIFF_PROFILES!$A:$A,$X123))</f>
        <v/>
      </c>
      <c r="Z123" s="13" t="str">
        <f>IF($X123="","",SUMIFS(TARIFF_PROFILES!$E:$E,TARIFF_PROFILES!$A:$A,$X123))</f>
        <v/>
      </c>
      <c r="AA123" s="13" t="str">
        <f>IF($X123="","",SUMIFS(TARIFF_PROFILES!$F:$F,TARIFF_PROFILES!$A:$A,$X123))</f>
        <v/>
      </c>
      <c r="AB123" s="13" t="str">
        <f>IF($X123="","",SUMIFS(TARIFF_PROFILES!$G:$G,TARIFF_PROFILES!$A:$A,$X123))</f>
        <v/>
      </c>
      <c r="AC123" s="13" t="str">
        <f>IF($X123="","",SUMIFS(TARIFF_PROFILES!$H:$H,TARIFF_PROFILES!$A:$A,$X123))</f>
        <v/>
      </c>
      <c r="AD123" s="13" t="str">
        <f>IF($X123="","",INDEX(TARIFF_PROFILES!$J:$J,MATCH($X123,TARIFF_PROFILES!$A:$A,0)))</f>
        <v/>
      </c>
      <c r="AE123" s="13" t="str">
        <f>IF($X123="","",INDEX(TARIFF_PROFILES!$K:$K,MATCH($X123,TARIFF_PROFILES!$A:$A,0)))</f>
        <v/>
      </c>
      <c r="AH123" t="str">
        <f>IF($AG123="","",SUMIFS(OPERATING_COEFFS!$C:$C,OPERATING_COEFFS!$A:$A,"DistanceClass",OPERATING_COEFFS!$B:$B,$AG123))</f>
        <v/>
      </c>
      <c r="AJ123" t="str">
        <f>IF($AI123="","",SUMIFS(OPERATING_COEFFS!$C:$C,OPERATING_COEFFS!$A:$A,"SeasonClass",OPERATING_COEFFS!$B:$B,$AI123))</f>
        <v/>
      </c>
      <c r="AL123" t="str">
        <f>IF($AK123="","",SUMIFS(OPERATING_COEFFS!$C:$C,OPERATING_COEFFS!$A:$A,"UrgencyClass",OPERATING_COEFFS!$B:$B,$AK123))</f>
        <v/>
      </c>
      <c r="AN123" t="str">
        <f>IF($AM123="","",INDEX(TAX_MODES!$B:$B,MATCH($AM123,TAX_MODES!$A:$A,0)))</f>
        <v/>
      </c>
    </row>
    <row r="124" spans="1:40" x14ac:dyDescent="0.3">
      <c r="A124" s="13"/>
      <c r="B124" s="13"/>
      <c r="C124" s="13"/>
      <c r="D124" s="21" t="str">
        <f>IF($C124="","",SUMIFS(SITE_COEFFS!$C:$C,SITE_COEFFS!$A:$A,"SoilWorkability",SITE_COEFFS!$B:$B,$C124))</f>
        <v/>
      </c>
      <c r="E124" s="13"/>
      <c r="F124" s="21" t="str">
        <f>IF($E124="","",SUMIFS(SITE_COEFFS!$C:$C,SITE_COEFFS!$A:$A,"SoilMoisture",SITE_COEFFS!$B:$B,$E124))</f>
        <v/>
      </c>
      <c r="G124" s="13"/>
      <c r="H124" s="21" t="str">
        <f>IF($G124="","",SUMIFS(SITE_COEFFS!$C:$C,SITE_COEFFS!$A:$A,"DebrisLevel",SITE_COEFFS!$B:$B,$G124))</f>
        <v/>
      </c>
      <c r="I124" s="13"/>
      <c r="J124" s="21" t="str">
        <f>IF($I124="","",SUMIFS(SITE_COEFFS!$C:$C,SITE_COEFFS!$A:$A,"SlopeClass",SITE_COEFFS!$B:$B,$I124))</f>
        <v/>
      </c>
      <c r="K124" s="13"/>
      <c r="L124" s="21" t="str">
        <f>IF($K124="","",SUMIFS(SITE_COEFFS!$C:$C,SITE_COEFFS!$A:$A,"SurfaceUnevenness",SITE_COEFFS!$B:$B,$K124))</f>
        <v/>
      </c>
      <c r="M124" s="13"/>
      <c r="N124" s="21" t="str">
        <f>IF($M124="","",SUMIFS(SITE_COEFFS!$C:$C,SITE_COEFFS!$A:$A,"AccessClass",SITE_COEFFS!$B:$B,$M124))</f>
        <v/>
      </c>
      <c r="O124" s="13"/>
      <c r="P124" s="21" t="str">
        <f>IF($O124="","",SUMIFS(SITE_COEFFS!$C:$C,SITE_COEFFS!$A:$A,"TurnSpace",SITE_COEFFS!$B:$B,$O124))</f>
        <v/>
      </c>
      <c r="Q124" s="13"/>
      <c r="R124" s="21" t="str">
        <f>IF($Q124="","",SUMIFS(SITE_COEFFS!$C:$C,SITE_COEFFS!$A:$A,"ProximityToBuildings",SITE_COEFFS!$B:$B,$Q124))</f>
        <v/>
      </c>
      <c r="S124" s="13"/>
      <c r="T124" s="21" t="str">
        <f>IF($S124="","",SUMIFS(SITE_COEFFS!$C:$C,SITE_COEFFS!$A:$A,"MachineryAllowed",SITE_COEFFS!$B:$B,$S124))</f>
        <v/>
      </c>
      <c r="U124" s="13"/>
      <c r="V124" s="13"/>
      <c r="W124" s="21" t="str">
        <f>IF($V124="","",SUMIFS(SITE_COEFFS!$C:$C,SITE_COEFFS!$A:$A,"GeometryComplexity",SITE_COEFFS!$B:$B,$V124))</f>
        <v/>
      </c>
      <c r="X124" s="13"/>
      <c r="Y124" s="13" t="str">
        <f>IF($X124="","",SUMIFS(TARIFF_PROFILES!$D:$D,TARIFF_PROFILES!$A:$A,$X124))</f>
        <v/>
      </c>
      <c r="Z124" s="13" t="str">
        <f>IF($X124="","",SUMIFS(TARIFF_PROFILES!$E:$E,TARIFF_PROFILES!$A:$A,$X124))</f>
        <v/>
      </c>
      <c r="AA124" s="13" t="str">
        <f>IF($X124="","",SUMIFS(TARIFF_PROFILES!$F:$F,TARIFF_PROFILES!$A:$A,$X124))</f>
        <v/>
      </c>
      <c r="AB124" s="13" t="str">
        <f>IF($X124="","",SUMIFS(TARIFF_PROFILES!$G:$G,TARIFF_PROFILES!$A:$A,$X124))</f>
        <v/>
      </c>
      <c r="AC124" s="13" t="str">
        <f>IF($X124="","",SUMIFS(TARIFF_PROFILES!$H:$H,TARIFF_PROFILES!$A:$A,$X124))</f>
        <v/>
      </c>
      <c r="AD124" s="13" t="str">
        <f>IF($X124="","",INDEX(TARIFF_PROFILES!$J:$J,MATCH($X124,TARIFF_PROFILES!$A:$A,0)))</f>
        <v/>
      </c>
      <c r="AE124" s="13" t="str">
        <f>IF($X124="","",INDEX(TARIFF_PROFILES!$K:$K,MATCH($X124,TARIFF_PROFILES!$A:$A,0)))</f>
        <v/>
      </c>
      <c r="AH124" t="str">
        <f>IF($AG124="","",SUMIFS(OPERATING_COEFFS!$C:$C,OPERATING_COEFFS!$A:$A,"DistanceClass",OPERATING_COEFFS!$B:$B,$AG124))</f>
        <v/>
      </c>
      <c r="AJ124" t="str">
        <f>IF($AI124="","",SUMIFS(OPERATING_COEFFS!$C:$C,OPERATING_COEFFS!$A:$A,"SeasonClass",OPERATING_COEFFS!$B:$B,$AI124))</f>
        <v/>
      </c>
      <c r="AL124" t="str">
        <f>IF($AK124="","",SUMIFS(OPERATING_COEFFS!$C:$C,OPERATING_COEFFS!$A:$A,"UrgencyClass",OPERATING_COEFFS!$B:$B,$AK124))</f>
        <v/>
      </c>
      <c r="AN124" t="str">
        <f>IF($AM124="","",INDEX(TAX_MODES!$B:$B,MATCH($AM124,TAX_MODES!$A:$A,0)))</f>
        <v/>
      </c>
    </row>
    <row r="125" spans="1:40" x14ac:dyDescent="0.3">
      <c r="A125" s="13"/>
      <c r="B125" s="13"/>
      <c r="C125" s="13"/>
      <c r="D125" s="21" t="str">
        <f>IF($C125="","",SUMIFS(SITE_COEFFS!$C:$C,SITE_COEFFS!$A:$A,"SoilWorkability",SITE_COEFFS!$B:$B,$C125))</f>
        <v/>
      </c>
      <c r="E125" s="13"/>
      <c r="F125" s="21" t="str">
        <f>IF($E125="","",SUMIFS(SITE_COEFFS!$C:$C,SITE_COEFFS!$A:$A,"SoilMoisture",SITE_COEFFS!$B:$B,$E125))</f>
        <v/>
      </c>
      <c r="G125" s="13"/>
      <c r="H125" s="21" t="str">
        <f>IF($G125="","",SUMIFS(SITE_COEFFS!$C:$C,SITE_COEFFS!$A:$A,"DebrisLevel",SITE_COEFFS!$B:$B,$G125))</f>
        <v/>
      </c>
      <c r="I125" s="13"/>
      <c r="J125" s="21" t="str">
        <f>IF($I125="","",SUMIFS(SITE_COEFFS!$C:$C,SITE_COEFFS!$A:$A,"SlopeClass",SITE_COEFFS!$B:$B,$I125))</f>
        <v/>
      </c>
      <c r="K125" s="13"/>
      <c r="L125" s="21" t="str">
        <f>IF($K125="","",SUMIFS(SITE_COEFFS!$C:$C,SITE_COEFFS!$A:$A,"SurfaceUnevenness",SITE_COEFFS!$B:$B,$K125))</f>
        <v/>
      </c>
      <c r="M125" s="13"/>
      <c r="N125" s="21" t="str">
        <f>IF($M125="","",SUMIFS(SITE_COEFFS!$C:$C,SITE_COEFFS!$A:$A,"AccessClass",SITE_COEFFS!$B:$B,$M125))</f>
        <v/>
      </c>
      <c r="O125" s="13"/>
      <c r="P125" s="21" t="str">
        <f>IF($O125="","",SUMIFS(SITE_COEFFS!$C:$C,SITE_COEFFS!$A:$A,"TurnSpace",SITE_COEFFS!$B:$B,$O125))</f>
        <v/>
      </c>
      <c r="Q125" s="13"/>
      <c r="R125" s="21" t="str">
        <f>IF($Q125="","",SUMIFS(SITE_COEFFS!$C:$C,SITE_COEFFS!$A:$A,"ProximityToBuildings",SITE_COEFFS!$B:$B,$Q125))</f>
        <v/>
      </c>
      <c r="S125" s="13"/>
      <c r="T125" s="21" t="str">
        <f>IF($S125="","",SUMIFS(SITE_COEFFS!$C:$C,SITE_COEFFS!$A:$A,"MachineryAllowed",SITE_COEFFS!$B:$B,$S125))</f>
        <v/>
      </c>
      <c r="U125" s="13"/>
      <c r="V125" s="13"/>
      <c r="W125" s="21" t="str">
        <f>IF($V125="","",SUMIFS(SITE_COEFFS!$C:$C,SITE_COEFFS!$A:$A,"GeometryComplexity",SITE_COEFFS!$B:$B,$V125))</f>
        <v/>
      </c>
      <c r="X125" s="13"/>
      <c r="Y125" s="13" t="str">
        <f>IF($X125="","",SUMIFS(TARIFF_PROFILES!$D:$D,TARIFF_PROFILES!$A:$A,$X125))</f>
        <v/>
      </c>
      <c r="Z125" s="13" t="str">
        <f>IF($X125="","",SUMIFS(TARIFF_PROFILES!$E:$E,TARIFF_PROFILES!$A:$A,$X125))</f>
        <v/>
      </c>
      <c r="AA125" s="13" t="str">
        <f>IF($X125="","",SUMIFS(TARIFF_PROFILES!$F:$F,TARIFF_PROFILES!$A:$A,$X125))</f>
        <v/>
      </c>
      <c r="AB125" s="13" t="str">
        <f>IF($X125="","",SUMIFS(TARIFF_PROFILES!$G:$G,TARIFF_PROFILES!$A:$A,$X125))</f>
        <v/>
      </c>
      <c r="AC125" s="13" t="str">
        <f>IF($X125="","",SUMIFS(TARIFF_PROFILES!$H:$H,TARIFF_PROFILES!$A:$A,$X125))</f>
        <v/>
      </c>
      <c r="AD125" s="13" t="str">
        <f>IF($X125="","",INDEX(TARIFF_PROFILES!$J:$J,MATCH($X125,TARIFF_PROFILES!$A:$A,0)))</f>
        <v/>
      </c>
      <c r="AE125" s="13" t="str">
        <f>IF($X125="","",INDEX(TARIFF_PROFILES!$K:$K,MATCH($X125,TARIFF_PROFILES!$A:$A,0)))</f>
        <v/>
      </c>
      <c r="AH125" t="str">
        <f>IF($AG125="","",SUMIFS(OPERATING_COEFFS!$C:$C,OPERATING_COEFFS!$A:$A,"DistanceClass",OPERATING_COEFFS!$B:$B,$AG125))</f>
        <v/>
      </c>
      <c r="AJ125" t="str">
        <f>IF($AI125="","",SUMIFS(OPERATING_COEFFS!$C:$C,OPERATING_COEFFS!$A:$A,"SeasonClass",OPERATING_COEFFS!$B:$B,$AI125))</f>
        <v/>
      </c>
      <c r="AL125" t="str">
        <f>IF($AK125="","",SUMIFS(OPERATING_COEFFS!$C:$C,OPERATING_COEFFS!$A:$A,"UrgencyClass",OPERATING_COEFFS!$B:$B,$AK125))</f>
        <v/>
      </c>
      <c r="AN125" t="str">
        <f>IF($AM125="","",INDEX(TAX_MODES!$B:$B,MATCH($AM125,TAX_MODES!$A:$A,0)))</f>
        <v/>
      </c>
    </row>
    <row r="126" spans="1:40" x14ac:dyDescent="0.3">
      <c r="A126" s="13"/>
      <c r="B126" s="13"/>
      <c r="C126" s="13"/>
      <c r="D126" s="21" t="str">
        <f>IF($C126="","",SUMIFS(SITE_COEFFS!$C:$C,SITE_COEFFS!$A:$A,"SoilWorkability",SITE_COEFFS!$B:$B,$C126))</f>
        <v/>
      </c>
      <c r="E126" s="13"/>
      <c r="F126" s="21" t="str">
        <f>IF($E126="","",SUMIFS(SITE_COEFFS!$C:$C,SITE_COEFFS!$A:$A,"SoilMoisture",SITE_COEFFS!$B:$B,$E126))</f>
        <v/>
      </c>
      <c r="G126" s="13"/>
      <c r="H126" s="21" t="str">
        <f>IF($G126="","",SUMIFS(SITE_COEFFS!$C:$C,SITE_COEFFS!$A:$A,"DebrisLevel",SITE_COEFFS!$B:$B,$G126))</f>
        <v/>
      </c>
      <c r="I126" s="13"/>
      <c r="J126" s="21" t="str">
        <f>IF($I126="","",SUMIFS(SITE_COEFFS!$C:$C,SITE_COEFFS!$A:$A,"SlopeClass",SITE_COEFFS!$B:$B,$I126))</f>
        <v/>
      </c>
      <c r="K126" s="13"/>
      <c r="L126" s="21" t="str">
        <f>IF($K126="","",SUMIFS(SITE_COEFFS!$C:$C,SITE_COEFFS!$A:$A,"SurfaceUnevenness",SITE_COEFFS!$B:$B,$K126))</f>
        <v/>
      </c>
      <c r="M126" s="13"/>
      <c r="N126" s="21" t="str">
        <f>IF($M126="","",SUMIFS(SITE_COEFFS!$C:$C,SITE_COEFFS!$A:$A,"AccessClass",SITE_COEFFS!$B:$B,$M126))</f>
        <v/>
      </c>
      <c r="O126" s="13"/>
      <c r="P126" s="21" t="str">
        <f>IF($O126="","",SUMIFS(SITE_COEFFS!$C:$C,SITE_COEFFS!$A:$A,"TurnSpace",SITE_COEFFS!$B:$B,$O126))</f>
        <v/>
      </c>
      <c r="Q126" s="13"/>
      <c r="R126" s="21" t="str">
        <f>IF($Q126="","",SUMIFS(SITE_COEFFS!$C:$C,SITE_COEFFS!$A:$A,"ProximityToBuildings",SITE_COEFFS!$B:$B,$Q126))</f>
        <v/>
      </c>
      <c r="S126" s="13"/>
      <c r="T126" s="21" t="str">
        <f>IF($S126="","",SUMIFS(SITE_COEFFS!$C:$C,SITE_COEFFS!$A:$A,"MachineryAllowed",SITE_COEFFS!$B:$B,$S126))</f>
        <v/>
      </c>
      <c r="U126" s="13"/>
      <c r="V126" s="13"/>
      <c r="W126" s="21" t="str">
        <f>IF($V126="","",SUMIFS(SITE_COEFFS!$C:$C,SITE_COEFFS!$A:$A,"GeometryComplexity",SITE_COEFFS!$B:$B,$V126))</f>
        <v/>
      </c>
      <c r="X126" s="13"/>
      <c r="Y126" s="13" t="str">
        <f>IF($X126="","",SUMIFS(TARIFF_PROFILES!$D:$D,TARIFF_PROFILES!$A:$A,$X126))</f>
        <v/>
      </c>
      <c r="Z126" s="13" t="str">
        <f>IF($X126="","",SUMIFS(TARIFF_PROFILES!$E:$E,TARIFF_PROFILES!$A:$A,$X126))</f>
        <v/>
      </c>
      <c r="AA126" s="13" t="str">
        <f>IF($X126="","",SUMIFS(TARIFF_PROFILES!$F:$F,TARIFF_PROFILES!$A:$A,$X126))</f>
        <v/>
      </c>
      <c r="AB126" s="13" t="str">
        <f>IF($X126="","",SUMIFS(TARIFF_PROFILES!$G:$G,TARIFF_PROFILES!$A:$A,$X126))</f>
        <v/>
      </c>
      <c r="AC126" s="13" t="str">
        <f>IF($X126="","",SUMIFS(TARIFF_PROFILES!$H:$H,TARIFF_PROFILES!$A:$A,$X126))</f>
        <v/>
      </c>
      <c r="AD126" s="13" t="str">
        <f>IF($X126="","",INDEX(TARIFF_PROFILES!$J:$J,MATCH($X126,TARIFF_PROFILES!$A:$A,0)))</f>
        <v/>
      </c>
      <c r="AE126" s="13" t="str">
        <f>IF($X126="","",INDEX(TARIFF_PROFILES!$K:$K,MATCH($X126,TARIFF_PROFILES!$A:$A,0)))</f>
        <v/>
      </c>
      <c r="AH126" t="str">
        <f>IF($AG126="","",SUMIFS(OPERATING_COEFFS!$C:$C,OPERATING_COEFFS!$A:$A,"DistanceClass",OPERATING_COEFFS!$B:$B,$AG126))</f>
        <v/>
      </c>
      <c r="AJ126" t="str">
        <f>IF($AI126="","",SUMIFS(OPERATING_COEFFS!$C:$C,OPERATING_COEFFS!$A:$A,"SeasonClass",OPERATING_COEFFS!$B:$B,$AI126))</f>
        <v/>
      </c>
      <c r="AL126" t="str">
        <f>IF($AK126="","",SUMIFS(OPERATING_COEFFS!$C:$C,OPERATING_COEFFS!$A:$A,"UrgencyClass",OPERATING_COEFFS!$B:$B,$AK126))</f>
        <v/>
      </c>
      <c r="AN126" t="str">
        <f>IF($AM126="","",INDEX(TAX_MODES!$B:$B,MATCH($AM126,TAX_MODES!$A:$A,0)))</f>
        <v/>
      </c>
    </row>
    <row r="127" spans="1:40" x14ac:dyDescent="0.3">
      <c r="A127" s="13"/>
      <c r="B127" s="13"/>
      <c r="C127" s="13"/>
      <c r="D127" s="21" t="str">
        <f>IF($C127="","",SUMIFS(SITE_COEFFS!$C:$C,SITE_COEFFS!$A:$A,"SoilWorkability",SITE_COEFFS!$B:$B,$C127))</f>
        <v/>
      </c>
      <c r="E127" s="13"/>
      <c r="F127" s="21" t="str">
        <f>IF($E127="","",SUMIFS(SITE_COEFFS!$C:$C,SITE_COEFFS!$A:$A,"SoilMoisture",SITE_COEFFS!$B:$B,$E127))</f>
        <v/>
      </c>
      <c r="G127" s="13"/>
      <c r="H127" s="21" t="str">
        <f>IF($G127="","",SUMIFS(SITE_COEFFS!$C:$C,SITE_COEFFS!$A:$A,"DebrisLevel",SITE_COEFFS!$B:$B,$G127))</f>
        <v/>
      </c>
      <c r="I127" s="13"/>
      <c r="J127" s="21" t="str">
        <f>IF($I127="","",SUMIFS(SITE_COEFFS!$C:$C,SITE_COEFFS!$A:$A,"SlopeClass",SITE_COEFFS!$B:$B,$I127))</f>
        <v/>
      </c>
      <c r="K127" s="13"/>
      <c r="L127" s="21" t="str">
        <f>IF($K127="","",SUMIFS(SITE_COEFFS!$C:$C,SITE_COEFFS!$A:$A,"SurfaceUnevenness",SITE_COEFFS!$B:$B,$K127))</f>
        <v/>
      </c>
      <c r="M127" s="13"/>
      <c r="N127" s="21" t="str">
        <f>IF($M127="","",SUMIFS(SITE_COEFFS!$C:$C,SITE_COEFFS!$A:$A,"AccessClass",SITE_COEFFS!$B:$B,$M127))</f>
        <v/>
      </c>
      <c r="O127" s="13"/>
      <c r="P127" s="21" t="str">
        <f>IF($O127="","",SUMIFS(SITE_COEFFS!$C:$C,SITE_COEFFS!$A:$A,"TurnSpace",SITE_COEFFS!$B:$B,$O127))</f>
        <v/>
      </c>
      <c r="Q127" s="13"/>
      <c r="R127" s="21" t="str">
        <f>IF($Q127="","",SUMIFS(SITE_COEFFS!$C:$C,SITE_COEFFS!$A:$A,"ProximityToBuildings",SITE_COEFFS!$B:$B,$Q127))</f>
        <v/>
      </c>
      <c r="S127" s="13"/>
      <c r="T127" s="21" t="str">
        <f>IF($S127="","",SUMIFS(SITE_COEFFS!$C:$C,SITE_COEFFS!$A:$A,"MachineryAllowed",SITE_COEFFS!$B:$B,$S127))</f>
        <v/>
      </c>
      <c r="U127" s="13"/>
      <c r="V127" s="13"/>
      <c r="W127" s="21" t="str">
        <f>IF($V127="","",SUMIFS(SITE_COEFFS!$C:$C,SITE_COEFFS!$A:$A,"GeometryComplexity",SITE_COEFFS!$B:$B,$V127))</f>
        <v/>
      </c>
      <c r="X127" s="13"/>
      <c r="Y127" s="13" t="str">
        <f>IF($X127="","",SUMIFS(TARIFF_PROFILES!$D:$D,TARIFF_PROFILES!$A:$A,$X127))</f>
        <v/>
      </c>
      <c r="Z127" s="13" t="str">
        <f>IF($X127="","",SUMIFS(TARIFF_PROFILES!$E:$E,TARIFF_PROFILES!$A:$A,$X127))</f>
        <v/>
      </c>
      <c r="AA127" s="13" t="str">
        <f>IF($X127="","",SUMIFS(TARIFF_PROFILES!$F:$F,TARIFF_PROFILES!$A:$A,$X127))</f>
        <v/>
      </c>
      <c r="AB127" s="13" t="str">
        <f>IF($X127="","",SUMIFS(TARIFF_PROFILES!$G:$G,TARIFF_PROFILES!$A:$A,$X127))</f>
        <v/>
      </c>
      <c r="AC127" s="13" t="str">
        <f>IF($X127="","",SUMIFS(TARIFF_PROFILES!$H:$H,TARIFF_PROFILES!$A:$A,$X127))</f>
        <v/>
      </c>
      <c r="AD127" s="13" t="str">
        <f>IF($X127="","",INDEX(TARIFF_PROFILES!$J:$J,MATCH($X127,TARIFF_PROFILES!$A:$A,0)))</f>
        <v/>
      </c>
      <c r="AE127" s="13" t="str">
        <f>IF($X127="","",INDEX(TARIFF_PROFILES!$K:$K,MATCH($X127,TARIFF_PROFILES!$A:$A,0)))</f>
        <v/>
      </c>
      <c r="AH127" t="str">
        <f>IF($AG127="","",SUMIFS(OPERATING_COEFFS!$C:$C,OPERATING_COEFFS!$A:$A,"DistanceClass",OPERATING_COEFFS!$B:$B,$AG127))</f>
        <v/>
      </c>
      <c r="AJ127" t="str">
        <f>IF($AI127="","",SUMIFS(OPERATING_COEFFS!$C:$C,OPERATING_COEFFS!$A:$A,"SeasonClass",OPERATING_COEFFS!$B:$B,$AI127))</f>
        <v/>
      </c>
      <c r="AL127" t="str">
        <f>IF($AK127="","",SUMIFS(OPERATING_COEFFS!$C:$C,OPERATING_COEFFS!$A:$A,"UrgencyClass",OPERATING_COEFFS!$B:$B,$AK127))</f>
        <v/>
      </c>
      <c r="AN127" t="str">
        <f>IF($AM127="","",INDEX(TAX_MODES!$B:$B,MATCH($AM127,TAX_MODES!$A:$A,0)))</f>
        <v/>
      </c>
    </row>
    <row r="128" spans="1:40" x14ac:dyDescent="0.3">
      <c r="A128" s="13"/>
      <c r="B128" s="13"/>
      <c r="C128" s="13"/>
      <c r="D128" s="21" t="str">
        <f>IF($C128="","",SUMIFS(SITE_COEFFS!$C:$C,SITE_COEFFS!$A:$A,"SoilWorkability",SITE_COEFFS!$B:$B,$C128))</f>
        <v/>
      </c>
      <c r="E128" s="13"/>
      <c r="F128" s="21" t="str">
        <f>IF($E128="","",SUMIFS(SITE_COEFFS!$C:$C,SITE_COEFFS!$A:$A,"SoilMoisture",SITE_COEFFS!$B:$B,$E128))</f>
        <v/>
      </c>
      <c r="G128" s="13"/>
      <c r="H128" s="21" t="str">
        <f>IF($G128="","",SUMIFS(SITE_COEFFS!$C:$C,SITE_COEFFS!$A:$A,"DebrisLevel",SITE_COEFFS!$B:$B,$G128))</f>
        <v/>
      </c>
      <c r="I128" s="13"/>
      <c r="J128" s="21" t="str">
        <f>IF($I128="","",SUMIFS(SITE_COEFFS!$C:$C,SITE_COEFFS!$A:$A,"SlopeClass",SITE_COEFFS!$B:$B,$I128))</f>
        <v/>
      </c>
      <c r="K128" s="13"/>
      <c r="L128" s="21" t="str">
        <f>IF($K128="","",SUMIFS(SITE_COEFFS!$C:$C,SITE_COEFFS!$A:$A,"SurfaceUnevenness",SITE_COEFFS!$B:$B,$K128))</f>
        <v/>
      </c>
      <c r="M128" s="13"/>
      <c r="N128" s="21" t="str">
        <f>IF($M128="","",SUMIFS(SITE_COEFFS!$C:$C,SITE_COEFFS!$A:$A,"AccessClass",SITE_COEFFS!$B:$B,$M128))</f>
        <v/>
      </c>
      <c r="O128" s="13"/>
      <c r="P128" s="21" t="str">
        <f>IF($O128="","",SUMIFS(SITE_COEFFS!$C:$C,SITE_COEFFS!$A:$A,"TurnSpace",SITE_COEFFS!$B:$B,$O128))</f>
        <v/>
      </c>
      <c r="Q128" s="13"/>
      <c r="R128" s="21" t="str">
        <f>IF($Q128="","",SUMIFS(SITE_COEFFS!$C:$C,SITE_COEFFS!$A:$A,"ProximityToBuildings",SITE_COEFFS!$B:$B,$Q128))</f>
        <v/>
      </c>
      <c r="S128" s="13"/>
      <c r="T128" s="21" t="str">
        <f>IF($S128="","",SUMIFS(SITE_COEFFS!$C:$C,SITE_COEFFS!$A:$A,"MachineryAllowed",SITE_COEFFS!$B:$B,$S128))</f>
        <v/>
      </c>
      <c r="U128" s="13"/>
      <c r="V128" s="13"/>
      <c r="W128" s="21" t="str">
        <f>IF($V128="","",SUMIFS(SITE_COEFFS!$C:$C,SITE_COEFFS!$A:$A,"GeometryComplexity",SITE_COEFFS!$B:$B,$V128))</f>
        <v/>
      </c>
      <c r="X128" s="13"/>
      <c r="Y128" s="13" t="str">
        <f>IF($X128="","",SUMIFS(TARIFF_PROFILES!$D:$D,TARIFF_PROFILES!$A:$A,$X128))</f>
        <v/>
      </c>
      <c r="Z128" s="13" t="str">
        <f>IF($X128="","",SUMIFS(TARIFF_PROFILES!$E:$E,TARIFF_PROFILES!$A:$A,$X128))</f>
        <v/>
      </c>
      <c r="AA128" s="13" t="str">
        <f>IF($X128="","",SUMIFS(TARIFF_PROFILES!$F:$F,TARIFF_PROFILES!$A:$A,$X128))</f>
        <v/>
      </c>
      <c r="AB128" s="13" t="str">
        <f>IF($X128="","",SUMIFS(TARIFF_PROFILES!$G:$G,TARIFF_PROFILES!$A:$A,$X128))</f>
        <v/>
      </c>
      <c r="AC128" s="13" t="str">
        <f>IF($X128="","",SUMIFS(TARIFF_PROFILES!$H:$H,TARIFF_PROFILES!$A:$A,$X128))</f>
        <v/>
      </c>
      <c r="AD128" s="13" t="str">
        <f>IF($X128="","",INDEX(TARIFF_PROFILES!$J:$J,MATCH($X128,TARIFF_PROFILES!$A:$A,0)))</f>
        <v/>
      </c>
      <c r="AE128" s="13" t="str">
        <f>IF($X128="","",INDEX(TARIFF_PROFILES!$K:$K,MATCH($X128,TARIFF_PROFILES!$A:$A,0)))</f>
        <v/>
      </c>
      <c r="AH128" t="str">
        <f>IF($AG128="","",SUMIFS(OPERATING_COEFFS!$C:$C,OPERATING_COEFFS!$A:$A,"DistanceClass",OPERATING_COEFFS!$B:$B,$AG128))</f>
        <v/>
      </c>
      <c r="AJ128" t="str">
        <f>IF($AI128="","",SUMIFS(OPERATING_COEFFS!$C:$C,OPERATING_COEFFS!$A:$A,"SeasonClass",OPERATING_COEFFS!$B:$B,$AI128))</f>
        <v/>
      </c>
      <c r="AL128" t="str">
        <f>IF($AK128="","",SUMIFS(OPERATING_COEFFS!$C:$C,OPERATING_COEFFS!$A:$A,"UrgencyClass",OPERATING_COEFFS!$B:$B,$AK128))</f>
        <v/>
      </c>
      <c r="AN128" t="str">
        <f>IF($AM128="","",INDEX(TAX_MODES!$B:$B,MATCH($AM128,TAX_MODES!$A:$A,0)))</f>
        <v/>
      </c>
    </row>
    <row r="129" spans="1:40" x14ac:dyDescent="0.3">
      <c r="A129" s="13"/>
      <c r="B129" s="13"/>
      <c r="C129" s="13"/>
      <c r="D129" s="21" t="str">
        <f>IF($C129="","",SUMIFS(SITE_COEFFS!$C:$C,SITE_COEFFS!$A:$A,"SoilWorkability",SITE_COEFFS!$B:$B,$C129))</f>
        <v/>
      </c>
      <c r="E129" s="13"/>
      <c r="F129" s="21" t="str">
        <f>IF($E129="","",SUMIFS(SITE_COEFFS!$C:$C,SITE_COEFFS!$A:$A,"SoilMoisture",SITE_COEFFS!$B:$B,$E129))</f>
        <v/>
      </c>
      <c r="G129" s="13"/>
      <c r="H129" s="21" t="str">
        <f>IF($G129="","",SUMIFS(SITE_COEFFS!$C:$C,SITE_COEFFS!$A:$A,"DebrisLevel",SITE_COEFFS!$B:$B,$G129))</f>
        <v/>
      </c>
      <c r="I129" s="13"/>
      <c r="J129" s="21" t="str">
        <f>IF($I129="","",SUMIFS(SITE_COEFFS!$C:$C,SITE_COEFFS!$A:$A,"SlopeClass",SITE_COEFFS!$B:$B,$I129))</f>
        <v/>
      </c>
      <c r="K129" s="13"/>
      <c r="L129" s="21" t="str">
        <f>IF($K129="","",SUMIFS(SITE_COEFFS!$C:$C,SITE_COEFFS!$A:$A,"SurfaceUnevenness",SITE_COEFFS!$B:$B,$K129))</f>
        <v/>
      </c>
      <c r="M129" s="13"/>
      <c r="N129" s="21" t="str">
        <f>IF($M129="","",SUMIFS(SITE_COEFFS!$C:$C,SITE_COEFFS!$A:$A,"AccessClass",SITE_COEFFS!$B:$B,$M129))</f>
        <v/>
      </c>
      <c r="O129" s="13"/>
      <c r="P129" s="21" t="str">
        <f>IF($O129="","",SUMIFS(SITE_COEFFS!$C:$C,SITE_COEFFS!$A:$A,"TurnSpace",SITE_COEFFS!$B:$B,$O129))</f>
        <v/>
      </c>
      <c r="Q129" s="13"/>
      <c r="R129" s="21" t="str">
        <f>IF($Q129="","",SUMIFS(SITE_COEFFS!$C:$C,SITE_COEFFS!$A:$A,"ProximityToBuildings",SITE_COEFFS!$B:$B,$Q129))</f>
        <v/>
      </c>
      <c r="S129" s="13"/>
      <c r="T129" s="21" t="str">
        <f>IF($S129="","",SUMIFS(SITE_COEFFS!$C:$C,SITE_COEFFS!$A:$A,"MachineryAllowed",SITE_COEFFS!$B:$B,$S129))</f>
        <v/>
      </c>
      <c r="U129" s="13"/>
      <c r="V129" s="13"/>
      <c r="W129" s="21" t="str">
        <f>IF($V129="","",SUMIFS(SITE_COEFFS!$C:$C,SITE_COEFFS!$A:$A,"GeometryComplexity",SITE_COEFFS!$B:$B,$V129))</f>
        <v/>
      </c>
      <c r="X129" s="13"/>
      <c r="Y129" s="13" t="str">
        <f>IF($X129="","",SUMIFS(TARIFF_PROFILES!$D:$D,TARIFF_PROFILES!$A:$A,$X129))</f>
        <v/>
      </c>
      <c r="Z129" s="13" t="str">
        <f>IF($X129="","",SUMIFS(TARIFF_PROFILES!$E:$E,TARIFF_PROFILES!$A:$A,$X129))</f>
        <v/>
      </c>
      <c r="AA129" s="13" t="str">
        <f>IF($X129="","",SUMIFS(TARIFF_PROFILES!$F:$F,TARIFF_PROFILES!$A:$A,$X129))</f>
        <v/>
      </c>
      <c r="AB129" s="13" t="str">
        <f>IF($X129="","",SUMIFS(TARIFF_PROFILES!$G:$G,TARIFF_PROFILES!$A:$A,$X129))</f>
        <v/>
      </c>
      <c r="AC129" s="13" t="str">
        <f>IF($X129="","",SUMIFS(TARIFF_PROFILES!$H:$H,TARIFF_PROFILES!$A:$A,$X129))</f>
        <v/>
      </c>
      <c r="AD129" s="13" t="str">
        <f>IF($X129="","",INDEX(TARIFF_PROFILES!$J:$J,MATCH($X129,TARIFF_PROFILES!$A:$A,0)))</f>
        <v/>
      </c>
      <c r="AE129" s="13" t="str">
        <f>IF($X129="","",INDEX(TARIFF_PROFILES!$K:$K,MATCH($X129,TARIFF_PROFILES!$A:$A,0)))</f>
        <v/>
      </c>
      <c r="AH129" t="str">
        <f>IF($AG129="","",SUMIFS(OPERATING_COEFFS!$C:$C,OPERATING_COEFFS!$A:$A,"DistanceClass",OPERATING_COEFFS!$B:$B,$AG129))</f>
        <v/>
      </c>
      <c r="AJ129" t="str">
        <f>IF($AI129="","",SUMIFS(OPERATING_COEFFS!$C:$C,OPERATING_COEFFS!$A:$A,"SeasonClass",OPERATING_COEFFS!$B:$B,$AI129))</f>
        <v/>
      </c>
      <c r="AL129" t="str">
        <f>IF($AK129="","",SUMIFS(OPERATING_COEFFS!$C:$C,OPERATING_COEFFS!$A:$A,"UrgencyClass",OPERATING_COEFFS!$B:$B,$AK129))</f>
        <v/>
      </c>
      <c r="AN129" t="str">
        <f>IF($AM129="","",INDEX(TAX_MODES!$B:$B,MATCH($AM129,TAX_MODES!$A:$A,0)))</f>
        <v/>
      </c>
    </row>
    <row r="130" spans="1:40" x14ac:dyDescent="0.3">
      <c r="A130" s="13"/>
      <c r="B130" s="13"/>
      <c r="C130" s="13"/>
      <c r="D130" s="21" t="str">
        <f>IF($C130="","",SUMIFS(SITE_COEFFS!$C:$C,SITE_COEFFS!$A:$A,"SoilWorkability",SITE_COEFFS!$B:$B,$C130))</f>
        <v/>
      </c>
      <c r="E130" s="13"/>
      <c r="F130" s="21" t="str">
        <f>IF($E130="","",SUMIFS(SITE_COEFFS!$C:$C,SITE_COEFFS!$A:$A,"SoilMoisture",SITE_COEFFS!$B:$B,$E130))</f>
        <v/>
      </c>
      <c r="G130" s="13"/>
      <c r="H130" s="21" t="str">
        <f>IF($G130="","",SUMIFS(SITE_COEFFS!$C:$C,SITE_COEFFS!$A:$A,"DebrisLevel",SITE_COEFFS!$B:$B,$G130))</f>
        <v/>
      </c>
      <c r="I130" s="13"/>
      <c r="J130" s="21" t="str">
        <f>IF($I130="","",SUMIFS(SITE_COEFFS!$C:$C,SITE_COEFFS!$A:$A,"SlopeClass",SITE_COEFFS!$B:$B,$I130))</f>
        <v/>
      </c>
      <c r="K130" s="13"/>
      <c r="L130" s="21" t="str">
        <f>IF($K130="","",SUMIFS(SITE_COEFFS!$C:$C,SITE_COEFFS!$A:$A,"SurfaceUnevenness",SITE_COEFFS!$B:$B,$K130))</f>
        <v/>
      </c>
      <c r="M130" s="13"/>
      <c r="N130" s="21" t="str">
        <f>IF($M130="","",SUMIFS(SITE_COEFFS!$C:$C,SITE_COEFFS!$A:$A,"AccessClass",SITE_COEFFS!$B:$B,$M130))</f>
        <v/>
      </c>
      <c r="O130" s="13"/>
      <c r="P130" s="21" t="str">
        <f>IF($O130="","",SUMIFS(SITE_COEFFS!$C:$C,SITE_COEFFS!$A:$A,"TurnSpace",SITE_COEFFS!$B:$B,$O130))</f>
        <v/>
      </c>
      <c r="Q130" s="13"/>
      <c r="R130" s="21" t="str">
        <f>IF($Q130="","",SUMIFS(SITE_COEFFS!$C:$C,SITE_COEFFS!$A:$A,"ProximityToBuildings",SITE_COEFFS!$B:$B,$Q130))</f>
        <v/>
      </c>
      <c r="S130" s="13"/>
      <c r="T130" s="21" t="str">
        <f>IF($S130="","",SUMIFS(SITE_COEFFS!$C:$C,SITE_COEFFS!$A:$A,"MachineryAllowed",SITE_COEFFS!$B:$B,$S130))</f>
        <v/>
      </c>
      <c r="U130" s="13"/>
      <c r="V130" s="13"/>
      <c r="W130" s="21" t="str">
        <f>IF($V130="","",SUMIFS(SITE_COEFFS!$C:$C,SITE_COEFFS!$A:$A,"GeometryComplexity",SITE_COEFFS!$B:$B,$V130))</f>
        <v/>
      </c>
      <c r="X130" s="13"/>
      <c r="Y130" s="13" t="str">
        <f>IF($X130="","",SUMIFS(TARIFF_PROFILES!$D:$D,TARIFF_PROFILES!$A:$A,$X130))</f>
        <v/>
      </c>
      <c r="Z130" s="13" t="str">
        <f>IF($X130="","",SUMIFS(TARIFF_PROFILES!$E:$E,TARIFF_PROFILES!$A:$A,$X130))</f>
        <v/>
      </c>
      <c r="AA130" s="13" t="str">
        <f>IF($X130="","",SUMIFS(TARIFF_PROFILES!$F:$F,TARIFF_PROFILES!$A:$A,$X130))</f>
        <v/>
      </c>
      <c r="AB130" s="13" t="str">
        <f>IF($X130="","",SUMIFS(TARIFF_PROFILES!$G:$G,TARIFF_PROFILES!$A:$A,$X130))</f>
        <v/>
      </c>
      <c r="AC130" s="13" t="str">
        <f>IF($X130="","",SUMIFS(TARIFF_PROFILES!$H:$H,TARIFF_PROFILES!$A:$A,$X130))</f>
        <v/>
      </c>
      <c r="AD130" s="13" t="str">
        <f>IF($X130="","",INDEX(TARIFF_PROFILES!$J:$J,MATCH($X130,TARIFF_PROFILES!$A:$A,0)))</f>
        <v/>
      </c>
      <c r="AE130" s="13" t="str">
        <f>IF($X130="","",INDEX(TARIFF_PROFILES!$K:$K,MATCH($X130,TARIFF_PROFILES!$A:$A,0)))</f>
        <v/>
      </c>
      <c r="AH130" t="str">
        <f>IF($AG130="","",SUMIFS(OPERATING_COEFFS!$C:$C,OPERATING_COEFFS!$A:$A,"DistanceClass",OPERATING_COEFFS!$B:$B,$AG130))</f>
        <v/>
      </c>
      <c r="AJ130" t="str">
        <f>IF($AI130="","",SUMIFS(OPERATING_COEFFS!$C:$C,OPERATING_COEFFS!$A:$A,"SeasonClass",OPERATING_COEFFS!$B:$B,$AI130))</f>
        <v/>
      </c>
      <c r="AL130" t="str">
        <f>IF($AK130="","",SUMIFS(OPERATING_COEFFS!$C:$C,OPERATING_COEFFS!$A:$A,"UrgencyClass",OPERATING_COEFFS!$B:$B,$AK130))</f>
        <v/>
      </c>
      <c r="AN130" t="str">
        <f>IF($AM130="","",INDEX(TAX_MODES!$B:$B,MATCH($AM130,TAX_MODES!$A:$A,0)))</f>
        <v/>
      </c>
    </row>
    <row r="131" spans="1:40" x14ac:dyDescent="0.3">
      <c r="A131" s="13"/>
      <c r="B131" s="13"/>
      <c r="C131" s="13"/>
      <c r="D131" s="21" t="str">
        <f>IF($C131="","",SUMIFS(SITE_COEFFS!$C:$C,SITE_COEFFS!$A:$A,"SoilWorkability",SITE_COEFFS!$B:$B,$C131))</f>
        <v/>
      </c>
      <c r="E131" s="13"/>
      <c r="F131" s="21" t="str">
        <f>IF($E131="","",SUMIFS(SITE_COEFFS!$C:$C,SITE_COEFFS!$A:$A,"SoilMoisture",SITE_COEFFS!$B:$B,$E131))</f>
        <v/>
      </c>
      <c r="G131" s="13"/>
      <c r="H131" s="21" t="str">
        <f>IF($G131="","",SUMIFS(SITE_COEFFS!$C:$C,SITE_COEFFS!$A:$A,"DebrisLevel",SITE_COEFFS!$B:$B,$G131))</f>
        <v/>
      </c>
      <c r="I131" s="13"/>
      <c r="J131" s="21" t="str">
        <f>IF($I131="","",SUMIFS(SITE_COEFFS!$C:$C,SITE_COEFFS!$A:$A,"SlopeClass",SITE_COEFFS!$B:$B,$I131))</f>
        <v/>
      </c>
      <c r="K131" s="13"/>
      <c r="L131" s="21" t="str">
        <f>IF($K131="","",SUMIFS(SITE_COEFFS!$C:$C,SITE_COEFFS!$A:$A,"SurfaceUnevenness",SITE_COEFFS!$B:$B,$K131))</f>
        <v/>
      </c>
      <c r="M131" s="13"/>
      <c r="N131" s="21" t="str">
        <f>IF($M131="","",SUMIFS(SITE_COEFFS!$C:$C,SITE_COEFFS!$A:$A,"AccessClass",SITE_COEFFS!$B:$B,$M131))</f>
        <v/>
      </c>
      <c r="O131" s="13"/>
      <c r="P131" s="21" t="str">
        <f>IF($O131="","",SUMIFS(SITE_COEFFS!$C:$C,SITE_COEFFS!$A:$A,"TurnSpace",SITE_COEFFS!$B:$B,$O131))</f>
        <v/>
      </c>
      <c r="Q131" s="13"/>
      <c r="R131" s="21" t="str">
        <f>IF($Q131="","",SUMIFS(SITE_COEFFS!$C:$C,SITE_COEFFS!$A:$A,"ProximityToBuildings",SITE_COEFFS!$B:$B,$Q131))</f>
        <v/>
      </c>
      <c r="S131" s="13"/>
      <c r="T131" s="21" t="str">
        <f>IF($S131="","",SUMIFS(SITE_COEFFS!$C:$C,SITE_COEFFS!$A:$A,"MachineryAllowed",SITE_COEFFS!$B:$B,$S131))</f>
        <v/>
      </c>
      <c r="U131" s="13"/>
      <c r="V131" s="13"/>
      <c r="W131" s="21" t="str">
        <f>IF($V131="","",SUMIFS(SITE_COEFFS!$C:$C,SITE_COEFFS!$A:$A,"GeometryComplexity",SITE_COEFFS!$B:$B,$V131))</f>
        <v/>
      </c>
      <c r="X131" s="13"/>
      <c r="Y131" s="13" t="str">
        <f>IF($X131="","",SUMIFS(TARIFF_PROFILES!$D:$D,TARIFF_PROFILES!$A:$A,$X131))</f>
        <v/>
      </c>
      <c r="Z131" s="13" t="str">
        <f>IF($X131="","",SUMIFS(TARIFF_PROFILES!$E:$E,TARIFF_PROFILES!$A:$A,$X131))</f>
        <v/>
      </c>
      <c r="AA131" s="13" t="str">
        <f>IF($X131="","",SUMIFS(TARIFF_PROFILES!$F:$F,TARIFF_PROFILES!$A:$A,$X131))</f>
        <v/>
      </c>
      <c r="AB131" s="13" t="str">
        <f>IF($X131="","",SUMIFS(TARIFF_PROFILES!$G:$G,TARIFF_PROFILES!$A:$A,$X131))</f>
        <v/>
      </c>
      <c r="AC131" s="13" t="str">
        <f>IF($X131="","",SUMIFS(TARIFF_PROFILES!$H:$H,TARIFF_PROFILES!$A:$A,$X131))</f>
        <v/>
      </c>
      <c r="AD131" s="13" t="str">
        <f>IF($X131="","",INDEX(TARIFF_PROFILES!$J:$J,MATCH($X131,TARIFF_PROFILES!$A:$A,0)))</f>
        <v/>
      </c>
      <c r="AE131" s="13" t="str">
        <f>IF($X131="","",INDEX(TARIFF_PROFILES!$K:$K,MATCH($X131,TARIFF_PROFILES!$A:$A,0)))</f>
        <v/>
      </c>
      <c r="AH131" t="str">
        <f>IF($AG131="","",SUMIFS(OPERATING_COEFFS!$C:$C,OPERATING_COEFFS!$A:$A,"DistanceClass",OPERATING_COEFFS!$B:$B,$AG131))</f>
        <v/>
      </c>
      <c r="AJ131" t="str">
        <f>IF($AI131="","",SUMIFS(OPERATING_COEFFS!$C:$C,OPERATING_COEFFS!$A:$A,"SeasonClass",OPERATING_COEFFS!$B:$B,$AI131))</f>
        <v/>
      </c>
      <c r="AL131" t="str">
        <f>IF($AK131="","",SUMIFS(OPERATING_COEFFS!$C:$C,OPERATING_COEFFS!$A:$A,"UrgencyClass",OPERATING_COEFFS!$B:$B,$AK131))</f>
        <v/>
      </c>
      <c r="AN131" t="str">
        <f>IF($AM131="","",INDEX(TAX_MODES!$B:$B,MATCH($AM131,TAX_MODES!$A:$A,0)))</f>
        <v/>
      </c>
    </row>
    <row r="132" spans="1:40" x14ac:dyDescent="0.3">
      <c r="A132" s="13"/>
      <c r="B132" s="13"/>
      <c r="C132" s="13"/>
      <c r="D132" s="21" t="str">
        <f>IF($C132="","",SUMIFS(SITE_COEFFS!$C:$C,SITE_COEFFS!$A:$A,"SoilWorkability",SITE_COEFFS!$B:$B,$C132))</f>
        <v/>
      </c>
      <c r="E132" s="13"/>
      <c r="F132" s="21" t="str">
        <f>IF($E132="","",SUMIFS(SITE_COEFFS!$C:$C,SITE_COEFFS!$A:$A,"SoilMoisture",SITE_COEFFS!$B:$B,$E132))</f>
        <v/>
      </c>
      <c r="G132" s="13"/>
      <c r="H132" s="21" t="str">
        <f>IF($G132="","",SUMIFS(SITE_COEFFS!$C:$C,SITE_COEFFS!$A:$A,"DebrisLevel",SITE_COEFFS!$B:$B,$G132))</f>
        <v/>
      </c>
      <c r="I132" s="13"/>
      <c r="J132" s="21" t="str">
        <f>IF($I132="","",SUMIFS(SITE_COEFFS!$C:$C,SITE_COEFFS!$A:$A,"SlopeClass",SITE_COEFFS!$B:$B,$I132))</f>
        <v/>
      </c>
      <c r="K132" s="13"/>
      <c r="L132" s="21" t="str">
        <f>IF($K132="","",SUMIFS(SITE_COEFFS!$C:$C,SITE_COEFFS!$A:$A,"SurfaceUnevenness",SITE_COEFFS!$B:$B,$K132))</f>
        <v/>
      </c>
      <c r="M132" s="13"/>
      <c r="N132" s="21" t="str">
        <f>IF($M132="","",SUMIFS(SITE_COEFFS!$C:$C,SITE_COEFFS!$A:$A,"AccessClass",SITE_COEFFS!$B:$B,$M132))</f>
        <v/>
      </c>
      <c r="O132" s="13"/>
      <c r="P132" s="21" t="str">
        <f>IF($O132="","",SUMIFS(SITE_COEFFS!$C:$C,SITE_COEFFS!$A:$A,"TurnSpace",SITE_COEFFS!$B:$B,$O132))</f>
        <v/>
      </c>
      <c r="Q132" s="13"/>
      <c r="R132" s="21" t="str">
        <f>IF($Q132="","",SUMIFS(SITE_COEFFS!$C:$C,SITE_COEFFS!$A:$A,"ProximityToBuildings",SITE_COEFFS!$B:$B,$Q132))</f>
        <v/>
      </c>
      <c r="S132" s="13"/>
      <c r="T132" s="21" t="str">
        <f>IF($S132="","",SUMIFS(SITE_COEFFS!$C:$C,SITE_COEFFS!$A:$A,"MachineryAllowed",SITE_COEFFS!$B:$B,$S132))</f>
        <v/>
      </c>
      <c r="U132" s="13"/>
      <c r="V132" s="13"/>
      <c r="W132" s="21" t="str">
        <f>IF($V132="","",SUMIFS(SITE_COEFFS!$C:$C,SITE_COEFFS!$A:$A,"GeometryComplexity",SITE_COEFFS!$B:$B,$V132))</f>
        <v/>
      </c>
      <c r="X132" s="13"/>
      <c r="Y132" s="13" t="str">
        <f>IF($X132="","",SUMIFS(TARIFF_PROFILES!$D:$D,TARIFF_PROFILES!$A:$A,$X132))</f>
        <v/>
      </c>
      <c r="Z132" s="13" t="str">
        <f>IF($X132="","",SUMIFS(TARIFF_PROFILES!$E:$E,TARIFF_PROFILES!$A:$A,$X132))</f>
        <v/>
      </c>
      <c r="AA132" s="13" t="str">
        <f>IF($X132="","",SUMIFS(TARIFF_PROFILES!$F:$F,TARIFF_PROFILES!$A:$A,$X132))</f>
        <v/>
      </c>
      <c r="AB132" s="13" t="str">
        <f>IF($X132="","",SUMIFS(TARIFF_PROFILES!$G:$G,TARIFF_PROFILES!$A:$A,$X132))</f>
        <v/>
      </c>
      <c r="AC132" s="13" t="str">
        <f>IF($X132="","",SUMIFS(TARIFF_PROFILES!$H:$H,TARIFF_PROFILES!$A:$A,$X132))</f>
        <v/>
      </c>
      <c r="AD132" s="13" t="str">
        <f>IF($X132="","",INDEX(TARIFF_PROFILES!$J:$J,MATCH($X132,TARIFF_PROFILES!$A:$A,0)))</f>
        <v/>
      </c>
      <c r="AE132" s="13" t="str">
        <f>IF($X132="","",INDEX(TARIFF_PROFILES!$K:$K,MATCH($X132,TARIFF_PROFILES!$A:$A,0)))</f>
        <v/>
      </c>
      <c r="AH132" t="str">
        <f>IF($AG132="","",SUMIFS(OPERATING_COEFFS!$C:$C,OPERATING_COEFFS!$A:$A,"DistanceClass",OPERATING_COEFFS!$B:$B,$AG132))</f>
        <v/>
      </c>
      <c r="AJ132" t="str">
        <f>IF($AI132="","",SUMIFS(OPERATING_COEFFS!$C:$C,OPERATING_COEFFS!$A:$A,"SeasonClass",OPERATING_COEFFS!$B:$B,$AI132))</f>
        <v/>
      </c>
      <c r="AL132" t="str">
        <f>IF($AK132="","",SUMIFS(OPERATING_COEFFS!$C:$C,OPERATING_COEFFS!$A:$A,"UrgencyClass",OPERATING_COEFFS!$B:$B,$AK132))</f>
        <v/>
      </c>
      <c r="AN132" t="str">
        <f>IF($AM132="","",INDEX(TAX_MODES!$B:$B,MATCH($AM132,TAX_MODES!$A:$A,0)))</f>
        <v/>
      </c>
    </row>
    <row r="133" spans="1:40" x14ac:dyDescent="0.3">
      <c r="A133" s="13"/>
      <c r="B133" s="13"/>
      <c r="C133" s="13"/>
      <c r="D133" s="21" t="str">
        <f>IF($C133="","",SUMIFS(SITE_COEFFS!$C:$C,SITE_COEFFS!$A:$A,"SoilWorkability",SITE_COEFFS!$B:$B,$C133))</f>
        <v/>
      </c>
      <c r="E133" s="13"/>
      <c r="F133" s="21" t="str">
        <f>IF($E133="","",SUMIFS(SITE_COEFFS!$C:$C,SITE_COEFFS!$A:$A,"SoilMoisture",SITE_COEFFS!$B:$B,$E133))</f>
        <v/>
      </c>
      <c r="G133" s="13"/>
      <c r="H133" s="21" t="str">
        <f>IF($G133="","",SUMIFS(SITE_COEFFS!$C:$C,SITE_COEFFS!$A:$A,"DebrisLevel",SITE_COEFFS!$B:$B,$G133))</f>
        <v/>
      </c>
      <c r="I133" s="13"/>
      <c r="J133" s="21" t="str">
        <f>IF($I133="","",SUMIFS(SITE_COEFFS!$C:$C,SITE_COEFFS!$A:$A,"SlopeClass",SITE_COEFFS!$B:$B,$I133))</f>
        <v/>
      </c>
      <c r="K133" s="13"/>
      <c r="L133" s="21" t="str">
        <f>IF($K133="","",SUMIFS(SITE_COEFFS!$C:$C,SITE_COEFFS!$A:$A,"SurfaceUnevenness",SITE_COEFFS!$B:$B,$K133))</f>
        <v/>
      </c>
      <c r="M133" s="13"/>
      <c r="N133" s="21" t="str">
        <f>IF($M133="","",SUMIFS(SITE_COEFFS!$C:$C,SITE_COEFFS!$A:$A,"AccessClass",SITE_COEFFS!$B:$B,$M133))</f>
        <v/>
      </c>
      <c r="O133" s="13"/>
      <c r="P133" s="21" t="str">
        <f>IF($O133="","",SUMIFS(SITE_COEFFS!$C:$C,SITE_COEFFS!$A:$A,"TurnSpace",SITE_COEFFS!$B:$B,$O133))</f>
        <v/>
      </c>
      <c r="Q133" s="13"/>
      <c r="R133" s="21" t="str">
        <f>IF($Q133="","",SUMIFS(SITE_COEFFS!$C:$C,SITE_COEFFS!$A:$A,"ProximityToBuildings",SITE_COEFFS!$B:$B,$Q133))</f>
        <v/>
      </c>
      <c r="S133" s="13"/>
      <c r="T133" s="21" t="str">
        <f>IF($S133="","",SUMIFS(SITE_COEFFS!$C:$C,SITE_COEFFS!$A:$A,"MachineryAllowed",SITE_COEFFS!$B:$B,$S133))</f>
        <v/>
      </c>
      <c r="U133" s="13"/>
      <c r="V133" s="13"/>
      <c r="W133" s="21" t="str">
        <f>IF($V133="","",SUMIFS(SITE_COEFFS!$C:$C,SITE_COEFFS!$A:$A,"GeometryComplexity",SITE_COEFFS!$B:$B,$V133))</f>
        <v/>
      </c>
      <c r="X133" s="13"/>
      <c r="Y133" s="13" t="str">
        <f>IF($X133="","",SUMIFS(TARIFF_PROFILES!$D:$D,TARIFF_PROFILES!$A:$A,$X133))</f>
        <v/>
      </c>
      <c r="Z133" s="13" t="str">
        <f>IF($X133="","",SUMIFS(TARIFF_PROFILES!$E:$E,TARIFF_PROFILES!$A:$A,$X133))</f>
        <v/>
      </c>
      <c r="AA133" s="13" t="str">
        <f>IF($X133="","",SUMIFS(TARIFF_PROFILES!$F:$F,TARIFF_PROFILES!$A:$A,$X133))</f>
        <v/>
      </c>
      <c r="AB133" s="13" t="str">
        <f>IF($X133="","",SUMIFS(TARIFF_PROFILES!$G:$G,TARIFF_PROFILES!$A:$A,$X133))</f>
        <v/>
      </c>
      <c r="AC133" s="13" t="str">
        <f>IF($X133="","",SUMIFS(TARIFF_PROFILES!$H:$H,TARIFF_PROFILES!$A:$A,$X133))</f>
        <v/>
      </c>
      <c r="AD133" s="13" t="str">
        <f>IF($X133="","",INDEX(TARIFF_PROFILES!$J:$J,MATCH($X133,TARIFF_PROFILES!$A:$A,0)))</f>
        <v/>
      </c>
      <c r="AE133" s="13" t="str">
        <f>IF($X133="","",INDEX(TARIFF_PROFILES!$K:$K,MATCH($X133,TARIFF_PROFILES!$A:$A,0)))</f>
        <v/>
      </c>
      <c r="AH133" t="str">
        <f>IF($AG133="","",SUMIFS(OPERATING_COEFFS!$C:$C,OPERATING_COEFFS!$A:$A,"DistanceClass",OPERATING_COEFFS!$B:$B,$AG133))</f>
        <v/>
      </c>
      <c r="AJ133" t="str">
        <f>IF($AI133="","",SUMIFS(OPERATING_COEFFS!$C:$C,OPERATING_COEFFS!$A:$A,"SeasonClass",OPERATING_COEFFS!$B:$B,$AI133))</f>
        <v/>
      </c>
      <c r="AL133" t="str">
        <f>IF($AK133="","",SUMIFS(OPERATING_COEFFS!$C:$C,OPERATING_COEFFS!$A:$A,"UrgencyClass",OPERATING_COEFFS!$B:$B,$AK133))</f>
        <v/>
      </c>
      <c r="AN133" t="str">
        <f>IF($AM133="","",INDEX(TAX_MODES!$B:$B,MATCH($AM133,TAX_MODES!$A:$A,0)))</f>
        <v/>
      </c>
    </row>
    <row r="134" spans="1:40" x14ac:dyDescent="0.3">
      <c r="A134" s="13"/>
      <c r="B134" s="13"/>
      <c r="C134" s="13"/>
      <c r="D134" s="21" t="str">
        <f>IF($C134="","",SUMIFS(SITE_COEFFS!$C:$C,SITE_COEFFS!$A:$A,"SoilWorkability",SITE_COEFFS!$B:$B,$C134))</f>
        <v/>
      </c>
      <c r="E134" s="13"/>
      <c r="F134" s="21" t="str">
        <f>IF($E134="","",SUMIFS(SITE_COEFFS!$C:$C,SITE_COEFFS!$A:$A,"SoilMoisture",SITE_COEFFS!$B:$B,$E134))</f>
        <v/>
      </c>
      <c r="G134" s="13"/>
      <c r="H134" s="21" t="str">
        <f>IF($G134="","",SUMIFS(SITE_COEFFS!$C:$C,SITE_COEFFS!$A:$A,"DebrisLevel",SITE_COEFFS!$B:$B,$G134))</f>
        <v/>
      </c>
      <c r="I134" s="13"/>
      <c r="J134" s="21" t="str">
        <f>IF($I134="","",SUMIFS(SITE_COEFFS!$C:$C,SITE_COEFFS!$A:$A,"SlopeClass",SITE_COEFFS!$B:$B,$I134))</f>
        <v/>
      </c>
      <c r="K134" s="13"/>
      <c r="L134" s="21" t="str">
        <f>IF($K134="","",SUMIFS(SITE_COEFFS!$C:$C,SITE_COEFFS!$A:$A,"SurfaceUnevenness",SITE_COEFFS!$B:$B,$K134))</f>
        <v/>
      </c>
      <c r="M134" s="13"/>
      <c r="N134" s="21" t="str">
        <f>IF($M134="","",SUMIFS(SITE_COEFFS!$C:$C,SITE_COEFFS!$A:$A,"AccessClass",SITE_COEFFS!$B:$B,$M134))</f>
        <v/>
      </c>
      <c r="O134" s="13"/>
      <c r="P134" s="21" t="str">
        <f>IF($O134="","",SUMIFS(SITE_COEFFS!$C:$C,SITE_COEFFS!$A:$A,"TurnSpace",SITE_COEFFS!$B:$B,$O134))</f>
        <v/>
      </c>
      <c r="Q134" s="13"/>
      <c r="R134" s="21" t="str">
        <f>IF($Q134="","",SUMIFS(SITE_COEFFS!$C:$C,SITE_COEFFS!$A:$A,"ProximityToBuildings",SITE_COEFFS!$B:$B,$Q134))</f>
        <v/>
      </c>
      <c r="S134" s="13"/>
      <c r="T134" s="21" t="str">
        <f>IF($S134="","",SUMIFS(SITE_COEFFS!$C:$C,SITE_COEFFS!$A:$A,"MachineryAllowed",SITE_COEFFS!$B:$B,$S134))</f>
        <v/>
      </c>
      <c r="U134" s="13"/>
      <c r="V134" s="13"/>
      <c r="W134" s="21" t="str">
        <f>IF($V134="","",SUMIFS(SITE_COEFFS!$C:$C,SITE_COEFFS!$A:$A,"GeometryComplexity",SITE_COEFFS!$B:$B,$V134))</f>
        <v/>
      </c>
      <c r="X134" s="13"/>
      <c r="Y134" s="13" t="str">
        <f>IF($X134="","",SUMIFS(TARIFF_PROFILES!$D:$D,TARIFF_PROFILES!$A:$A,$X134))</f>
        <v/>
      </c>
      <c r="Z134" s="13" t="str">
        <f>IF($X134="","",SUMIFS(TARIFF_PROFILES!$E:$E,TARIFF_PROFILES!$A:$A,$X134))</f>
        <v/>
      </c>
      <c r="AA134" s="13" t="str">
        <f>IF($X134="","",SUMIFS(TARIFF_PROFILES!$F:$F,TARIFF_PROFILES!$A:$A,$X134))</f>
        <v/>
      </c>
      <c r="AB134" s="13" t="str">
        <f>IF($X134="","",SUMIFS(TARIFF_PROFILES!$G:$G,TARIFF_PROFILES!$A:$A,$X134))</f>
        <v/>
      </c>
      <c r="AC134" s="13" t="str">
        <f>IF($X134="","",SUMIFS(TARIFF_PROFILES!$H:$H,TARIFF_PROFILES!$A:$A,$X134))</f>
        <v/>
      </c>
      <c r="AD134" s="13" t="str">
        <f>IF($X134="","",INDEX(TARIFF_PROFILES!$J:$J,MATCH($X134,TARIFF_PROFILES!$A:$A,0)))</f>
        <v/>
      </c>
      <c r="AE134" s="13" t="str">
        <f>IF($X134="","",INDEX(TARIFF_PROFILES!$K:$K,MATCH($X134,TARIFF_PROFILES!$A:$A,0)))</f>
        <v/>
      </c>
      <c r="AH134" t="str">
        <f>IF($AG134="","",SUMIFS(OPERATING_COEFFS!$C:$C,OPERATING_COEFFS!$A:$A,"DistanceClass",OPERATING_COEFFS!$B:$B,$AG134))</f>
        <v/>
      </c>
      <c r="AJ134" t="str">
        <f>IF($AI134="","",SUMIFS(OPERATING_COEFFS!$C:$C,OPERATING_COEFFS!$A:$A,"SeasonClass",OPERATING_COEFFS!$B:$B,$AI134))</f>
        <v/>
      </c>
      <c r="AL134" t="str">
        <f>IF($AK134="","",SUMIFS(OPERATING_COEFFS!$C:$C,OPERATING_COEFFS!$A:$A,"UrgencyClass",OPERATING_COEFFS!$B:$B,$AK134))</f>
        <v/>
      </c>
      <c r="AN134" t="str">
        <f>IF($AM134="","",INDEX(TAX_MODES!$B:$B,MATCH($AM134,TAX_MODES!$A:$A,0)))</f>
        <v/>
      </c>
    </row>
    <row r="135" spans="1:40" x14ac:dyDescent="0.3">
      <c r="A135" s="13"/>
      <c r="B135" s="13"/>
      <c r="C135" s="13"/>
      <c r="D135" s="21" t="str">
        <f>IF($C135="","",SUMIFS(SITE_COEFFS!$C:$C,SITE_COEFFS!$A:$A,"SoilWorkability",SITE_COEFFS!$B:$B,$C135))</f>
        <v/>
      </c>
      <c r="E135" s="13"/>
      <c r="F135" s="21" t="str">
        <f>IF($E135="","",SUMIFS(SITE_COEFFS!$C:$C,SITE_COEFFS!$A:$A,"SoilMoisture",SITE_COEFFS!$B:$B,$E135))</f>
        <v/>
      </c>
      <c r="G135" s="13"/>
      <c r="H135" s="21" t="str">
        <f>IF($G135="","",SUMIFS(SITE_COEFFS!$C:$C,SITE_COEFFS!$A:$A,"DebrisLevel",SITE_COEFFS!$B:$B,$G135))</f>
        <v/>
      </c>
      <c r="I135" s="13"/>
      <c r="J135" s="21" t="str">
        <f>IF($I135="","",SUMIFS(SITE_COEFFS!$C:$C,SITE_COEFFS!$A:$A,"SlopeClass",SITE_COEFFS!$B:$B,$I135))</f>
        <v/>
      </c>
      <c r="K135" s="13"/>
      <c r="L135" s="21" t="str">
        <f>IF($K135="","",SUMIFS(SITE_COEFFS!$C:$C,SITE_COEFFS!$A:$A,"SurfaceUnevenness",SITE_COEFFS!$B:$B,$K135))</f>
        <v/>
      </c>
      <c r="M135" s="13"/>
      <c r="N135" s="21" t="str">
        <f>IF($M135="","",SUMIFS(SITE_COEFFS!$C:$C,SITE_COEFFS!$A:$A,"AccessClass",SITE_COEFFS!$B:$B,$M135))</f>
        <v/>
      </c>
      <c r="O135" s="13"/>
      <c r="P135" s="21" t="str">
        <f>IF($O135="","",SUMIFS(SITE_COEFFS!$C:$C,SITE_COEFFS!$A:$A,"TurnSpace",SITE_COEFFS!$B:$B,$O135))</f>
        <v/>
      </c>
      <c r="Q135" s="13"/>
      <c r="R135" s="21" t="str">
        <f>IF($Q135="","",SUMIFS(SITE_COEFFS!$C:$C,SITE_COEFFS!$A:$A,"ProximityToBuildings",SITE_COEFFS!$B:$B,$Q135))</f>
        <v/>
      </c>
      <c r="S135" s="13"/>
      <c r="T135" s="21" t="str">
        <f>IF($S135="","",SUMIFS(SITE_COEFFS!$C:$C,SITE_COEFFS!$A:$A,"MachineryAllowed",SITE_COEFFS!$B:$B,$S135))</f>
        <v/>
      </c>
      <c r="U135" s="13"/>
      <c r="V135" s="13"/>
      <c r="W135" s="21" t="str">
        <f>IF($V135="","",SUMIFS(SITE_COEFFS!$C:$C,SITE_COEFFS!$A:$A,"GeometryComplexity",SITE_COEFFS!$B:$B,$V135))</f>
        <v/>
      </c>
      <c r="X135" s="13"/>
      <c r="Y135" s="13" t="str">
        <f>IF($X135="","",SUMIFS(TARIFF_PROFILES!$D:$D,TARIFF_PROFILES!$A:$A,$X135))</f>
        <v/>
      </c>
      <c r="Z135" s="13" t="str">
        <f>IF($X135="","",SUMIFS(TARIFF_PROFILES!$E:$E,TARIFF_PROFILES!$A:$A,$X135))</f>
        <v/>
      </c>
      <c r="AA135" s="13" t="str">
        <f>IF($X135="","",SUMIFS(TARIFF_PROFILES!$F:$F,TARIFF_PROFILES!$A:$A,$X135))</f>
        <v/>
      </c>
      <c r="AB135" s="13" t="str">
        <f>IF($X135="","",SUMIFS(TARIFF_PROFILES!$G:$G,TARIFF_PROFILES!$A:$A,$X135))</f>
        <v/>
      </c>
      <c r="AC135" s="13" t="str">
        <f>IF($X135="","",SUMIFS(TARIFF_PROFILES!$H:$H,TARIFF_PROFILES!$A:$A,$X135))</f>
        <v/>
      </c>
      <c r="AD135" s="13" t="str">
        <f>IF($X135="","",INDEX(TARIFF_PROFILES!$J:$J,MATCH($X135,TARIFF_PROFILES!$A:$A,0)))</f>
        <v/>
      </c>
      <c r="AE135" s="13" t="str">
        <f>IF($X135="","",INDEX(TARIFF_PROFILES!$K:$K,MATCH($X135,TARIFF_PROFILES!$A:$A,0)))</f>
        <v/>
      </c>
      <c r="AH135" t="str">
        <f>IF($AG135="","",SUMIFS(OPERATING_COEFFS!$C:$C,OPERATING_COEFFS!$A:$A,"DistanceClass",OPERATING_COEFFS!$B:$B,$AG135))</f>
        <v/>
      </c>
      <c r="AJ135" t="str">
        <f>IF($AI135="","",SUMIFS(OPERATING_COEFFS!$C:$C,OPERATING_COEFFS!$A:$A,"SeasonClass",OPERATING_COEFFS!$B:$B,$AI135))</f>
        <v/>
      </c>
      <c r="AL135" t="str">
        <f>IF($AK135="","",SUMIFS(OPERATING_COEFFS!$C:$C,OPERATING_COEFFS!$A:$A,"UrgencyClass",OPERATING_COEFFS!$B:$B,$AK135))</f>
        <v/>
      </c>
      <c r="AN135" t="str">
        <f>IF($AM135="","",INDEX(TAX_MODES!$B:$B,MATCH($AM135,TAX_MODES!$A:$A,0)))</f>
        <v/>
      </c>
    </row>
    <row r="136" spans="1:40" x14ac:dyDescent="0.3">
      <c r="A136" s="13"/>
      <c r="B136" s="13"/>
      <c r="C136" s="13"/>
      <c r="D136" s="21" t="str">
        <f>IF($C136="","",SUMIFS(SITE_COEFFS!$C:$C,SITE_COEFFS!$A:$A,"SoilWorkability",SITE_COEFFS!$B:$B,$C136))</f>
        <v/>
      </c>
      <c r="E136" s="13"/>
      <c r="F136" s="21" t="str">
        <f>IF($E136="","",SUMIFS(SITE_COEFFS!$C:$C,SITE_COEFFS!$A:$A,"SoilMoisture",SITE_COEFFS!$B:$B,$E136))</f>
        <v/>
      </c>
      <c r="G136" s="13"/>
      <c r="H136" s="21" t="str">
        <f>IF($G136="","",SUMIFS(SITE_COEFFS!$C:$C,SITE_COEFFS!$A:$A,"DebrisLevel",SITE_COEFFS!$B:$B,$G136))</f>
        <v/>
      </c>
      <c r="I136" s="13"/>
      <c r="J136" s="21" t="str">
        <f>IF($I136="","",SUMIFS(SITE_COEFFS!$C:$C,SITE_COEFFS!$A:$A,"SlopeClass",SITE_COEFFS!$B:$B,$I136))</f>
        <v/>
      </c>
      <c r="K136" s="13"/>
      <c r="L136" s="21" t="str">
        <f>IF($K136="","",SUMIFS(SITE_COEFFS!$C:$C,SITE_COEFFS!$A:$A,"SurfaceUnevenness",SITE_COEFFS!$B:$B,$K136))</f>
        <v/>
      </c>
      <c r="M136" s="13"/>
      <c r="N136" s="21" t="str">
        <f>IF($M136="","",SUMIFS(SITE_COEFFS!$C:$C,SITE_COEFFS!$A:$A,"AccessClass",SITE_COEFFS!$B:$B,$M136))</f>
        <v/>
      </c>
      <c r="O136" s="13"/>
      <c r="P136" s="21" t="str">
        <f>IF($O136="","",SUMIFS(SITE_COEFFS!$C:$C,SITE_COEFFS!$A:$A,"TurnSpace",SITE_COEFFS!$B:$B,$O136))</f>
        <v/>
      </c>
      <c r="Q136" s="13"/>
      <c r="R136" s="21" t="str">
        <f>IF($Q136="","",SUMIFS(SITE_COEFFS!$C:$C,SITE_COEFFS!$A:$A,"ProximityToBuildings",SITE_COEFFS!$B:$B,$Q136))</f>
        <v/>
      </c>
      <c r="S136" s="13"/>
      <c r="T136" s="21" t="str">
        <f>IF($S136="","",SUMIFS(SITE_COEFFS!$C:$C,SITE_COEFFS!$A:$A,"MachineryAllowed",SITE_COEFFS!$B:$B,$S136))</f>
        <v/>
      </c>
      <c r="U136" s="13"/>
      <c r="V136" s="13"/>
      <c r="W136" s="21" t="str">
        <f>IF($V136="","",SUMIFS(SITE_COEFFS!$C:$C,SITE_COEFFS!$A:$A,"GeometryComplexity",SITE_COEFFS!$B:$B,$V136))</f>
        <v/>
      </c>
      <c r="X136" s="13"/>
      <c r="Y136" s="13" t="str">
        <f>IF($X136="","",SUMIFS(TARIFF_PROFILES!$D:$D,TARIFF_PROFILES!$A:$A,$X136))</f>
        <v/>
      </c>
      <c r="Z136" s="13" t="str">
        <f>IF($X136="","",SUMIFS(TARIFF_PROFILES!$E:$E,TARIFF_PROFILES!$A:$A,$X136))</f>
        <v/>
      </c>
      <c r="AA136" s="13" t="str">
        <f>IF($X136="","",SUMIFS(TARIFF_PROFILES!$F:$F,TARIFF_PROFILES!$A:$A,$X136))</f>
        <v/>
      </c>
      <c r="AB136" s="13" t="str">
        <f>IF($X136="","",SUMIFS(TARIFF_PROFILES!$G:$G,TARIFF_PROFILES!$A:$A,$X136))</f>
        <v/>
      </c>
      <c r="AC136" s="13" t="str">
        <f>IF($X136="","",SUMIFS(TARIFF_PROFILES!$H:$H,TARIFF_PROFILES!$A:$A,$X136))</f>
        <v/>
      </c>
      <c r="AD136" s="13" t="str">
        <f>IF($X136="","",INDEX(TARIFF_PROFILES!$J:$J,MATCH($X136,TARIFF_PROFILES!$A:$A,0)))</f>
        <v/>
      </c>
      <c r="AE136" s="13" t="str">
        <f>IF($X136="","",INDEX(TARIFF_PROFILES!$K:$K,MATCH($X136,TARIFF_PROFILES!$A:$A,0)))</f>
        <v/>
      </c>
      <c r="AH136" t="str">
        <f>IF($AG136="","",SUMIFS(OPERATING_COEFFS!$C:$C,OPERATING_COEFFS!$A:$A,"DistanceClass",OPERATING_COEFFS!$B:$B,$AG136))</f>
        <v/>
      </c>
      <c r="AJ136" t="str">
        <f>IF($AI136="","",SUMIFS(OPERATING_COEFFS!$C:$C,OPERATING_COEFFS!$A:$A,"SeasonClass",OPERATING_COEFFS!$B:$B,$AI136))</f>
        <v/>
      </c>
      <c r="AL136" t="str">
        <f>IF($AK136="","",SUMIFS(OPERATING_COEFFS!$C:$C,OPERATING_COEFFS!$A:$A,"UrgencyClass",OPERATING_COEFFS!$B:$B,$AK136))</f>
        <v/>
      </c>
      <c r="AN136" t="str">
        <f>IF($AM136="","",INDEX(TAX_MODES!$B:$B,MATCH($AM136,TAX_MODES!$A:$A,0)))</f>
        <v/>
      </c>
    </row>
    <row r="137" spans="1:40" x14ac:dyDescent="0.3">
      <c r="A137" s="13"/>
      <c r="B137" s="13"/>
      <c r="C137" s="13"/>
      <c r="D137" s="21" t="str">
        <f>IF($C137="","",SUMIFS(SITE_COEFFS!$C:$C,SITE_COEFFS!$A:$A,"SoilWorkability",SITE_COEFFS!$B:$B,$C137))</f>
        <v/>
      </c>
      <c r="E137" s="13"/>
      <c r="F137" s="21" t="str">
        <f>IF($E137="","",SUMIFS(SITE_COEFFS!$C:$C,SITE_COEFFS!$A:$A,"SoilMoisture",SITE_COEFFS!$B:$B,$E137))</f>
        <v/>
      </c>
      <c r="G137" s="13"/>
      <c r="H137" s="21" t="str">
        <f>IF($G137="","",SUMIFS(SITE_COEFFS!$C:$C,SITE_COEFFS!$A:$A,"DebrisLevel",SITE_COEFFS!$B:$B,$G137))</f>
        <v/>
      </c>
      <c r="I137" s="13"/>
      <c r="J137" s="21" t="str">
        <f>IF($I137="","",SUMIFS(SITE_COEFFS!$C:$C,SITE_COEFFS!$A:$A,"SlopeClass",SITE_COEFFS!$B:$B,$I137))</f>
        <v/>
      </c>
      <c r="K137" s="13"/>
      <c r="L137" s="21" t="str">
        <f>IF($K137="","",SUMIFS(SITE_COEFFS!$C:$C,SITE_COEFFS!$A:$A,"SurfaceUnevenness",SITE_COEFFS!$B:$B,$K137))</f>
        <v/>
      </c>
      <c r="M137" s="13"/>
      <c r="N137" s="21" t="str">
        <f>IF($M137="","",SUMIFS(SITE_COEFFS!$C:$C,SITE_COEFFS!$A:$A,"AccessClass",SITE_COEFFS!$B:$B,$M137))</f>
        <v/>
      </c>
      <c r="O137" s="13"/>
      <c r="P137" s="21" t="str">
        <f>IF($O137="","",SUMIFS(SITE_COEFFS!$C:$C,SITE_COEFFS!$A:$A,"TurnSpace",SITE_COEFFS!$B:$B,$O137))</f>
        <v/>
      </c>
      <c r="Q137" s="13"/>
      <c r="R137" s="21" t="str">
        <f>IF($Q137="","",SUMIFS(SITE_COEFFS!$C:$C,SITE_COEFFS!$A:$A,"ProximityToBuildings",SITE_COEFFS!$B:$B,$Q137))</f>
        <v/>
      </c>
      <c r="S137" s="13"/>
      <c r="T137" s="21" t="str">
        <f>IF($S137="","",SUMIFS(SITE_COEFFS!$C:$C,SITE_COEFFS!$A:$A,"MachineryAllowed",SITE_COEFFS!$B:$B,$S137))</f>
        <v/>
      </c>
      <c r="U137" s="13"/>
      <c r="V137" s="13"/>
      <c r="W137" s="21" t="str">
        <f>IF($V137="","",SUMIFS(SITE_COEFFS!$C:$C,SITE_COEFFS!$A:$A,"GeometryComplexity",SITE_COEFFS!$B:$B,$V137))</f>
        <v/>
      </c>
      <c r="X137" s="13"/>
      <c r="Y137" s="13" t="str">
        <f>IF($X137="","",SUMIFS(TARIFF_PROFILES!$D:$D,TARIFF_PROFILES!$A:$A,$X137))</f>
        <v/>
      </c>
      <c r="Z137" s="13" t="str">
        <f>IF($X137="","",SUMIFS(TARIFF_PROFILES!$E:$E,TARIFF_PROFILES!$A:$A,$X137))</f>
        <v/>
      </c>
      <c r="AA137" s="13" t="str">
        <f>IF($X137="","",SUMIFS(TARIFF_PROFILES!$F:$F,TARIFF_PROFILES!$A:$A,$X137))</f>
        <v/>
      </c>
      <c r="AB137" s="13" t="str">
        <f>IF($X137="","",SUMIFS(TARIFF_PROFILES!$G:$G,TARIFF_PROFILES!$A:$A,$X137))</f>
        <v/>
      </c>
      <c r="AC137" s="13" t="str">
        <f>IF($X137="","",SUMIFS(TARIFF_PROFILES!$H:$H,TARIFF_PROFILES!$A:$A,$X137))</f>
        <v/>
      </c>
      <c r="AD137" s="13" t="str">
        <f>IF($X137="","",INDEX(TARIFF_PROFILES!$J:$J,MATCH($X137,TARIFF_PROFILES!$A:$A,0)))</f>
        <v/>
      </c>
      <c r="AE137" s="13" t="str">
        <f>IF($X137="","",INDEX(TARIFF_PROFILES!$K:$K,MATCH($X137,TARIFF_PROFILES!$A:$A,0)))</f>
        <v/>
      </c>
      <c r="AH137" t="str">
        <f>IF($AG137="","",SUMIFS(OPERATING_COEFFS!$C:$C,OPERATING_COEFFS!$A:$A,"DistanceClass",OPERATING_COEFFS!$B:$B,$AG137))</f>
        <v/>
      </c>
      <c r="AJ137" t="str">
        <f>IF($AI137="","",SUMIFS(OPERATING_COEFFS!$C:$C,OPERATING_COEFFS!$A:$A,"SeasonClass",OPERATING_COEFFS!$B:$B,$AI137))</f>
        <v/>
      </c>
      <c r="AL137" t="str">
        <f>IF($AK137="","",SUMIFS(OPERATING_COEFFS!$C:$C,OPERATING_COEFFS!$A:$A,"UrgencyClass",OPERATING_COEFFS!$B:$B,$AK137))</f>
        <v/>
      </c>
      <c r="AN137" t="str">
        <f>IF($AM137="","",INDEX(TAX_MODES!$B:$B,MATCH($AM137,TAX_MODES!$A:$A,0)))</f>
        <v/>
      </c>
    </row>
    <row r="138" spans="1:40" x14ac:dyDescent="0.3">
      <c r="A138" s="13"/>
      <c r="B138" s="13"/>
      <c r="C138" s="13"/>
      <c r="D138" s="21" t="str">
        <f>IF($C138="","",SUMIFS(SITE_COEFFS!$C:$C,SITE_COEFFS!$A:$A,"SoilWorkability",SITE_COEFFS!$B:$B,$C138))</f>
        <v/>
      </c>
      <c r="E138" s="13"/>
      <c r="F138" s="21" t="str">
        <f>IF($E138="","",SUMIFS(SITE_COEFFS!$C:$C,SITE_COEFFS!$A:$A,"SoilMoisture",SITE_COEFFS!$B:$B,$E138))</f>
        <v/>
      </c>
      <c r="G138" s="13"/>
      <c r="H138" s="21" t="str">
        <f>IF($G138="","",SUMIFS(SITE_COEFFS!$C:$C,SITE_COEFFS!$A:$A,"DebrisLevel",SITE_COEFFS!$B:$B,$G138))</f>
        <v/>
      </c>
      <c r="I138" s="13"/>
      <c r="J138" s="21" t="str">
        <f>IF($I138="","",SUMIFS(SITE_COEFFS!$C:$C,SITE_COEFFS!$A:$A,"SlopeClass",SITE_COEFFS!$B:$B,$I138))</f>
        <v/>
      </c>
      <c r="K138" s="13"/>
      <c r="L138" s="21" t="str">
        <f>IF($K138="","",SUMIFS(SITE_COEFFS!$C:$C,SITE_COEFFS!$A:$A,"SurfaceUnevenness",SITE_COEFFS!$B:$B,$K138))</f>
        <v/>
      </c>
      <c r="M138" s="13"/>
      <c r="N138" s="21" t="str">
        <f>IF($M138="","",SUMIFS(SITE_COEFFS!$C:$C,SITE_COEFFS!$A:$A,"AccessClass",SITE_COEFFS!$B:$B,$M138))</f>
        <v/>
      </c>
      <c r="O138" s="13"/>
      <c r="P138" s="21" t="str">
        <f>IF($O138="","",SUMIFS(SITE_COEFFS!$C:$C,SITE_COEFFS!$A:$A,"TurnSpace",SITE_COEFFS!$B:$B,$O138))</f>
        <v/>
      </c>
      <c r="Q138" s="13"/>
      <c r="R138" s="21" t="str">
        <f>IF($Q138="","",SUMIFS(SITE_COEFFS!$C:$C,SITE_COEFFS!$A:$A,"ProximityToBuildings",SITE_COEFFS!$B:$B,$Q138))</f>
        <v/>
      </c>
      <c r="S138" s="13"/>
      <c r="T138" s="21" t="str">
        <f>IF($S138="","",SUMIFS(SITE_COEFFS!$C:$C,SITE_COEFFS!$A:$A,"MachineryAllowed",SITE_COEFFS!$B:$B,$S138))</f>
        <v/>
      </c>
      <c r="U138" s="13"/>
      <c r="V138" s="13"/>
      <c r="W138" s="21" t="str">
        <f>IF($V138="","",SUMIFS(SITE_COEFFS!$C:$C,SITE_COEFFS!$A:$A,"GeometryComplexity",SITE_COEFFS!$B:$B,$V138))</f>
        <v/>
      </c>
      <c r="X138" s="13"/>
      <c r="Y138" s="13" t="str">
        <f>IF($X138="","",SUMIFS(TARIFF_PROFILES!$D:$D,TARIFF_PROFILES!$A:$A,$X138))</f>
        <v/>
      </c>
      <c r="Z138" s="13" t="str">
        <f>IF($X138="","",SUMIFS(TARIFF_PROFILES!$E:$E,TARIFF_PROFILES!$A:$A,$X138))</f>
        <v/>
      </c>
      <c r="AA138" s="13" t="str">
        <f>IF($X138="","",SUMIFS(TARIFF_PROFILES!$F:$F,TARIFF_PROFILES!$A:$A,$X138))</f>
        <v/>
      </c>
      <c r="AB138" s="13" t="str">
        <f>IF($X138="","",SUMIFS(TARIFF_PROFILES!$G:$G,TARIFF_PROFILES!$A:$A,$X138))</f>
        <v/>
      </c>
      <c r="AC138" s="13" t="str">
        <f>IF($X138="","",SUMIFS(TARIFF_PROFILES!$H:$H,TARIFF_PROFILES!$A:$A,$X138))</f>
        <v/>
      </c>
      <c r="AD138" s="13" t="str">
        <f>IF($X138="","",INDEX(TARIFF_PROFILES!$J:$J,MATCH($X138,TARIFF_PROFILES!$A:$A,0)))</f>
        <v/>
      </c>
      <c r="AE138" s="13" t="str">
        <f>IF($X138="","",INDEX(TARIFF_PROFILES!$K:$K,MATCH($X138,TARIFF_PROFILES!$A:$A,0)))</f>
        <v/>
      </c>
      <c r="AH138" t="str">
        <f>IF($AG138="","",SUMIFS(OPERATING_COEFFS!$C:$C,OPERATING_COEFFS!$A:$A,"DistanceClass",OPERATING_COEFFS!$B:$B,$AG138))</f>
        <v/>
      </c>
      <c r="AJ138" t="str">
        <f>IF($AI138="","",SUMIFS(OPERATING_COEFFS!$C:$C,OPERATING_COEFFS!$A:$A,"SeasonClass",OPERATING_COEFFS!$B:$B,$AI138))</f>
        <v/>
      </c>
      <c r="AL138" t="str">
        <f>IF($AK138="","",SUMIFS(OPERATING_COEFFS!$C:$C,OPERATING_COEFFS!$A:$A,"UrgencyClass",OPERATING_COEFFS!$B:$B,$AK138))</f>
        <v/>
      </c>
      <c r="AN138" t="str">
        <f>IF($AM138="","",INDEX(TAX_MODES!$B:$B,MATCH($AM138,TAX_MODES!$A:$A,0)))</f>
        <v/>
      </c>
    </row>
    <row r="139" spans="1:40" x14ac:dyDescent="0.3">
      <c r="A139" s="13"/>
      <c r="B139" s="13"/>
      <c r="C139" s="13"/>
      <c r="D139" s="21" t="str">
        <f>IF($C139="","",SUMIFS(SITE_COEFFS!$C:$C,SITE_COEFFS!$A:$A,"SoilWorkability",SITE_COEFFS!$B:$B,$C139))</f>
        <v/>
      </c>
      <c r="E139" s="13"/>
      <c r="F139" s="21" t="str">
        <f>IF($E139="","",SUMIFS(SITE_COEFFS!$C:$C,SITE_COEFFS!$A:$A,"SoilMoisture",SITE_COEFFS!$B:$B,$E139))</f>
        <v/>
      </c>
      <c r="G139" s="13"/>
      <c r="H139" s="21" t="str">
        <f>IF($G139="","",SUMIFS(SITE_COEFFS!$C:$C,SITE_COEFFS!$A:$A,"DebrisLevel",SITE_COEFFS!$B:$B,$G139))</f>
        <v/>
      </c>
      <c r="I139" s="13"/>
      <c r="J139" s="21" t="str">
        <f>IF($I139="","",SUMIFS(SITE_COEFFS!$C:$C,SITE_COEFFS!$A:$A,"SlopeClass",SITE_COEFFS!$B:$B,$I139))</f>
        <v/>
      </c>
      <c r="K139" s="13"/>
      <c r="L139" s="21" t="str">
        <f>IF($K139="","",SUMIFS(SITE_COEFFS!$C:$C,SITE_COEFFS!$A:$A,"SurfaceUnevenness",SITE_COEFFS!$B:$B,$K139))</f>
        <v/>
      </c>
      <c r="M139" s="13"/>
      <c r="N139" s="21" t="str">
        <f>IF($M139="","",SUMIFS(SITE_COEFFS!$C:$C,SITE_COEFFS!$A:$A,"AccessClass",SITE_COEFFS!$B:$B,$M139))</f>
        <v/>
      </c>
      <c r="O139" s="13"/>
      <c r="P139" s="21" t="str">
        <f>IF($O139="","",SUMIFS(SITE_COEFFS!$C:$C,SITE_COEFFS!$A:$A,"TurnSpace",SITE_COEFFS!$B:$B,$O139))</f>
        <v/>
      </c>
      <c r="Q139" s="13"/>
      <c r="R139" s="21" t="str">
        <f>IF($Q139="","",SUMIFS(SITE_COEFFS!$C:$C,SITE_COEFFS!$A:$A,"ProximityToBuildings",SITE_COEFFS!$B:$B,$Q139))</f>
        <v/>
      </c>
      <c r="S139" s="13"/>
      <c r="T139" s="21" t="str">
        <f>IF($S139="","",SUMIFS(SITE_COEFFS!$C:$C,SITE_COEFFS!$A:$A,"MachineryAllowed",SITE_COEFFS!$B:$B,$S139))</f>
        <v/>
      </c>
      <c r="U139" s="13"/>
      <c r="V139" s="13"/>
      <c r="W139" s="21" t="str">
        <f>IF($V139="","",SUMIFS(SITE_COEFFS!$C:$C,SITE_COEFFS!$A:$A,"GeometryComplexity",SITE_COEFFS!$B:$B,$V139))</f>
        <v/>
      </c>
      <c r="X139" s="13"/>
      <c r="Y139" s="13" t="str">
        <f>IF($X139="","",SUMIFS(TARIFF_PROFILES!$D:$D,TARIFF_PROFILES!$A:$A,$X139))</f>
        <v/>
      </c>
      <c r="Z139" s="13" t="str">
        <f>IF($X139="","",SUMIFS(TARIFF_PROFILES!$E:$E,TARIFF_PROFILES!$A:$A,$X139))</f>
        <v/>
      </c>
      <c r="AA139" s="13" t="str">
        <f>IF($X139="","",SUMIFS(TARIFF_PROFILES!$F:$F,TARIFF_PROFILES!$A:$A,$X139))</f>
        <v/>
      </c>
      <c r="AB139" s="13" t="str">
        <f>IF($X139="","",SUMIFS(TARIFF_PROFILES!$G:$G,TARIFF_PROFILES!$A:$A,$X139))</f>
        <v/>
      </c>
      <c r="AC139" s="13" t="str">
        <f>IF($X139="","",SUMIFS(TARIFF_PROFILES!$H:$H,TARIFF_PROFILES!$A:$A,$X139))</f>
        <v/>
      </c>
      <c r="AD139" s="13" t="str">
        <f>IF($X139="","",INDEX(TARIFF_PROFILES!$J:$J,MATCH($X139,TARIFF_PROFILES!$A:$A,0)))</f>
        <v/>
      </c>
      <c r="AE139" s="13" t="str">
        <f>IF($X139="","",INDEX(TARIFF_PROFILES!$K:$K,MATCH($X139,TARIFF_PROFILES!$A:$A,0)))</f>
        <v/>
      </c>
      <c r="AH139" t="str">
        <f>IF($AG139="","",SUMIFS(OPERATING_COEFFS!$C:$C,OPERATING_COEFFS!$A:$A,"DistanceClass",OPERATING_COEFFS!$B:$B,$AG139))</f>
        <v/>
      </c>
      <c r="AJ139" t="str">
        <f>IF($AI139="","",SUMIFS(OPERATING_COEFFS!$C:$C,OPERATING_COEFFS!$A:$A,"SeasonClass",OPERATING_COEFFS!$B:$B,$AI139))</f>
        <v/>
      </c>
      <c r="AL139" t="str">
        <f>IF($AK139="","",SUMIFS(OPERATING_COEFFS!$C:$C,OPERATING_COEFFS!$A:$A,"UrgencyClass",OPERATING_COEFFS!$B:$B,$AK139))</f>
        <v/>
      </c>
      <c r="AN139" t="str">
        <f>IF($AM139="","",INDEX(TAX_MODES!$B:$B,MATCH($AM139,TAX_MODES!$A:$A,0)))</f>
        <v/>
      </c>
    </row>
    <row r="140" spans="1:40" x14ac:dyDescent="0.3">
      <c r="A140" s="13"/>
      <c r="B140" s="13"/>
      <c r="C140" s="13"/>
      <c r="D140" s="21" t="str">
        <f>IF($C140="","",SUMIFS(SITE_COEFFS!$C:$C,SITE_COEFFS!$A:$A,"SoilWorkability",SITE_COEFFS!$B:$B,$C140))</f>
        <v/>
      </c>
      <c r="E140" s="13"/>
      <c r="F140" s="21" t="str">
        <f>IF($E140="","",SUMIFS(SITE_COEFFS!$C:$C,SITE_COEFFS!$A:$A,"SoilMoisture",SITE_COEFFS!$B:$B,$E140))</f>
        <v/>
      </c>
      <c r="G140" s="13"/>
      <c r="H140" s="21" t="str">
        <f>IF($G140="","",SUMIFS(SITE_COEFFS!$C:$C,SITE_COEFFS!$A:$A,"DebrisLevel",SITE_COEFFS!$B:$B,$G140))</f>
        <v/>
      </c>
      <c r="I140" s="13"/>
      <c r="J140" s="21" t="str">
        <f>IF($I140="","",SUMIFS(SITE_COEFFS!$C:$C,SITE_COEFFS!$A:$A,"SlopeClass",SITE_COEFFS!$B:$B,$I140))</f>
        <v/>
      </c>
      <c r="K140" s="13"/>
      <c r="L140" s="21" t="str">
        <f>IF($K140="","",SUMIFS(SITE_COEFFS!$C:$C,SITE_COEFFS!$A:$A,"SurfaceUnevenness",SITE_COEFFS!$B:$B,$K140))</f>
        <v/>
      </c>
      <c r="M140" s="13"/>
      <c r="N140" s="21" t="str">
        <f>IF($M140="","",SUMIFS(SITE_COEFFS!$C:$C,SITE_COEFFS!$A:$A,"AccessClass",SITE_COEFFS!$B:$B,$M140))</f>
        <v/>
      </c>
      <c r="O140" s="13"/>
      <c r="P140" s="21" t="str">
        <f>IF($O140="","",SUMIFS(SITE_COEFFS!$C:$C,SITE_COEFFS!$A:$A,"TurnSpace",SITE_COEFFS!$B:$B,$O140))</f>
        <v/>
      </c>
      <c r="Q140" s="13"/>
      <c r="R140" s="21" t="str">
        <f>IF($Q140="","",SUMIFS(SITE_COEFFS!$C:$C,SITE_COEFFS!$A:$A,"ProximityToBuildings",SITE_COEFFS!$B:$B,$Q140))</f>
        <v/>
      </c>
      <c r="S140" s="13"/>
      <c r="T140" s="21" t="str">
        <f>IF($S140="","",SUMIFS(SITE_COEFFS!$C:$C,SITE_COEFFS!$A:$A,"MachineryAllowed",SITE_COEFFS!$B:$B,$S140))</f>
        <v/>
      </c>
      <c r="U140" s="13"/>
      <c r="V140" s="13"/>
      <c r="W140" s="21" t="str">
        <f>IF($V140="","",SUMIFS(SITE_COEFFS!$C:$C,SITE_COEFFS!$A:$A,"GeometryComplexity",SITE_COEFFS!$B:$B,$V140))</f>
        <v/>
      </c>
      <c r="X140" s="13"/>
      <c r="Y140" s="13" t="str">
        <f>IF($X140="","",SUMIFS(TARIFF_PROFILES!$D:$D,TARIFF_PROFILES!$A:$A,$X140))</f>
        <v/>
      </c>
      <c r="Z140" s="13" t="str">
        <f>IF($X140="","",SUMIFS(TARIFF_PROFILES!$E:$E,TARIFF_PROFILES!$A:$A,$X140))</f>
        <v/>
      </c>
      <c r="AA140" s="13" t="str">
        <f>IF($X140="","",SUMIFS(TARIFF_PROFILES!$F:$F,TARIFF_PROFILES!$A:$A,$X140))</f>
        <v/>
      </c>
      <c r="AB140" s="13" t="str">
        <f>IF($X140="","",SUMIFS(TARIFF_PROFILES!$G:$G,TARIFF_PROFILES!$A:$A,$X140))</f>
        <v/>
      </c>
      <c r="AC140" s="13" t="str">
        <f>IF($X140="","",SUMIFS(TARIFF_PROFILES!$H:$H,TARIFF_PROFILES!$A:$A,$X140))</f>
        <v/>
      </c>
      <c r="AD140" s="13" t="str">
        <f>IF($X140="","",INDEX(TARIFF_PROFILES!$J:$J,MATCH($X140,TARIFF_PROFILES!$A:$A,0)))</f>
        <v/>
      </c>
      <c r="AE140" s="13" t="str">
        <f>IF($X140="","",INDEX(TARIFF_PROFILES!$K:$K,MATCH($X140,TARIFF_PROFILES!$A:$A,0)))</f>
        <v/>
      </c>
      <c r="AH140" t="str">
        <f>IF($AG140="","",SUMIFS(OPERATING_COEFFS!$C:$C,OPERATING_COEFFS!$A:$A,"DistanceClass",OPERATING_COEFFS!$B:$B,$AG140))</f>
        <v/>
      </c>
      <c r="AJ140" t="str">
        <f>IF($AI140="","",SUMIFS(OPERATING_COEFFS!$C:$C,OPERATING_COEFFS!$A:$A,"SeasonClass",OPERATING_COEFFS!$B:$B,$AI140))</f>
        <v/>
      </c>
      <c r="AL140" t="str">
        <f>IF($AK140="","",SUMIFS(OPERATING_COEFFS!$C:$C,OPERATING_COEFFS!$A:$A,"UrgencyClass",OPERATING_COEFFS!$B:$B,$AK140))</f>
        <v/>
      </c>
      <c r="AN140" t="str">
        <f>IF($AM140="","",INDEX(TAX_MODES!$B:$B,MATCH($AM140,TAX_MODES!$A:$A,0)))</f>
        <v/>
      </c>
    </row>
    <row r="141" spans="1:40" x14ac:dyDescent="0.3">
      <c r="A141" s="13"/>
      <c r="B141" s="13"/>
      <c r="C141" s="13"/>
      <c r="D141" s="21" t="str">
        <f>IF($C141="","",SUMIFS(SITE_COEFFS!$C:$C,SITE_COEFFS!$A:$A,"SoilWorkability",SITE_COEFFS!$B:$B,$C141))</f>
        <v/>
      </c>
      <c r="E141" s="13"/>
      <c r="F141" s="21" t="str">
        <f>IF($E141="","",SUMIFS(SITE_COEFFS!$C:$C,SITE_COEFFS!$A:$A,"SoilMoisture",SITE_COEFFS!$B:$B,$E141))</f>
        <v/>
      </c>
      <c r="G141" s="13"/>
      <c r="H141" s="21" t="str">
        <f>IF($G141="","",SUMIFS(SITE_COEFFS!$C:$C,SITE_COEFFS!$A:$A,"DebrisLevel",SITE_COEFFS!$B:$B,$G141))</f>
        <v/>
      </c>
      <c r="I141" s="13"/>
      <c r="J141" s="21" t="str">
        <f>IF($I141="","",SUMIFS(SITE_COEFFS!$C:$C,SITE_COEFFS!$A:$A,"SlopeClass",SITE_COEFFS!$B:$B,$I141))</f>
        <v/>
      </c>
      <c r="K141" s="13"/>
      <c r="L141" s="21" t="str">
        <f>IF($K141="","",SUMIFS(SITE_COEFFS!$C:$C,SITE_COEFFS!$A:$A,"SurfaceUnevenness",SITE_COEFFS!$B:$B,$K141))</f>
        <v/>
      </c>
      <c r="M141" s="13"/>
      <c r="N141" s="21" t="str">
        <f>IF($M141="","",SUMIFS(SITE_COEFFS!$C:$C,SITE_COEFFS!$A:$A,"AccessClass",SITE_COEFFS!$B:$B,$M141))</f>
        <v/>
      </c>
      <c r="O141" s="13"/>
      <c r="P141" s="21" t="str">
        <f>IF($O141="","",SUMIFS(SITE_COEFFS!$C:$C,SITE_COEFFS!$A:$A,"TurnSpace",SITE_COEFFS!$B:$B,$O141))</f>
        <v/>
      </c>
      <c r="Q141" s="13"/>
      <c r="R141" s="21" t="str">
        <f>IF($Q141="","",SUMIFS(SITE_COEFFS!$C:$C,SITE_COEFFS!$A:$A,"ProximityToBuildings",SITE_COEFFS!$B:$B,$Q141))</f>
        <v/>
      </c>
      <c r="S141" s="13"/>
      <c r="T141" s="21" t="str">
        <f>IF($S141="","",SUMIFS(SITE_COEFFS!$C:$C,SITE_COEFFS!$A:$A,"MachineryAllowed",SITE_COEFFS!$B:$B,$S141))</f>
        <v/>
      </c>
      <c r="U141" s="13"/>
      <c r="V141" s="13"/>
      <c r="W141" s="21" t="str">
        <f>IF($V141="","",SUMIFS(SITE_COEFFS!$C:$C,SITE_COEFFS!$A:$A,"GeometryComplexity",SITE_COEFFS!$B:$B,$V141))</f>
        <v/>
      </c>
      <c r="X141" s="13"/>
      <c r="Y141" s="13" t="str">
        <f>IF($X141="","",SUMIFS(TARIFF_PROFILES!$D:$D,TARIFF_PROFILES!$A:$A,$X141))</f>
        <v/>
      </c>
      <c r="Z141" s="13" t="str">
        <f>IF($X141="","",SUMIFS(TARIFF_PROFILES!$E:$E,TARIFF_PROFILES!$A:$A,$X141))</f>
        <v/>
      </c>
      <c r="AA141" s="13" t="str">
        <f>IF($X141="","",SUMIFS(TARIFF_PROFILES!$F:$F,TARIFF_PROFILES!$A:$A,$X141))</f>
        <v/>
      </c>
      <c r="AB141" s="13" t="str">
        <f>IF($X141="","",SUMIFS(TARIFF_PROFILES!$G:$G,TARIFF_PROFILES!$A:$A,$X141))</f>
        <v/>
      </c>
      <c r="AC141" s="13" t="str">
        <f>IF($X141="","",SUMIFS(TARIFF_PROFILES!$H:$H,TARIFF_PROFILES!$A:$A,$X141))</f>
        <v/>
      </c>
      <c r="AD141" s="13" t="str">
        <f>IF($X141="","",INDEX(TARIFF_PROFILES!$J:$J,MATCH($X141,TARIFF_PROFILES!$A:$A,0)))</f>
        <v/>
      </c>
      <c r="AE141" s="13" t="str">
        <f>IF($X141="","",INDEX(TARIFF_PROFILES!$K:$K,MATCH($X141,TARIFF_PROFILES!$A:$A,0)))</f>
        <v/>
      </c>
      <c r="AH141" t="str">
        <f>IF($AG141="","",SUMIFS(OPERATING_COEFFS!$C:$C,OPERATING_COEFFS!$A:$A,"DistanceClass",OPERATING_COEFFS!$B:$B,$AG141))</f>
        <v/>
      </c>
      <c r="AJ141" t="str">
        <f>IF($AI141="","",SUMIFS(OPERATING_COEFFS!$C:$C,OPERATING_COEFFS!$A:$A,"SeasonClass",OPERATING_COEFFS!$B:$B,$AI141))</f>
        <v/>
      </c>
      <c r="AL141" t="str">
        <f>IF($AK141="","",SUMIFS(OPERATING_COEFFS!$C:$C,OPERATING_COEFFS!$A:$A,"UrgencyClass",OPERATING_COEFFS!$B:$B,$AK141))</f>
        <v/>
      </c>
      <c r="AN141" t="str">
        <f>IF($AM141="","",INDEX(TAX_MODES!$B:$B,MATCH($AM141,TAX_MODES!$A:$A,0)))</f>
        <v/>
      </c>
    </row>
    <row r="142" spans="1:40" x14ac:dyDescent="0.3">
      <c r="A142" s="13"/>
      <c r="B142" s="13"/>
      <c r="C142" s="13"/>
      <c r="D142" s="21" t="str">
        <f>IF($C142="","",SUMIFS(SITE_COEFFS!$C:$C,SITE_COEFFS!$A:$A,"SoilWorkability",SITE_COEFFS!$B:$B,$C142))</f>
        <v/>
      </c>
      <c r="E142" s="13"/>
      <c r="F142" s="21" t="str">
        <f>IF($E142="","",SUMIFS(SITE_COEFFS!$C:$C,SITE_COEFFS!$A:$A,"SoilMoisture",SITE_COEFFS!$B:$B,$E142))</f>
        <v/>
      </c>
      <c r="G142" s="13"/>
      <c r="H142" s="21" t="str">
        <f>IF($G142="","",SUMIFS(SITE_COEFFS!$C:$C,SITE_COEFFS!$A:$A,"DebrisLevel",SITE_COEFFS!$B:$B,$G142))</f>
        <v/>
      </c>
      <c r="I142" s="13"/>
      <c r="J142" s="21" t="str">
        <f>IF($I142="","",SUMIFS(SITE_COEFFS!$C:$C,SITE_COEFFS!$A:$A,"SlopeClass",SITE_COEFFS!$B:$B,$I142))</f>
        <v/>
      </c>
      <c r="K142" s="13"/>
      <c r="L142" s="21" t="str">
        <f>IF($K142="","",SUMIFS(SITE_COEFFS!$C:$C,SITE_COEFFS!$A:$A,"SurfaceUnevenness",SITE_COEFFS!$B:$B,$K142))</f>
        <v/>
      </c>
      <c r="M142" s="13"/>
      <c r="N142" s="21" t="str">
        <f>IF($M142="","",SUMIFS(SITE_COEFFS!$C:$C,SITE_COEFFS!$A:$A,"AccessClass",SITE_COEFFS!$B:$B,$M142))</f>
        <v/>
      </c>
      <c r="O142" s="13"/>
      <c r="P142" s="21" t="str">
        <f>IF($O142="","",SUMIFS(SITE_COEFFS!$C:$C,SITE_COEFFS!$A:$A,"TurnSpace",SITE_COEFFS!$B:$B,$O142))</f>
        <v/>
      </c>
      <c r="Q142" s="13"/>
      <c r="R142" s="21" t="str">
        <f>IF($Q142="","",SUMIFS(SITE_COEFFS!$C:$C,SITE_COEFFS!$A:$A,"ProximityToBuildings",SITE_COEFFS!$B:$B,$Q142))</f>
        <v/>
      </c>
      <c r="S142" s="13"/>
      <c r="T142" s="21" t="str">
        <f>IF($S142="","",SUMIFS(SITE_COEFFS!$C:$C,SITE_COEFFS!$A:$A,"MachineryAllowed",SITE_COEFFS!$B:$B,$S142))</f>
        <v/>
      </c>
      <c r="U142" s="13"/>
      <c r="V142" s="13"/>
      <c r="W142" s="21" t="str">
        <f>IF($V142="","",SUMIFS(SITE_COEFFS!$C:$C,SITE_COEFFS!$A:$A,"GeometryComplexity",SITE_COEFFS!$B:$B,$V142))</f>
        <v/>
      </c>
      <c r="X142" s="13"/>
      <c r="Y142" s="13" t="str">
        <f>IF($X142="","",SUMIFS(TARIFF_PROFILES!$D:$D,TARIFF_PROFILES!$A:$A,$X142))</f>
        <v/>
      </c>
      <c r="Z142" s="13" t="str">
        <f>IF($X142="","",SUMIFS(TARIFF_PROFILES!$E:$E,TARIFF_PROFILES!$A:$A,$X142))</f>
        <v/>
      </c>
      <c r="AA142" s="13" t="str">
        <f>IF($X142="","",SUMIFS(TARIFF_PROFILES!$F:$F,TARIFF_PROFILES!$A:$A,$X142))</f>
        <v/>
      </c>
      <c r="AB142" s="13" t="str">
        <f>IF($X142="","",SUMIFS(TARIFF_PROFILES!$G:$G,TARIFF_PROFILES!$A:$A,$X142))</f>
        <v/>
      </c>
      <c r="AC142" s="13" t="str">
        <f>IF($X142="","",SUMIFS(TARIFF_PROFILES!$H:$H,TARIFF_PROFILES!$A:$A,$X142))</f>
        <v/>
      </c>
      <c r="AD142" s="13" t="str">
        <f>IF($X142="","",INDEX(TARIFF_PROFILES!$J:$J,MATCH($X142,TARIFF_PROFILES!$A:$A,0)))</f>
        <v/>
      </c>
      <c r="AE142" s="13" t="str">
        <f>IF($X142="","",INDEX(TARIFF_PROFILES!$K:$K,MATCH($X142,TARIFF_PROFILES!$A:$A,0)))</f>
        <v/>
      </c>
      <c r="AH142" t="str">
        <f>IF($AG142="","",SUMIFS(OPERATING_COEFFS!$C:$C,OPERATING_COEFFS!$A:$A,"DistanceClass",OPERATING_COEFFS!$B:$B,$AG142))</f>
        <v/>
      </c>
      <c r="AJ142" t="str">
        <f>IF($AI142="","",SUMIFS(OPERATING_COEFFS!$C:$C,OPERATING_COEFFS!$A:$A,"SeasonClass",OPERATING_COEFFS!$B:$B,$AI142))</f>
        <v/>
      </c>
      <c r="AL142" t="str">
        <f>IF($AK142="","",SUMIFS(OPERATING_COEFFS!$C:$C,OPERATING_COEFFS!$A:$A,"UrgencyClass",OPERATING_COEFFS!$B:$B,$AK142))</f>
        <v/>
      </c>
      <c r="AN142" t="str">
        <f>IF($AM142="","",INDEX(TAX_MODES!$B:$B,MATCH($AM142,TAX_MODES!$A:$A,0)))</f>
        <v/>
      </c>
    </row>
    <row r="143" spans="1:40" x14ac:dyDescent="0.3">
      <c r="A143" s="13"/>
      <c r="B143" s="13"/>
      <c r="C143" s="13"/>
      <c r="D143" s="21" t="str">
        <f>IF($C143="","",SUMIFS(SITE_COEFFS!$C:$C,SITE_COEFFS!$A:$A,"SoilWorkability",SITE_COEFFS!$B:$B,$C143))</f>
        <v/>
      </c>
      <c r="E143" s="13"/>
      <c r="F143" s="21" t="str">
        <f>IF($E143="","",SUMIFS(SITE_COEFFS!$C:$C,SITE_COEFFS!$A:$A,"SoilMoisture",SITE_COEFFS!$B:$B,$E143))</f>
        <v/>
      </c>
      <c r="G143" s="13"/>
      <c r="H143" s="21" t="str">
        <f>IF($G143="","",SUMIFS(SITE_COEFFS!$C:$C,SITE_COEFFS!$A:$A,"DebrisLevel",SITE_COEFFS!$B:$B,$G143))</f>
        <v/>
      </c>
      <c r="I143" s="13"/>
      <c r="J143" s="21" t="str">
        <f>IF($I143="","",SUMIFS(SITE_COEFFS!$C:$C,SITE_COEFFS!$A:$A,"SlopeClass",SITE_COEFFS!$B:$B,$I143))</f>
        <v/>
      </c>
      <c r="K143" s="13"/>
      <c r="L143" s="21" t="str">
        <f>IF($K143="","",SUMIFS(SITE_COEFFS!$C:$C,SITE_COEFFS!$A:$A,"SurfaceUnevenness",SITE_COEFFS!$B:$B,$K143))</f>
        <v/>
      </c>
      <c r="M143" s="13"/>
      <c r="N143" s="21" t="str">
        <f>IF($M143="","",SUMIFS(SITE_COEFFS!$C:$C,SITE_COEFFS!$A:$A,"AccessClass",SITE_COEFFS!$B:$B,$M143))</f>
        <v/>
      </c>
      <c r="O143" s="13"/>
      <c r="P143" s="21" t="str">
        <f>IF($O143="","",SUMIFS(SITE_COEFFS!$C:$C,SITE_COEFFS!$A:$A,"TurnSpace",SITE_COEFFS!$B:$B,$O143))</f>
        <v/>
      </c>
      <c r="Q143" s="13"/>
      <c r="R143" s="21" t="str">
        <f>IF($Q143="","",SUMIFS(SITE_COEFFS!$C:$C,SITE_COEFFS!$A:$A,"ProximityToBuildings",SITE_COEFFS!$B:$B,$Q143))</f>
        <v/>
      </c>
      <c r="S143" s="13"/>
      <c r="T143" s="21" t="str">
        <f>IF($S143="","",SUMIFS(SITE_COEFFS!$C:$C,SITE_COEFFS!$A:$A,"MachineryAllowed",SITE_COEFFS!$B:$B,$S143))</f>
        <v/>
      </c>
      <c r="U143" s="13"/>
      <c r="V143" s="13"/>
      <c r="W143" s="21" t="str">
        <f>IF($V143="","",SUMIFS(SITE_COEFFS!$C:$C,SITE_COEFFS!$A:$A,"GeometryComplexity",SITE_COEFFS!$B:$B,$V143))</f>
        <v/>
      </c>
      <c r="X143" s="13"/>
      <c r="Y143" s="13" t="str">
        <f>IF($X143="","",SUMIFS(TARIFF_PROFILES!$D:$D,TARIFF_PROFILES!$A:$A,$X143))</f>
        <v/>
      </c>
      <c r="Z143" s="13" t="str">
        <f>IF($X143="","",SUMIFS(TARIFF_PROFILES!$E:$E,TARIFF_PROFILES!$A:$A,$X143))</f>
        <v/>
      </c>
      <c r="AA143" s="13" t="str">
        <f>IF($X143="","",SUMIFS(TARIFF_PROFILES!$F:$F,TARIFF_PROFILES!$A:$A,$X143))</f>
        <v/>
      </c>
      <c r="AB143" s="13" t="str">
        <f>IF($X143="","",SUMIFS(TARIFF_PROFILES!$G:$G,TARIFF_PROFILES!$A:$A,$X143))</f>
        <v/>
      </c>
      <c r="AC143" s="13" t="str">
        <f>IF($X143="","",SUMIFS(TARIFF_PROFILES!$H:$H,TARIFF_PROFILES!$A:$A,$X143))</f>
        <v/>
      </c>
      <c r="AD143" s="13" t="str">
        <f>IF($X143="","",INDEX(TARIFF_PROFILES!$J:$J,MATCH($X143,TARIFF_PROFILES!$A:$A,0)))</f>
        <v/>
      </c>
      <c r="AE143" s="13" t="str">
        <f>IF($X143="","",INDEX(TARIFF_PROFILES!$K:$K,MATCH($X143,TARIFF_PROFILES!$A:$A,0)))</f>
        <v/>
      </c>
      <c r="AH143" t="str">
        <f>IF($AG143="","",SUMIFS(OPERATING_COEFFS!$C:$C,OPERATING_COEFFS!$A:$A,"DistanceClass",OPERATING_COEFFS!$B:$B,$AG143))</f>
        <v/>
      </c>
      <c r="AJ143" t="str">
        <f>IF($AI143="","",SUMIFS(OPERATING_COEFFS!$C:$C,OPERATING_COEFFS!$A:$A,"SeasonClass",OPERATING_COEFFS!$B:$B,$AI143))</f>
        <v/>
      </c>
      <c r="AL143" t="str">
        <f>IF($AK143="","",SUMIFS(OPERATING_COEFFS!$C:$C,OPERATING_COEFFS!$A:$A,"UrgencyClass",OPERATING_COEFFS!$B:$B,$AK143))</f>
        <v/>
      </c>
      <c r="AN143" t="str">
        <f>IF($AM143="","",INDEX(TAX_MODES!$B:$B,MATCH($AM143,TAX_MODES!$A:$A,0)))</f>
        <v/>
      </c>
    </row>
    <row r="144" spans="1:40" x14ac:dyDescent="0.3">
      <c r="A144" s="13"/>
      <c r="B144" s="13"/>
      <c r="C144" s="13"/>
      <c r="D144" s="21" t="str">
        <f>IF($C144="","",SUMIFS(SITE_COEFFS!$C:$C,SITE_COEFFS!$A:$A,"SoilWorkability",SITE_COEFFS!$B:$B,$C144))</f>
        <v/>
      </c>
      <c r="E144" s="13"/>
      <c r="F144" s="21" t="str">
        <f>IF($E144="","",SUMIFS(SITE_COEFFS!$C:$C,SITE_COEFFS!$A:$A,"SoilMoisture",SITE_COEFFS!$B:$B,$E144))</f>
        <v/>
      </c>
      <c r="G144" s="13"/>
      <c r="H144" s="21" t="str">
        <f>IF($G144="","",SUMIFS(SITE_COEFFS!$C:$C,SITE_COEFFS!$A:$A,"DebrisLevel",SITE_COEFFS!$B:$B,$G144))</f>
        <v/>
      </c>
      <c r="I144" s="13"/>
      <c r="J144" s="21" t="str">
        <f>IF($I144="","",SUMIFS(SITE_COEFFS!$C:$C,SITE_COEFFS!$A:$A,"SlopeClass",SITE_COEFFS!$B:$B,$I144))</f>
        <v/>
      </c>
      <c r="K144" s="13"/>
      <c r="L144" s="21" t="str">
        <f>IF($K144="","",SUMIFS(SITE_COEFFS!$C:$C,SITE_COEFFS!$A:$A,"SurfaceUnevenness",SITE_COEFFS!$B:$B,$K144))</f>
        <v/>
      </c>
      <c r="M144" s="13"/>
      <c r="N144" s="21" t="str">
        <f>IF($M144="","",SUMIFS(SITE_COEFFS!$C:$C,SITE_COEFFS!$A:$A,"AccessClass",SITE_COEFFS!$B:$B,$M144))</f>
        <v/>
      </c>
      <c r="O144" s="13"/>
      <c r="P144" s="21" t="str">
        <f>IF($O144="","",SUMIFS(SITE_COEFFS!$C:$C,SITE_COEFFS!$A:$A,"TurnSpace",SITE_COEFFS!$B:$B,$O144))</f>
        <v/>
      </c>
      <c r="Q144" s="13"/>
      <c r="R144" s="21" t="str">
        <f>IF($Q144="","",SUMIFS(SITE_COEFFS!$C:$C,SITE_COEFFS!$A:$A,"ProximityToBuildings",SITE_COEFFS!$B:$B,$Q144))</f>
        <v/>
      </c>
      <c r="S144" s="13"/>
      <c r="T144" s="21" t="str">
        <f>IF($S144="","",SUMIFS(SITE_COEFFS!$C:$C,SITE_COEFFS!$A:$A,"MachineryAllowed",SITE_COEFFS!$B:$B,$S144))</f>
        <v/>
      </c>
      <c r="U144" s="13"/>
      <c r="V144" s="13"/>
      <c r="W144" s="21" t="str">
        <f>IF($V144="","",SUMIFS(SITE_COEFFS!$C:$C,SITE_COEFFS!$A:$A,"GeometryComplexity",SITE_COEFFS!$B:$B,$V144))</f>
        <v/>
      </c>
      <c r="X144" s="13"/>
      <c r="Y144" s="13" t="str">
        <f>IF($X144="","",SUMIFS(TARIFF_PROFILES!$D:$D,TARIFF_PROFILES!$A:$A,$X144))</f>
        <v/>
      </c>
      <c r="Z144" s="13" t="str">
        <f>IF($X144="","",SUMIFS(TARIFF_PROFILES!$E:$E,TARIFF_PROFILES!$A:$A,$X144))</f>
        <v/>
      </c>
      <c r="AA144" s="13" t="str">
        <f>IF($X144="","",SUMIFS(TARIFF_PROFILES!$F:$F,TARIFF_PROFILES!$A:$A,$X144))</f>
        <v/>
      </c>
      <c r="AB144" s="13" t="str">
        <f>IF($X144="","",SUMIFS(TARIFF_PROFILES!$G:$G,TARIFF_PROFILES!$A:$A,$X144))</f>
        <v/>
      </c>
      <c r="AC144" s="13" t="str">
        <f>IF($X144="","",SUMIFS(TARIFF_PROFILES!$H:$H,TARIFF_PROFILES!$A:$A,$X144))</f>
        <v/>
      </c>
      <c r="AD144" s="13" t="str">
        <f>IF($X144="","",INDEX(TARIFF_PROFILES!$J:$J,MATCH($X144,TARIFF_PROFILES!$A:$A,0)))</f>
        <v/>
      </c>
      <c r="AE144" s="13" t="str">
        <f>IF($X144="","",INDEX(TARIFF_PROFILES!$K:$K,MATCH($X144,TARIFF_PROFILES!$A:$A,0)))</f>
        <v/>
      </c>
      <c r="AH144" t="str">
        <f>IF($AG144="","",SUMIFS(OPERATING_COEFFS!$C:$C,OPERATING_COEFFS!$A:$A,"DistanceClass",OPERATING_COEFFS!$B:$B,$AG144))</f>
        <v/>
      </c>
      <c r="AJ144" t="str">
        <f>IF($AI144="","",SUMIFS(OPERATING_COEFFS!$C:$C,OPERATING_COEFFS!$A:$A,"SeasonClass",OPERATING_COEFFS!$B:$B,$AI144))</f>
        <v/>
      </c>
      <c r="AL144" t="str">
        <f>IF($AK144="","",SUMIFS(OPERATING_COEFFS!$C:$C,OPERATING_COEFFS!$A:$A,"UrgencyClass",OPERATING_COEFFS!$B:$B,$AK144))</f>
        <v/>
      </c>
      <c r="AN144" t="str">
        <f>IF($AM144="","",INDEX(TAX_MODES!$B:$B,MATCH($AM144,TAX_MODES!$A:$A,0)))</f>
        <v/>
      </c>
    </row>
    <row r="145" spans="1:40" x14ac:dyDescent="0.3">
      <c r="A145" s="13"/>
      <c r="B145" s="13"/>
      <c r="C145" s="13"/>
      <c r="D145" s="21" t="str">
        <f>IF($C145="","",SUMIFS(SITE_COEFFS!$C:$C,SITE_COEFFS!$A:$A,"SoilWorkability",SITE_COEFFS!$B:$B,$C145))</f>
        <v/>
      </c>
      <c r="E145" s="13"/>
      <c r="F145" s="21" t="str">
        <f>IF($E145="","",SUMIFS(SITE_COEFFS!$C:$C,SITE_COEFFS!$A:$A,"SoilMoisture",SITE_COEFFS!$B:$B,$E145))</f>
        <v/>
      </c>
      <c r="G145" s="13"/>
      <c r="H145" s="21" t="str">
        <f>IF($G145="","",SUMIFS(SITE_COEFFS!$C:$C,SITE_COEFFS!$A:$A,"DebrisLevel",SITE_COEFFS!$B:$B,$G145))</f>
        <v/>
      </c>
      <c r="I145" s="13"/>
      <c r="J145" s="21" t="str">
        <f>IF($I145="","",SUMIFS(SITE_COEFFS!$C:$C,SITE_COEFFS!$A:$A,"SlopeClass",SITE_COEFFS!$B:$B,$I145))</f>
        <v/>
      </c>
      <c r="K145" s="13"/>
      <c r="L145" s="21" t="str">
        <f>IF($K145="","",SUMIFS(SITE_COEFFS!$C:$C,SITE_COEFFS!$A:$A,"SurfaceUnevenness",SITE_COEFFS!$B:$B,$K145))</f>
        <v/>
      </c>
      <c r="M145" s="13"/>
      <c r="N145" s="21" t="str">
        <f>IF($M145="","",SUMIFS(SITE_COEFFS!$C:$C,SITE_COEFFS!$A:$A,"AccessClass",SITE_COEFFS!$B:$B,$M145))</f>
        <v/>
      </c>
      <c r="O145" s="13"/>
      <c r="P145" s="21" t="str">
        <f>IF($O145="","",SUMIFS(SITE_COEFFS!$C:$C,SITE_COEFFS!$A:$A,"TurnSpace",SITE_COEFFS!$B:$B,$O145))</f>
        <v/>
      </c>
      <c r="Q145" s="13"/>
      <c r="R145" s="21" t="str">
        <f>IF($Q145="","",SUMIFS(SITE_COEFFS!$C:$C,SITE_COEFFS!$A:$A,"ProximityToBuildings",SITE_COEFFS!$B:$B,$Q145))</f>
        <v/>
      </c>
      <c r="S145" s="13"/>
      <c r="T145" s="21" t="str">
        <f>IF($S145="","",SUMIFS(SITE_COEFFS!$C:$C,SITE_COEFFS!$A:$A,"MachineryAllowed",SITE_COEFFS!$B:$B,$S145))</f>
        <v/>
      </c>
      <c r="U145" s="13"/>
      <c r="V145" s="13"/>
      <c r="W145" s="21" t="str">
        <f>IF($V145="","",SUMIFS(SITE_COEFFS!$C:$C,SITE_COEFFS!$A:$A,"GeometryComplexity",SITE_COEFFS!$B:$B,$V145))</f>
        <v/>
      </c>
      <c r="X145" s="13"/>
      <c r="Y145" s="13" t="str">
        <f>IF($X145="","",SUMIFS(TARIFF_PROFILES!$D:$D,TARIFF_PROFILES!$A:$A,$X145))</f>
        <v/>
      </c>
      <c r="Z145" s="13" t="str">
        <f>IF($X145="","",SUMIFS(TARIFF_PROFILES!$E:$E,TARIFF_PROFILES!$A:$A,$X145))</f>
        <v/>
      </c>
      <c r="AA145" s="13" t="str">
        <f>IF($X145="","",SUMIFS(TARIFF_PROFILES!$F:$F,TARIFF_PROFILES!$A:$A,$X145))</f>
        <v/>
      </c>
      <c r="AB145" s="13" t="str">
        <f>IF($X145="","",SUMIFS(TARIFF_PROFILES!$G:$G,TARIFF_PROFILES!$A:$A,$X145))</f>
        <v/>
      </c>
      <c r="AC145" s="13" t="str">
        <f>IF($X145="","",SUMIFS(TARIFF_PROFILES!$H:$H,TARIFF_PROFILES!$A:$A,$X145))</f>
        <v/>
      </c>
      <c r="AD145" s="13" t="str">
        <f>IF($X145="","",INDEX(TARIFF_PROFILES!$J:$J,MATCH($X145,TARIFF_PROFILES!$A:$A,0)))</f>
        <v/>
      </c>
      <c r="AE145" s="13" t="str">
        <f>IF($X145="","",INDEX(TARIFF_PROFILES!$K:$K,MATCH($X145,TARIFF_PROFILES!$A:$A,0)))</f>
        <v/>
      </c>
      <c r="AH145" t="str">
        <f>IF($AG145="","",SUMIFS(OPERATING_COEFFS!$C:$C,OPERATING_COEFFS!$A:$A,"DistanceClass",OPERATING_COEFFS!$B:$B,$AG145))</f>
        <v/>
      </c>
      <c r="AJ145" t="str">
        <f>IF($AI145="","",SUMIFS(OPERATING_COEFFS!$C:$C,OPERATING_COEFFS!$A:$A,"SeasonClass",OPERATING_COEFFS!$B:$B,$AI145))</f>
        <v/>
      </c>
      <c r="AL145" t="str">
        <f>IF($AK145="","",SUMIFS(OPERATING_COEFFS!$C:$C,OPERATING_COEFFS!$A:$A,"UrgencyClass",OPERATING_COEFFS!$B:$B,$AK145))</f>
        <v/>
      </c>
      <c r="AN145" t="str">
        <f>IF($AM145="","",INDEX(TAX_MODES!$B:$B,MATCH($AM145,TAX_MODES!$A:$A,0)))</f>
        <v/>
      </c>
    </row>
    <row r="146" spans="1:40" x14ac:dyDescent="0.3">
      <c r="A146" s="13"/>
      <c r="B146" s="13"/>
      <c r="C146" s="13"/>
      <c r="D146" s="21" t="str">
        <f>IF($C146="","",SUMIFS(SITE_COEFFS!$C:$C,SITE_COEFFS!$A:$A,"SoilWorkability",SITE_COEFFS!$B:$B,$C146))</f>
        <v/>
      </c>
      <c r="E146" s="13"/>
      <c r="F146" s="21" t="str">
        <f>IF($E146="","",SUMIFS(SITE_COEFFS!$C:$C,SITE_COEFFS!$A:$A,"SoilMoisture",SITE_COEFFS!$B:$B,$E146))</f>
        <v/>
      </c>
      <c r="G146" s="13"/>
      <c r="H146" s="21" t="str">
        <f>IF($G146="","",SUMIFS(SITE_COEFFS!$C:$C,SITE_COEFFS!$A:$A,"DebrisLevel",SITE_COEFFS!$B:$B,$G146))</f>
        <v/>
      </c>
      <c r="I146" s="13"/>
      <c r="J146" s="21" t="str">
        <f>IF($I146="","",SUMIFS(SITE_COEFFS!$C:$C,SITE_COEFFS!$A:$A,"SlopeClass",SITE_COEFFS!$B:$B,$I146))</f>
        <v/>
      </c>
      <c r="K146" s="13"/>
      <c r="L146" s="21" t="str">
        <f>IF($K146="","",SUMIFS(SITE_COEFFS!$C:$C,SITE_COEFFS!$A:$A,"SurfaceUnevenness",SITE_COEFFS!$B:$B,$K146))</f>
        <v/>
      </c>
      <c r="M146" s="13"/>
      <c r="N146" s="21" t="str">
        <f>IF($M146="","",SUMIFS(SITE_COEFFS!$C:$C,SITE_COEFFS!$A:$A,"AccessClass",SITE_COEFFS!$B:$B,$M146))</f>
        <v/>
      </c>
      <c r="O146" s="13"/>
      <c r="P146" s="21" t="str">
        <f>IF($O146="","",SUMIFS(SITE_COEFFS!$C:$C,SITE_COEFFS!$A:$A,"TurnSpace",SITE_COEFFS!$B:$B,$O146))</f>
        <v/>
      </c>
      <c r="Q146" s="13"/>
      <c r="R146" s="21" t="str">
        <f>IF($Q146="","",SUMIFS(SITE_COEFFS!$C:$C,SITE_COEFFS!$A:$A,"ProximityToBuildings",SITE_COEFFS!$B:$B,$Q146))</f>
        <v/>
      </c>
      <c r="S146" s="13"/>
      <c r="T146" s="21" t="str">
        <f>IF($S146="","",SUMIFS(SITE_COEFFS!$C:$C,SITE_COEFFS!$A:$A,"MachineryAllowed",SITE_COEFFS!$B:$B,$S146))</f>
        <v/>
      </c>
      <c r="U146" s="13"/>
      <c r="V146" s="13"/>
      <c r="W146" s="21" t="str">
        <f>IF($V146="","",SUMIFS(SITE_COEFFS!$C:$C,SITE_COEFFS!$A:$A,"GeometryComplexity",SITE_COEFFS!$B:$B,$V146))</f>
        <v/>
      </c>
      <c r="X146" s="13"/>
      <c r="Y146" s="13" t="str">
        <f>IF($X146="","",SUMIFS(TARIFF_PROFILES!$D:$D,TARIFF_PROFILES!$A:$A,$X146))</f>
        <v/>
      </c>
      <c r="Z146" s="13" t="str">
        <f>IF($X146="","",SUMIFS(TARIFF_PROFILES!$E:$E,TARIFF_PROFILES!$A:$A,$X146))</f>
        <v/>
      </c>
      <c r="AA146" s="13" t="str">
        <f>IF($X146="","",SUMIFS(TARIFF_PROFILES!$F:$F,TARIFF_PROFILES!$A:$A,$X146))</f>
        <v/>
      </c>
      <c r="AB146" s="13" t="str">
        <f>IF($X146="","",SUMIFS(TARIFF_PROFILES!$G:$G,TARIFF_PROFILES!$A:$A,$X146))</f>
        <v/>
      </c>
      <c r="AC146" s="13" t="str">
        <f>IF($X146="","",SUMIFS(TARIFF_PROFILES!$H:$H,TARIFF_PROFILES!$A:$A,$X146))</f>
        <v/>
      </c>
      <c r="AD146" s="13" t="str">
        <f>IF($X146="","",INDEX(TARIFF_PROFILES!$J:$J,MATCH($X146,TARIFF_PROFILES!$A:$A,0)))</f>
        <v/>
      </c>
      <c r="AE146" s="13" t="str">
        <f>IF($X146="","",INDEX(TARIFF_PROFILES!$K:$K,MATCH($X146,TARIFF_PROFILES!$A:$A,0)))</f>
        <v/>
      </c>
      <c r="AH146" t="str">
        <f>IF($AG146="","",SUMIFS(OPERATING_COEFFS!$C:$C,OPERATING_COEFFS!$A:$A,"DistanceClass",OPERATING_COEFFS!$B:$B,$AG146))</f>
        <v/>
      </c>
      <c r="AJ146" t="str">
        <f>IF($AI146="","",SUMIFS(OPERATING_COEFFS!$C:$C,OPERATING_COEFFS!$A:$A,"SeasonClass",OPERATING_COEFFS!$B:$B,$AI146))</f>
        <v/>
      </c>
      <c r="AL146" t="str">
        <f>IF($AK146="","",SUMIFS(OPERATING_COEFFS!$C:$C,OPERATING_COEFFS!$A:$A,"UrgencyClass",OPERATING_COEFFS!$B:$B,$AK146))</f>
        <v/>
      </c>
      <c r="AN146" t="str">
        <f>IF($AM146="","",INDEX(TAX_MODES!$B:$B,MATCH($AM146,TAX_MODES!$A:$A,0)))</f>
        <v/>
      </c>
    </row>
    <row r="147" spans="1:40" x14ac:dyDescent="0.3">
      <c r="A147" s="13"/>
      <c r="B147" s="13"/>
      <c r="C147" s="13"/>
      <c r="D147" s="21" t="str">
        <f>IF($C147="","",SUMIFS(SITE_COEFFS!$C:$C,SITE_COEFFS!$A:$A,"SoilWorkability",SITE_COEFFS!$B:$B,$C147))</f>
        <v/>
      </c>
      <c r="E147" s="13"/>
      <c r="F147" s="21" t="str">
        <f>IF($E147="","",SUMIFS(SITE_COEFFS!$C:$C,SITE_COEFFS!$A:$A,"SoilMoisture",SITE_COEFFS!$B:$B,$E147))</f>
        <v/>
      </c>
      <c r="G147" s="13"/>
      <c r="H147" s="21" t="str">
        <f>IF($G147="","",SUMIFS(SITE_COEFFS!$C:$C,SITE_COEFFS!$A:$A,"DebrisLevel",SITE_COEFFS!$B:$B,$G147))</f>
        <v/>
      </c>
      <c r="I147" s="13"/>
      <c r="J147" s="21" t="str">
        <f>IF($I147="","",SUMIFS(SITE_COEFFS!$C:$C,SITE_COEFFS!$A:$A,"SlopeClass",SITE_COEFFS!$B:$B,$I147))</f>
        <v/>
      </c>
      <c r="K147" s="13"/>
      <c r="L147" s="21" t="str">
        <f>IF($K147="","",SUMIFS(SITE_COEFFS!$C:$C,SITE_COEFFS!$A:$A,"SurfaceUnevenness",SITE_COEFFS!$B:$B,$K147))</f>
        <v/>
      </c>
      <c r="M147" s="13"/>
      <c r="N147" s="21" t="str">
        <f>IF($M147="","",SUMIFS(SITE_COEFFS!$C:$C,SITE_COEFFS!$A:$A,"AccessClass",SITE_COEFFS!$B:$B,$M147))</f>
        <v/>
      </c>
      <c r="O147" s="13"/>
      <c r="P147" s="21" t="str">
        <f>IF($O147="","",SUMIFS(SITE_COEFFS!$C:$C,SITE_COEFFS!$A:$A,"TurnSpace",SITE_COEFFS!$B:$B,$O147))</f>
        <v/>
      </c>
      <c r="Q147" s="13"/>
      <c r="R147" s="21" t="str">
        <f>IF($Q147="","",SUMIFS(SITE_COEFFS!$C:$C,SITE_COEFFS!$A:$A,"ProximityToBuildings",SITE_COEFFS!$B:$B,$Q147))</f>
        <v/>
      </c>
      <c r="S147" s="13"/>
      <c r="T147" s="21" t="str">
        <f>IF($S147="","",SUMIFS(SITE_COEFFS!$C:$C,SITE_COEFFS!$A:$A,"MachineryAllowed",SITE_COEFFS!$B:$B,$S147))</f>
        <v/>
      </c>
      <c r="U147" s="13"/>
      <c r="V147" s="13"/>
      <c r="W147" s="21" t="str">
        <f>IF($V147="","",SUMIFS(SITE_COEFFS!$C:$C,SITE_COEFFS!$A:$A,"GeometryComplexity",SITE_COEFFS!$B:$B,$V147))</f>
        <v/>
      </c>
      <c r="X147" s="13"/>
      <c r="Y147" s="13" t="str">
        <f>IF($X147="","",SUMIFS(TARIFF_PROFILES!$D:$D,TARIFF_PROFILES!$A:$A,$X147))</f>
        <v/>
      </c>
      <c r="Z147" s="13" t="str">
        <f>IF($X147="","",SUMIFS(TARIFF_PROFILES!$E:$E,TARIFF_PROFILES!$A:$A,$X147))</f>
        <v/>
      </c>
      <c r="AA147" s="13" t="str">
        <f>IF($X147="","",SUMIFS(TARIFF_PROFILES!$F:$F,TARIFF_PROFILES!$A:$A,$X147))</f>
        <v/>
      </c>
      <c r="AB147" s="13" t="str">
        <f>IF($X147="","",SUMIFS(TARIFF_PROFILES!$G:$G,TARIFF_PROFILES!$A:$A,$X147))</f>
        <v/>
      </c>
      <c r="AC147" s="13" t="str">
        <f>IF($X147="","",SUMIFS(TARIFF_PROFILES!$H:$H,TARIFF_PROFILES!$A:$A,$X147))</f>
        <v/>
      </c>
      <c r="AD147" s="13" t="str">
        <f>IF($X147="","",INDEX(TARIFF_PROFILES!$J:$J,MATCH($X147,TARIFF_PROFILES!$A:$A,0)))</f>
        <v/>
      </c>
      <c r="AE147" s="13" t="str">
        <f>IF($X147="","",INDEX(TARIFF_PROFILES!$K:$K,MATCH($X147,TARIFF_PROFILES!$A:$A,0)))</f>
        <v/>
      </c>
      <c r="AH147" t="str">
        <f>IF($AG147="","",SUMIFS(OPERATING_COEFFS!$C:$C,OPERATING_COEFFS!$A:$A,"DistanceClass",OPERATING_COEFFS!$B:$B,$AG147))</f>
        <v/>
      </c>
      <c r="AJ147" t="str">
        <f>IF($AI147="","",SUMIFS(OPERATING_COEFFS!$C:$C,OPERATING_COEFFS!$A:$A,"SeasonClass",OPERATING_COEFFS!$B:$B,$AI147))</f>
        <v/>
      </c>
      <c r="AL147" t="str">
        <f>IF($AK147="","",SUMIFS(OPERATING_COEFFS!$C:$C,OPERATING_COEFFS!$A:$A,"UrgencyClass",OPERATING_COEFFS!$B:$B,$AK147))</f>
        <v/>
      </c>
      <c r="AN147" t="str">
        <f>IF($AM147="","",INDEX(TAX_MODES!$B:$B,MATCH($AM147,TAX_MODES!$A:$A,0)))</f>
        <v/>
      </c>
    </row>
    <row r="148" spans="1:40" x14ac:dyDescent="0.3">
      <c r="A148" s="13"/>
      <c r="B148" s="13"/>
      <c r="C148" s="13"/>
      <c r="D148" s="21" t="str">
        <f>IF($C148="","",SUMIFS(SITE_COEFFS!$C:$C,SITE_COEFFS!$A:$A,"SoilWorkability",SITE_COEFFS!$B:$B,$C148))</f>
        <v/>
      </c>
      <c r="E148" s="13"/>
      <c r="F148" s="21" t="str">
        <f>IF($E148="","",SUMIFS(SITE_COEFFS!$C:$C,SITE_COEFFS!$A:$A,"SoilMoisture",SITE_COEFFS!$B:$B,$E148))</f>
        <v/>
      </c>
      <c r="G148" s="13"/>
      <c r="H148" s="21" t="str">
        <f>IF($G148="","",SUMIFS(SITE_COEFFS!$C:$C,SITE_COEFFS!$A:$A,"DebrisLevel",SITE_COEFFS!$B:$B,$G148))</f>
        <v/>
      </c>
      <c r="I148" s="13"/>
      <c r="J148" s="21" t="str">
        <f>IF($I148="","",SUMIFS(SITE_COEFFS!$C:$C,SITE_COEFFS!$A:$A,"SlopeClass",SITE_COEFFS!$B:$B,$I148))</f>
        <v/>
      </c>
      <c r="K148" s="13"/>
      <c r="L148" s="21" t="str">
        <f>IF($K148="","",SUMIFS(SITE_COEFFS!$C:$C,SITE_COEFFS!$A:$A,"SurfaceUnevenness",SITE_COEFFS!$B:$B,$K148))</f>
        <v/>
      </c>
      <c r="M148" s="13"/>
      <c r="N148" s="21" t="str">
        <f>IF($M148="","",SUMIFS(SITE_COEFFS!$C:$C,SITE_COEFFS!$A:$A,"AccessClass",SITE_COEFFS!$B:$B,$M148))</f>
        <v/>
      </c>
      <c r="O148" s="13"/>
      <c r="P148" s="21" t="str">
        <f>IF($O148="","",SUMIFS(SITE_COEFFS!$C:$C,SITE_COEFFS!$A:$A,"TurnSpace",SITE_COEFFS!$B:$B,$O148))</f>
        <v/>
      </c>
      <c r="Q148" s="13"/>
      <c r="R148" s="21" t="str">
        <f>IF($Q148="","",SUMIFS(SITE_COEFFS!$C:$C,SITE_COEFFS!$A:$A,"ProximityToBuildings",SITE_COEFFS!$B:$B,$Q148))</f>
        <v/>
      </c>
      <c r="S148" s="13"/>
      <c r="T148" s="21" t="str">
        <f>IF($S148="","",SUMIFS(SITE_COEFFS!$C:$C,SITE_COEFFS!$A:$A,"MachineryAllowed",SITE_COEFFS!$B:$B,$S148))</f>
        <v/>
      </c>
      <c r="U148" s="13"/>
      <c r="V148" s="13"/>
      <c r="W148" s="21" t="str">
        <f>IF($V148="","",SUMIFS(SITE_COEFFS!$C:$C,SITE_COEFFS!$A:$A,"GeometryComplexity",SITE_COEFFS!$B:$B,$V148))</f>
        <v/>
      </c>
      <c r="X148" s="13"/>
      <c r="Y148" s="13" t="str">
        <f>IF($X148="","",SUMIFS(TARIFF_PROFILES!$D:$D,TARIFF_PROFILES!$A:$A,$X148))</f>
        <v/>
      </c>
      <c r="Z148" s="13" t="str">
        <f>IF($X148="","",SUMIFS(TARIFF_PROFILES!$E:$E,TARIFF_PROFILES!$A:$A,$X148))</f>
        <v/>
      </c>
      <c r="AA148" s="13" t="str">
        <f>IF($X148="","",SUMIFS(TARIFF_PROFILES!$F:$F,TARIFF_PROFILES!$A:$A,$X148))</f>
        <v/>
      </c>
      <c r="AB148" s="13" t="str">
        <f>IF($X148="","",SUMIFS(TARIFF_PROFILES!$G:$G,TARIFF_PROFILES!$A:$A,$X148))</f>
        <v/>
      </c>
      <c r="AC148" s="13" t="str">
        <f>IF($X148="","",SUMIFS(TARIFF_PROFILES!$H:$H,TARIFF_PROFILES!$A:$A,$X148))</f>
        <v/>
      </c>
      <c r="AD148" s="13" t="str">
        <f>IF($X148="","",INDEX(TARIFF_PROFILES!$J:$J,MATCH($X148,TARIFF_PROFILES!$A:$A,0)))</f>
        <v/>
      </c>
      <c r="AE148" s="13" t="str">
        <f>IF($X148="","",INDEX(TARIFF_PROFILES!$K:$K,MATCH($X148,TARIFF_PROFILES!$A:$A,0)))</f>
        <v/>
      </c>
      <c r="AH148" t="str">
        <f>IF($AG148="","",SUMIFS(OPERATING_COEFFS!$C:$C,OPERATING_COEFFS!$A:$A,"DistanceClass",OPERATING_COEFFS!$B:$B,$AG148))</f>
        <v/>
      </c>
      <c r="AJ148" t="str">
        <f>IF($AI148="","",SUMIFS(OPERATING_COEFFS!$C:$C,OPERATING_COEFFS!$A:$A,"SeasonClass",OPERATING_COEFFS!$B:$B,$AI148))</f>
        <v/>
      </c>
      <c r="AL148" t="str">
        <f>IF($AK148="","",SUMIFS(OPERATING_COEFFS!$C:$C,OPERATING_COEFFS!$A:$A,"UrgencyClass",OPERATING_COEFFS!$B:$B,$AK148))</f>
        <v/>
      </c>
      <c r="AN148" t="str">
        <f>IF($AM148="","",INDEX(TAX_MODES!$B:$B,MATCH($AM148,TAX_MODES!$A:$A,0)))</f>
        <v/>
      </c>
    </row>
    <row r="149" spans="1:40" x14ac:dyDescent="0.3">
      <c r="A149" s="13"/>
      <c r="B149" s="13"/>
      <c r="C149" s="13"/>
      <c r="D149" s="21" t="str">
        <f>IF($C149="","",SUMIFS(SITE_COEFFS!$C:$C,SITE_COEFFS!$A:$A,"SoilWorkability",SITE_COEFFS!$B:$B,$C149))</f>
        <v/>
      </c>
      <c r="E149" s="13"/>
      <c r="F149" s="21" t="str">
        <f>IF($E149="","",SUMIFS(SITE_COEFFS!$C:$C,SITE_COEFFS!$A:$A,"SoilMoisture",SITE_COEFFS!$B:$B,$E149))</f>
        <v/>
      </c>
      <c r="G149" s="13"/>
      <c r="H149" s="21" t="str">
        <f>IF($G149="","",SUMIFS(SITE_COEFFS!$C:$C,SITE_COEFFS!$A:$A,"DebrisLevel",SITE_COEFFS!$B:$B,$G149))</f>
        <v/>
      </c>
      <c r="I149" s="13"/>
      <c r="J149" s="21" t="str">
        <f>IF($I149="","",SUMIFS(SITE_COEFFS!$C:$C,SITE_COEFFS!$A:$A,"SlopeClass",SITE_COEFFS!$B:$B,$I149))</f>
        <v/>
      </c>
      <c r="K149" s="13"/>
      <c r="L149" s="21" t="str">
        <f>IF($K149="","",SUMIFS(SITE_COEFFS!$C:$C,SITE_COEFFS!$A:$A,"SurfaceUnevenness",SITE_COEFFS!$B:$B,$K149))</f>
        <v/>
      </c>
      <c r="M149" s="13"/>
      <c r="N149" s="21" t="str">
        <f>IF($M149="","",SUMIFS(SITE_COEFFS!$C:$C,SITE_COEFFS!$A:$A,"AccessClass",SITE_COEFFS!$B:$B,$M149))</f>
        <v/>
      </c>
      <c r="O149" s="13"/>
      <c r="P149" s="21" t="str">
        <f>IF($O149="","",SUMIFS(SITE_COEFFS!$C:$C,SITE_COEFFS!$A:$A,"TurnSpace",SITE_COEFFS!$B:$B,$O149))</f>
        <v/>
      </c>
      <c r="Q149" s="13"/>
      <c r="R149" s="21" t="str">
        <f>IF($Q149="","",SUMIFS(SITE_COEFFS!$C:$C,SITE_COEFFS!$A:$A,"ProximityToBuildings",SITE_COEFFS!$B:$B,$Q149))</f>
        <v/>
      </c>
      <c r="S149" s="13"/>
      <c r="T149" s="21" t="str">
        <f>IF($S149="","",SUMIFS(SITE_COEFFS!$C:$C,SITE_COEFFS!$A:$A,"MachineryAllowed",SITE_COEFFS!$B:$B,$S149))</f>
        <v/>
      </c>
      <c r="U149" s="13"/>
      <c r="V149" s="13"/>
      <c r="W149" s="21" t="str">
        <f>IF($V149="","",SUMIFS(SITE_COEFFS!$C:$C,SITE_COEFFS!$A:$A,"GeometryComplexity",SITE_COEFFS!$B:$B,$V149))</f>
        <v/>
      </c>
      <c r="X149" s="13"/>
      <c r="Y149" s="13" t="str">
        <f>IF($X149="","",SUMIFS(TARIFF_PROFILES!$D:$D,TARIFF_PROFILES!$A:$A,$X149))</f>
        <v/>
      </c>
      <c r="Z149" s="13" t="str">
        <f>IF($X149="","",SUMIFS(TARIFF_PROFILES!$E:$E,TARIFF_PROFILES!$A:$A,$X149))</f>
        <v/>
      </c>
      <c r="AA149" s="13" t="str">
        <f>IF($X149="","",SUMIFS(TARIFF_PROFILES!$F:$F,TARIFF_PROFILES!$A:$A,$X149))</f>
        <v/>
      </c>
      <c r="AB149" s="13" t="str">
        <f>IF($X149="","",SUMIFS(TARIFF_PROFILES!$G:$G,TARIFF_PROFILES!$A:$A,$X149))</f>
        <v/>
      </c>
      <c r="AC149" s="13" t="str">
        <f>IF($X149="","",SUMIFS(TARIFF_PROFILES!$H:$H,TARIFF_PROFILES!$A:$A,$X149))</f>
        <v/>
      </c>
      <c r="AD149" s="13" t="str">
        <f>IF($X149="","",INDEX(TARIFF_PROFILES!$J:$J,MATCH($X149,TARIFF_PROFILES!$A:$A,0)))</f>
        <v/>
      </c>
      <c r="AE149" s="13" t="str">
        <f>IF($X149="","",INDEX(TARIFF_PROFILES!$K:$K,MATCH($X149,TARIFF_PROFILES!$A:$A,0)))</f>
        <v/>
      </c>
      <c r="AH149" t="str">
        <f>IF($AG149="","",SUMIFS(OPERATING_COEFFS!$C:$C,OPERATING_COEFFS!$A:$A,"DistanceClass",OPERATING_COEFFS!$B:$B,$AG149))</f>
        <v/>
      </c>
      <c r="AJ149" t="str">
        <f>IF($AI149="","",SUMIFS(OPERATING_COEFFS!$C:$C,OPERATING_COEFFS!$A:$A,"SeasonClass",OPERATING_COEFFS!$B:$B,$AI149))</f>
        <v/>
      </c>
      <c r="AL149" t="str">
        <f>IF($AK149="","",SUMIFS(OPERATING_COEFFS!$C:$C,OPERATING_COEFFS!$A:$A,"UrgencyClass",OPERATING_COEFFS!$B:$B,$AK149))</f>
        <v/>
      </c>
      <c r="AN149" t="str">
        <f>IF($AM149="","",INDEX(TAX_MODES!$B:$B,MATCH($AM149,TAX_MODES!$A:$A,0)))</f>
        <v/>
      </c>
    </row>
    <row r="150" spans="1:40" x14ac:dyDescent="0.3">
      <c r="A150" s="13"/>
      <c r="B150" s="13"/>
      <c r="C150" s="13"/>
      <c r="D150" s="21" t="str">
        <f>IF($C150="","",SUMIFS(SITE_COEFFS!$C:$C,SITE_COEFFS!$A:$A,"SoilWorkability",SITE_COEFFS!$B:$B,$C150))</f>
        <v/>
      </c>
      <c r="E150" s="13"/>
      <c r="F150" s="21" t="str">
        <f>IF($E150="","",SUMIFS(SITE_COEFFS!$C:$C,SITE_COEFFS!$A:$A,"SoilMoisture",SITE_COEFFS!$B:$B,$E150))</f>
        <v/>
      </c>
      <c r="G150" s="13"/>
      <c r="H150" s="21" t="str">
        <f>IF($G150="","",SUMIFS(SITE_COEFFS!$C:$C,SITE_COEFFS!$A:$A,"DebrisLevel",SITE_COEFFS!$B:$B,$G150))</f>
        <v/>
      </c>
      <c r="I150" s="13"/>
      <c r="J150" s="21" t="str">
        <f>IF($I150="","",SUMIFS(SITE_COEFFS!$C:$C,SITE_COEFFS!$A:$A,"SlopeClass",SITE_COEFFS!$B:$B,$I150))</f>
        <v/>
      </c>
      <c r="K150" s="13"/>
      <c r="L150" s="21" t="str">
        <f>IF($K150="","",SUMIFS(SITE_COEFFS!$C:$C,SITE_COEFFS!$A:$A,"SurfaceUnevenness",SITE_COEFFS!$B:$B,$K150))</f>
        <v/>
      </c>
      <c r="M150" s="13"/>
      <c r="N150" s="21" t="str">
        <f>IF($M150="","",SUMIFS(SITE_COEFFS!$C:$C,SITE_COEFFS!$A:$A,"AccessClass",SITE_COEFFS!$B:$B,$M150))</f>
        <v/>
      </c>
      <c r="O150" s="13"/>
      <c r="P150" s="21" t="str">
        <f>IF($O150="","",SUMIFS(SITE_COEFFS!$C:$C,SITE_COEFFS!$A:$A,"TurnSpace",SITE_COEFFS!$B:$B,$O150))</f>
        <v/>
      </c>
      <c r="Q150" s="13"/>
      <c r="R150" s="21" t="str">
        <f>IF($Q150="","",SUMIFS(SITE_COEFFS!$C:$C,SITE_COEFFS!$A:$A,"ProximityToBuildings",SITE_COEFFS!$B:$B,$Q150))</f>
        <v/>
      </c>
      <c r="S150" s="13"/>
      <c r="T150" s="21" t="str">
        <f>IF($S150="","",SUMIFS(SITE_COEFFS!$C:$C,SITE_COEFFS!$A:$A,"MachineryAllowed",SITE_COEFFS!$B:$B,$S150))</f>
        <v/>
      </c>
      <c r="U150" s="13"/>
      <c r="V150" s="13"/>
      <c r="W150" s="21" t="str">
        <f>IF($V150="","",SUMIFS(SITE_COEFFS!$C:$C,SITE_COEFFS!$A:$A,"GeometryComplexity",SITE_COEFFS!$B:$B,$V150))</f>
        <v/>
      </c>
      <c r="X150" s="13"/>
      <c r="Y150" s="13" t="str">
        <f>IF($X150="","",SUMIFS(TARIFF_PROFILES!$D:$D,TARIFF_PROFILES!$A:$A,$X150))</f>
        <v/>
      </c>
      <c r="Z150" s="13" t="str">
        <f>IF($X150="","",SUMIFS(TARIFF_PROFILES!$E:$E,TARIFF_PROFILES!$A:$A,$X150))</f>
        <v/>
      </c>
      <c r="AA150" s="13" t="str">
        <f>IF($X150="","",SUMIFS(TARIFF_PROFILES!$F:$F,TARIFF_PROFILES!$A:$A,$X150))</f>
        <v/>
      </c>
      <c r="AB150" s="13" t="str">
        <f>IF($X150="","",SUMIFS(TARIFF_PROFILES!$G:$G,TARIFF_PROFILES!$A:$A,$X150))</f>
        <v/>
      </c>
      <c r="AC150" s="13" t="str">
        <f>IF($X150="","",SUMIFS(TARIFF_PROFILES!$H:$H,TARIFF_PROFILES!$A:$A,$X150))</f>
        <v/>
      </c>
      <c r="AD150" s="13" t="str">
        <f>IF($X150="","",INDEX(TARIFF_PROFILES!$J:$J,MATCH($X150,TARIFF_PROFILES!$A:$A,0)))</f>
        <v/>
      </c>
      <c r="AE150" s="13" t="str">
        <f>IF($X150="","",INDEX(TARIFF_PROFILES!$K:$K,MATCH($X150,TARIFF_PROFILES!$A:$A,0)))</f>
        <v/>
      </c>
      <c r="AH150" t="str">
        <f>IF($AG150="","",SUMIFS(OPERATING_COEFFS!$C:$C,OPERATING_COEFFS!$A:$A,"DistanceClass",OPERATING_COEFFS!$B:$B,$AG150))</f>
        <v/>
      </c>
      <c r="AJ150" t="str">
        <f>IF($AI150="","",SUMIFS(OPERATING_COEFFS!$C:$C,OPERATING_COEFFS!$A:$A,"SeasonClass",OPERATING_COEFFS!$B:$B,$AI150))</f>
        <v/>
      </c>
      <c r="AL150" t="str">
        <f>IF($AK150="","",SUMIFS(OPERATING_COEFFS!$C:$C,OPERATING_COEFFS!$A:$A,"UrgencyClass",OPERATING_COEFFS!$B:$B,$AK150))</f>
        <v/>
      </c>
      <c r="AN150" t="str">
        <f>IF($AM150="","",INDEX(TAX_MODES!$B:$B,MATCH($AM150,TAX_MODES!$A:$A,0)))</f>
        <v/>
      </c>
    </row>
    <row r="151" spans="1:40" x14ac:dyDescent="0.3">
      <c r="X151" s="13"/>
      <c r="Y151" s="13" t="str">
        <f>IF($X151="","",SUMIFS(TARIFF_PROFILES!$D:$D,TARIFF_PROFILES!$A:$A,$X151))</f>
        <v/>
      </c>
      <c r="Z151" s="13" t="str">
        <f>IF($X151="","",SUMIFS(TARIFF_PROFILES!$E:$E,TARIFF_PROFILES!$A:$A,$X151))</f>
        <v/>
      </c>
      <c r="AA151" s="13" t="str">
        <f>IF($X151="","",SUMIFS(TARIFF_PROFILES!$F:$F,TARIFF_PROFILES!$A:$A,$X151))</f>
        <v/>
      </c>
      <c r="AB151" s="13" t="str">
        <f>IF($X151="","",SUMIFS(TARIFF_PROFILES!$G:$G,TARIFF_PROFILES!$A:$A,$X151))</f>
        <v/>
      </c>
      <c r="AC151" s="13" t="str">
        <f>IF($X151="","",SUMIFS(TARIFF_PROFILES!$H:$H,TARIFF_PROFILES!$A:$A,$X151))</f>
        <v/>
      </c>
      <c r="AD151" s="13" t="str">
        <f>IF($X151="","",INDEX(TARIFF_PROFILES!$J:$J,MATCH($X151,TARIFF_PROFILES!$A:$A,0)))</f>
        <v/>
      </c>
      <c r="AE151" s="13" t="str">
        <f>IF($X151="","",INDEX(TARIFF_PROFILES!$K:$K,MATCH($X151,TARIFF_PROFILES!$A:$A,0)))</f>
        <v/>
      </c>
      <c r="AH151" t="str">
        <f>IF($AG151="","",SUMIFS(OPERATING_COEFFS!$C:$C,OPERATING_COEFFS!$A:$A,"DistanceClass",OPERATING_COEFFS!$B:$B,$AG151))</f>
        <v/>
      </c>
      <c r="AJ151" t="str">
        <f>IF($AI151="","",SUMIFS(OPERATING_COEFFS!$C:$C,OPERATING_COEFFS!$A:$A,"SeasonClass",OPERATING_COEFFS!$B:$B,$AI151))</f>
        <v/>
      </c>
      <c r="AL151" t="str">
        <f>IF($AK151="","",SUMIFS(OPERATING_COEFFS!$C:$C,OPERATING_COEFFS!$A:$A,"UrgencyClass",OPERATING_COEFFS!$B:$B,$AK151))</f>
        <v/>
      </c>
      <c r="AN151" t="str">
        <f>IF($AM151="","",INDEX(TAX_MODES!$B:$B,MATCH($AM151,TAX_MODES!$A:$A,0)))</f>
        <v/>
      </c>
    </row>
    <row r="152" spans="1:40" x14ac:dyDescent="0.3">
      <c r="X152" s="13"/>
      <c r="Y152" s="13" t="str">
        <f>IF($X152="","",SUMIFS(TARIFF_PROFILES!$D:$D,TARIFF_PROFILES!$A:$A,$X152))</f>
        <v/>
      </c>
      <c r="Z152" s="13" t="str">
        <f>IF($X152="","",SUMIFS(TARIFF_PROFILES!$E:$E,TARIFF_PROFILES!$A:$A,$X152))</f>
        <v/>
      </c>
      <c r="AA152" s="13" t="str">
        <f>IF($X152="","",SUMIFS(TARIFF_PROFILES!$F:$F,TARIFF_PROFILES!$A:$A,$X152))</f>
        <v/>
      </c>
      <c r="AB152" s="13" t="str">
        <f>IF($X152="","",SUMIFS(TARIFF_PROFILES!$G:$G,TARIFF_PROFILES!$A:$A,$X152))</f>
        <v/>
      </c>
      <c r="AC152" s="13" t="str">
        <f>IF($X152="","",SUMIFS(TARIFF_PROFILES!$H:$H,TARIFF_PROFILES!$A:$A,$X152))</f>
        <v/>
      </c>
      <c r="AD152" s="13" t="str">
        <f>IF($X152="","",INDEX(TARIFF_PROFILES!$J:$J,MATCH($X152,TARIFF_PROFILES!$A:$A,0)))</f>
        <v/>
      </c>
      <c r="AE152" s="13" t="str">
        <f>IF($X152="","",INDEX(TARIFF_PROFILES!$K:$K,MATCH($X152,TARIFF_PROFILES!$A:$A,0)))</f>
        <v/>
      </c>
      <c r="AH152" t="str">
        <f>IF($AG152="","",SUMIFS(OPERATING_COEFFS!$C:$C,OPERATING_COEFFS!$A:$A,"DistanceClass",OPERATING_COEFFS!$B:$B,$AG152))</f>
        <v/>
      </c>
      <c r="AJ152" t="str">
        <f>IF($AI152="","",SUMIFS(OPERATING_COEFFS!$C:$C,OPERATING_COEFFS!$A:$A,"SeasonClass",OPERATING_COEFFS!$B:$B,$AI152))</f>
        <v/>
      </c>
      <c r="AL152" t="str">
        <f>IF($AK152="","",SUMIFS(OPERATING_COEFFS!$C:$C,OPERATING_COEFFS!$A:$A,"UrgencyClass",OPERATING_COEFFS!$B:$B,$AK152))</f>
        <v/>
      </c>
      <c r="AN152" t="str">
        <f>IF($AM152="","",INDEX(TAX_MODES!$B:$B,MATCH($AM152,TAX_MODES!$A:$A,0)))</f>
        <v/>
      </c>
    </row>
    <row r="153" spans="1:40" x14ac:dyDescent="0.3">
      <c r="X153" s="13"/>
      <c r="Y153" s="13" t="str">
        <f>IF($X153="","",SUMIFS(TARIFF_PROFILES!$D:$D,TARIFF_PROFILES!$A:$A,$X153))</f>
        <v/>
      </c>
      <c r="Z153" s="13" t="str">
        <f>IF($X153="","",SUMIFS(TARIFF_PROFILES!$E:$E,TARIFF_PROFILES!$A:$A,$X153))</f>
        <v/>
      </c>
      <c r="AA153" s="13" t="str">
        <f>IF($X153="","",SUMIFS(TARIFF_PROFILES!$F:$F,TARIFF_PROFILES!$A:$A,$X153))</f>
        <v/>
      </c>
      <c r="AB153" s="13" t="str">
        <f>IF($X153="","",SUMIFS(TARIFF_PROFILES!$G:$G,TARIFF_PROFILES!$A:$A,$X153))</f>
        <v/>
      </c>
      <c r="AC153" s="13" t="str">
        <f>IF($X153="","",SUMIFS(TARIFF_PROFILES!$H:$H,TARIFF_PROFILES!$A:$A,$X153))</f>
        <v/>
      </c>
      <c r="AD153" s="13" t="str">
        <f>IF($X153="","",INDEX(TARIFF_PROFILES!$J:$J,MATCH($X153,TARIFF_PROFILES!$A:$A,0)))</f>
        <v/>
      </c>
      <c r="AE153" s="13" t="str">
        <f>IF($X153="","",INDEX(TARIFF_PROFILES!$K:$K,MATCH($X153,TARIFF_PROFILES!$A:$A,0)))</f>
        <v/>
      </c>
      <c r="AH153" t="str">
        <f>IF($AG153="","",SUMIFS(OPERATING_COEFFS!$C:$C,OPERATING_COEFFS!$A:$A,"DistanceClass",OPERATING_COEFFS!$B:$B,$AG153))</f>
        <v/>
      </c>
      <c r="AJ153" t="str">
        <f>IF($AI153="","",SUMIFS(OPERATING_COEFFS!$C:$C,OPERATING_COEFFS!$A:$A,"SeasonClass",OPERATING_COEFFS!$B:$B,$AI153))</f>
        <v/>
      </c>
      <c r="AL153" t="str">
        <f>IF($AK153="","",SUMIFS(OPERATING_COEFFS!$C:$C,OPERATING_COEFFS!$A:$A,"UrgencyClass",OPERATING_COEFFS!$B:$B,$AK153))</f>
        <v/>
      </c>
      <c r="AN153" t="str">
        <f>IF($AM153="","",INDEX(TAX_MODES!$B:$B,MATCH($AM153,TAX_MODES!$A:$A,0)))</f>
        <v/>
      </c>
    </row>
    <row r="154" spans="1:40" x14ac:dyDescent="0.3">
      <c r="X154" s="13"/>
      <c r="Y154" s="13" t="str">
        <f>IF($X154="","",SUMIFS(TARIFF_PROFILES!$D:$D,TARIFF_PROFILES!$A:$A,$X154))</f>
        <v/>
      </c>
      <c r="Z154" s="13" t="str">
        <f>IF($X154="","",SUMIFS(TARIFF_PROFILES!$E:$E,TARIFF_PROFILES!$A:$A,$X154))</f>
        <v/>
      </c>
      <c r="AA154" s="13" t="str">
        <f>IF($X154="","",SUMIFS(TARIFF_PROFILES!$F:$F,TARIFF_PROFILES!$A:$A,$X154))</f>
        <v/>
      </c>
      <c r="AB154" s="13" t="str">
        <f>IF($X154="","",SUMIFS(TARIFF_PROFILES!$G:$G,TARIFF_PROFILES!$A:$A,$X154))</f>
        <v/>
      </c>
      <c r="AC154" s="13" t="str">
        <f>IF($X154="","",SUMIFS(TARIFF_PROFILES!$H:$H,TARIFF_PROFILES!$A:$A,$X154))</f>
        <v/>
      </c>
      <c r="AD154" s="13" t="str">
        <f>IF($X154="","",INDEX(TARIFF_PROFILES!$J:$J,MATCH($X154,TARIFF_PROFILES!$A:$A,0)))</f>
        <v/>
      </c>
      <c r="AE154" s="13" t="str">
        <f>IF($X154="","",INDEX(TARIFF_PROFILES!$K:$K,MATCH($X154,TARIFF_PROFILES!$A:$A,0)))</f>
        <v/>
      </c>
      <c r="AH154" t="str">
        <f>IF($AG154="","",SUMIFS(OPERATING_COEFFS!$C:$C,OPERATING_COEFFS!$A:$A,"DistanceClass",OPERATING_COEFFS!$B:$B,$AG154))</f>
        <v/>
      </c>
      <c r="AJ154" t="str">
        <f>IF($AI154="","",SUMIFS(OPERATING_COEFFS!$C:$C,OPERATING_COEFFS!$A:$A,"SeasonClass",OPERATING_COEFFS!$B:$B,$AI154))</f>
        <v/>
      </c>
      <c r="AL154" t="str">
        <f>IF($AK154="","",SUMIFS(OPERATING_COEFFS!$C:$C,OPERATING_COEFFS!$A:$A,"UrgencyClass",OPERATING_COEFFS!$B:$B,$AK154))</f>
        <v/>
      </c>
      <c r="AN154" t="str">
        <f>IF($AM154="","",INDEX(TAX_MODES!$B:$B,MATCH($AM154,TAX_MODES!$A:$A,0)))</f>
        <v/>
      </c>
    </row>
    <row r="155" spans="1:40" x14ac:dyDescent="0.3">
      <c r="X155" s="13"/>
      <c r="Y155" s="13" t="str">
        <f>IF($X155="","",SUMIFS(TARIFF_PROFILES!$D:$D,TARIFF_PROFILES!$A:$A,$X155))</f>
        <v/>
      </c>
      <c r="Z155" s="13" t="str">
        <f>IF($X155="","",SUMIFS(TARIFF_PROFILES!$E:$E,TARIFF_PROFILES!$A:$A,$X155))</f>
        <v/>
      </c>
      <c r="AA155" s="13" t="str">
        <f>IF($X155="","",SUMIFS(TARIFF_PROFILES!$F:$F,TARIFF_PROFILES!$A:$A,$X155))</f>
        <v/>
      </c>
      <c r="AB155" s="13" t="str">
        <f>IF($X155="","",SUMIFS(TARIFF_PROFILES!$G:$G,TARIFF_PROFILES!$A:$A,$X155))</f>
        <v/>
      </c>
      <c r="AC155" s="13" t="str">
        <f>IF($X155="","",SUMIFS(TARIFF_PROFILES!$H:$H,TARIFF_PROFILES!$A:$A,$X155))</f>
        <v/>
      </c>
      <c r="AD155" s="13" t="str">
        <f>IF($X155="","",INDEX(TARIFF_PROFILES!$J:$J,MATCH($X155,TARIFF_PROFILES!$A:$A,0)))</f>
        <v/>
      </c>
      <c r="AE155" s="13" t="str">
        <f>IF($X155="","",INDEX(TARIFF_PROFILES!$K:$K,MATCH($X155,TARIFF_PROFILES!$A:$A,0)))</f>
        <v/>
      </c>
      <c r="AH155" t="str">
        <f>IF($AG155="","",SUMIFS(OPERATING_COEFFS!$C:$C,OPERATING_COEFFS!$A:$A,"DistanceClass",OPERATING_COEFFS!$B:$B,$AG155))</f>
        <v/>
      </c>
      <c r="AJ155" t="str">
        <f>IF($AI155="","",SUMIFS(OPERATING_COEFFS!$C:$C,OPERATING_COEFFS!$A:$A,"SeasonClass",OPERATING_COEFFS!$B:$B,$AI155))</f>
        <v/>
      </c>
      <c r="AL155" t="str">
        <f>IF($AK155="","",SUMIFS(OPERATING_COEFFS!$C:$C,OPERATING_COEFFS!$A:$A,"UrgencyClass",OPERATING_COEFFS!$B:$B,$AK155))</f>
        <v/>
      </c>
      <c r="AN155" t="str">
        <f>IF($AM155="","",INDEX(TAX_MODES!$B:$B,MATCH($AM155,TAX_MODES!$A:$A,0)))</f>
        <v/>
      </c>
    </row>
    <row r="156" spans="1:40" x14ac:dyDescent="0.3">
      <c r="X156" s="13"/>
      <c r="Y156" s="13" t="str">
        <f>IF($X156="","",SUMIFS(TARIFF_PROFILES!$D:$D,TARIFF_PROFILES!$A:$A,$X156))</f>
        <v/>
      </c>
      <c r="Z156" s="13" t="str">
        <f>IF($X156="","",SUMIFS(TARIFF_PROFILES!$E:$E,TARIFF_PROFILES!$A:$A,$X156))</f>
        <v/>
      </c>
      <c r="AA156" s="13" t="str">
        <f>IF($X156="","",SUMIFS(TARIFF_PROFILES!$F:$F,TARIFF_PROFILES!$A:$A,$X156))</f>
        <v/>
      </c>
      <c r="AB156" s="13" t="str">
        <f>IF($X156="","",SUMIFS(TARIFF_PROFILES!$G:$G,TARIFF_PROFILES!$A:$A,$X156))</f>
        <v/>
      </c>
      <c r="AC156" s="13" t="str">
        <f>IF($X156="","",SUMIFS(TARIFF_PROFILES!$H:$H,TARIFF_PROFILES!$A:$A,$X156))</f>
        <v/>
      </c>
      <c r="AD156" s="13" t="str">
        <f>IF($X156="","",INDEX(TARIFF_PROFILES!$J:$J,MATCH($X156,TARIFF_PROFILES!$A:$A,0)))</f>
        <v/>
      </c>
      <c r="AE156" s="13" t="str">
        <f>IF($X156="","",INDEX(TARIFF_PROFILES!$K:$K,MATCH($X156,TARIFF_PROFILES!$A:$A,0)))</f>
        <v/>
      </c>
      <c r="AH156" t="str">
        <f>IF($AG156="","",SUMIFS(OPERATING_COEFFS!$C:$C,OPERATING_COEFFS!$A:$A,"DistanceClass",OPERATING_COEFFS!$B:$B,$AG156))</f>
        <v/>
      </c>
      <c r="AJ156" t="str">
        <f>IF($AI156="","",SUMIFS(OPERATING_COEFFS!$C:$C,OPERATING_COEFFS!$A:$A,"SeasonClass",OPERATING_COEFFS!$B:$B,$AI156))</f>
        <v/>
      </c>
      <c r="AL156" t="str">
        <f>IF($AK156="","",SUMIFS(OPERATING_COEFFS!$C:$C,OPERATING_COEFFS!$A:$A,"UrgencyClass",OPERATING_COEFFS!$B:$B,$AK156))</f>
        <v/>
      </c>
      <c r="AN156" t="str">
        <f>IF($AM156="","",INDEX(TAX_MODES!$B:$B,MATCH($AM156,TAX_MODES!$A:$A,0)))</f>
        <v/>
      </c>
    </row>
    <row r="157" spans="1:40" x14ac:dyDescent="0.3">
      <c r="X157" s="13"/>
      <c r="Y157" s="13" t="str">
        <f>IF($X157="","",SUMIFS(TARIFF_PROFILES!$D:$D,TARIFF_PROFILES!$A:$A,$X157))</f>
        <v/>
      </c>
      <c r="Z157" s="13" t="str">
        <f>IF($X157="","",SUMIFS(TARIFF_PROFILES!$E:$E,TARIFF_PROFILES!$A:$A,$X157))</f>
        <v/>
      </c>
      <c r="AA157" s="13" t="str">
        <f>IF($X157="","",SUMIFS(TARIFF_PROFILES!$F:$F,TARIFF_PROFILES!$A:$A,$X157))</f>
        <v/>
      </c>
      <c r="AB157" s="13" t="str">
        <f>IF($X157="","",SUMIFS(TARIFF_PROFILES!$G:$G,TARIFF_PROFILES!$A:$A,$X157))</f>
        <v/>
      </c>
      <c r="AC157" s="13" t="str">
        <f>IF($X157="","",SUMIFS(TARIFF_PROFILES!$H:$H,TARIFF_PROFILES!$A:$A,$X157))</f>
        <v/>
      </c>
      <c r="AD157" s="13" t="str">
        <f>IF($X157="","",INDEX(TARIFF_PROFILES!$J:$J,MATCH($X157,TARIFF_PROFILES!$A:$A,0)))</f>
        <v/>
      </c>
      <c r="AE157" s="13" t="str">
        <f>IF($X157="","",INDEX(TARIFF_PROFILES!$K:$K,MATCH($X157,TARIFF_PROFILES!$A:$A,0)))</f>
        <v/>
      </c>
      <c r="AH157" t="str">
        <f>IF($AG157="","",SUMIFS(OPERATING_COEFFS!$C:$C,OPERATING_COEFFS!$A:$A,"DistanceClass",OPERATING_COEFFS!$B:$B,$AG157))</f>
        <v/>
      </c>
      <c r="AJ157" t="str">
        <f>IF($AI157="","",SUMIFS(OPERATING_COEFFS!$C:$C,OPERATING_COEFFS!$A:$A,"SeasonClass",OPERATING_COEFFS!$B:$B,$AI157))</f>
        <v/>
      </c>
      <c r="AL157" t="str">
        <f>IF($AK157="","",SUMIFS(OPERATING_COEFFS!$C:$C,OPERATING_COEFFS!$A:$A,"UrgencyClass",OPERATING_COEFFS!$B:$B,$AK157))</f>
        <v/>
      </c>
      <c r="AN157" t="str">
        <f>IF($AM157="","",INDEX(TAX_MODES!$B:$B,MATCH($AM157,TAX_MODES!$A:$A,0)))</f>
        <v/>
      </c>
    </row>
    <row r="158" spans="1:40" x14ac:dyDescent="0.3">
      <c r="X158" s="13"/>
      <c r="Y158" s="13" t="str">
        <f>IF($X158="","",SUMIFS(TARIFF_PROFILES!$D:$D,TARIFF_PROFILES!$A:$A,$X158))</f>
        <v/>
      </c>
      <c r="Z158" s="13" t="str">
        <f>IF($X158="","",SUMIFS(TARIFF_PROFILES!$E:$E,TARIFF_PROFILES!$A:$A,$X158))</f>
        <v/>
      </c>
      <c r="AA158" s="13" t="str">
        <f>IF($X158="","",SUMIFS(TARIFF_PROFILES!$F:$F,TARIFF_PROFILES!$A:$A,$X158))</f>
        <v/>
      </c>
      <c r="AB158" s="13" t="str">
        <f>IF($X158="","",SUMIFS(TARIFF_PROFILES!$G:$G,TARIFF_PROFILES!$A:$A,$X158))</f>
        <v/>
      </c>
      <c r="AC158" s="13" t="str">
        <f>IF($X158="","",SUMIFS(TARIFF_PROFILES!$H:$H,TARIFF_PROFILES!$A:$A,$X158))</f>
        <v/>
      </c>
      <c r="AD158" s="13" t="str">
        <f>IF($X158="","",INDEX(TARIFF_PROFILES!$J:$J,MATCH($X158,TARIFF_PROFILES!$A:$A,0)))</f>
        <v/>
      </c>
      <c r="AE158" s="13" t="str">
        <f>IF($X158="","",INDEX(TARIFF_PROFILES!$K:$K,MATCH($X158,TARIFF_PROFILES!$A:$A,0)))</f>
        <v/>
      </c>
      <c r="AH158" t="str">
        <f>IF($AG158="","",SUMIFS(OPERATING_COEFFS!$C:$C,OPERATING_COEFFS!$A:$A,"DistanceClass",OPERATING_COEFFS!$B:$B,$AG158))</f>
        <v/>
      </c>
      <c r="AJ158" t="str">
        <f>IF($AI158="","",SUMIFS(OPERATING_COEFFS!$C:$C,OPERATING_COEFFS!$A:$A,"SeasonClass",OPERATING_COEFFS!$B:$B,$AI158))</f>
        <v/>
      </c>
      <c r="AL158" t="str">
        <f>IF($AK158="","",SUMIFS(OPERATING_COEFFS!$C:$C,OPERATING_COEFFS!$A:$A,"UrgencyClass",OPERATING_COEFFS!$B:$B,$AK158))</f>
        <v/>
      </c>
      <c r="AN158" t="str">
        <f>IF($AM158="","",INDEX(TAX_MODES!$B:$B,MATCH($AM158,TAX_MODES!$A:$A,0)))</f>
        <v/>
      </c>
    </row>
    <row r="159" spans="1:40" x14ac:dyDescent="0.3">
      <c r="X159" s="13"/>
      <c r="Y159" s="13" t="str">
        <f>IF($X159="","",SUMIFS(TARIFF_PROFILES!$D:$D,TARIFF_PROFILES!$A:$A,$X159))</f>
        <v/>
      </c>
      <c r="Z159" s="13" t="str">
        <f>IF($X159="","",SUMIFS(TARIFF_PROFILES!$E:$E,TARIFF_PROFILES!$A:$A,$X159))</f>
        <v/>
      </c>
      <c r="AA159" s="13" t="str">
        <f>IF($X159="","",SUMIFS(TARIFF_PROFILES!$F:$F,TARIFF_PROFILES!$A:$A,$X159))</f>
        <v/>
      </c>
      <c r="AB159" s="13" t="str">
        <f>IF($X159="","",SUMIFS(TARIFF_PROFILES!$G:$G,TARIFF_PROFILES!$A:$A,$X159))</f>
        <v/>
      </c>
      <c r="AC159" s="13" t="str">
        <f>IF($X159="","",SUMIFS(TARIFF_PROFILES!$H:$H,TARIFF_PROFILES!$A:$A,$X159))</f>
        <v/>
      </c>
      <c r="AD159" s="13" t="str">
        <f>IF($X159="","",INDEX(TARIFF_PROFILES!$J:$J,MATCH($X159,TARIFF_PROFILES!$A:$A,0)))</f>
        <v/>
      </c>
      <c r="AE159" s="13" t="str">
        <f>IF($X159="","",INDEX(TARIFF_PROFILES!$K:$K,MATCH($X159,TARIFF_PROFILES!$A:$A,0)))</f>
        <v/>
      </c>
      <c r="AH159" t="str">
        <f>IF($AG159="","",SUMIFS(OPERATING_COEFFS!$C:$C,OPERATING_COEFFS!$A:$A,"DistanceClass",OPERATING_COEFFS!$B:$B,$AG159))</f>
        <v/>
      </c>
      <c r="AJ159" t="str">
        <f>IF($AI159="","",SUMIFS(OPERATING_COEFFS!$C:$C,OPERATING_COEFFS!$A:$A,"SeasonClass",OPERATING_COEFFS!$B:$B,$AI159))</f>
        <v/>
      </c>
      <c r="AL159" t="str">
        <f>IF($AK159="","",SUMIFS(OPERATING_COEFFS!$C:$C,OPERATING_COEFFS!$A:$A,"UrgencyClass",OPERATING_COEFFS!$B:$B,$AK159))</f>
        <v/>
      </c>
      <c r="AN159" t="str">
        <f>IF($AM159="","",INDEX(TAX_MODES!$B:$B,MATCH($AM159,TAX_MODES!$A:$A,0)))</f>
        <v/>
      </c>
    </row>
    <row r="160" spans="1:40" x14ac:dyDescent="0.3">
      <c r="X160" s="13"/>
      <c r="Y160" s="13" t="str">
        <f>IF($X160="","",SUMIFS(TARIFF_PROFILES!$D:$D,TARIFF_PROFILES!$A:$A,$X160))</f>
        <v/>
      </c>
      <c r="Z160" s="13" t="str">
        <f>IF($X160="","",SUMIFS(TARIFF_PROFILES!$E:$E,TARIFF_PROFILES!$A:$A,$X160))</f>
        <v/>
      </c>
      <c r="AA160" s="13" t="str">
        <f>IF($X160="","",SUMIFS(TARIFF_PROFILES!$F:$F,TARIFF_PROFILES!$A:$A,$X160))</f>
        <v/>
      </c>
      <c r="AB160" s="13" t="str">
        <f>IF($X160="","",SUMIFS(TARIFF_PROFILES!$G:$G,TARIFF_PROFILES!$A:$A,$X160))</f>
        <v/>
      </c>
      <c r="AC160" s="13" t="str">
        <f>IF($X160="","",SUMIFS(TARIFF_PROFILES!$H:$H,TARIFF_PROFILES!$A:$A,$X160))</f>
        <v/>
      </c>
      <c r="AD160" s="13" t="str">
        <f>IF($X160="","",INDEX(TARIFF_PROFILES!$J:$J,MATCH($X160,TARIFF_PROFILES!$A:$A,0)))</f>
        <v/>
      </c>
      <c r="AE160" s="13" t="str">
        <f>IF($X160="","",INDEX(TARIFF_PROFILES!$K:$K,MATCH($X160,TARIFF_PROFILES!$A:$A,0)))</f>
        <v/>
      </c>
      <c r="AH160" t="str">
        <f>IF($AG160="","",SUMIFS(OPERATING_COEFFS!$C:$C,OPERATING_COEFFS!$A:$A,"DistanceClass",OPERATING_COEFFS!$B:$B,$AG160))</f>
        <v/>
      </c>
      <c r="AJ160" t="str">
        <f>IF($AI160="","",SUMIFS(OPERATING_COEFFS!$C:$C,OPERATING_COEFFS!$A:$A,"SeasonClass",OPERATING_COEFFS!$B:$B,$AI160))</f>
        <v/>
      </c>
      <c r="AL160" t="str">
        <f>IF($AK160="","",SUMIFS(OPERATING_COEFFS!$C:$C,OPERATING_COEFFS!$A:$A,"UrgencyClass",OPERATING_COEFFS!$B:$B,$AK160))</f>
        <v/>
      </c>
      <c r="AN160" t="str">
        <f>IF($AM160="","",INDEX(TAX_MODES!$B:$B,MATCH($AM160,TAX_MODES!$A:$A,0)))</f>
        <v/>
      </c>
    </row>
    <row r="161" spans="24:40" x14ac:dyDescent="0.3">
      <c r="X161" s="13"/>
      <c r="Y161" s="13" t="str">
        <f>IF($X161="","",SUMIFS(TARIFF_PROFILES!$D:$D,TARIFF_PROFILES!$A:$A,$X161))</f>
        <v/>
      </c>
      <c r="Z161" s="13" t="str">
        <f>IF($X161="","",SUMIFS(TARIFF_PROFILES!$E:$E,TARIFF_PROFILES!$A:$A,$X161))</f>
        <v/>
      </c>
      <c r="AA161" s="13" t="str">
        <f>IF($X161="","",SUMIFS(TARIFF_PROFILES!$F:$F,TARIFF_PROFILES!$A:$A,$X161))</f>
        <v/>
      </c>
      <c r="AB161" s="13" t="str">
        <f>IF($X161="","",SUMIFS(TARIFF_PROFILES!$G:$G,TARIFF_PROFILES!$A:$A,$X161))</f>
        <v/>
      </c>
      <c r="AC161" s="13" t="str">
        <f>IF($X161="","",SUMIFS(TARIFF_PROFILES!$H:$H,TARIFF_PROFILES!$A:$A,$X161))</f>
        <v/>
      </c>
      <c r="AD161" s="13" t="str">
        <f>IF($X161="","",INDEX(TARIFF_PROFILES!$J:$J,MATCH($X161,TARIFF_PROFILES!$A:$A,0)))</f>
        <v/>
      </c>
      <c r="AE161" s="13" t="str">
        <f>IF($X161="","",INDEX(TARIFF_PROFILES!$K:$K,MATCH($X161,TARIFF_PROFILES!$A:$A,0)))</f>
        <v/>
      </c>
      <c r="AH161" t="str">
        <f>IF($AG161="","",SUMIFS(OPERATING_COEFFS!$C:$C,OPERATING_COEFFS!$A:$A,"DistanceClass",OPERATING_COEFFS!$B:$B,$AG161))</f>
        <v/>
      </c>
      <c r="AJ161" t="str">
        <f>IF($AI161="","",SUMIFS(OPERATING_COEFFS!$C:$C,OPERATING_COEFFS!$A:$A,"SeasonClass",OPERATING_COEFFS!$B:$B,$AI161))</f>
        <v/>
      </c>
      <c r="AL161" t="str">
        <f>IF($AK161="","",SUMIFS(OPERATING_COEFFS!$C:$C,OPERATING_COEFFS!$A:$A,"UrgencyClass",OPERATING_COEFFS!$B:$B,$AK161))</f>
        <v/>
      </c>
      <c r="AN161" t="str">
        <f>IF($AM161="","",INDEX(TAX_MODES!$B:$B,MATCH($AM161,TAX_MODES!$A:$A,0)))</f>
        <v/>
      </c>
    </row>
    <row r="162" spans="24:40" x14ac:dyDescent="0.3">
      <c r="X162" s="13"/>
      <c r="Y162" s="13" t="str">
        <f>IF($X162="","",SUMIFS(TARIFF_PROFILES!$D:$D,TARIFF_PROFILES!$A:$A,$X162))</f>
        <v/>
      </c>
      <c r="Z162" s="13" t="str">
        <f>IF($X162="","",SUMIFS(TARIFF_PROFILES!$E:$E,TARIFF_PROFILES!$A:$A,$X162))</f>
        <v/>
      </c>
      <c r="AA162" s="13" t="str">
        <f>IF($X162="","",SUMIFS(TARIFF_PROFILES!$F:$F,TARIFF_PROFILES!$A:$A,$X162))</f>
        <v/>
      </c>
      <c r="AB162" s="13" t="str">
        <f>IF($X162="","",SUMIFS(TARIFF_PROFILES!$G:$G,TARIFF_PROFILES!$A:$A,$X162))</f>
        <v/>
      </c>
      <c r="AC162" s="13" t="str">
        <f>IF($X162="","",SUMIFS(TARIFF_PROFILES!$H:$H,TARIFF_PROFILES!$A:$A,$X162))</f>
        <v/>
      </c>
      <c r="AD162" s="13" t="str">
        <f>IF($X162="","",INDEX(TARIFF_PROFILES!$J:$J,MATCH($X162,TARIFF_PROFILES!$A:$A,0)))</f>
        <v/>
      </c>
      <c r="AE162" s="13" t="str">
        <f>IF($X162="","",INDEX(TARIFF_PROFILES!$K:$K,MATCH($X162,TARIFF_PROFILES!$A:$A,0)))</f>
        <v/>
      </c>
      <c r="AH162" t="str">
        <f>IF($AG162="","",SUMIFS(OPERATING_COEFFS!$C:$C,OPERATING_COEFFS!$A:$A,"DistanceClass",OPERATING_COEFFS!$B:$B,$AG162))</f>
        <v/>
      </c>
      <c r="AJ162" t="str">
        <f>IF($AI162="","",SUMIFS(OPERATING_COEFFS!$C:$C,OPERATING_COEFFS!$A:$A,"SeasonClass",OPERATING_COEFFS!$B:$B,$AI162))</f>
        <v/>
      </c>
      <c r="AL162" t="str">
        <f>IF($AK162="","",SUMIFS(OPERATING_COEFFS!$C:$C,OPERATING_COEFFS!$A:$A,"UrgencyClass",OPERATING_COEFFS!$B:$B,$AK162))</f>
        <v/>
      </c>
      <c r="AN162" t="str">
        <f>IF($AM162="","",INDEX(TAX_MODES!$B:$B,MATCH($AM162,TAX_MODES!$A:$A,0)))</f>
        <v/>
      </c>
    </row>
    <row r="163" spans="24:40" x14ac:dyDescent="0.3">
      <c r="X163" s="13"/>
      <c r="Y163" s="13" t="str">
        <f>IF($X163="","",SUMIFS(TARIFF_PROFILES!$D:$D,TARIFF_PROFILES!$A:$A,$X163))</f>
        <v/>
      </c>
      <c r="Z163" s="13" t="str">
        <f>IF($X163="","",SUMIFS(TARIFF_PROFILES!$E:$E,TARIFF_PROFILES!$A:$A,$X163))</f>
        <v/>
      </c>
      <c r="AA163" s="13" t="str">
        <f>IF($X163="","",SUMIFS(TARIFF_PROFILES!$F:$F,TARIFF_PROFILES!$A:$A,$X163))</f>
        <v/>
      </c>
      <c r="AB163" s="13" t="str">
        <f>IF($X163="","",SUMIFS(TARIFF_PROFILES!$G:$G,TARIFF_PROFILES!$A:$A,$X163))</f>
        <v/>
      </c>
      <c r="AC163" s="13" t="str">
        <f>IF($X163="","",SUMIFS(TARIFF_PROFILES!$H:$H,TARIFF_PROFILES!$A:$A,$X163))</f>
        <v/>
      </c>
      <c r="AD163" s="13" t="str">
        <f>IF($X163="","",INDEX(TARIFF_PROFILES!$J:$J,MATCH($X163,TARIFF_PROFILES!$A:$A,0)))</f>
        <v/>
      </c>
      <c r="AE163" s="13" t="str">
        <f>IF($X163="","",INDEX(TARIFF_PROFILES!$K:$K,MATCH($X163,TARIFF_PROFILES!$A:$A,0)))</f>
        <v/>
      </c>
      <c r="AH163" t="str">
        <f>IF($AG163="","",SUMIFS(OPERATING_COEFFS!$C:$C,OPERATING_COEFFS!$A:$A,"DistanceClass",OPERATING_COEFFS!$B:$B,$AG163))</f>
        <v/>
      </c>
      <c r="AJ163" t="str">
        <f>IF($AI163="","",SUMIFS(OPERATING_COEFFS!$C:$C,OPERATING_COEFFS!$A:$A,"SeasonClass",OPERATING_COEFFS!$B:$B,$AI163))</f>
        <v/>
      </c>
      <c r="AL163" t="str">
        <f>IF($AK163="","",SUMIFS(OPERATING_COEFFS!$C:$C,OPERATING_COEFFS!$A:$A,"UrgencyClass",OPERATING_COEFFS!$B:$B,$AK163))</f>
        <v/>
      </c>
      <c r="AN163" t="str">
        <f>IF($AM163="","",INDEX(TAX_MODES!$B:$B,MATCH($AM163,TAX_MODES!$A:$A,0)))</f>
        <v/>
      </c>
    </row>
    <row r="164" spans="24:40" x14ac:dyDescent="0.3">
      <c r="X164" s="13"/>
      <c r="Y164" s="13" t="str">
        <f>IF($X164="","",SUMIFS(TARIFF_PROFILES!$D:$D,TARIFF_PROFILES!$A:$A,$X164))</f>
        <v/>
      </c>
      <c r="Z164" s="13" t="str">
        <f>IF($X164="","",SUMIFS(TARIFF_PROFILES!$E:$E,TARIFF_PROFILES!$A:$A,$X164))</f>
        <v/>
      </c>
      <c r="AA164" s="13" t="str">
        <f>IF($X164="","",SUMIFS(TARIFF_PROFILES!$F:$F,TARIFF_PROFILES!$A:$A,$X164))</f>
        <v/>
      </c>
      <c r="AB164" s="13" t="str">
        <f>IF($X164="","",SUMIFS(TARIFF_PROFILES!$G:$G,TARIFF_PROFILES!$A:$A,$X164))</f>
        <v/>
      </c>
      <c r="AC164" s="13" t="str">
        <f>IF($X164="","",SUMIFS(TARIFF_PROFILES!$H:$H,TARIFF_PROFILES!$A:$A,$X164))</f>
        <v/>
      </c>
      <c r="AD164" s="13" t="str">
        <f>IF($X164="","",INDEX(TARIFF_PROFILES!$J:$J,MATCH($X164,TARIFF_PROFILES!$A:$A,0)))</f>
        <v/>
      </c>
      <c r="AE164" s="13" t="str">
        <f>IF($X164="","",INDEX(TARIFF_PROFILES!$K:$K,MATCH($X164,TARIFF_PROFILES!$A:$A,0)))</f>
        <v/>
      </c>
      <c r="AH164" t="str">
        <f>IF($AG164="","",SUMIFS(OPERATING_COEFFS!$C:$C,OPERATING_COEFFS!$A:$A,"DistanceClass",OPERATING_COEFFS!$B:$B,$AG164))</f>
        <v/>
      </c>
      <c r="AJ164" t="str">
        <f>IF($AI164="","",SUMIFS(OPERATING_COEFFS!$C:$C,OPERATING_COEFFS!$A:$A,"SeasonClass",OPERATING_COEFFS!$B:$B,$AI164))</f>
        <v/>
      </c>
      <c r="AL164" t="str">
        <f>IF($AK164="","",SUMIFS(OPERATING_COEFFS!$C:$C,OPERATING_COEFFS!$A:$A,"UrgencyClass",OPERATING_COEFFS!$B:$B,$AK164))</f>
        <v/>
      </c>
      <c r="AN164" t="str">
        <f>IF($AM164="","",INDEX(TAX_MODES!$B:$B,MATCH($AM164,TAX_MODES!$A:$A,0)))</f>
        <v/>
      </c>
    </row>
    <row r="165" spans="24:40" x14ac:dyDescent="0.3">
      <c r="X165" s="13"/>
      <c r="Y165" s="13" t="str">
        <f>IF($X165="","",SUMIFS(TARIFF_PROFILES!$D:$D,TARIFF_PROFILES!$A:$A,$X165))</f>
        <v/>
      </c>
      <c r="Z165" s="13" t="str">
        <f>IF($X165="","",SUMIFS(TARIFF_PROFILES!$E:$E,TARIFF_PROFILES!$A:$A,$X165))</f>
        <v/>
      </c>
      <c r="AA165" s="13" t="str">
        <f>IF($X165="","",SUMIFS(TARIFF_PROFILES!$F:$F,TARIFF_PROFILES!$A:$A,$X165))</f>
        <v/>
      </c>
      <c r="AB165" s="13" t="str">
        <f>IF($X165="","",SUMIFS(TARIFF_PROFILES!$G:$G,TARIFF_PROFILES!$A:$A,$X165))</f>
        <v/>
      </c>
      <c r="AC165" s="13" t="str">
        <f>IF($X165="","",SUMIFS(TARIFF_PROFILES!$H:$H,TARIFF_PROFILES!$A:$A,$X165))</f>
        <v/>
      </c>
      <c r="AD165" s="13" t="str">
        <f>IF($X165="","",INDEX(TARIFF_PROFILES!$J:$J,MATCH($X165,TARIFF_PROFILES!$A:$A,0)))</f>
        <v/>
      </c>
      <c r="AE165" s="13" t="str">
        <f>IF($X165="","",INDEX(TARIFF_PROFILES!$K:$K,MATCH($X165,TARIFF_PROFILES!$A:$A,0)))</f>
        <v/>
      </c>
      <c r="AH165" t="str">
        <f>IF($AG165="","",SUMIFS(OPERATING_COEFFS!$C:$C,OPERATING_COEFFS!$A:$A,"DistanceClass",OPERATING_COEFFS!$B:$B,$AG165))</f>
        <v/>
      </c>
      <c r="AJ165" t="str">
        <f>IF($AI165="","",SUMIFS(OPERATING_COEFFS!$C:$C,OPERATING_COEFFS!$A:$A,"SeasonClass",OPERATING_COEFFS!$B:$B,$AI165))</f>
        <v/>
      </c>
      <c r="AL165" t="str">
        <f>IF($AK165="","",SUMIFS(OPERATING_COEFFS!$C:$C,OPERATING_COEFFS!$A:$A,"UrgencyClass",OPERATING_COEFFS!$B:$B,$AK165))</f>
        <v/>
      </c>
      <c r="AN165" t="str">
        <f>IF($AM165="","",INDEX(TAX_MODES!$B:$B,MATCH($AM165,TAX_MODES!$A:$A,0)))</f>
        <v/>
      </c>
    </row>
    <row r="166" spans="24:40" x14ac:dyDescent="0.3">
      <c r="X166" s="13"/>
      <c r="Y166" s="13" t="str">
        <f>IF($X166="","",SUMIFS(TARIFF_PROFILES!$D:$D,TARIFF_PROFILES!$A:$A,$X166))</f>
        <v/>
      </c>
      <c r="Z166" s="13" t="str">
        <f>IF($X166="","",SUMIFS(TARIFF_PROFILES!$E:$E,TARIFF_PROFILES!$A:$A,$X166))</f>
        <v/>
      </c>
      <c r="AA166" s="13" t="str">
        <f>IF($X166="","",SUMIFS(TARIFF_PROFILES!$F:$F,TARIFF_PROFILES!$A:$A,$X166))</f>
        <v/>
      </c>
      <c r="AB166" s="13" t="str">
        <f>IF($X166="","",SUMIFS(TARIFF_PROFILES!$G:$G,TARIFF_PROFILES!$A:$A,$X166))</f>
        <v/>
      </c>
      <c r="AC166" s="13" t="str">
        <f>IF($X166="","",SUMIFS(TARIFF_PROFILES!$H:$H,TARIFF_PROFILES!$A:$A,$X166))</f>
        <v/>
      </c>
      <c r="AD166" s="13" t="str">
        <f>IF($X166="","",INDEX(TARIFF_PROFILES!$J:$J,MATCH($X166,TARIFF_PROFILES!$A:$A,0)))</f>
        <v/>
      </c>
      <c r="AE166" s="13" t="str">
        <f>IF($X166="","",INDEX(TARIFF_PROFILES!$K:$K,MATCH($X166,TARIFF_PROFILES!$A:$A,0)))</f>
        <v/>
      </c>
      <c r="AH166" t="str">
        <f>IF($AG166="","",SUMIFS(OPERATING_COEFFS!$C:$C,OPERATING_COEFFS!$A:$A,"DistanceClass",OPERATING_COEFFS!$B:$B,$AG166))</f>
        <v/>
      </c>
      <c r="AJ166" t="str">
        <f>IF($AI166="","",SUMIFS(OPERATING_COEFFS!$C:$C,OPERATING_COEFFS!$A:$A,"SeasonClass",OPERATING_COEFFS!$B:$B,$AI166))</f>
        <v/>
      </c>
      <c r="AL166" t="str">
        <f>IF($AK166="","",SUMIFS(OPERATING_COEFFS!$C:$C,OPERATING_COEFFS!$A:$A,"UrgencyClass",OPERATING_COEFFS!$B:$B,$AK166))</f>
        <v/>
      </c>
      <c r="AN166" t="str">
        <f>IF($AM166="","",INDEX(TAX_MODES!$B:$B,MATCH($AM166,TAX_MODES!$A:$A,0)))</f>
        <v/>
      </c>
    </row>
    <row r="167" spans="24:40" x14ac:dyDescent="0.3">
      <c r="X167" s="13"/>
      <c r="Y167" s="13" t="str">
        <f>IF($X167="","",SUMIFS(TARIFF_PROFILES!$D:$D,TARIFF_PROFILES!$A:$A,$X167))</f>
        <v/>
      </c>
      <c r="Z167" s="13" t="str">
        <f>IF($X167="","",SUMIFS(TARIFF_PROFILES!$E:$E,TARIFF_PROFILES!$A:$A,$X167))</f>
        <v/>
      </c>
      <c r="AA167" s="13" t="str">
        <f>IF($X167="","",SUMIFS(TARIFF_PROFILES!$F:$F,TARIFF_PROFILES!$A:$A,$X167))</f>
        <v/>
      </c>
      <c r="AB167" s="13" t="str">
        <f>IF($X167="","",SUMIFS(TARIFF_PROFILES!$G:$G,TARIFF_PROFILES!$A:$A,$X167))</f>
        <v/>
      </c>
      <c r="AC167" s="13" t="str">
        <f>IF($X167="","",SUMIFS(TARIFF_PROFILES!$H:$H,TARIFF_PROFILES!$A:$A,$X167))</f>
        <v/>
      </c>
      <c r="AD167" s="13" t="str">
        <f>IF($X167="","",INDEX(TARIFF_PROFILES!$J:$J,MATCH($X167,TARIFF_PROFILES!$A:$A,0)))</f>
        <v/>
      </c>
      <c r="AE167" s="13" t="str">
        <f>IF($X167="","",INDEX(TARIFF_PROFILES!$K:$K,MATCH($X167,TARIFF_PROFILES!$A:$A,0)))</f>
        <v/>
      </c>
      <c r="AH167" t="str">
        <f>IF($AG167="","",SUMIFS(OPERATING_COEFFS!$C:$C,OPERATING_COEFFS!$A:$A,"DistanceClass",OPERATING_COEFFS!$B:$B,$AG167))</f>
        <v/>
      </c>
      <c r="AJ167" t="str">
        <f>IF($AI167="","",SUMIFS(OPERATING_COEFFS!$C:$C,OPERATING_COEFFS!$A:$A,"SeasonClass",OPERATING_COEFFS!$B:$B,$AI167))</f>
        <v/>
      </c>
      <c r="AL167" t="str">
        <f>IF($AK167="","",SUMIFS(OPERATING_COEFFS!$C:$C,OPERATING_COEFFS!$A:$A,"UrgencyClass",OPERATING_COEFFS!$B:$B,$AK167))</f>
        <v/>
      </c>
      <c r="AN167" t="str">
        <f>IF($AM167="","",INDEX(TAX_MODES!$B:$B,MATCH($AM167,TAX_MODES!$A:$A,0)))</f>
        <v/>
      </c>
    </row>
    <row r="168" spans="24:40" x14ac:dyDescent="0.3">
      <c r="X168" s="13"/>
      <c r="Y168" s="13" t="str">
        <f>IF($X168="","",SUMIFS(TARIFF_PROFILES!$D:$D,TARIFF_PROFILES!$A:$A,$X168))</f>
        <v/>
      </c>
      <c r="Z168" s="13" t="str">
        <f>IF($X168="","",SUMIFS(TARIFF_PROFILES!$E:$E,TARIFF_PROFILES!$A:$A,$X168))</f>
        <v/>
      </c>
      <c r="AA168" s="13" t="str">
        <f>IF($X168="","",SUMIFS(TARIFF_PROFILES!$F:$F,TARIFF_PROFILES!$A:$A,$X168))</f>
        <v/>
      </c>
      <c r="AB168" s="13" t="str">
        <f>IF($X168="","",SUMIFS(TARIFF_PROFILES!$G:$G,TARIFF_PROFILES!$A:$A,$X168))</f>
        <v/>
      </c>
      <c r="AC168" s="13" t="str">
        <f>IF($X168="","",SUMIFS(TARIFF_PROFILES!$H:$H,TARIFF_PROFILES!$A:$A,$X168))</f>
        <v/>
      </c>
      <c r="AD168" s="13" t="str">
        <f>IF($X168="","",INDEX(TARIFF_PROFILES!$J:$J,MATCH($X168,TARIFF_PROFILES!$A:$A,0)))</f>
        <v/>
      </c>
      <c r="AE168" s="13" t="str">
        <f>IF($X168="","",INDEX(TARIFF_PROFILES!$K:$K,MATCH($X168,TARIFF_PROFILES!$A:$A,0)))</f>
        <v/>
      </c>
      <c r="AH168" t="str">
        <f>IF($AG168="","",SUMIFS(OPERATING_COEFFS!$C:$C,OPERATING_COEFFS!$A:$A,"DistanceClass",OPERATING_COEFFS!$B:$B,$AG168))</f>
        <v/>
      </c>
      <c r="AJ168" t="str">
        <f>IF($AI168="","",SUMIFS(OPERATING_COEFFS!$C:$C,OPERATING_COEFFS!$A:$A,"SeasonClass",OPERATING_COEFFS!$B:$B,$AI168))</f>
        <v/>
      </c>
      <c r="AL168" t="str">
        <f>IF($AK168="","",SUMIFS(OPERATING_COEFFS!$C:$C,OPERATING_COEFFS!$A:$A,"UrgencyClass",OPERATING_COEFFS!$B:$B,$AK168))</f>
        <v/>
      </c>
      <c r="AN168" t="str">
        <f>IF($AM168="","",INDEX(TAX_MODES!$B:$B,MATCH($AM168,TAX_MODES!$A:$A,0)))</f>
        <v/>
      </c>
    </row>
    <row r="169" spans="24:40" x14ac:dyDescent="0.3">
      <c r="X169" s="13"/>
      <c r="Y169" s="13" t="str">
        <f>IF($X169="","",SUMIFS(TARIFF_PROFILES!$D:$D,TARIFF_PROFILES!$A:$A,$X169))</f>
        <v/>
      </c>
      <c r="Z169" s="13" t="str">
        <f>IF($X169="","",SUMIFS(TARIFF_PROFILES!$E:$E,TARIFF_PROFILES!$A:$A,$X169))</f>
        <v/>
      </c>
      <c r="AA169" s="13" t="str">
        <f>IF($X169="","",SUMIFS(TARIFF_PROFILES!$F:$F,TARIFF_PROFILES!$A:$A,$X169))</f>
        <v/>
      </c>
      <c r="AB169" s="13" t="str">
        <f>IF($X169="","",SUMIFS(TARIFF_PROFILES!$G:$G,TARIFF_PROFILES!$A:$A,$X169))</f>
        <v/>
      </c>
      <c r="AC169" s="13" t="str">
        <f>IF($X169="","",SUMIFS(TARIFF_PROFILES!$H:$H,TARIFF_PROFILES!$A:$A,$X169))</f>
        <v/>
      </c>
      <c r="AD169" s="13" t="str">
        <f>IF($X169="","",INDEX(TARIFF_PROFILES!$J:$J,MATCH($X169,TARIFF_PROFILES!$A:$A,0)))</f>
        <v/>
      </c>
      <c r="AE169" s="13" t="str">
        <f>IF($X169="","",INDEX(TARIFF_PROFILES!$K:$K,MATCH($X169,TARIFF_PROFILES!$A:$A,0)))</f>
        <v/>
      </c>
      <c r="AH169" t="str">
        <f>IF($AG169="","",SUMIFS(OPERATING_COEFFS!$C:$C,OPERATING_COEFFS!$A:$A,"DistanceClass",OPERATING_COEFFS!$B:$B,$AG169))</f>
        <v/>
      </c>
      <c r="AJ169" t="str">
        <f>IF($AI169="","",SUMIFS(OPERATING_COEFFS!$C:$C,OPERATING_COEFFS!$A:$A,"SeasonClass",OPERATING_COEFFS!$B:$B,$AI169))</f>
        <v/>
      </c>
      <c r="AL169" t="str">
        <f>IF($AK169="","",SUMIFS(OPERATING_COEFFS!$C:$C,OPERATING_COEFFS!$A:$A,"UrgencyClass",OPERATING_COEFFS!$B:$B,$AK169))</f>
        <v/>
      </c>
      <c r="AN169" t="str">
        <f>IF($AM169="","",INDEX(TAX_MODES!$B:$B,MATCH($AM169,TAX_MODES!$A:$A,0)))</f>
        <v/>
      </c>
    </row>
    <row r="170" spans="24:40" x14ac:dyDescent="0.3">
      <c r="X170" s="13"/>
      <c r="Y170" s="13" t="str">
        <f>IF($X170="","",SUMIFS(TARIFF_PROFILES!$D:$D,TARIFF_PROFILES!$A:$A,$X170))</f>
        <v/>
      </c>
      <c r="Z170" s="13" t="str">
        <f>IF($X170="","",SUMIFS(TARIFF_PROFILES!$E:$E,TARIFF_PROFILES!$A:$A,$X170))</f>
        <v/>
      </c>
      <c r="AA170" s="13" t="str">
        <f>IF($X170="","",SUMIFS(TARIFF_PROFILES!$F:$F,TARIFF_PROFILES!$A:$A,$X170))</f>
        <v/>
      </c>
      <c r="AB170" s="13" t="str">
        <f>IF($X170="","",SUMIFS(TARIFF_PROFILES!$G:$G,TARIFF_PROFILES!$A:$A,$X170))</f>
        <v/>
      </c>
      <c r="AC170" s="13" t="str">
        <f>IF($X170="","",SUMIFS(TARIFF_PROFILES!$H:$H,TARIFF_PROFILES!$A:$A,$X170))</f>
        <v/>
      </c>
      <c r="AD170" s="13" t="str">
        <f>IF($X170="","",INDEX(TARIFF_PROFILES!$J:$J,MATCH($X170,TARIFF_PROFILES!$A:$A,0)))</f>
        <v/>
      </c>
      <c r="AE170" s="13" t="str">
        <f>IF($X170="","",INDEX(TARIFF_PROFILES!$K:$K,MATCH($X170,TARIFF_PROFILES!$A:$A,0)))</f>
        <v/>
      </c>
      <c r="AH170" t="str">
        <f>IF($AG170="","",SUMIFS(OPERATING_COEFFS!$C:$C,OPERATING_COEFFS!$A:$A,"DistanceClass",OPERATING_COEFFS!$B:$B,$AG170))</f>
        <v/>
      </c>
      <c r="AJ170" t="str">
        <f>IF($AI170="","",SUMIFS(OPERATING_COEFFS!$C:$C,OPERATING_COEFFS!$A:$A,"SeasonClass",OPERATING_COEFFS!$B:$B,$AI170))</f>
        <v/>
      </c>
      <c r="AL170" t="str">
        <f>IF($AK170="","",SUMIFS(OPERATING_COEFFS!$C:$C,OPERATING_COEFFS!$A:$A,"UrgencyClass",OPERATING_COEFFS!$B:$B,$AK170))</f>
        <v/>
      </c>
      <c r="AN170" t="str">
        <f>IF($AM170="","",INDEX(TAX_MODES!$B:$B,MATCH($AM170,TAX_MODES!$A:$A,0)))</f>
        <v/>
      </c>
    </row>
    <row r="171" spans="24:40" x14ac:dyDescent="0.3">
      <c r="X171" s="13"/>
      <c r="Y171" s="13" t="str">
        <f>IF($X171="","",SUMIFS(TARIFF_PROFILES!$D:$D,TARIFF_PROFILES!$A:$A,$X171))</f>
        <v/>
      </c>
      <c r="Z171" s="13" t="str">
        <f>IF($X171="","",SUMIFS(TARIFF_PROFILES!$E:$E,TARIFF_PROFILES!$A:$A,$X171))</f>
        <v/>
      </c>
      <c r="AA171" s="13" t="str">
        <f>IF($X171="","",SUMIFS(TARIFF_PROFILES!$F:$F,TARIFF_PROFILES!$A:$A,$X171))</f>
        <v/>
      </c>
      <c r="AB171" s="13" t="str">
        <f>IF($X171="","",SUMIFS(TARIFF_PROFILES!$G:$G,TARIFF_PROFILES!$A:$A,$X171))</f>
        <v/>
      </c>
      <c r="AC171" s="13" t="str">
        <f>IF($X171="","",SUMIFS(TARIFF_PROFILES!$H:$H,TARIFF_PROFILES!$A:$A,$X171))</f>
        <v/>
      </c>
      <c r="AD171" s="13" t="str">
        <f>IF($X171="","",INDEX(TARIFF_PROFILES!$J:$J,MATCH($X171,TARIFF_PROFILES!$A:$A,0)))</f>
        <v/>
      </c>
      <c r="AE171" s="13" t="str">
        <f>IF($X171="","",INDEX(TARIFF_PROFILES!$K:$K,MATCH($X171,TARIFF_PROFILES!$A:$A,0)))</f>
        <v/>
      </c>
      <c r="AH171" t="str">
        <f>IF($AG171="","",SUMIFS(OPERATING_COEFFS!$C:$C,OPERATING_COEFFS!$A:$A,"DistanceClass",OPERATING_COEFFS!$B:$B,$AG171))</f>
        <v/>
      </c>
      <c r="AJ171" t="str">
        <f>IF($AI171="","",SUMIFS(OPERATING_COEFFS!$C:$C,OPERATING_COEFFS!$A:$A,"SeasonClass",OPERATING_COEFFS!$B:$B,$AI171))</f>
        <v/>
      </c>
      <c r="AL171" t="str">
        <f>IF($AK171="","",SUMIFS(OPERATING_COEFFS!$C:$C,OPERATING_COEFFS!$A:$A,"UrgencyClass",OPERATING_COEFFS!$B:$B,$AK171))</f>
        <v/>
      </c>
      <c r="AN171" t="str">
        <f>IF($AM171="","",INDEX(TAX_MODES!$B:$B,MATCH($AM171,TAX_MODES!$A:$A,0)))</f>
        <v/>
      </c>
    </row>
    <row r="172" spans="24:40" x14ac:dyDescent="0.3">
      <c r="X172" s="13"/>
      <c r="Y172" s="13" t="str">
        <f>IF($X172="","",SUMIFS(TARIFF_PROFILES!$D:$D,TARIFF_PROFILES!$A:$A,$X172))</f>
        <v/>
      </c>
      <c r="Z172" s="13" t="str">
        <f>IF($X172="","",SUMIFS(TARIFF_PROFILES!$E:$E,TARIFF_PROFILES!$A:$A,$X172))</f>
        <v/>
      </c>
      <c r="AA172" s="13" t="str">
        <f>IF($X172="","",SUMIFS(TARIFF_PROFILES!$F:$F,TARIFF_PROFILES!$A:$A,$X172))</f>
        <v/>
      </c>
      <c r="AB172" s="13" t="str">
        <f>IF($X172="","",SUMIFS(TARIFF_PROFILES!$G:$G,TARIFF_PROFILES!$A:$A,$X172))</f>
        <v/>
      </c>
      <c r="AC172" s="13" t="str">
        <f>IF($X172="","",SUMIFS(TARIFF_PROFILES!$H:$H,TARIFF_PROFILES!$A:$A,$X172))</f>
        <v/>
      </c>
      <c r="AD172" s="13" t="str">
        <f>IF($X172="","",INDEX(TARIFF_PROFILES!$J:$J,MATCH($X172,TARIFF_PROFILES!$A:$A,0)))</f>
        <v/>
      </c>
      <c r="AE172" s="13" t="str">
        <f>IF($X172="","",INDEX(TARIFF_PROFILES!$K:$K,MATCH($X172,TARIFF_PROFILES!$A:$A,0)))</f>
        <v/>
      </c>
      <c r="AH172" t="str">
        <f>IF($AG172="","",SUMIFS(OPERATING_COEFFS!$C:$C,OPERATING_COEFFS!$A:$A,"DistanceClass",OPERATING_COEFFS!$B:$B,$AG172))</f>
        <v/>
      </c>
      <c r="AJ172" t="str">
        <f>IF($AI172="","",SUMIFS(OPERATING_COEFFS!$C:$C,OPERATING_COEFFS!$A:$A,"SeasonClass",OPERATING_COEFFS!$B:$B,$AI172))</f>
        <v/>
      </c>
      <c r="AL172" t="str">
        <f>IF($AK172="","",SUMIFS(OPERATING_COEFFS!$C:$C,OPERATING_COEFFS!$A:$A,"UrgencyClass",OPERATING_COEFFS!$B:$B,$AK172))</f>
        <v/>
      </c>
      <c r="AN172" t="str">
        <f>IF($AM172="","",INDEX(TAX_MODES!$B:$B,MATCH($AM172,TAX_MODES!$A:$A,0)))</f>
        <v/>
      </c>
    </row>
    <row r="173" spans="24:40" x14ac:dyDescent="0.3">
      <c r="X173" s="13"/>
      <c r="Y173" s="13" t="str">
        <f>IF($X173="","",SUMIFS(TARIFF_PROFILES!$D:$D,TARIFF_PROFILES!$A:$A,$X173))</f>
        <v/>
      </c>
      <c r="Z173" s="13" t="str">
        <f>IF($X173="","",SUMIFS(TARIFF_PROFILES!$E:$E,TARIFF_PROFILES!$A:$A,$X173))</f>
        <v/>
      </c>
      <c r="AA173" s="13" t="str">
        <f>IF($X173="","",SUMIFS(TARIFF_PROFILES!$F:$F,TARIFF_PROFILES!$A:$A,$X173))</f>
        <v/>
      </c>
      <c r="AB173" s="13" t="str">
        <f>IF($X173="","",SUMIFS(TARIFF_PROFILES!$G:$G,TARIFF_PROFILES!$A:$A,$X173))</f>
        <v/>
      </c>
      <c r="AC173" s="13" t="str">
        <f>IF($X173="","",SUMIFS(TARIFF_PROFILES!$H:$H,TARIFF_PROFILES!$A:$A,$X173))</f>
        <v/>
      </c>
      <c r="AD173" s="13" t="str">
        <f>IF($X173="","",INDEX(TARIFF_PROFILES!$J:$J,MATCH($X173,TARIFF_PROFILES!$A:$A,0)))</f>
        <v/>
      </c>
      <c r="AE173" s="13" t="str">
        <f>IF($X173="","",INDEX(TARIFF_PROFILES!$K:$K,MATCH($X173,TARIFF_PROFILES!$A:$A,0)))</f>
        <v/>
      </c>
      <c r="AH173" t="str">
        <f>IF($AG173="","",SUMIFS(OPERATING_COEFFS!$C:$C,OPERATING_COEFFS!$A:$A,"DistanceClass",OPERATING_COEFFS!$B:$B,$AG173))</f>
        <v/>
      </c>
      <c r="AJ173" t="str">
        <f>IF($AI173="","",SUMIFS(OPERATING_COEFFS!$C:$C,OPERATING_COEFFS!$A:$A,"SeasonClass",OPERATING_COEFFS!$B:$B,$AI173))</f>
        <v/>
      </c>
      <c r="AL173" t="str">
        <f>IF($AK173="","",SUMIFS(OPERATING_COEFFS!$C:$C,OPERATING_COEFFS!$A:$A,"UrgencyClass",OPERATING_COEFFS!$B:$B,$AK173))</f>
        <v/>
      </c>
      <c r="AN173" t="str">
        <f>IF($AM173="","",INDEX(TAX_MODES!$B:$B,MATCH($AM173,TAX_MODES!$A:$A,0)))</f>
        <v/>
      </c>
    </row>
    <row r="174" spans="24:40" x14ac:dyDescent="0.3">
      <c r="X174" s="13"/>
      <c r="Y174" s="13" t="str">
        <f>IF($X174="","",SUMIFS(TARIFF_PROFILES!$D:$D,TARIFF_PROFILES!$A:$A,$X174))</f>
        <v/>
      </c>
      <c r="Z174" s="13" t="str">
        <f>IF($X174="","",SUMIFS(TARIFF_PROFILES!$E:$E,TARIFF_PROFILES!$A:$A,$X174))</f>
        <v/>
      </c>
      <c r="AA174" s="13" t="str">
        <f>IF($X174="","",SUMIFS(TARIFF_PROFILES!$F:$F,TARIFF_PROFILES!$A:$A,$X174))</f>
        <v/>
      </c>
      <c r="AB174" s="13" t="str">
        <f>IF($X174="","",SUMIFS(TARIFF_PROFILES!$G:$G,TARIFF_PROFILES!$A:$A,$X174))</f>
        <v/>
      </c>
      <c r="AC174" s="13" t="str">
        <f>IF($X174="","",SUMIFS(TARIFF_PROFILES!$H:$H,TARIFF_PROFILES!$A:$A,$X174))</f>
        <v/>
      </c>
      <c r="AD174" s="13" t="str">
        <f>IF($X174="","",INDEX(TARIFF_PROFILES!$J:$J,MATCH($X174,TARIFF_PROFILES!$A:$A,0)))</f>
        <v/>
      </c>
      <c r="AE174" s="13" t="str">
        <f>IF($X174="","",INDEX(TARIFF_PROFILES!$K:$K,MATCH($X174,TARIFF_PROFILES!$A:$A,0)))</f>
        <v/>
      </c>
      <c r="AH174" t="str">
        <f>IF($AG174="","",SUMIFS(OPERATING_COEFFS!$C:$C,OPERATING_COEFFS!$A:$A,"DistanceClass",OPERATING_COEFFS!$B:$B,$AG174))</f>
        <v/>
      </c>
      <c r="AJ174" t="str">
        <f>IF($AI174="","",SUMIFS(OPERATING_COEFFS!$C:$C,OPERATING_COEFFS!$A:$A,"SeasonClass",OPERATING_COEFFS!$B:$B,$AI174))</f>
        <v/>
      </c>
      <c r="AL174" t="str">
        <f>IF($AK174="","",SUMIFS(OPERATING_COEFFS!$C:$C,OPERATING_COEFFS!$A:$A,"UrgencyClass",OPERATING_COEFFS!$B:$B,$AK174))</f>
        <v/>
      </c>
      <c r="AN174" t="str">
        <f>IF($AM174="","",INDEX(TAX_MODES!$B:$B,MATCH($AM174,TAX_MODES!$A:$A,0)))</f>
        <v/>
      </c>
    </row>
    <row r="175" spans="24:40" x14ac:dyDescent="0.3">
      <c r="X175" s="13"/>
      <c r="Y175" s="13" t="str">
        <f>IF($X175="","",SUMIFS(TARIFF_PROFILES!$D:$D,TARIFF_PROFILES!$A:$A,$X175))</f>
        <v/>
      </c>
      <c r="Z175" s="13" t="str">
        <f>IF($X175="","",SUMIFS(TARIFF_PROFILES!$E:$E,TARIFF_PROFILES!$A:$A,$X175))</f>
        <v/>
      </c>
      <c r="AA175" s="13" t="str">
        <f>IF($X175="","",SUMIFS(TARIFF_PROFILES!$F:$F,TARIFF_PROFILES!$A:$A,$X175))</f>
        <v/>
      </c>
      <c r="AB175" s="13" t="str">
        <f>IF($X175="","",SUMIFS(TARIFF_PROFILES!$G:$G,TARIFF_PROFILES!$A:$A,$X175))</f>
        <v/>
      </c>
      <c r="AC175" s="13" t="str">
        <f>IF($X175="","",SUMIFS(TARIFF_PROFILES!$H:$H,TARIFF_PROFILES!$A:$A,$X175))</f>
        <v/>
      </c>
      <c r="AD175" s="13" t="str">
        <f>IF($X175="","",INDEX(TARIFF_PROFILES!$J:$J,MATCH($X175,TARIFF_PROFILES!$A:$A,0)))</f>
        <v/>
      </c>
      <c r="AE175" s="13" t="str">
        <f>IF($X175="","",INDEX(TARIFF_PROFILES!$K:$K,MATCH($X175,TARIFF_PROFILES!$A:$A,0)))</f>
        <v/>
      </c>
      <c r="AH175" t="str">
        <f>IF($AG175="","",SUMIFS(OPERATING_COEFFS!$C:$C,OPERATING_COEFFS!$A:$A,"DistanceClass",OPERATING_COEFFS!$B:$B,$AG175))</f>
        <v/>
      </c>
      <c r="AJ175" t="str">
        <f>IF($AI175="","",SUMIFS(OPERATING_COEFFS!$C:$C,OPERATING_COEFFS!$A:$A,"SeasonClass",OPERATING_COEFFS!$B:$B,$AI175))</f>
        <v/>
      </c>
      <c r="AL175" t="str">
        <f>IF($AK175="","",SUMIFS(OPERATING_COEFFS!$C:$C,OPERATING_COEFFS!$A:$A,"UrgencyClass",OPERATING_COEFFS!$B:$B,$AK175))</f>
        <v/>
      </c>
      <c r="AN175" t="str">
        <f>IF($AM175="","",INDEX(TAX_MODES!$B:$B,MATCH($AM175,TAX_MODES!$A:$A,0)))</f>
        <v/>
      </c>
    </row>
    <row r="176" spans="24:40" x14ac:dyDescent="0.3">
      <c r="X176" s="13"/>
      <c r="Y176" s="13" t="str">
        <f>IF($X176="","",SUMIFS(TARIFF_PROFILES!$D:$D,TARIFF_PROFILES!$A:$A,$X176))</f>
        <v/>
      </c>
      <c r="Z176" s="13" t="str">
        <f>IF($X176="","",SUMIFS(TARIFF_PROFILES!$E:$E,TARIFF_PROFILES!$A:$A,$X176))</f>
        <v/>
      </c>
      <c r="AA176" s="13" t="str">
        <f>IF($X176="","",SUMIFS(TARIFF_PROFILES!$F:$F,TARIFF_PROFILES!$A:$A,$X176))</f>
        <v/>
      </c>
      <c r="AB176" s="13" t="str">
        <f>IF($X176="","",SUMIFS(TARIFF_PROFILES!$G:$G,TARIFF_PROFILES!$A:$A,$X176))</f>
        <v/>
      </c>
      <c r="AC176" s="13" t="str">
        <f>IF($X176="","",SUMIFS(TARIFF_PROFILES!$H:$H,TARIFF_PROFILES!$A:$A,$X176))</f>
        <v/>
      </c>
      <c r="AD176" s="13" t="str">
        <f>IF($X176="","",INDEX(TARIFF_PROFILES!$J:$J,MATCH($X176,TARIFF_PROFILES!$A:$A,0)))</f>
        <v/>
      </c>
      <c r="AE176" s="13" t="str">
        <f>IF($X176="","",INDEX(TARIFF_PROFILES!$K:$K,MATCH($X176,TARIFF_PROFILES!$A:$A,0)))</f>
        <v/>
      </c>
      <c r="AH176" t="str">
        <f>IF($AG176="","",SUMIFS(OPERATING_COEFFS!$C:$C,OPERATING_COEFFS!$A:$A,"DistanceClass",OPERATING_COEFFS!$B:$B,$AG176))</f>
        <v/>
      </c>
      <c r="AJ176" t="str">
        <f>IF($AI176="","",SUMIFS(OPERATING_COEFFS!$C:$C,OPERATING_COEFFS!$A:$A,"SeasonClass",OPERATING_COEFFS!$B:$B,$AI176))</f>
        <v/>
      </c>
      <c r="AL176" t="str">
        <f>IF($AK176="","",SUMIFS(OPERATING_COEFFS!$C:$C,OPERATING_COEFFS!$A:$A,"UrgencyClass",OPERATING_COEFFS!$B:$B,$AK176))</f>
        <v/>
      </c>
      <c r="AN176" t="str">
        <f>IF($AM176="","",INDEX(TAX_MODES!$B:$B,MATCH($AM176,TAX_MODES!$A:$A,0)))</f>
        <v/>
      </c>
    </row>
    <row r="177" spans="24:40" x14ac:dyDescent="0.3">
      <c r="X177" s="13"/>
      <c r="Y177" s="13" t="str">
        <f>IF($X177="","",SUMIFS(TARIFF_PROFILES!$D:$D,TARIFF_PROFILES!$A:$A,$X177))</f>
        <v/>
      </c>
      <c r="Z177" s="13" t="str">
        <f>IF($X177="","",SUMIFS(TARIFF_PROFILES!$E:$E,TARIFF_PROFILES!$A:$A,$X177))</f>
        <v/>
      </c>
      <c r="AA177" s="13" t="str">
        <f>IF($X177="","",SUMIFS(TARIFF_PROFILES!$F:$F,TARIFF_PROFILES!$A:$A,$X177))</f>
        <v/>
      </c>
      <c r="AB177" s="13" t="str">
        <f>IF($X177="","",SUMIFS(TARIFF_PROFILES!$G:$G,TARIFF_PROFILES!$A:$A,$X177))</f>
        <v/>
      </c>
      <c r="AC177" s="13" t="str">
        <f>IF($X177="","",SUMIFS(TARIFF_PROFILES!$H:$H,TARIFF_PROFILES!$A:$A,$X177))</f>
        <v/>
      </c>
      <c r="AD177" s="13" t="str">
        <f>IF($X177="","",INDEX(TARIFF_PROFILES!$J:$J,MATCH($X177,TARIFF_PROFILES!$A:$A,0)))</f>
        <v/>
      </c>
      <c r="AE177" s="13" t="str">
        <f>IF($X177="","",INDEX(TARIFF_PROFILES!$K:$K,MATCH($X177,TARIFF_PROFILES!$A:$A,0)))</f>
        <v/>
      </c>
      <c r="AH177" t="str">
        <f>IF($AG177="","",SUMIFS(OPERATING_COEFFS!$C:$C,OPERATING_COEFFS!$A:$A,"DistanceClass",OPERATING_COEFFS!$B:$B,$AG177))</f>
        <v/>
      </c>
      <c r="AJ177" t="str">
        <f>IF($AI177="","",SUMIFS(OPERATING_COEFFS!$C:$C,OPERATING_COEFFS!$A:$A,"SeasonClass",OPERATING_COEFFS!$B:$B,$AI177))</f>
        <v/>
      </c>
      <c r="AL177" t="str">
        <f>IF($AK177="","",SUMIFS(OPERATING_COEFFS!$C:$C,OPERATING_COEFFS!$A:$A,"UrgencyClass",OPERATING_COEFFS!$B:$B,$AK177))</f>
        <v/>
      </c>
      <c r="AN177" t="str">
        <f>IF($AM177="","",INDEX(TAX_MODES!$B:$B,MATCH($AM177,TAX_MODES!$A:$A,0)))</f>
        <v/>
      </c>
    </row>
    <row r="178" spans="24:40" x14ac:dyDescent="0.3">
      <c r="X178" s="13"/>
      <c r="Y178" s="13" t="str">
        <f>IF($X178="","",SUMIFS(TARIFF_PROFILES!$D:$D,TARIFF_PROFILES!$A:$A,$X178))</f>
        <v/>
      </c>
      <c r="Z178" s="13" t="str">
        <f>IF($X178="","",SUMIFS(TARIFF_PROFILES!$E:$E,TARIFF_PROFILES!$A:$A,$X178))</f>
        <v/>
      </c>
      <c r="AA178" s="13" t="str">
        <f>IF($X178="","",SUMIFS(TARIFF_PROFILES!$F:$F,TARIFF_PROFILES!$A:$A,$X178))</f>
        <v/>
      </c>
      <c r="AB178" s="13" t="str">
        <f>IF($X178="","",SUMIFS(TARIFF_PROFILES!$G:$G,TARIFF_PROFILES!$A:$A,$X178))</f>
        <v/>
      </c>
      <c r="AC178" s="13" t="str">
        <f>IF($X178="","",SUMIFS(TARIFF_PROFILES!$H:$H,TARIFF_PROFILES!$A:$A,$X178))</f>
        <v/>
      </c>
      <c r="AD178" s="13" t="str">
        <f>IF($X178="","",INDEX(TARIFF_PROFILES!$J:$J,MATCH($X178,TARIFF_PROFILES!$A:$A,0)))</f>
        <v/>
      </c>
      <c r="AE178" s="13" t="str">
        <f>IF($X178="","",INDEX(TARIFF_PROFILES!$K:$K,MATCH($X178,TARIFF_PROFILES!$A:$A,0)))</f>
        <v/>
      </c>
      <c r="AH178" t="str">
        <f>IF($AG178="","",SUMIFS(OPERATING_COEFFS!$C:$C,OPERATING_COEFFS!$A:$A,"DistanceClass",OPERATING_COEFFS!$B:$B,$AG178))</f>
        <v/>
      </c>
      <c r="AJ178" t="str">
        <f>IF($AI178="","",SUMIFS(OPERATING_COEFFS!$C:$C,OPERATING_COEFFS!$A:$A,"SeasonClass",OPERATING_COEFFS!$B:$B,$AI178))</f>
        <v/>
      </c>
      <c r="AL178" t="str">
        <f>IF($AK178="","",SUMIFS(OPERATING_COEFFS!$C:$C,OPERATING_COEFFS!$A:$A,"UrgencyClass",OPERATING_COEFFS!$B:$B,$AK178))</f>
        <v/>
      </c>
      <c r="AN178" t="str">
        <f>IF($AM178="","",INDEX(TAX_MODES!$B:$B,MATCH($AM178,TAX_MODES!$A:$A,0)))</f>
        <v/>
      </c>
    </row>
    <row r="179" spans="24:40" x14ac:dyDescent="0.3">
      <c r="X179" s="13"/>
      <c r="Y179" s="13" t="str">
        <f>IF($X179="","",SUMIFS(TARIFF_PROFILES!$D:$D,TARIFF_PROFILES!$A:$A,$X179))</f>
        <v/>
      </c>
      <c r="Z179" s="13" t="str">
        <f>IF($X179="","",SUMIFS(TARIFF_PROFILES!$E:$E,TARIFF_PROFILES!$A:$A,$X179))</f>
        <v/>
      </c>
      <c r="AA179" s="13" t="str">
        <f>IF($X179="","",SUMIFS(TARIFF_PROFILES!$F:$F,TARIFF_PROFILES!$A:$A,$X179))</f>
        <v/>
      </c>
      <c r="AB179" s="13" t="str">
        <f>IF($X179="","",SUMIFS(TARIFF_PROFILES!$G:$G,TARIFF_PROFILES!$A:$A,$X179))</f>
        <v/>
      </c>
      <c r="AC179" s="13" t="str">
        <f>IF($X179="","",SUMIFS(TARIFF_PROFILES!$H:$H,TARIFF_PROFILES!$A:$A,$X179))</f>
        <v/>
      </c>
      <c r="AD179" s="13" t="str">
        <f>IF($X179="","",INDEX(TARIFF_PROFILES!$J:$J,MATCH($X179,TARIFF_PROFILES!$A:$A,0)))</f>
        <v/>
      </c>
      <c r="AE179" s="13" t="str">
        <f>IF($X179="","",INDEX(TARIFF_PROFILES!$K:$K,MATCH($X179,TARIFF_PROFILES!$A:$A,0)))</f>
        <v/>
      </c>
      <c r="AH179" t="str">
        <f>IF($AG179="","",SUMIFS(OPERATING_COEFFS!$C:$C,OPERATING_COEFFS!$A:$A,"DistanceClass",OPERATING_COEFFS!$B:$B,$AG179))</f>
        <v/>
      </c>
      <c r="AJ179" t="str">
        <f>IF($AI179="","",SUMIFS(OPERATING_COEFFS!$C:$C,OPERATING_COEFFS!$A:$A,"SeasonClass",OPERATING_COEFFS!$B:$B,$AI179))</f>
        <v/>
      </c>
      <c r="AL179" t="str">
        <f>IF($AK179="","",SUMIFS(OPERATING_COEFFS!$C:$C,OPERATING_COEFFS!$A:$A,"UrgencyClass",OPERATING_COEFFS!$B:$B,$AK179))</f>
        <v/>
      </c>
      <c r="AN179" t="str">
        <f>IF($AM179="","",INDEX(TAX_MODES!$B:$B,MATCH($AM179,TAX_MODES!$A:$A,0)))</f>
        <v/>
      </c>
    </row>
    <row r="180" spans="24:40" x14ac:dyDescent="0.3">
      <c r="X180" s="13"/>
      <c r="Y180" s="13" t="str">
        <f>IF($X180="","",SUMIFS(TARIFF_PROFILES!$D:$D,TARIFF_PROFILES!$A:$A,$X180))</f>
        <v/>
      </c>
      <c r="Z180" s="13" t="str">
        <f>IF($X180="","",SUMIFS(TARIFF_PROFILES!$E:$E,TARIFF_PROFILES!$A:$A,$X180))</f>
        <v/>
      </c>
      <c r="AA180" s="13" t="str">
        <f>IF($X180="","",SUMIFS(TARIFF_PROFILES!$F:$F,TARIFF_PROFILES!$A:$A,$X180))</f>
        <v/>
      </c>
      <c r="AB180" s="13" t="str">
        <f>IF($X180="","",SUMIFS(TARIFF_PROFILES!$G:$G,TARIFF_PROFILES!$A:$A,$X180))</f>
        <v/>
      </c>
      <c r="AC180" s="13" t="str">
        <f>IF($X180="","",SUMIFS(TARIFF_PROFILES!$H:$H,TARIFF_PROFILES!$A:$A,$X180))</f>
        <v/>
      </c>
      <c r="AD180" s="13" t="str">
        <f>IF($X180="","",INDEX(TARIFF_PROFILES!$J:$J,MATCH($X180,TARIFF_PROFILES!$A:$A,0)))</f>
        <v/>
      </c>
      <c r="AE180" s="13" t="str">
        <f>IF($X180="","",INDEX(TARIFF_PROFILES!$K:$K,MATCH($X180,TARIFF_PROFILES!$A:$A,0)))</f>
        <v/>
      </c>
      <c r="AH180" t="str">
        <f>IF($AG180="","",SUMIFS(OPERATING_COEFFS!$C:$C,OPERATING_COEFFS!$A:$A,"DistanceClass",OPERATING_COEFFS!$B:$B,$AG180))</f>
        <v/>
      </c>
      <c r="AJ180" t="str">
        <f>IF($AI180="","",SUMIFS(OPERATING_COEFFS!$C:$C,OPERATING_COEFFS!$A:$A,"SeasonClass",OPERATING_COEFFS!$B:$B,$AI180))</f>
        <v/>
      </c>
      <c r="AL180" t="str">
        <f>IF($AK180="","",SUMIFS(OPERATING_COEFFS!$C:$C,OPERATING_COEFFS!$A:$A,"UrgencyClass",OPERATING_COEFFS!$B:$B,$AK180))</f>
        <v/>
      </c>
      <c r="AN180" t="str">
        <f>IF($AM180="","",INDEX(TAX_MODES!$B:$B,MATCH($AM180,TAX_MODES!$A:$A,0)))</f>
        <v/>
      </c>
    </row>
    <row r="181" spans="24:40" x14ac:dyDescent="0.3">
      <c r="X181" s="13"/>
      <c r="Y181" s="13" t="str">
        <f>IF($X181="","",SUMIFS(TARIFF_PROFILES!$D:$D,TARIFF_PROFILES!$A:$A,$X181))</f>
        <v/>
      </c>
      <c r="Z181" s="13" t="str">
        <f>IF($X181="","",SUMIFS(TARIFF_PROFILES!$E:$E,TARIFF_PROFILES!$A:$A,$X181))</f>
        <v/>
      </c>
      <c r="AA181" s="13" t="str">
        <f>IF($X181="","",SUMIFS(TARIFF_PROFILES!$F:$F,TARIFF_PROFILES!$A:$A,$X181))</f>
        <v/>
      </c>
      <c r="AB181" s="13" t="str">
        <f>IF($X181="","",SUMIFS(TARIFF_PROFILES!$G:$G,TARIFF_PROFILES!$A:$A,$X181))</f>
        <v/>
      </c>
      <c r="AC181" s="13" t="str">
        <f>IF($X181="","",SUMIFS(TARIFF_PROFILES!$H:$H,TARIFF_PROFILES!$A:$A,$X181))</f>
        <v/>
      </c>
      <c r="AD181" s="13" t="str">
        <f>IF($X181="","",INDEX(TARIFF_PROFILES!$J:$J,MATCH($X181,TARIFF_PROFILES!$A:$A,0)))</f>
        <v/>
      </c>
      <c r="AE181" s="13" t="str">
        <f>IF($X181="","",INDEX(TARIFF_PROFILES!$K:$K,MATCH($X181,TARIFF_PROFILES!$A:$A,0)))</f>
        <v/>
      </c>
      <c r="AH181" t="str">
        <f>IF($AG181="","",SUMIFS(OPERATING_COEFFS!$C:$C,OPERATING_COEFFS!$A:$A,"DistanceClass",OPERATING_COEFFS!$B:$B,$AG181))</f>
        <v/>
      </c>
      <c r="AJ181" t="str">
        <f>IF($AI181="","",SUMIFS(OPERATING_COEFFS!$C:$C,OPERATING_COEFFS!$A:$A,"SeasonClass",OPERATING_COEFFS!$B:$B,$AI181))</f>
        <v/>
      </c>
      <c r="AL181" t="str">
        <f>IF($AK181="","",SUMIFS(OPERATING_COEFFS!$C:$C,OPERATING_COEFFS!$A:$A,"UrgencyClass",OPERATING_COEFFS!$B:$B,$AK181))</f>
        <v/>
      </c>
      <c r="AN181" t="str">
        <f>IF($AM181="","",INDEX(TAX_MODES!$B:$B,MATCH($AM181,TAX_MODES!$A:$A,0)))</f>
        <v/>
      </c>
    </row>
    <row r="182" spans="24:40" x14ac:dyDescent="0.3">
      <c r="X182" s="13"/>
      <c r="Y182" s="13" t="str">
        <f>IF($X182="","",SUMIFS(TARIFF_PROFILES!$D:$D,TARIFF_PROFILES!$A:$A,$X182))</f>
        <v/>
      </c>
      <c r="Z182" s="13" t="str">
        <f>IF($X182="","",SUMIFS(TARIFF_PROFILES!$E:$E,TARIFF_PROFILES!$A:$A,$X182))</f>
        <v/>
      </c>
      <c r="AA182" s="13" t="str">
        <f>IF($X182="","",SUMIFS(TARIFF_PROFILES!$F:$F,TARIFF_PROFILES!$A:$A,$X182))</f>
        <v/>
      </c>
      <c r="AB182" s="13" t="str">
        <f>IF($X182="","",SUMIFS(TARIFF_PROFILES!$G:$G,TARIFF_PROFILES!$A:$A,$X182))</f>
        <v/>
      </c>
      <c r="AC182" s="13" t="str">
        <f>IF($X182="","",SUMIFS(TARIFF_PROFILES!$H:$H,TARIFF_PROFILES!$A:$A,$X182))</f>
        <v/>
      </c>
      <c r="AD182" s="13" t="str">
        <f>IF($X182="","",INDEX(TARIFF_PROFILES!$J:$J,MATCH($X182,TARIFF_PROFILES!$A:$A,0)))</f>
        <v/>
      </c>
      <c r="AE182" s="13" t="str">
        <f>IF($X182="","",INDEX(TARIFF_PROFILES!$K:$K,MATCH($X182,TARIFF_PROFILES!$A:$A,0)))</f>
        <v/>
      </c>
      <c r="AH182" t="str">
        <f>IF($AG182="","",SUMIFS(OPERATING_COEFFS!$C:$C,OPERATING_COEFFS!$A:$A,"DistanceClass",OPERATING_COEFFS!$B:$B,$AG182))</f>
        <v/>
      </c>
      <c r="AJ182" t="str">
        <f>IF($AI182="","",SUMIFS(OPERATING_COEFFS!$C:$C,OPERATING_COEFFS!$A:$A,"SeasonClass",OPERATING_COEFFS!$B:$B,$AI182))</f>
        <v/>
      </c>
      <c r="AL182" t="str">
        <f>IF($AK182="","",SUMIFS(OPERATING_COEFFS!$C:$C,OPERATING_COEFFS!$A:$A,"UrgencyClass",OPERATING_COEFFS!$B:$B,$AK182))</f>
        <v/>
      </c>
      <c r="AN182" t="str">
        <f>IF($AM182="","",INDEX(TAX_MODES!$B:$B,MATCH($AM182,TAX_MODES!$A:$A,0)))</f>
        <v/>
      </c>
    </row>
    <row r="183" spans="24:40" x14ac:dyDescent="0.3">
      <c r="X183" s="13"/>
      <c r="Y183" s="13" t="str">
        <f>IF($X183="","",SUMIFS(TARIFF_PROFILES!$D:$D,TARIFF_PROFILES!$A:$A,$X183))</f>
        <v/>
      </c>
      <c r="Z183" s="13" t="str">
        <f>IF($X183="","",SUMIFS(TARIFF_PROFILES!$E:$E,TARIFF_PROFILES!$A:$A,$X183))</f>
        <v/>
      </c>
      <c r="AA183" s="13" t="str">
        <f>IF($X183="","",SUMIFS(TARIFF_PROFILES!$F:$F,TARIFF_PROFILES!$A:$A,$X183))</f>
        <v/>
      </c>
      <c r="AB183" s="13" t="str">
        <f>IF($X183="","",SUMIFS(TARIFF_PROFILES!$G:$G,TARIFF_PROFILES!$A:$A,$X183))</f>
        <v/>
      </c>
      <c r="AC183" s="13" t="str">
        <f>IF($X183="","",SUMIFS(TARIFF_PROFILES!$H:$H,TARIFF_PROFILES!$A:$A,$X183))</f>
        <v/>
      </c>
      <c r="AD183" s="13" t="str">
        <f>IF($X183="","",INDEX(TARIFF_PROFILES!$J:$J,MATCH($X183,TARIFF_PROFILES!$A:$A,0)))</f>
        <v/>
      </c>
      <c r="AE183" s="13" t="str">
        <f>IF($X183="","",INDEX(TARIFF_PROFILES!$K:$K,MATCH($X183,TARIFF_PROFILES!$A:$A,0)))</f>
        <v/>
      </c>
      <c r="AH183" t="str">
        <f>IF($AG183="","",SUMIFS(OPERATING_COEFFS!$C:$C,OPERATING_COEFFS!$A:$A,"DistanceClass",OPERATING_COEFFS!$B:$B,$AG183))</f>
        <v/>
      </c>
      <c r="AJ183" t="str">
        <f>IF($AI183="","",SUMIFS(OPERATING_COEFFS!$C:$C,OPERATING_COEFFS!$A:$A,"SeasonClass",OPERATING_COEFFS!$B:$B,$AI183))</f>
        <v/>
      </c>
      <c r="AL183" t="str">
        <f>IF($AK183="","",SUMIFS(OPERATING_COEFFS!$C:$C,OPERATING_COEFFS!$A:$A,"UrgencyClass",OPERATING_COEFFS!$B:$B,$AK183))</f>
        <v/>
      </c>
      <c r="AN183" t="str">
        <f>IF($AM183="","",INDEX(TAX_MODES!$B:$B,MATCH($AM183,TAX_MODES!$A:$A,0)))</f>
        <v/>
      </c>
    </row>
    <row r="184" spans="24:40" x14ac:dyDescent="0.3">
      <c r="X184" s="13"/>
      <c r="Y184" s="13" t="str">
        <f>IF($X184="","",SUMIFS(TARIFF_PROFILES!$D:$D,TARIFF_PROFILES!$A:$A,$X184))</f>
        <v/>
      </c>
      <c r="Z184" s="13" t="str">
        <f>IF($X184="","",SUMIFS(TARIFF_PROFILES!$E:$E,TARIFF_PROFILES!$A:$A,$X184))</f>
        <v/>
      </c>
      <c r="AA184" s="13" t="str">
        <f>IF($X184="","",SUMIFS(TARIFF_PROFILES!$F:$F,TARIFF_PROFILES!$A:$A,$X184))</f>
        <v/>
      </c>
      <c r="AB184" s="13" t="str">
        <f>IF($X184="","",SUMIFS(TARIFF_PROFILES!$G:$G,TARIFF_PROFILES!$A:$A,$X184))</f>
        <v/>
      </c>
      <c r="AC184" s="13" t="str">
        <f>IF($X184="","",SUMIFS(TARIFF_PROFILES!$H:$H,TARIFF_PROFILES!$A:$A,$X184))</f>
        <v/>
      </c>
      <c r="AD184" s="13" t="str">
        <f>IF($X184="","",INDEX(TARIFF_PROFILES!$J:$J,MATCH($X184,TARIFF_PROFILES!$A:$A,0)))</f>
        <v/>
      </c>
      <c r="AE184" s="13" t="str">
        <f>IF($X184="","",INDEX(TARIFF_PROFILES!$K:$K,MATCH($X184,TARIFF_PROFILES!$A:$A,0)))</f>
        <v/>
      </c>
      <c r="AH184" t="str">
        <f>IF($AG184="","",SUMIFS(OPERATING_COEFFS!$C:$C,OPERATING_COEFFS!$A:$A,"DistanceClass",OPERATING_COEFFS!$B:$B,$AG184))</f>
        <v/>
      </c>
      <c r="AJ184" t="str">
        <f>IF($AI184="","",SUMIFS(OPERATING_COEFFS!$C:$C,OPERATING_COEFFS!$A:$A,"SeasonClass",OPERATING_COEFFS!$B:$B,$AI184))</f>
        <v/>
      </c>
      <c r="AL184" t="str">
        <f>IF($AK184="","",SUMIFS(OPERATING_COEFFS!$C:$C,OPERATING_COEFFS!$A:$A,"UrgencyClass",OPERATING_COEFFS!$B:$B,$AK184))</f>
        <v/>
      </c>
      <c r="AN184" t="str">
        <f>IF($AM184="","",INDEX(TAX_MODES!$B:$B,MATCH($AM184,TAX_MODES!$A:$A,0)))</f>
        <v/>
      </c>
    </row>
    <row r="185" spans="24:40" x14ac:dyDescent="0.3">
      <c r="X185" s="13"/>
      <c r="Y185" s="13" t="str">
        <f>IF($X185="","",SUMIFS(TARIFF_PROFILES!$D:$D,TARIFF_PROFILES!$A:$A,$X185))</f>
        <v/>
      </c>
      <c r="Z185" s="13" t="str">
        <f>IF($X185="","",SUMIFS(TARIFF_PROFILES!$E:$E,TARIFF_PROFILES!$A:$A,$X185))</f>
        <v/>
      </c>
      <c r="AA185" s="13" t="str">
        <f>IF($X185="","",SUMIFS(TARIFF_PROFILES!$F:$F,TARIFF_PROFILES!$A:$A,$X185))</f>
        <v/>
      </c>
      <c r="AB185" s="13" t="str">
        <f>IF($X185="","",SUMIFS(TARIFF_PROFILES!$G:$G,TARIFF_PROFILES!$A:$A,$X185))</f>
        <v/>
      </c>
      <c r="AC185" s="13" t="str">
        <f>IF($X185="","",SUMIFS(TARIFF_PROFILES!$H:$H,TARIFF_PROFILES!$A:$A,$X185))</f>
        <v/>
      </c>
      <c r="AD185" s="13" t="str">
        <f>IF($X185="","",INDEX(TARIFF_PROFILES!$J:$J,MATCH($X185,TARIFF_PROFILES!$A:$A,0)))</f>
        <v/>
      </c>
      <c r="AE185" s="13" t="str">
        <f>IF($X185="","",INDEX(TARIFF_PROFILES!$K:$K,MATCH($X185,TARIFF_PROFILES!$A:$A,0)))</f>
        <v/>
      </c>
      <c r="AH185" t="str">
        <f>IF($AG185="","",SUMIFS(OPERATING_COEFFS!$C:$C,OPERATING_COEFFS!$A:$A,"DistanceClass",OPERATING_COEFFS!$B:$B,$AG185))</f>
        <v/>
      </c>
      <c r="AJ185" t="str">
        <f>IF($AI185="","",SUMIFS(OPERATING_COEFFS!$C:$C,OPERATING_COEFFS!$A:$A,"SeasonClass",OPERATING_COEFFS!$B:$B,$AI185))</f>
        <v/>
      </c>
      <c r="AL185" t="str">
        <f>IF($AK185="","",SUMIFS(OPERATING_COEFFS!$C:$C,OPERATING_COEFFS!$A:$A,"UrgencyClass",OPERATING_COEFFS!$B:$B,$AK185))</f>
        <v/>
      </c>
      <c r="AN185" t="str">
        <f>IF($AM185="","",INDEX(TAX_MODES!$B:$B,MATCH($AM185,TAX_MODES!$A:$A,0)))</f>
        <v/>
      </c>
    </row>
    <row r="186" spans="24:40" x14ac:dyDescent="0.3">
      <c r="X186" s="13"/>
      <c r="Y186" s="13" t="str">
        <f>IF($X186="","",SUMIFS(TARIFF_PROFILES!$D:$D,TARIFF_PROFILES!$A:$A,$X186))</f>
        <v/>
      </c>
      <c r="Z186" s="13" t="str">
        <f>IF($X186="","",SUMIFS(TARIFF_PROFILES!$E:$E,TARIFF_PROFILES!$A:$A,$X186))</f>
        <v/>
      </c>
      <c r="AA186" s="13" t="str">
        <f>IF($X186="","",SUMIFS(TARIFF_PROFILES!$F:$F,TARIFF_PROFILES!$A:$A,$X186))</f>
        <v/>
      </c>
      <c r="AB186" s="13" t="str">
        <f>IF($X186="","",SUMIFS(TARIFF_PROFILES!$G:$G,TARIFF_PROFILES!$A:$A,$X186))</f>
        <v/>
      </c>
      <c r="AC186" s="13" t="str">
        <f>IF($X186="","",SUMIFS(TARIFF_PROFILES!$H:$H,TARIFF_PROFILES!$A:$A,$X186))</f>
        <v/>
      </c>
      <c r="AD186" s="13" t="str">
        <f>IF($X186="","",INDEX(TARIFF_PROFILES!$J:$J,MATCH($X186,TARIFF_PROFILES!$A:$A,0)))</f>
        <v/>
      </c>
      <c r="AE186" s="13" t="str">
        <f>IF($X186="","",INDEX(TARIFF_PROFILES!$K:$K,MATCH($X186,TARIFF_PROFILES!$A:$A,0)))</f>
        <v/>
      </c>
      <c r="AH186" t="str">
        <f>IF($AG186="","",SUMIFS(OPERATING_COEFFS!$C:$C,OPERATING_COEFFS!$A:$A,"DistanceClass",OPERATING_COEFFS!$B:$B,$AG186))</f>
        <v/>
      </c>
      <c r="AJ186" t="str">
        <f>IF($AI186="","",SUMIFS(OPERATING_COEFFS!$C:$C,OPERATING_COEFFS!$A:$A,"SeasonClass",OPERATING_COEFFS!$B:$B,$AI186))</f>
        <v/>
      </c>
      <c r="AL186" t="str">
        <f>IF($AK186="","",SUMIFS(OPERATING_COEFFS!$C:$C,OPERATING_COEFFS!$A:$A,"UrgencyClass",OPERATING_COEFFS!$B:$B,$AK186))</f>
        <v/>
      </c>
      <c r="AN186" t="str">
        <f>IF($AM186="","",INDEX(TAX_MODES!$B:$B,MATCH($AM186,TAX_MODES!$A:$A,0)))</f>
        <v/>
      </c>
    </row>
    <row r="187" spans="24:40" x14ac:dyDescent="0.3">
      <c r="X187" s="13"/>
      <c r="Y187" s="13" t="str">
        <f>IF($X187="","",SUMIFS(TARIFF_PROFILES!$D:$D,TARIFF_PROFILES!$A:$A,$X187))</f>
        <v/>
      </c>
      <c r="Z187" s="13" t="str">
        <f>IF($X187="","",SUMIFS(TARIFF_PROFILES!$E:$E,TARIFF_PROFILES!$A:$A,$X187))</f>
        <v/>
      </c>
      <c r="AA187" s="13" t="str">
        <f>IF($X187="","",SUMIFS(TARIFF_PROFILES!$F:$F,TARIFF_PROFILES!$A:$A,$X187))</f>
        <v/>
      </c>
      <c r="AB187" s="13" t="str">
        <f>IF($X187="","",SUMIFS(TARIFF_PROFILES!$G:$G,TARIFF_PROFILES!$A:$A,$X187))</f>
        <v/>
      </c>
      <c r="AC187" s="13" t="str">
        <f>IF($X187="","",SUMIFS(TARIFF_PROFILES!$H:$H,TARIFF_PROFILES!$A:$A,$X187))</f>
        <v/>
      </c>
      <c r="AD187" s="13" t="str">
        <f>IF($X187="","",INDEX(TARIFF_PROFILES!$J:$J,MATCH($X187,TARIFF_PROFILES!$A:$A,0)))</f>
        <v/>
      </c>
      <c r="AE187" s="13" t="str">
        <f>IF($X187="","",INDEX(TARIFF_PROFILES!$K:$K,MATCH($X187,TARIFF_PROFILES!$A:$A,0)))</f>
        <v/>
      </c>
      <c r="AH187" t="str">
        <f>IF($AG187="","",SUMIFS(OPERATING_COEFFS!$C:$C,OPERATING_COEFFS!$A:$A,"DistanceClass",OPERATING_COEFFS!$B:$B,$AG187))</f>
        <v/>
      </c>
      <c r="AJ187" t="str">
        <f>IF($AI187="","",SUMIFS(OPERATING_COEFFS!$C:$C,OPERATING_COEFFS!$A:$A,"SeasonClass",OPERATING_COEFFS!$B:$B,$AI187))</f>
        <v/>
      </c>
      <c r="AL187" t="str">
        <f>IF($AK187="","",SUMIFS(OPERATING_COEFFS!$C:$C,OPERATING_COEFFS!$A:$A,"UrgencyClass",OPERATING_COEFFS!$B:$B,$AK187))</f>
        <v/>
      </c>
      <c r="AN187" t="str">
        <f>IF($AM187="","",INDEX(TAX_MODES!$B:$B,MATCH($AM187,TAX_MODES!$A:$A,0)))</f>
        <v/>
      </c>
    </row>
    <row r="188" spans="24:40" x14ac:dyDescent="0.3">
      <c r="X188" s="13"/>
      <c r="Y188" s="13" t="str">
        <f>IF($X188="","",SUMIFS(TARIFF_PROFILES!$D:$D,TARIFF_PROFILES!$A:$A,$X188))</f>
        <v/>
      </c>
      <c r="Z188" s="13" t="str">
        <f>IF($X188="","",SUMIFS(TARIFF_PROFILES!$E:$E,TARIFF_PROFILES!$A:$A,$X188))</f>
        <v/>
      </c>
      <c r="AA188" s="13" t="str">
        <f>IF($X188="","",SUMIFS(TARIFF_PROFILES!$F:$F,TARIFF_PROFILES!$A:$A,$X188))</f>
        <v/>
      </c>
      <c r="AB188" s="13" t="str">
        <f>IF($X188="","",SUMIFS(TARIFF_PROFILES!$G:$G,TARIFF_PROFILES!$A:$A,$X188))</f>
        <v/>
      </c>
      <c r="AC188" s="13" t="str">
        <f>IF($X188="","",SUMIFS(TARIFF_PROFILES!$H:$H,TARIFF_PROFILES!$A:$A,$X188))</f>
        <v/>
      </c>
      <c r="AD188" s="13" t="str">
        <f>IF($X188="","",INDEX(TARIFF_PROFILES!$J:$J,MATCH($X188,TARIFF_PROFILES!$A:$A,0)))</f>
        <v/>
      </c>
      <c r="AE188" s="13" t="str">
        <f>IF($X188="","",INDEX(TARIFF_PROFILES!$K:$K,MATCH($X188,TARIFF_PROFILES!$A:$A,0)))</f>
        <v/>
      </c>
      <c r="AH188" t="str">
        <f>IF($AG188="","",SUMIFS(OPERATING_COEFFS!$C:$C,OPERATING_COEFFS!$A:$A,"DistanceClass",OPERATING_COEFFS!$B:$B,$AG188))</f>
        <v/>
      </c>
      <c r="AJ188" t="str">
        <f>IF($AI188="","",SUMIFS(OPERATING_COEFFS!$C:$C,OPERATING_COEFFS!$A:$A,"SeasonClass",OPERATING_COEFFS!$B:$B,$AI188))</f>
        <v/>
      </c>
      <c r="AL188" t="str">
        <f>IF($AK188="","",SUMIFS(OPERATING_COEFFS!$C:$C,OPERATING_COEFFS!$A:$A,"UrgencyClass",OPERATING_COEFFS!$B:$B,$AK188))</f>
        <v/>
      </c>
      <c r="AN188" t="str">
        <f>IF($AM188="","",INDEX(TAX_MODES!$B:$B,MATCH($AM188,TAX_MODES!$A:$A,0)))</f>
        <v/>
      </c>
    </row>
    <row r="189" spans="24:40" x14ac:dyDescent="0.3">
      <c r="X189" s="13"/>
      <c r="Y189" s="13" t="str">
        <f>IF($X189="","",SUMIFS(TARIFF_PROFILES!$D:$D,TARIFF_PROFILES!$A:$A,$X189))</f>
        <v/>
      </c>
      <c r="Z189" s="13" t="str">
        <f>IF($X189="","",SUMIFS(TARIFF_PROFILES!$E:$E,TARIFF_PROFILES!$A:$A,$X189))</f>
        <v/>
      </c>
      <c r="AA189" s="13" t="str">
        <f>IF($X189="","",SUMIFS(TARIFF_PROFILES!$F:$F,TARIFF_PROFILES!$A:$A,$X189))</f>
        <v/>
      </c>
      <c r="AB189" s="13" t="str">
        <f>IF($X189="","",SUMIFS(TARIFF_PROFILES!$G:$G,TARIFF_PROFILES!$A:$A,$X189))</f>
        <v/>
      </c>
      <c r="AC189" s="13" t="str">
        <f>IF($X189="","",SUMIFS(TARIFF_PROFILES!$H:$H,TARIFF_PROFILES!$A:$A,$X189))</f>
        <v/>
      </c>
      <c r="AD189" s="13" t="str">
        <f>IF($X189="","",INDEX(TARIFF_PROFILES!$J:$J,MATCH($X189,TARIFF_PROFILES!$A:$A,0)))</f>
        <v/>
      </c>
      <c r="AE189" s="13" t="str">
        <f>IF($X189="","",INDEX(TARIFF_PROFILES!$K:$K,MATCH($X189,TARIFF_PROFILES!$A:$A,0)))</f>
        <v/>
      </c>
      <c r="AH189" t="str">
        <f>IF($AG189="","",SUMIFS(OPERATING_COEFFS!$C:$C,OPERATING_COEFFS!$A:$A,"DistanceClass",OPERATING_COEFFS!$B:$B,$AG189))</f>
        <v/>
      </c>
      <c r="AJ189" t="str">
        <f>IF($AI189="","",SUMIFS(OPERATING_COEFFS!$C:$C,OPERATING_COEFFS!$A:$A,"SeasonClass",OPERATING_COEFFS!$B:$B,$AI189))</f>
        <v/>
      </c>
      <c r="AL189" t="str">
        <f>IF($AK189="","",SUMIFS(OPERATING_COEFFS!$C:$C,OPERATING_COEFFS!$A:$A,"UrgencyClass",OPERATING_COEFFS!$B:$B,$AK189))</f>
        <v/>
      </c>
      <c r="AN189" t="str">
        <f>IF($AM189="","",INDEX(TAX_MODES!$B:$B,MATCH($AM189,TAX_MODES!$A:$A,0)))</f>
        <v/>
      </c>
    </row>
    <row r="190" spans="24:40" x14ac:dyDescent="0.3">
      <c r="X190" s="13"/>
      <c r="Y190" s="13" t="str">
        <f>IF($X190="","",SUMIFS(TARIFF_PROFILES!$D:$D,TARIFF_PROFILES!$A:$A,$X190))</f>
        <v/>
      </c>
      <c r="Z190" s="13" t="str">
        <f>IF($X190="","",SUMIFS(TARIFF_PROFILES!$E:$E,TARIFF_PROFILES!$A:$A,$X190))</f>
        <v/>
      </c>
      <c r="AA190" s="13" t="str">
        <f>IF($X190="","",SUMIFS(TARIFF_PROFILES!$F:$F,TARIFF_PROFILES!$A:$A,$X190))</f>
        <v/>
      </c>
      <c r="AB190" s="13" t="str">
        <f>IF($X190="","",SUMIFS(TARIFF_PROFILES!$G:$G,TARIFF_PROFILES!$A:$A,$X190))</f>
        <v/>
      </c>
      <c r="AC190" s="13" t="str">
        <f>IF($X190="","",SUMIFS(TARIFF_PROFILES!$H:$H,TARIFF_PROFILES!$A:$A,$X190))</f>
        <v/>
      </c>
      <c r="AD190" s="13" t="str">
        <f>IF($X190="","",INDEX(TARIFF_PROFILES!$J:$J,MATCH($X190,TARIFF_PROFILES!$A:$A,0)))</f>
        <v/>
      </c>
      <c r="AE190" s="13" t="str">
        <f>IF($X190="","",INDEX(TARIFF_PROFILES!$K:$K,MATCH($X190,TARIFF_PROFILES!$A:$A,0)))</f>
        <v/>
      </c>
      <c r="AH190" t="str">
        <f>IF($AG190="","",SUMIFS(OPERATING_COEFFS!$C:$C,OPERATING_COEFFS!$A:$A,"DistanceClass",OPERATING_COEFFS!$B:$B,$AG190))</f>
        <v/>
      </c>
      <c r="AJ190" t="str">
        <f>IF($AI190="","",SUMIFS(OPERATING_COEFFS!$C:$C,OPERATING_COEFFS!$A:$A,"SeasonClass",OPERATING_COEFFS!$B:$B,$AI190))</f>
        <v/>
      </c>
      <c r="AL190" t="str">
        <f>IF($AK190="","",SUMIFS(OPERATING_COEFFS!$C:$C,OPERATING_COEFFS!$A:$A,"UrgencyClass",OPERATING_COEFFS!$B:$B,$AK190))</f>
        <v/>
      </c>
      <c r="AN190" t="str">
        <f>IF($AM190="","",INDEX(TAX_MODES!$B:$B,MATCH($AM190,TAX_MODES!$A:$A,0)))</f>
        <v/>
      </c>
    </row>
    <row r="191" spans="24:40" x14ac:dyDescent="0.3">
      <c r="X191" s="13"/>
      <c r="Y191" s="13" t="str">
        <f>IF($X191="","",SUMIFS(TARIFF_PROFILES!$D:$D,TARIFF_PROFILES!$A:$A,$X191))</f>
        <v/>
      </c>
      <c r="Z191" s="13" t="str">
        <f>IF($X191="","",SUMIFS(TARIFF_PROFILES!$E:$E,TARIFF_PROFILES!$A:$A,$X191))</f>
        <v/>
      </c>
      <c r="AA191" s="13" t="str">
        <f>IF($X191="","",SUMIFS(TARIFF_PROFILES!$F:$F,TARIFF_PROFILES!$A:$A,$X191))</f>
        <v/>
      </c>
      <c r="AB191" s="13" t="str">
        <f>IF($X191="","",SUMIFS(TARIFF_PROFILES!$G:$G,TARIFF_PROFILES!$A:$A,$X191))</f>
        <v/>
      </c>
      <c r="AC191" s="13" t="str">
        <f>IF($X191="","",SUMIFS(TARIFF_PROFILES!$H:$H,TARIFF_PROFILES!$A:$A,$X191))</f>
        <v/>
      </c>
      <c r="AD191" s="13" t="str">
        <f>IF($X191="","",INDEX(TARIFF_PROFILES!$J:$J,MATCH($X191,TARIFF_PROFILES!$A:$A,0)))</f>
        <v/>
      </c>
      <c r="AE191" s="13" t="str">
        <f>IF($X191="","",INDEX(TARIFF_PROFILES!$K:$K,MATCH($X191,TARIFF_PROFILES!$A:$A,0)))</f>
        <v/>
      </c>
      <c r="AH191" t="str">
        <f>IF($AG191="","",SUMIFS(OPERATING_COEFFS!$C:$C,OPERATING_COEFFS!$A:$A,"DistanceClass",OPERATING_COEFFS!$B:$B,$AG191))</f>
        <v/>
      </c>
      <c r="AJ191" t="str">
        <f>IF($AI191="","",SUMIFS(OPERATING_COEFFS!$C:$C,OPERATING_COEFFS!$A:$A,"SeasonClass",OPERATING_COEFFS!$B:$B,$AI191))</f>
        <v/>
      </c>
      <c r="AL191" t="str">
        <f>IF($AK191="","",SUMIFS(OPERATING_COEFFS!$C:$C,OPERATING_COEFFS!$A:$A,"UrgencyClass",OPERATING_COEFFS!$B:$B,$AK191))</f>
        <v/>
      </c>
      <c r="AN191" t="str">
        <f>IF($AM191="","",INDEX(TAX_MODES!$B:$B,MATCH($AM191,TAX_MODES!$A:$A,0)))</f>
        <v/>
      </c>
    </row>
    <row r="192" spans="24:40" x14ac:dyDescent="0.3">
      <c r="X192" s="13"/>
      <c r="Y192" s="13" t="str">
        <f>IF($X192="","",SUMIFS(TARIFF_PROFILES!$D:$D,TARIFF_PROFILES!$A:$A,$X192))</f>
        <v/>
      </c>
      <c r="Z192" s="13" t="str">
        <f>IF($X192="","",SUMIFS(TARIFF_PROFILES!$E:$E,TARIFF_PROFILES!$A:$A,$X192))</f>
        <v/>
      </c>
      <c r="AA192" s="13" t="str">
        <f>IF($X192="","",SUMIFS(TARIFF_PROFILES!$F:$F,TARIFF_PROFILES!$A:$A,$X192))</f>
        <v/>
      </c>
      <c r="AB192" s="13" t="str">
        <f>IF($X192="","",SUMIFS(TARIFF_PROFILES!$G:$G,TARIFF_PROFILES!$A:$A,$X192))</f>
        <v/>
      </c>
      <c r="AC192" s="13" t="str">
        <f>IF($X192="","",SUMIFS(TARIFF_PROFILES!$H:$H,TARIFF_PROFILES!$A:$A,$X192))</f>
        <v/>
      </c>
      <c r="AD192" s="13" t="str">
        <f>IF($X192="","",INDEX(TARIFF_PROFILES!$J:$J,MATCH($X192,TARIFF_PROFILES!$A:$A,0)))</f>
        <v/>
      </c>
      <c r="AE192" s="13" t="str">
        <f>IF($X192="","",INDEX(TARIFF_PROFILES!$K:$K,MATCH($X192,TARIFF_PROFILES!$A:$A,0)))</f>
        <v/>
      </c>
      <c r="AH192" t="str">
        <f>IF($AG192="","",SUMIFS(OPERATING_COEFFS!$C:$C,OPERATING_COEFFS!$A:$A,"DistanceClass",OPERATING_COEFFS!$B:$B,$AG192))</f>
        <v/>
      </c>
      <c r="AJ192" t="str">
        <f>IF($AI192="","",SUMIFS(OPERATING_COEFFS!$C:$C,OPERATING_COEFFS!$A:$A,"SeasonClass",OPERATING_COEFFS!$B:$B,$AI192))</f>
        <v/>
      </c>
      <c r="AL192" t="str">
        <f>IF($AK192="","",SUMIFS(OPERATING_COEFFS!$C:$C,OPERATING_COEFFS!$A:$A,"UrgencyClass",OPERATING_COEFFS!$B:$B,$AK192))</f>
        <v/>
      </c>
      <c r="AN192" t="str">
        <f>IF($AM192="","",INDEX(TAX_MODES!$B:$B,MATCH($AM192,TAX_MODES!$A:$A,0)))</f>
        <v/>
      </c>
    </row>
    <row r="193" spans="24:40" x14ac:dyDescent="0.3">
      <c r="X193" s="13"/>
      <c r="Y193" s="13" t="str">
        <f>IF($X193="","",SUMIFS(TARIFF_PROFILES!$D:$D,TARIFF_PROFILES!$A:$A,$X193))</f>
        <v/>
      </c>
      <c r="Z193" s="13" t="str">
        <f>IF($X193="","",SUMIFS(TARIFF_PROFILES!$E:$E,TARIFF_PROFILES!$A:$A,$X193))</f>
        <v/>
      </c>
      <c r="AA193" s="13" t="str">
        <f>IF($X193="","",SUMIFS(TARIFF_PROFILES!$F:$F,TARIFF_PROFILES!$A:$A,$X193))</f>
        <v/>
      </c>
      <c r="AB193" s="13" t="str">
        <f>IF($X193="","",SUMIFS(TARIFF_PROFILES!$G:$G,TARIFF_PROFILES!$A:$A,$X193))</f>
        <v/>
      </c>
      <c r="AC193" s="13" t="str">
        <f>IF($X193="","",SUMIFS(TARIFF_PROFILES!$H:$H,TARIFF_PROFILES!$A:$A,$X193))</f>
        <v/>
      </c>
      <c r="AD193" s="13" t="str">
        <f>IF($X193="","",INDEX(TARIFF_PROFILES!$J:$J,MATCH($X193,TARIFF_PROFILES!$A:$A,0)))</f>
        <v/>
      </c>
      <c r="AE193" s="13" t="str">
        <f>IF($X193="","",INDEX(TARIFF_PROFILES!$K:$K,MATCH($X193,TARIFF_PROFILES!$A:$A,0)))</f>
        <v/>
      </c>
      <c r="AH193" t="str">
        <f>IF($AG193="","",SUMIFS(OPERATING_COEFFS!$C:$C,OPERATING_COEFFS!$A:$A,"DistanceClass",OPERATING_COEFFS!$B:$B,$AG193))</f>
        <v/>
      </c>
      <c r="AJ193" t="str">
        <f>IF($AI193="","",SUMIFS(OPERATING_COEFFS!$C:$C,OPERATING_COEFFS!$A:$A,"SeasonClass",OPERATING_COEFFS!$B:$B,$AI193))</f>
        <v/>
      </c>
      <c r="AL193" t="str">
        <f>IF($AK193="","",SUMIFS(OPERATING_COEFFS!$C:$C,OPERATING_COEFFS!$A:$A,"UrgencyClass",OPERATING_COEFFS!$B:$B,$AK193))</f>
        <v/>
      </c>
      <c r="AN193" t="str">
        <f>IF($AM193="","",INDEX(TAX_MODES!$B:$B,MATCH($AM193,TAX_MODES!$A:$A,0)))</f>
        <v/>
      </c>
    </row>
    <row r="194" spans="24:40" x14ac:dyDescent="0.3">
      <c r="X194" s="13"/>
      <c r="Y194" s="13" t="str">
        <f>IF($X194="","",SUMIFS(TARIFF_PROFILES!$D:$D,TARIFF_PROFILES!$A:$A,$X194))</f>
        <v/>
      </c>
      <c r="Z194" s="13" t="str">
        <f>IF($X194="","",SUMIFS(TARIFF_PROFILES!$E:$E,TARIFF_PROFILES!$A:$A,$X194))</f>
        <v/>
      </c>
      <c r="AA194" s="13" t="str">
        <f>IF($X194="","",SUMIFS(TARIFF_PROFILES!$F:$F,TARIFF_PROFILES!$A:$A,$X194))</f>
        <v/>
      </c>
      <c r="AB194" s="13" t="str">
        <f>IF($X194="","",SUMIFS(TARIFF_PROFILES!$G:$G,TARIFF_PROFILES!$A:$A,$X194))</f>
        <v/>
      </c>
      <c r="AC194" s="13" t="str">
        <f>IF($X194="","",SUMIFS(TARIFF_PROFILES!$H:$H,TARIFF_PROFILES!$A:$A,$X194))</f>
        <v/>
      </c>
      <c r="AD194" s="13" t="str">
        <f>IF($X194="","",INDEX(TARIFF_PROFILES!$J:$J,MATCH($X194,TARIFF_PROFILES!$A:$A,0)))</f>
        <v/>
      </c>
      <c r="AE194" s="13" t="str">
        <f>IF($X194="","",INDEX(TARIFF_PROFILES!$K:$K,MATCH($X194,TARIFF_PROFILES!$A:$A,0)))</f>
        <v/>
      </c>
      <c r="AH194" t="str">
        <f>IF($AG194="","",SUMIFS(OPERATING_COEFFS!$C:$C,OPERATING_COEFFS!$A:$A,"DistanceClass",OPERATING_COEFFS!$B:$B,$AG194))</f>
        <v/>
      </c>
      <c r="AJ194" t="str">
        <f>IF($AI194="","",SUMIFS(OPERATING_COEFFS!$C:$C,OPERATING_COEFFS!$A:$A,"SeasonClass",OPERATING_COEFFS!$B:$B,$AI194))</f>
        <v/>
      </c>
      <c r="AL194" t="str">
        <f>IF($AK194="","",SUMIFS(OPERATING_COEFFS!$C:$C,OPERATING_COEFFS!$A:$A,"UrgencyClass",OPERATING_COEFFS!$B:$B,$AK194))</f>
        <v/>
      </c>
      <c r="AN194" t="str">
        <f>IF($AM194="","",INDEX(TAX_MODES!$B:$B,MATCH($AM194,TAX_MODES!$A:$A,0)))</f>
        <v/>
      </c>
    </row>
    <row r="195" spans="24:40" x14ac:dyDescent="0.3">
      <c r="X195" s="13"/>
      <c r="Y195" s="13" t="str">
        <f>IF($X195="","",SUMIFS(TARIFF_PROFILES!$D:$D,TARIFF_PROFILES!$A:$A,$X195))</f>
        <v/>
      </c>
      <c r="Z195" s="13" t="str">
        <f>IF($X195="","",SUMIFS(TARIFF_PROFILES!$E:$E,TARIFF_PROFILES!$A:$A,$X195))</f>
        <v/>
      </c>
      <c r="AA195" s="13" t="str">
        <f>IF($X195="","",SUMIFS(TARIFF_PROFILES!$F:$F,TARIFF_PROFILES!$A:$A,$X195))</f>
        <v/>
      </c>
      <c r="AB195" s="13" t="str">
        <f>IF($X195="","",SUMIFS(TARIFF_PROFILES!$G:$G,TARIFF_PROFILES!$A:$A,$X195))</f>
        <v/>
      </c>
      <c r="AC195" s="13" t="str">
        <f>IF($X195="","",SUMIFS(TARIFF_PROFILES!$H:$H,TARIFF_PROFILES!$A:$A,$X195))</f>
        <v/>
      </c>
      <c r="AD195" s="13" t="str">
        <f>IF($X195="","",INDEX(TARIFF_PROFILES!$J:$J,MATCH($X195,TARIFF_PROFILES!$A:$A,0)))</f>
        <v/>
      </c>
      <c r="AE195" s="13" t="str">
        <f>IF($X195="","",INDEX(TARIFF_PROFILES!$K:$K,MATCH($X195,TARIFF_PROFILES!$A:$A,0)))</f>
        <v/>
      </c>
      <c r="AH195" t="str">
        <f>IF($AG195="","",SUMIFS(OPERATING_COEFFS!$C:$C,OPERATING_COEFFS!$A:$A,"DistanceClass",OPERATING_COEFFS!$B:$B,$AG195))</f>
        <v/>
      </c>
      <c r="AJ195" t="str">
        <f>IF($AI195="","",SUMIFS(OPERATING_COEFFS!$C:$C,OPERATING_COEFFS!$A:$A,"SeasonClass",OPERATING_COEFFS!$B:$B,$AI195))</f>
        <v/>
      </c>
      <c r="AL195" t="str">
        <f>IF($AK195="","",SUMIFS(OPERATING_COEFFS!$C:$C,OPERATING_COEFFS!$A:$A,"UrgencyClass",OPERATING_COEFFS!$B:$B,$AK195))</f>
        <v/>
      </c>
      <c r="AN195" t="str">
        <f>IF($AM195="","",INDEX(TAX_MODES!$B:$B,MATCH($AM195,TAX_MODES!$A:$A,0)))</f>
        <v/>
      </c>
    </row>
    <row r="196" spans="24:40" x14ac:dyDescent="0.3">
      <c r="X196" s="13"/>
      <c r="Y196" s="13" t="str">
        <f>IF($X196="","",SUMIFS(TARIFF_PROFILES!$D:$D,TARIFF_PROFILES!$A:$A,$X196))</f>
        <v/>
      </c>
      <c r="Z196" s="13" t="str">
        <f>IF($X196="","",SUMIFS(TARIFF_PROFILES!$E:$E,TARIFF_PROFILES!$A:$A,$X196))</f>
        <v/>
      </c>
      <c r="AA196" s="13" t="str">
        <f>IF($X196="","",SUMIFS(TARIFF_PROFILES!$F:$F,TARIFF_PROFILES!$A:$A,$X196))</f>
        <v/>
      </c>
      <c r="AB196" s="13" t="str">
        <f>IF($X196="","",SUMIFS(TARIFF_PROFILES!$G:$G,TARIFF_PROFILES!$A:$A,$X196))</f>
        <v/>
      </c>
      <c r="AC196" s="13" t="str">
        <f>IF($X196="","",SUMIFS(TARIFF_PROFILES!$H:$H,TARIFF_PROFILES!$A:$A,$X196))</f>
        <v/>
      </c>
      <c r="AD196" s="13" t="str">
        <f>IF($X196="","",INDEX(TARIFF_PROFILES!$J:$J,MATCH($X196,TARIFF_PROFILES!$A:$A,0)))</f>
        <v/>
      </c>
      <c r="AE196" s="13" t="str">
        <f>IF($X196="","",INDEX(TARIFF_PROFILES!$K:$K,MATCH($X196,TARIFF_PROFILES!$A:$A,0)))</f>
        <v/>
      </c>
      <c r="AH196" t="str">
        <f>IF($AG196="","",SUMIFS(OPERATING_COEFFS!$C:$C,OPERATING_COEFFS!$A:$A,"DistanceClass",OPERATING_COEFFS!$B:$B,$AG196))</f>
        <v/>
      </c>
      <c r="AJ196" t="str">
        <f>IF($AI196="","",SUMIFS(OPERATING_COEFFS!$C:$C,OPERATING_COEFFS!$A:$A,"SeasonClass",OPERATING_COEFFS!$B:$B,$AI196))</f>
        <v/>
      </c>
      <c r="AL196" t="str">
        <f>IF($AK196="","",SUMIFS(OPERATING_COEFFS!$C:$C,OPERATING_COEFFS!$A:$A,"UrgencyClass",OPERATING_COEFFS!$B:$B,$AK196))</f>
        <v/>
      </c>
      <c r="AN196" t="str">
        <f>IF($AM196="","",INDEX(TAX_MODES!$B:$B,MATCH($AM196,TAX_MODES!$A:$A,0)))</f>
        <v/>
      </c>
    </row>
    <row r="197" spans="24:40" x14ac:dyDescent="0.3">
      <c r="X197" s="13"/>
      <c r="Y197" s="13" t="str">
        <f>IF($X197="","",SUMIFS(TARIFF_PROFILES!$D:$D,TARIFF_PROFILES!$A:$A,$X197))</f>
        <v/>
      </c>
      <c r="Z197" s="13" t="str">
        <f>IF($X197="","",SUMIFS(TARIFF_PROFILES!$E:$E,TARIFF_PROFILES!$A:$A,$X197))</f>
        <v/>
      </c>
      <c r="AA197" s="13" t="str">
        <f>IF($X197="","",SUMIFS(TARIFF_PROFILES!$F:$F,TARIFF_PROFILES!$A:$A,$X197))</f>
        <v/>
      </c>
      <c r="AB197" s="13" t="str">
        <f>IF($X197="","",SUMIFS(TARIFF_PROFILES!$G:$G,TARIFF_PROFILES!$A:$A,$X197))</f>
        <v/>
      </c>
      <c r="AC197" s="13" t="str">
        <f>IF($X197="","",SUMIFS(TARIFF_PROFILES!$H:$H,TARIFF_PROFILES!$A:$A,$X197))</f>
        <v/>
      </c>
      <c r="AD197" s="13" t="str">
        <f>IF($X197="","",INDEX(TARIFF_PROFILES!$J:$J,MATCH($X197,TARIFF_PROFILES!$A:$A,0)))</f>
        <v/>
      </c>
      <c r="AE197" s="13" t="str">
        <f>IF($X197="","",INDEX(TARIFF_PROFILES!$K:$K,MATCH($X197,TARIFF_PROFILES!$A:$A,0)))</f>
        <v/>
      </c>
      <c r="AH197" t="str">
        <f>IF($AG197="","",SUMIFS(OPERATING_COEFFS!$C:$C,OPERATING_COEFFS!$A:$A,"DistanceClass",OPERATING_COEFFS!$B:$B,$AG197))</f>
        <v/>
      </c>
      <c r="AJ197" t="str">
        <f>IF($AI197="","",SUMIFS(OPERATING_COEFFS!$C:$C,OPERATING_COEFFS!$A:$A,"SeasonClass",OPERATING_COEFFS!$B:$B,$AI197))</f>
        <v/>
      </c>
      <c r="AL197" t="str">
        <f>IF($AK197="","",SUMIFS(OPERATING_COEFFS!$C:$C,OPERATING_COEFFS!$A:$A,"UrgencyClass",OPERATING_COEFFS!$B:$B,$AK197))</f>
        <v/>
      </c>
      <c r="AN197" t="str">
        <f>IF($AM197="","",INDEX(TAX_MODES!$B:$B,MATCH($AM197,TAX_MODES!$A:$A,0)))</f>
        <v/>
      </c>
    </row>
    <row r="198" spans="24:40" x14ac:dyDescent="0.3">
      <c r="X198" s="13"/>
      <c r="Y198" s="13" t="str">
        <f>IF($X198="","",SUMIFS(TARIFF_PROFILES!$D:$D,TARIFF_PROFILES!$A:$A,$X198))</f>
        <v/>
      </c>
      <c r="Z198" s="13" t="str">
        <f>IF($X198="","",SUMIFS(TARIFF_PROFILES!$E:$E,TARIFF_PROFILES!$A:$A,$X198))</f>
        <v/>
      </c>
      <c r="AA198" s="13" t="str">
        <f>IF($X198="","",SUMIFS(TARIFF_PROFILES!$F:$F,TARIFF_PROFILES!$A:$A,$X198))</f>
        <v/>
      </c>
      <c r="AB198" s="13" t="str">
        <f>IF($X198="","",SUMIFS(TARIFF_PROFILES!$G:$G,TARIFF_PROFILES!$A:$A,$X198))</f>
        <v/>
      </c>
      <c r="AC198" s="13" t="str">
        <f>IF($X198="","",SUMIFS(TARIFF_PROFILES!$H:$H,TARIFF_PROFILES!$A:$A,$X198))</f>
        <v/>
      </c>
      <c r="AD198" s="13" t="str">
        <f>IF($X198="","",INDEX(TARIFF_PROFILES!$J:$J,MATCH($X198,TARIFF_PROFILES!$A:$A,0)))</f>
        <v/>
      </c>
      <c r="AE198" s="13" t="str">
        <f>IF($X198="","",INDEX(TARIFF_PROFILES!$K:$K,MATCH($X198,TARIFF_PROFILES!$A:$A,0)))</f>
        <v/>
      </c>
      <c r="AH198" t="str">
        <f>IF($AG198="","",SUMIFS(OPERATING_COEFFS!$C:$C,OPERATING_COEFFS!$A:$A,"DistanceClass",OPERATING_COEFFS!$B:$B,$AG198))</f>
        <v/>
      </c>
      <c r="AJ198" t="str">
        <f>IF($AI198="","",SUMIFS(OPERATING_COEFFS!$C:$C,OPERATING_COEFFS!$A:$A,"SeasonClass",OPERATING_COEFFS!$B:$B,$AI198))</f>
        <v/>
      </c>
      <c r="AL198" t="str">
        <f>IF($AK198="","",SUMIFS(OPERATING_COEFFS!$C:$C,OPERATING_COEFFS!$A:$A,"UrgencyClass",OPERATING_COEFFS!$B:$B,$AK198))</f>
        <v/>
      </c>
      <c r="AN198" t="str">
        <f>IF($AM198="","",INDEX(TAX_MODES!$B:$B,MATCH($AM198,TAX_MODES!$A:$A,0)))</f>
        <v/>
      </c>
    </row>
    <row r="199" spans="24:40" x14ac:dyDescent="0.3">
      <c r="X199" s="13"/>
      <c r="Y199" s="13" t="str">
        <f>IF($X199="","",SUMIFS(TARIFF_PROFILES!$D:$D,TARIFF_PROFILES!$A:$A,$X199))</f>
        <v/>
      </c>
      <c r="Z199" s="13" t="str">
        <f>IF($X199="","",SUMIFS(TARIFF_PROFILES!$E:$E,TARIFF_PROFILES!$A:$A,$X199))</f>
        <v/>
      </c>
      <c r="AA199" s="13" t="str">
        <f>IF($X199="","",SUMIFS(TARIFF_PROFILES!$F:$F,TARIFF_PROFILES!$A:$A,$X199))</f>
        <v/>
      </c>
      <c r="AB199" s="13" t="str">
        <f>IF($X199="","",SUMIFS(TARIFF_PROFILES!$G:$G,TARIFF_PROFILES!$A:$A,$X199))</f>
        <v/>
      </c>
      <c r="AC199" s="13" t="str">
        <f>IF($X199="","",SUMIFS(TARIFF_PROFILES!$H:$H,TARIFF_PROFILES!$A:$A,$X199))</f>
        <v/>
      </c>
      <c r="AD199" s="13" t="str">
        <f>IF($X199="","",INDEX(TARIFF_PROFILES!$J:$J,MATCH($X199,TARIFF_PROFILES!$A:$A,0)))</f>
        <v/>
      </c>
      <c r="AE199" s="13" t="str">
        <f>IF($X199="","",INDEX(TARIFF_PROFILES!$K:$K,MATCH($X199,TARIFF_PROFILES!$A:$A,0)))</f>
        <v/>
      </c>
      <c r="AH199" t="str">
        <f>IF($AG199="","",SUMIFS(OPERATING_COEFFS!$C:$C,OPERATING_COEFFS!$A:$A,"DistanceClass",OPERATING_COEFFS!$B:$B,$AG199))</f>
        <v/>
      </c>
      <c r="AJ199" t="str">
        <f>IF($AI199="","",SUMIFS(OPERATING_COEFFS!$C:$C,OPERATING_COEFFS!$A:$A,"SeasonClass",OPERATING_COEFFS!$B:$B,$AI199))</f>
        <v/>
      </c>
      <c r="AL199" t="str">
        <f>IF($AK199="","",SUMIFS(OPERATING_COEFFS!$C:$C,OPERATING_COEFFS!$A:$A,"UrgencyClass",OPERATING_COEFFS!$B:$B,$AK199))</f>
        <v/>
      </c>
      <c r="AN199" t="str">
        <f>IF($AM199="","",INDEX(TAX_MODES!$B:$B,MATCH($AM199,TAX_MODES!$A:$A,0)))</f>
        <v/>
      </c>
    </row>
    <row r="200" spans="24:40" x14ac:dyDescent="0.3">
      <c r="X200" s="13"/>
      <c r="Y200" s="13" t="str">
        <f>IF($X200="","",SUMIFS(TARIFF_PROFILES!$D:$D,TARIFF_PROFILES!$A:$A,$X200))</f>
        <v/>
      </c>
      <c r="Z200" s="13" t="str">
        <f>IF($X200="","",SUMIFS(TARIFF_PROFILES!$E:$E,TARIFF_PROFILES!$A:$A,$X200))</f>
        <v/>
      </c>
      <c r="AA200" s="13" t="str">
        <f>IF($X200="","",SUMIFS(TARIFF_PROFILES!$F:$F,TARIFF_PROFILES!$A:$A,$X200))</f>
        <v/>
      </c>
      <c r="AB200" s="13" t="str">
        <f>IF($X200="","",SUMIFS(TARIFF_PROFILES!$G:$G,TARIFF_PROFILES!$A:$A,$X200))</f>
        <v/>
      </c>
      <c r="AC200" s="13" t="str">
        <f>IF($X200="","",SUMIFS(TARIFF_PROFILES!$H:$H,TARIFF_PROFILES!$A:$A,$X200))</f>
        <v/>
      </c>
      <c r="AD200" s="13" t="str">
        <f>IF($X200="","",INDEX(TARIFF_PROFILES!$J:$J,MATCH($X200,TARIFF_PROFILES!$A:$A,0)))</f>
        <v/>
      </c>
      <c r="AE200" s="13" t="str">
        <f>IF($X200="","",INDEX(TARIFF_PROFILES!$K:$K,MATCH($X200,TARIFF_PROFILES!$A:$A,0)))</f>
        <v/>
      </c>
      <c r="AH200" t="str">
        <f>IF($AG200="","",SUMIFS(OPERATING_COEFFS!$C:$C,OPERATING_COEFFS!$A:$A,"DistanceClass",OPERATING_COEFFS!$B:$B,$AG200))</f>
        <v/>
      </c>
      <c r="AJ200" t="str">
        <f>IF($AI200="","",SUMIFS(OPERATING_COEFFS!$C:$C,OPERATING_COEFFS!$A:$A,"SeasonClass",OPERATING_COEFFS!$B:$B,$AI200))</f>
        <v/>
      </c>
      <c r="AL200" t="str">
        <f>IF($AK200="","",SUMIFS(OPERATING_COEFFS!$C:$C,OPERATING_COEFFS!$A:$A,"UrgencyClass",OPERATING_COEFFS!$B:$B,$AK200))</f>
        <v/>
      </c>
      <c r="AN200" t="str">
        <f>IF($AM200="","",INDEX(TAX_MODES!$B:$B,MATCH($AM200,TAX_MODES!$A:$A,0)))</f>
        <v/>
      </c>
    </row>
    <row r="201" spans="24:40" x14ac:dyDescent="0.3">
      <c r="X201" s="13"/>
      <c r="Y201" s="13" t="str">
        <f>IF($X201="","",SUMIFS(TARIFF_PROFILES!$D:$D,TARIFF_PROFILES!$A:$A,$X201))</f>
        <v/>
      </c>
      <c r="Z201" s="13" t="str">
        <f>IF($X201="","",SUMIFS(TARIFF_PROFILES!$E:$E,TARIFF_PROFILES!$A:$A,$X201))</f>
        <v/>
      </c>
      <c r="AA201" s="13" t="str">
        <f>IF($X201="","",SUMIFS(TARIFF_PROFILES!$F:$F,TARIFF_PROFILES!$A:$A,$X201))</f>
        <v/>
      </c>
      <c r="AB201" s="13" t="str">
        <f>IF($X201="","",SUMIFS(TARIFF_PROFILES!$G:$G,TARIFF_PROFILES!$A:$A,$X201))</f>
        <v/>
      </c>
      <c r="AC201" s="13" t="str">
        <f>IF($X201="","",SUMIFS(TARIFF_PROFILES!$H:$H,TARIFF_PROFILES!$A:$A,$X201))</f>
        <v/>
      </c>
      <c r="AD201" s="13" t="str">
        <f>IF($X201="","",INDEX(TARIFF_PROFILES!$J:$J,MATCH($X201,TARIFF_PROFILES!$A:$A,0)))</f>
        <v/>
      </c>
      <c r="AE201" s="13" t="str">
        <f>IF($X201="","",INDEX(TARIFF_PROFILES!$K:$K,MATCH($X201,TARIFF_PROFILES!$A:$A,0)))</f>
        <v/>
      </c>
      <c r="AH201" t="str">
        <f>IF($AG201="","",SUMIFS(OPERATING_COEFFS!$C:$C,OPERATING_COEFFS!$A:$A,"DistanceClass",OPERATING_COEFFS!$B:$B,$AG201))</f>
        <v/>
      </c>
      <c r="AJ201" t="str">
        <f>IF($AI201="","",SUMIFS(OPERATING_COEFFS!$C:$C,OPERATING_COEFFS!$A:$A,"SeasonClass",OPERATING_COEFFS!$B:$B,$AI201))</f>
        <v/>
      </c>
      <c r="AL201" t="str">
        <f>IF($AK201="","",SUMIFS(OPERATING_COEFFS!$C:$C,OPERATING_COEFFS!$A:$A,"UrgencyClass",OPERATING_COEFFS!$B:$B,$AK201))</f>
        <v/>
      </c>
      <c r="AN201" t="str">
        <f>IF($AM201="","",INDEX(TAX_MODES!$B:$B,MATCH($AM201,TAX_MODES!$A:$A,0)))</f>
        <v/>
      </c>
    </row>
    <row r="202" spans="24:40" x14ac:dyDescent="0.3">
      <c r="X202" s="13"/>
      <c r="Y202" s="13" t="str">
        <f>IF($X202="","",SUMIFS(TARIFF_PROFILES!$D:$D,TARIFF_PROFILES!$A:$A,$X202))</f>
        <v/>
      </c>
      <c r="Z202" s="13" t="str">
        <f>IF($X202="","",SUMIFS(TARIFF_PROFILES!$E:$E,TARIFF_PROFILES!$A:$A,$X202))</f>
        <v/>
      </c>
      <c r="AA202" s="13" t="str">
        <f>IF($X202="","",SUMIFS(TARIFF_PROFILES!$F:$F,TARIFF_PROFILES!$A:$A,$X202))</f>
        <v/>
      </c>
      <c r="AB202" s="13" t="str">
        <f>IF($X202="","",SUMIFS(TARIFF_PROFILES!$G:$G,TARIFF_PROFILES!$A:$A,$X202))</f>
        <v/>
      </c>
      <c r="AC202" s="13" t="str">
        <f>IF($X202="","",SUMIFS(TARIFF_PROFILES!$H:$H,TARIFF_PROFILES!$A:$A,$X202))</f>
        <v/>
      </c>
      <c r="AD202" s="13" t="str">
        <f>IF($X202="","",INDEX(TARIFF_PROFILES!$J:$J,MATCH($X202,TARIFF_PROFILES!$A:$A,0)))</f>
        <v/>
      </c>
      <c r="AE202" s="13" t="str">
        <f>IF($X202="","",INDEX(TARIFF_PROFILES!$K:$K,MATCH($X202,TARIFF_PROFILES!$A:$A,0)))</f>
        <v/>
      </c>
      <c r="AH202" t="str">
        <f>IF($AG202="","",SUMIFS(OPERATING_COEFFS!$C:$C,OPERATING_COEFFS!$A:$A,"DistanceClass",OPERATING_COEFFS!$B:$B,$AG202))</f>
        <v/>
      </c>
      <c r="AJ202" t="str">
        <f>IF($AI202="","",SUMIFS(OPERATING_COEFFS!$C:$C,OPERATING_COEFFS!$A:$A,"SeasonClass",OPERATING_COEFFS!$B:$B,$AI202))</f>
        <v/>
      </c>
      <c r="AL202" t="str">
        <f>IF($AK202="","",SUMIFS(OPERATING_COEFFS!$C:$C,OPERATING_COEFFS!$A:$A,"UrgencyClass",OPERATING_COEFFS!$B:$B,$AK202))</f>
        <v/>
      </c>
      <c r="AN202" t="str">
        <f>IF($AM202="","",INDEX(TAX_MODES!$B:$B,MATCH($AM202,TAX_MODES!$A:$A,0)))</f>
        <v/>
      </c>
    </row>
    <row r="203" spans="24:40" x14ac:dyDescent="0.3">
      <c r="X203" s="13"/>
      <c r="Y203" s="13" t="str">
        <f>IF($X203="","",SUMIFS(TARIFF_PROFILES!$D:$D,TARIFF_PROFILES!$A:$A,$X203))</f>
        <v/>
      </c>
      <c r="Z203" s="13" t="str">
        <f>IF($X203="","",SUMIFS(TARIFF_PROFILES!$E:$E,TARIFF_PROFILES!$A:$A,$X203))</f>
        <v/>
      </c>
      <c r="AA203" s="13" t="str">
        <f>IF($X203="","",SUMIFS(TARIFF_PROFILES!$F:$F,TARIFF_PROFILES!$A:$A,$X203))</f>
        <v/>
      </c>
      <c r="AB203" s="13" t="str">
        <f>IF($X203="","",SUMIFS(TARIFF_PROFILES!$G:$G,TARIFF_PROFILES!$A:$A,$X203))</f>
        <v/>
      </c>
      <c r="AC203" s="13" t="str">
        <f>IF($X203="","",SUMIFS(TARIFF_PROFILES!$H:$H,TARIFF_PROFILES!$A:$A,$X203))</f>
        <v/>
      </c>
      <c r="AD203" s="13" t="str">
        <f>IF($X203="","",INDEX(TARIFF_PROFILES!$J:$J,MATCH($X203,TARIFF_PROFILES!$A:$A,0)))</f>
        <v/>
      </c>
      <c r="AE203" s="13" t="str">
        <f>IF($X203="","",INDEX(TARIFF_PROFILES!$K:$K,MATCH($X203,TARIFF_PROFILES!$A:$A,0)))</f>
        <v/>
      </c>
      <c r="AH203" t="str">
        <f>IF($AG203="","",SUMIFS(OPERATING_COEFFS!$C:$C,OPERATING_COEFFS!$A:$A,"DistanceClass",OPERATING_COEFFS!$B:$B,$AG203))</f>
        <v/>
      </c>
      <c r="AJ203" t="str">
        <f>IF($AI203="","",SUMIFS(OPERATING_COEFFS!$C:$C,OPERATING_COEFFS!$A:$A,"SeasonClass",OPERATING_COEFFS!$B:$B,$AI203))</f>
        <v/>
      </c>
      <c r="AL203" t="str">
        <f>IF($AK203="","",SUMIFS(OPERATING_COEFFS!$C:$C,OPERATING_COEFFS!$A:$A,"UrgencyClass",OPERATING_COEFFS!$B:$B,$AK203))</f>
        <v/>
      </c>
      <c r="AN203" t="str">
        <f>IF($AM203="","",INDEX(TAX_MODES!$B:$B,MATCH($AM203,TAX_MODES!$A:$A,0)))</f>
        <v/>
      </c>
    </row>
    <row r="204" spans="24:40" x14ac:dyDescent="0.3">
      <c r="X204" s="13"/>
      <c r="Y204" s="13" t="str">
        <f>IF($X204="","",SUMIFS(TARIFF_PROFILES!$D:$D,TARIFF_PROFILES!$A:$A,$X204))</f>
        <v/>
      </c>
      <c r="Z204" s="13" t="str">
        <f>IF($X204="","",SUMIFS(TARIFF_PROFILES!$E:$E,TARIFF_PROFILES!$A:$A,$X204))</f>
        <v/>
      </c>
      <c r="AA204" s="13" t="str">
        <f>IF($X204="","",SUMIFS(TARIFF_PROFILES!$F:$F,TARIFF_PROFILES!$A:$A,$X204))</f>
        <v/>
      </c>
      <c r="AB204" s="13" t="str">
        <f>IF($X204="","",SUMIFS(TARIFF_PROFILES!$G:$G,TARIFF_PROFILES!$A:$A,$X204))</f>
        <v/>
      </c>
      <c r="AC204" s="13" t="str">
        <f>IF($X204="","",SUMIFS(TARIFF_PROFILES!$H:$H,TARIFF_PROFILES!$A:$A,$X204))</f>
        <v/>
      </c>
      <c r="AD204" s="13" t="str">
        <f>IF($X204="","",INDEX(TARIFF_PROFILES!$J:$J,MATCH($X204,TARIFF_PROFILES!$A:$A,0)))</f>
        <v/>
      </c>
      <c r="AE204" s="13" t="str">
        <f>IF($X204="","",INDEX(TARIFF_PROFILES!$K:$K,MATCH($X204,TARIFF_PROFILES!$A:$A,0)))</f>
        <v/>
      </c>
      <c r="AH204" t="str">
        <f>IF($AG204="","",SUMIFS(OPERATING_COEFFS!$C:$C,OPERATING_COEFFS!$A:$A,"DistanceClass",OPERATING_COEFFS!$B:$B,$AG204))</f>
        <v/>
      </c>
      <c r="AJ204" t="str">
        <f>IF($AI204="","",SUMIFS(OPERATING_COEFFS!$C:$C,OPERATING_COEFFS!$A:$A,"SeasonClass",OPERATING_COEFFS!$B:$B,$AI204))</f>
        <v/>
      </c>
      <c r="AL204" t="str">
        <f>IF($AK204="","",SUMIFS(OPERATING_COEFFS!$C:$C,OPERATING_COEFFS!$A:$A,"UrgencyClass",OPERATING_COEFFS!$B:$B,$AK204))</f>
        <v/>
      </c>
      <c r="AN204" t="str">
        <f>IF($AM204="","",INDEX(TAX_MODES!$B:$B,MATCH($AM204,TAX_MODES!$A:$A,0)))</f>
        <v/>
      </c>
    </row>
    <row r="205" spans="24:40" x14ac:dyDescent="0.3">
      <c r="X205" s="13"/>
      <c r="Y205" s="13" t="str">
        <f>IF($X205="","",SUMIFS(TARIFF_PROFILES!$D:$D,TARIFF_PROFILES!$A:$A,$X205))</f>
        <v/>
      </c>
      <c r="Z205" s="13" t="str">
        <f>IF($X205="","",SUMIFS(TARIFF_PROFILES!$E:$E,TARIFF_PROFILES!$A:$A,$X205))</f>
        <v/>
      </c>
      <c r="AA205" s="13" t="str">
        <f>IF($X205="","",SUMIFS(TARIFF_PROFILES!$F:$F,TARIFF_PROFILES!$A:$A,$X205))</f>
        <v/>
      </c>
      <c r="AB205" s="13" t="str">
        <f>IF($X205="","",SUMIFS(TARIFF_PROFILES!$G:$G,TARIFF_PROFILES!$A:$A,$X205))</f>
        <v/>
      </c>
      <c r="AC205" s="13" t="str">
        <f>IF($X205="","",SUMIFS(TARIFF_PROFILES!$H:$H,TARIFF_PROFILES!$A:$A,$X205))</f>
        <v/>
      </c>
      <c r="AD205" s="13" t="str">
        <f>IF($X205="","",INDEX(TARIFF_PROFILES!$J:$J,MATCH($X205,TARIFF_PROFILES!$A:$A,0)))</f>
        <v/>
      </c>
      <c r="AE205" s="13" t="str">
        <f>IF($X205="","",INDEX(TARIFF_PROFILES!$K:$K,MATCH($X205,TARIFF_PROFILES!$A:$A,0)))</f>
        <v/>
      </c>
      <c r="AH205" t="str">
        <f>IF($AG205="","",SUMIFS(OPERATING_COEFFS!$C:$C,OPERATING_COEFFS!$A:$A,"DistanceClass",OPERATING_COEFFS!$B:$B,$AG205))</f>
        <v/>
      </c>
      <c r="AJ205" t="str">
        <f>IF($AI205="","",SUMIFS(OPERATING_COEFFS!$C:$C,OPERATING_COEFFS!$A:$A,"SeasonClass",OPERATING_COEFFS!$B:$B,$AI205))</f>
        <v/>
      </c>
      <c r="AL205" t="str">
        <f>IF($AK205="","",SUMIFS(OPERATING_COEFFS!$C:$C,OPERATING_COEFFS!$A:$A,"UrgencyClass",OPERATING_COEFFS!$B:$B,$AK205))</f>
        <v/>
      </c>
      <c r="AN205" t="str">
        <f>IF($AM205="","",INDEX(TAX_MODES!$B:$B,MATCH($AM205,TAX_MODES!$A:$A,0)))</f>
        <v/>
      </c>
    </row>
    <row r="206" spans="24:40" x14ac:dyDescent="0.3">
      <c r="X206" s="13"/>
      <c r="Y206" s="13" t="str">
        <f>IF($X206="","",SUMIFS(TARIFF_PROFILES!$D:$D,TARIFF_PROFILES!$A:$A,$X206))</f>
        <v/>
      </c>
      <c r="Z206" s="13" t="str">
        <f>IF($X206="","",SUMIFS(TARIFF_PROFILES!$E:$E,TARIFF_PROFILES!$A:$A,$X206))</f>
        <v/>
      </c>
      <c r="AA206" s="13" t="str">
        <f>IF($X206="","",SUMIFS(TARIFF_PROFILES!$F:$F,TARIFF_PROFILES!$A:$A,$X206))</f>
        <v/>
      </c>
      <c r="AB206" s="13" t="str">
        <f>IF($X206="","",SUMIFS(TARIFF_PROFILES!$G:$G,TARIFF_PROFILES!$A:$A,$X206))</f>
        <v/>
      </c>
      <c r="AC206" s="13" t="str">
        <f>IF($X206="","",SUMIFS(TARIFF_PROFILES!$H:$H,TARIFF_PROFILES!$A:$A,$X206))</f>
        <v/>
      </c>
      <c r="AD206" s="13" t="str">
        <f>IF($X206="","",INDEX(TARIFF_PROFILES!$J:$J,MATCH($X206,TARIFF_PROFILES!$A:$A,0)))</f>
        <v/>
      </c>
      <c r="AE206" s="13" t="str">
        <f>IF($X206="","",INDEX(TARIFF_PROFILES!$K:$K,MATCH($X206,TARIFF_PROFILES!$A:$A,0)))</f>
        <v/>
      </c>
      <c r="AH206" t="str">
        <f>IF($AG206="","",SUMIFS(OPERATING_COEFFS!$C:$C,OPERATING_COEFFS!$A:$A,"DistanceClass",OPERATING_COEFFS!$B:$B,$AG206))</f>
        <v/>
      </c>
      <c r="AJ206" t="str">
        <f>IF($AI206="","",SUMIFS(OPERATING_COEFFS!$C:$C,OPERATING_COEFFS!$A:$A,"SeasonClass",OPERATING_COEFFS!$B:$B,$AI206))</f>
        <v/>
      </c>
      <c r="AL206" t="str">
        <f>IF($AK206="","",SUMIFS(OPERATING_COEFFS!$C:$C,OPERATING_COEFFS!$A:$A,"UrgencyClass",OPERATING_COEFFS!$B:$B,$AK206))</f>
        <v/>
      </c>
      <c r="AN206" t="str">
        <f>IF($AM206="","",INDEX(TAX_MODES!$B:$B,MATCH($AM206,TAX_MODES!$A:$A,0)))</f>
        <v/>
      </c>
    </row>
    <row r="207" spans="24:40" x14ac:dyDescent="0.3">
      <c r="X207" s="13"/>
      <c r="Y207" s="13" t="str">
        <f>IF($X207="","",SUMIFS(TARIFF_PROFILES!$D:$D,TARIFF_PROFILES!$A:$A,$X207))</f>
        <v/>
      </c>
      <c r="Z207" s="13" t="str">
        <f>IF($X207="","",SUMIFS(TARIFF_PROFILES!$E:$E,TARIFF_PROFILES!$A:$A,$X207))</f>
        <v/>
      </c>
      <c r="AA207" s="13" t="str">
        <f>IF($X207="","",SUMIFS(TARIFF_PROFILES!$F:$F,TARIFF_PROFILES!$A:$A,$X207))</f>
        <v/>
      </c>
      <c r="AB207" s="13" t="str">
        <f>IF($X207="","",SUMIFS(TARIFF_PROFILES!$G:$G,TARIFF_PROFILES!$A:$A,$X207))</f>
        <v/>
      </c>
      <c r="AC207" s="13" t="str">
        <f>IF($X207="","",SUMIFS(TARIFF_PROFILES!$H:$H,TARIFF_PROFILES!$A:$A,$X207))</f>
        <v/>
      </c>
      <c r="AD207" s="13" t="str">
        <f>IF($X207="","",INDEX(TARIFF_PROFILES!$J:$J,MATCH($X207,TARIFF_PROFILES!$A:$A,0)))</f>
        <v/>
      </c>
      <c r="AE207" s="13" t="str">
        <f>IF($X207="","",INDEX(TARIFF_PROFILES!$K:$K,MATCH($X207,TARIFF_PROFILES!$A:$A,0)))</f>
        <v/>
      </c>
      <c r="AH207" t="str">
        <f>IF($AG207="","",SUMIFS(OPERATING_COEFFS!$C:$C,OPERATING_COEFFS!$A:$A,"DistanceClass",OPERATING_COEFFS!$B:$B,$AG207))</f>
        <v/>
      </c>
      <c r="AJ207" t="str">
        <f>IF($AI207="","",SUMIFS(OPERATING_COEFFS!$C:$C,OPERATING_COEFFS!$A:$A,"SeasonClass",OPERATING_COEFFS!$B:$B,$AI207))</f>
        <v/>
      </c>
      <c r="AL207" t="str">
        <f>IF($AK207="","",SUMIFS(OPERATING_COEFFS!$C:$C,OPERATING_COEFFS!$A:$A,"UrgencyClass",OPERATING_COEFFS!$B:$B,$AK207))</f>
        <v/>
      </c>
      <c r="AN207" t="str">
        <f>IF($AM207="","",INDEX(TAX_MODES!$B:$B,MATCH($AM207,TAX_MODES!$A:$A,0)))</f>
        <v/>
      </c>
    </row>
    <row r="208" spans="24:40" x14ac:dyDescent="0.3">
      <c r="X208" s="13"/>
      <c r="Y208" s="13" t="str">
        <f>IF($X208="","",SUMIFS(TARIFF_PROFILES!$D:$D,TARIFF_PROFILES!$A:$A,$X208))</f>
        <v/>
      </c>
      <c r="Z208" s="13" t="str">
        <f>IF($X208="","",SUMIFS(TARIFF_PROFILES!$E:$E,TARIFF_PROFILES!$A:$A,$X208))</f>
        <v/>
      </c>
      <c r="AA208" s="13" t="str">
        <f>IF($X208="","",SUMIFS(TARIFF_PROFILES!$F:$F,TARIFF_PROFILES!$A:$A,$X208))</f>
        <v/>
      </c>
      <c r="AB208" s="13" t="str">
        <f>IF($X208="","",SUMIFS(TARIFF_PROFILES!$G:$G,TARIFF_PROFILES!$A:$A,$X208))</f>
        <v/>
      </c>
      <c r="AC208" s="13" t="str">
        <f>IF($X208="","",SUMIFS(TARIFF_PROFILES!$H:$H,TARIFF_PROFILES!$A:$A,$X208))</f>
        <v/>
      </c>
      <c r="AD208" s="13" t="str">
        <f>IF($X208="","",INDEX(TARIFF_PROFILES!$J:$J,MATCH($X208,TARIFF_PROFILES!$A:$A,0)))</f>
        <v/>
      </c>
      <c r="AE208" s="13" t="str">
        <f>IF($X208="","",INDEX(TARIFF_PROFILES!$K:$K,MATCH($X208,TARIFF_PROFILES!$A:$A,0)))</f>
        <v/>
      </c>
      <c r="AH208" t="str">
        <f>IF($AG208="","",SUMIFS(OPERATING_COEFFS!$C:$C,OPERATING_COEFFS!$A:$A,"DistanceClass",OPERATING_COEFFS!$B:$B,$AG208))</f>
        <v/>
      </c>
      <c r="AJ208" t="str">
        <f>IF($AI208="","",SUMIFS(OPERATING_COEFFS!$C:$C,OPERATING_COEFFS!$A:$A,"SeasonClass",OPERATING_COEFFS!$B:$B,$AI208))</f>
        <v/>
      </c>
      <c r="AL208" t="str">
        <f>IF($AK208="","",SUMIFS(OPERATING_COEFFS!$C:$C,OPERATING_COEFFS!$A:$A,"UrgencyClass",OPERATING_COEFFS!$B:$B,$AK208))</f>
        <v/>
      </c>
      <c r="AN208" t="str">
        <f>IF($AM208="","",INDEX(TAX_MODES!$B:$B,MATCH($AM208,TAX_MODES!$A:$A,0)))</f>
        <v/>
      </c>
    </row>
    <row r="209" spans="24:40" x14ac:dyDescent="0.3">
      <c r="X209" s="13"/>
      <c r="Y209" s="13" t="str">
        <f>IF($X209="","",SUMIFS(TARIFF_PROFILES!$D:$D,TARIFF_PROFILES!$A:$A,$X209))</f>
        <v/>
      </c>
      <c r="Z209" s="13" t="str">
        <f>IF($X209="","",SUMIFS(TARIFF_PROFILES!$E:$E,TARIFF_PROFILES!$A:$A,$X209))</f>
        <v/>
      </c>
      <c r="AA209" s="13" t="str">
        <f>IF($X209="","",SUMIFS(TARIFF_PROFILES!$F:$F,TARIFF_PROFILES!$A:$A,$X209))</f>
        <v/>
      </c>
      <c r="AB209" s="13" t="str">
        <f>IF($X209="","",SUMIFS(TARIFF_PROFILES!$G:$G,TARIFF_PROFILES!$A:$A,$X209))</f>
        <v/>
      </c>
      <c r="AC209" s="13" t="str">
        <f>IF($X209="","",SUMIFS(TARIFF_PROFILES!$H:$H,TARIFF_PROFILES!$A:$A,$X209))</f>
        <v/>
      </c>
      <c r="AD209" s="13" t="str">
        <f>IF($X209="","",INDEX(TARIFF_PROFILES!$J:$J,MATCH($X209,TARIFF_PROFILES!$A:$A,0)))</f>
        <v/>
      </c>
      <c r="AE209" s="13" t="str">
        <f>IF($X209="","",INDEX(TARIFF_PROFILES!$K:$K,MATCH($X209,TARIFF_PROFILES!$A:$A,0)))</f>
        <v/>
      </c>
      <c r="AH209" t="str">
        <f>IF($AG209="","",SUMIFS(OPERATING_COEFFS!$C:$C,OPERATING_COEFFS!$A:$A,"DistanceClass",OPERATING_COEFFS!$B:$B,$AG209))</f>
        <v/>
      </c>
      <c r="AJ209" t="str">
        <f>IF($AI209="","",SUMIFS(OPERATING_COEFFS!$C:$C,OPERATING_COEFFS!$A:$A,"SeasonClass",OPERATING_COEFFS!$B:$B,$AI209))</f>
        <v/>
      </c>
      <c r="AL209" t="str">
        <f>IF($AK209="","",SUMIFS(OPERATING_COEFFS!$C:$C,OPERATING_COEFFS!$A:$A,"UrgencyClass",OPERATING_COEFFS!$B:$B,$AK209))</f>
        <v/>
      </c>
      <c r="AN209" t="str">
        <f>IF($AM209="","",INDEX(TAX_MODES!$B:$B,MATCH($AM209,TAX_MODES!$A:$A,0)))</f>
        <v/>
      </c>
    </row>
    <row r="210" spans="24:40" x14ac:dyDescent="0.3">
      <c r="X210" s="13"/>
      <c r="Y210" s="13" t="str">
        <f>IF($X210="","",SUMIFS(TARIFF_PROFILES!$D:$D,TARIFF_PROFILES!$A:$A,$X210))</f>
        <v/>
      </c>
      <c r="Z210" s="13" t="str">
        <f>IF($X210="","",SUMIFS(TARIFF_PROFILES!$E:$E,TARIFF_PROFILES!$A:$A,$X210))</f>
        <v/>
      </c>
      <c r="AA210" s="13" t="str">
        <f>IF($X210="","",SUMIFS(TARIFF_PROFILES!$F:$F,TARIFF_PROFILES!$A:$A,$X210))</f>
        <v/>
      </c>
      <c r="AB210" s="13" t="str">
        <f>IF($X210="","",SUMIFS(TARIFF_PROFILES!$G:$G,TARIFF_PROFILES!$A:$A,$X210))</f>
        <v/>
      </c>
      <c r="AC210" s="13" t="str">
        <f>IF($X210="","",SUMIFS(TARIFF_PROFILES!$H:$H,TARIFF_PROFILES!$A:$A,$X210))</f>
        <v/>
      </c>
      <c r="AD210" s="13" t="str">
        <f>IF($X210="","",INDEX(TARIFF_PROFILES!$J:$J,MATCH($X210,TARIFF_PROFILES!$A:$A,0)))</f>
        <v/>
      </c>
      <c r="AE210" s="13" t="str">
        <f>IF($X210="","",INDEX(TARIFF_PROFILES!$K:$K,MATCH($X210,TARIFF_PROFILES!$A:$A,0)))</f>
        <v/>
      </c>
      <c r="AH210" t="str">
        <f>IF($AG210="","",SUMIFS(OPERATING_COEFFS!$C:$C,OPERATING_COEFFS!$A:$A,"DistanceClass",OPERATING_COEFFS!$B:$B,$AG210))</f>
        <v/>
      </c>
      <c r="AJ210" t="str">
        <f>IF($AI210="","",SUMIFS(OPERATING_COEFFS!$C:$C,OPERATING_COEFFS!$A:$A,"SeasonClass",OPERATING_COEFFS!$B:$B,$AI210))</f>
        <v/>
      </c>
      <c r="AL210" t="str">
        <f>IF($AK210="","",SUMIFS(OPERATING_COEFFS!$C:$C,OPERATING_COEFFS!$A:$A,"UrgencyClass",OPERATING_COEFFS!$B:$B,$AK210))</f>
        <v/>
      </c>
      <c r="AN210" t="str">
        <f>IF($AM210="","",INDEX(TAX_MODES!$B:$B,MATCH($AM210,TAX_MODES!$A:$A,0)))</f>
        <v/>
      </c>
    </row>
    <row r="211" spans="24:40" x14ac:dyDescent="0.3">
      <c r="X211" s="13"/>
      <c r="Y211" s="13" t="str">
        <f>IF($X211="","",SUMIFS(TARIFF_PROFILES!$D:$D,TARIFF_PROFILES!$A:$A,$X211))</f>
        <v/>
      </c>
      <c r="Z211" s="13" t="str">
        <f>IF($X211="","",SUMIFS(TARIFF_PROFILES!$E:$E,TARIFF_PROFILES!$A:$A,$X211))</f>
        <v/>
      </c>
      <c r="AA211" s="13" t="str">
        <f>IF($X211="","",SUMIFS(TARIFF_PROFILES!$F:$F,TARIFF_PROFILES!$A:$A,$X211))</f>
        <v/>
      </c>
      <c r="AB211" s="13" t="str">
        <f>IF($X211="","",SUMIFS(TARIFF_PROFILES!$G:$G,TARIFF_PROFILES!$A:$A,$X211))</f>
        <v/>
      </c>
      <c r="AC211" s="13" t="str">
        <f>IF($X211="","",SUMIFS(TARIFF_PROFILES!$H:$H,TARIFF_PROFILES!$A:$A,$X211))</f>
        <v/>
      </c>
      <c r="AD211" s="13" t="str">
        <f>IF($X211="","",INDEX(TARIFF_PROFILES!$J:$J,MATCH($X211,TARIFF_PROFILES!$A:$A,0)))</f>
        <v/>
      </c>
      <c r="AE211" s="13" t="str">
        <f>IF($X211="","",INDEX(TARIFF_PROFILES!$K:$K,MATCH($X211,TARIFF_PROFILES!$A:$A,0)))</f>
        <v/>
      </c>
      <c r="AH211" t="str">
        <f>IF($AG211="","",SUMIFS(OPERATING_COEFFS!$C:$C,OPERATING_COEFFS!$A:$A,"DistanceClass",OPERATING_COEFFS!$B:$B,$AG211))</f>
        <v/>
      </c>
      <c r="AJ211" t="str">
        <f>IF($AI211="","",SUMIFS(OPERATING_COEFFS!$C:$C,OPERATING_COEFFS!$A:$A,"SeasonClass",OPERATING_COEFFS!$B:$B,$AI211))</f>
        <v/>
      </c>
      <c r="AL211" t="str">
        <f>IF($AK211="","",SUMIFS(OPERATING_COEFFS!$C:$C,OPERATING_COEFFS!$A:$A,"UrgencyClass",OPERATING_COEFFS!$B:$B,$AK211))</f>
        <v/>
      </c>
      <c r="AN211" t="str">
        <f>IF($AM211="","",INDEX(TAX_MODES!$B:$B,MATCH($AM211,TAX_MODES!$A:$A,0)))</f>
        <v/>
      </c>
    </row>
    <row r="212" spans="24:40" x14ac:dyDescent="0.3">
      <c r="X212" s="13"/>
      <c r="Y212" s="13" t="str">
        <f>IF($X212="","",SUMIFS(TARIFF_PROFILES!$D:$D,TARIFF_PROFILES!$A:$A,$X212))</f>
        <v/>
      </c>
      <c r="Z212" s="13" t="str">
        <f>IF($X212="","",SUMIFS(TARIFF_PROFILES!$E:$E,TARIFF_PROFILES!$A:$A,$X212))</f>
        <v/>
      </c>
      <c r="AA212" s="13" t="str">
        <f>IF($X212="","",SUMIFS(TARIFF_PROFILES!$F:$F,TARIFF_PROFILES!$A:$A,$X212))</f>
        <v/>
      </c>
      <c r="AB212" s="13" t="str">
        <f>IF($X212="","",SUMIFS(TARIFF_PROFILES!$G:$G,TARIFF_PROFILES!$A:$A,$X212))</f>
        <v/>
      </c>
      <c r="AC212" s="13" t="str">
        <f>IF($X212="","",SUMIFS(TARIFF_PROFILES!$H:$H,TARIFF_PROFILES!$A:$A,$X212))</f>
        <v/>
      </c>
      <c r="AD212" s="13" t="str">
        <f>IF($X212="","",INDEX(TARIFF_PROFILES!$J:$J,MATCH($X212,TARIFF_PROFILES!$A:$A,0)))</f>
        <v/>
      </c>
      <c r="AE212" s="13" t="str">
        <f>IF($X212="","",INDEX(TARIFF_PROFILES!$K:$K,MATCH($X212,TARIFF_PROFILES!$A:$A,0)))</f>
        <v/>
      </c>
      <c r="AH212" t="str">
        <f>IF($AG212="","",SUMIFS(OPERATING_COEFFS!$C:$C,OPERATING_COEFFS!$A:$A,"DistanceClass",OPERATING_COEFFS!$B:$B,$AG212))</f>
        <v/>
      </c>
      <c r="AJ212" t="str">
        <f>IF($AI212="","",SUMIFS(OPERATING_COEFFS!$C:$C,OPERATING_COEFFS!$A:$A,"SeasonClass",OPERATING_COEFFS!$B:$B,$AI212))</f>
        <v/>
      </c>
      <c r="AL212" t="str">
        <f>IF($AK212="","",SUMIFS(OPERATING_COEFFS!$C:$C,OPERATING_COEFFS!$A:$A,"UrgencyClass",OPERATING_COEFFS!$B:$B,$AK212))</f>
        <v/>
      </c>
      <c r="AN212" t="str">
        <f>IF($AM212="","",INDEX(TAX_MODES!$B:$B,MATCH($AM212,TAX_MODES!$A:$A,0)))</f>
        <v/>
      </c>
    </row>
    <row r="213" spans="24:40" x14ac:dyDescent="0.3">
      <c r="X213" s="13"/>
      <c r="Y213" s="13" t="str">
        <f>IF($X213="","",SUMIFS(TARIFF_PROFILES!$D:$D,TARIFF_PROFILES!$A:$A,$X213))</f>
        <v/>
      </c>
      <c r="Z213" s="13" t="str">
        <f>IF($X213="","",SUMIFS(TARIFF_PROFILES!$E:$E,TARIFF_PROFILES!$A:$A,$X213))</f>
        <v/>
      </c>
      <c r="AA213" s="13" t="str">
        <f>IF($X213="","",SUMIFS(TARIFF_PROFILES!$F:$F,TARIFF_PROFILES!$A:$A,$X213))</f>
        <v/>
      </c>
      <c r="AB213" s="13" t="str">
        <f>IF($X213="","",SUMIFS(TARIFF_PROFILES!$G:$G,TARIFF_PROFILES!$A:$A,$X213))</f>
        <v/>
      </c>
      <c r="AC213" s="13" t="str">
        <f>IF($X213="","",SUMIFS(TARIFF_PROFILES!$H:$H,TARIFF_PROFILES!$A:$A,$X213))</f>
        <v/>
      </c>
      <c r="AD213" s="13" t="str">
        <f>IF($X213="","",INDEX(TARIFF_PROFILES!$J:$J,MATCH($X213,TARIFF_PROFILES!$A:$A,0)))</f>
        <v/>
      </c>
      <c r="AE213" s="13" t="str">
        <f>IF($X213="","",INDEX(TARIFF_PROFILES!$K:$K,MATCH($X213,TARIFF_PROFILES!$A:$A,0)))</f>
        <v/>
      </c>
      <c r="AH213" t="str">
        <f>IF($AG213="","",SUMIFS(OPERATING_COEFFS!$C:$C,OPERATING_COEFFS!$A:$A,"DistanceClass",OPERATING_COEFFS!$B:$B,$AG213))</f>
        <v/>
      </c>
      <c r="AJ213" t="str">
        <f>IF($AI213="","",SUMIFS(OPERATING_COEFFS!$C:$C,OPERATING_COEFFS!$A:$A,"SeasonClass",OPERATING_COEFFS!$B:$B,$AI213))</f>
        <v/>
      </c>
      <c r="AL213" t="str">
        <f>IF($AK213="","",SUMIFS(OPERATING_COEFFS!$C:$C,OPERATING_COEFFS!$A:$A,"UrgencyClass",OPERATING_COEFFS!$B:$B,$AK213))</f>
        <v/>
      </c>
      <c r="AN213" t="str">
        <f>IF($AM213="","",INDEX(TAX_MODES!$B:$B,MATCH($AM213,TAX_MODES!$A:$A,0)))</f>
        <v/>
      </c>
    </row>
    <row r="214" spans="24:40" x14ac:dyDescent="0.3">
      <c r="X214" s="13"/>
      <c r="Y214" s="13" t="str">
        <f>IF($X214="","",SUMIFS(TARIFF_PROFILES!$D:$D,TARIFF_PROFILES!$A:$A,$X214))</f>
        <v/>
      </c>
      <c r="Z214" s="13" t="str">
        <f>IF($X214="","",SUMIFS(TARIFF_PROFILES!$E:$E,TARIFF_PROFILES!$A:$A,$X214))</f>
        <v/>
      </c>
      <c r="AA214" s="13" t="str">
        <f>IF($X214="","",SUMIFS(TARIFF_PROFILES!$F:$F,TARIFF_PROFILES!$A:$A,$X214))</f>
        <v/>
      </c>
      <c r="AB214" s="13" t="str">
        <f>IF($X214="","",SUMIFS(TARIFF_PROFILES!$G:$G,TARIFF_PROFILES!$A:$A,$X214))</f>
        <v/>
      </c>
      <c r="AC214" s="13" t="str">
        <f>IF($X214="","",SUMIFS(TARIFF_PROFILES!$H:$H,TARIFF_PROFILES!$A:$A,$X214))</f>
        <v/>
      </c>
      <c r="AD214" s="13" t="str">
        <f>IF($X214="","",INDEX(TARIFF_PROFILES!$J:$J,MATCH($X214,TARIFF_PROFILES!$A:$A,0)))</f>
        <v/>
      </c>
      <c r="AE214" s="13" t="str">
        <f>IF($X214="","",INDEX(TARIFF_PROFILES!$K:$K,MATCH($X214,TARIFF_PROFILES!$A:$A,0)))</f>
        <v/>
      </c>
      <c r="AH214" t="str">
        <f>IF($AG214="","",SUMIFS(OPERATING_COEFFS!$C:$C,OPERATING_COEFFS!$A:$A,"DistanceClass",OPERATING_COEFFS!$B:$B,$AG214))</f>
        <v/>
      </c>
      <c r="AJ214" t="str">
        <f>IF($AI214="","",SUMIFS(OPERATING_COEFFS!$C:$C,OPERATING_COEFFS!$A:$A,"SeasonClass",OPERATING_COEFFS!$B:$B,$AI214))</f>
        <v/>
      </c>
      <c r="AL214" t="str">
        <f>IF($AK214="","",SUMIFS(OPERATING_COEFFS!$C:$C,OPERATING_COEFFS!$A:$A,"UrgencyClass",OPERATING_COEFFS!$B:$B,$AK214))</f>
        <v/>
      </c>
      <c r="AN214" t="str">
        <f>IF($AM214="","",INDEX(TAX_MODES!$B:$B,MATCH($AM214,TAX_MODES!$A:$A,0)))</f>
        <v/>
      </c>
    </row>
    <row r="215" spans="24:40" x14ac:dyDescent="0.3">
      <c r="X215" s="13"/>
      <c r="Y215" s="13" t="str">
        <f>IF($X215="","",SUMIFS(TARIFF_PROFILES!$D:$D,TARIFF_PROFILES!$A:$A,$X215))</f>
        <v/>
      </c>
      <c r="Z215" s="13" t="str">
        <f>IF($X215="","",SUMIFS(TARIFF_PROFILES!$E:$E,TARIFF_PROFILES!$A:$A,$X215))</f>
        <v/>
      </c>
      <c r="AA215" s="13" t="str">
        <f>IF($X215="","",SUMIFS(TARIFF_PROFILES!$F:$F,TARIFF_PROFILES!$A:$A,$X215))</f>
        <v/>
      </c>
      <c r="AB215" s="13" t="str">
        <f>IF($X215="","",SUMIFS(TARIFF_PROFILES!$G:$G,TARIFF_PROFILES!$A:$A,$X215))</f>
        <v/>
      </c>
      <c r="AC215" s="13" t="str">
        <f>IF($X215="","",SUMIFS(TARIFF_PROFILES!$H:$H,TARIFF_PROFILES!$A:$A,$X215))</f>
        <v/>
      </c>
      <c r="AD215" s="13" t="str">
        <f>IF($X215="","",INDEX(TARIFF_PROFILES!$J:$J,MATCH($X215,TARIFF_PROFILES!$A:$A,0)))</f>
        <v/>
      </c>
      <c r="AE215" s="13" t="str">
        <f>IF($X215="","",INDEX(TARIFF_PROFILES!$K:$K,MATCH($X215,TARIFF_PROFILES!$A:$A,0)))</f>
        <v/>
      </c>
      <c r="AH215" t="str">
        <f>IF($AG215="","",SUMIFS(OPERATING_COEFFS!$C:$C,OPERATING_COEFFS!$A:$A,"DistanceClass",OPERATING_COEFFS!$B:$B,$AG215))</f>
        <v/>
      </c>
      <c r="AJ215" t="str">
        <f>IF($AI215="","",SUMIFS(OPERATING_COEFFS!$C:$C,OPERATING_COEFFS!$A:$A,"SeasonClass",OPERATING_COEFFS!$B:$B,$AI215))</f>
        <v/>
      </c>
      <c r="AL215" t="str">
        <f>IF($AK215="","",SUMIFS(OPERATING_COEFFS!$C:$C,OPERATING_COEFFS!$A:$A,"UrgencyClass",OPERATING_COEFFS!$B:$B,$AK215))</f>
        <v/>
      </c>
      <c r="AN215" t="str">
        <f>IF($AM215="","",INDEX(TAX_MODES!$B:$B,MATCH($AM215,TAX_MODES!$A:$A,0)))</f>
        <v/>
      </c>
    </row>
    <row r="216" spans="24:40" x14ac:dyDescent="0.3">
      <c r="X216" s="13"/>
      <c r="Y216" s="13" t="str">
        <f>IF($X216="","",SUMIFS(TARIFF_PROFILES!$D:$D,TARIFF_PROFILES!$A:$A,$X216))</f>
        <v/>
      </c>
      <c r="Z216" s="13" t="str">
        <f>IF($X216="","",SUMIFS(TARIFF_PROFILES!$E:$E,TARIFF_PROFILES!$A:$A,$X216))</f>
        <v/>
      </c>
      <c r="AA216" s="13" t="str">
        <f>IF($X216="","",SUMIFS(TARIFF_PROFILES!$F:$F,TARIFF_PROFILES!$A:$A,$X216))</f>
        <v/>
      </c>
      <c r="AB216" s="13" t="str">
        <f>IF($X216="","",SUMIFS(TARIFF_PROFILES!$G:$G,TARIFF_PROFILES!$A:$A,$X216))</f>
        <v/>
      </c>
      <c r="AC216" s="13" t="str">
        <f>IF($X216="","",SUMIFS(TARIFF_PROFILES!$H:$H,TARIFF_PROFILES!$A:$A,$X216))</f>
        <v/>
      </c>
      <c r="AD216" s="13" t="str">
        <f>IF($X216="","",INDEX(TARIFF_PROFILES!$J:$J,MATCH($X216,TARIFF_PROFILES!$A:$A,0)))</f>
        <v/>
      </c>
      <c r="AE216" s="13" t="str">
        <f>IF($X216="","",INDEX(TARIFF_PROFILES!$K:$K,MATCH($X216,TARIFF_PROFILES!$A:$A,0)))</f>
        <v/>
      </c>
      <c r="AH216" t="str">
        <f>IF($AG216="","",SUMIFS(OPERATING_COEFFS!$C:$C,OPERATING_COEFFS!$A:$A,"DistanceClass",OPERATING_COEFFS!$B:$B,$AG216))</f>
        <v/>
      </c>
      <c r="AJ216" t="str">
        <f>IF($AI216="","",SUMIFS(OPERATING_COEFFS!$C:$C,OPERATING_COEFFS!$A:$A,"SeasonClass",OPERATING_COEFFS!$B:$B,$AI216))</f>
        <v/>
      </c>
      <c r="AL216" t="str">
        <f>IF($AK216="","",SUMIFS(OPERATING_COEFFS!$C:$C,OPERATING_COEFFS!$A:$A,"UrgencyClass",OPERATING_COEFFS!$B:$B,$AK216))</f>
        <v/>
      </c>
      <c r="AN216" t="str">
        <f>IF($AM216="","",INDEX(TAX_MODES!$B:$B,MATCH($AM216,TAX_MODES!$A:$A,0)))</f>
        <v/>
      </c>
    </row>
    <row r="217" spans="24:40" x14ac:dyDescent="0.3">
      <c r="X217" s="13"/>
      <c r="Y217" s="13" t="str">
        <f>IF($X217="","",SUMIFS(TARIFF_PROFILES!$D:$D,TARIFF_PROFILES!$A:$A,$X217))</f>
        <v/>
      </c>
      <c r="Z217" s="13" t="str">
        <f>IF($X217="","",SUMIFS(TARIFF_PROFILES!$E:$E,TARIFF_PROFILES!$A:$A,$X217))</f>
        <v/>
      </c>
      <c r="AA217" s="13" t="str">
        <f>IF($X217="","",SUMIFS(TARIFF_PROFILES!$F:$F,TARIFF_PROFILES!$A:$A,$X217))</f>
        <v/>
      </c>
      <c r="AB217" s="13" t="str">
        <f>IF($X217="","",SUMIFS(TARIFF_PROFILES!$G:$G,TARIFF_PROFILES!$A:$A,$X217))</f>
        <v/>
      </c>
      <c r="AC217" s="13" t="str">
        <f>IF($X217="","",SUMIFS(TARIFF_PROFILES!$H:$H,TARIFF_PROFILES!$A:$A,$X217))</f>
        <v/>
      </c>
      <c r="AD217" s="13" t="str">
        <f>IF($X217="","",INDEX(TARIFF_PROFILES!$J:$J,MATCH($X217,TARIFF_PROFILES!$A:$A,0)))</f>
        <v/>
      </c>
      <c r="AE217" s="13" t="str">
        <f>IF($X217="","",INDEX(TARIFF_PROFILES!$K:$K,MATCH($X217,TARIFF_PROFILES!$A:$A,0)))</f>
        <v/>
      </c>
      <c r="AH217" t="str">
        <f>IF($AG217="","",SUMIFS(OPERATING_COEFFS!$C:$C,OPERATING_COEFFS!$A:$A,"DistanceClass",OPERATING_COEFFS!$B:$B,$AG217))</f>
        <v/>
      </c>
      <c r="AJ217" t="str">
        <f>IF($AI217="","",SUMIFS(OPERATING_COEFFS!$C:$C,OPERATING_COEFFS!$A:$A,"SeasonClass",OPERATING_COEFFS!$B:$B,$AI217))</f>
        <v/>
      </c>
      <c r="AL217" t="str">
        <f>IF($AK217="","",SUMIFS(OPERATING_COEFFS!$C:$C,OPERATING_COEFFS!$A:$A,"UrgencyClass",OPERATING_COEFFS!$B:$B,$AK217))</f>
        <v/>
      </c>
      <c r="AN217" t="str">
        <f>IF($AM217="","",INDEX(TAX_MODES!$B:$B,MATCH($AM217,TAX_MODES!$A:$A,0)))</f>
        <v/>
      </c>
    </row>
    <row r="218" spans="24:40" x14ac:dyDescent="0.3">
      <c r="X218" s="13"/>
      <c r="Y218" s="13" t="str">
        <f>IF($X218="","",SUMIFS(TARIFF_PROFILES!$D:$D,TARIFF_PROFILES!$A:$A,$X218))</f>
        <v/>
      </c>
      <c r="Z218" s="13" t="str">
        <f>IF($X218="","",SUMIFS(TARIFF_PROFILES!$E:$E,TARIFF_PROFILES!$A:$A,$X218))</f>
        <v/>
      </c>
      <c r="AA218" s="13" t="str">
        <f>IF($X218="","",SUMIFS(TARIFF_PROFILES!$F:$F,TARIFF_PROFILES!$A:$A,$X218))</f>
        <v/>
      </c>
      <c r="AB218" s="13" t="str">
        <f>IF($X218="","",SUMIFS(TARIFF_PROFILES!$G:$G,TARIFF_PROFILES!$A:$A,$X218))</f>
        <v/>
      </c>
      <c r="AC218" s="13" t="str">
        <f>IF($X218="","",SUMIFS(TARIFF_PROFILES!$H:$H,TARIFF_PROFILES!$A:$A,$X218))</f>
        <v/>
      </c>
      <c r="AD218" s="13" t="str">
        <f>IF($X218="","",INDEX(TARIFF_PROFILES!$J:$J,MATCH($X218,TARIFF_PROFILES!$A:$A,0)))</f>
        <v/>
      </c>
      <c r="AE218" s="13" t="str">
        <f>IF($X218="","",INDEX(TARIFF_PROFILES!$K:$K,MATCH($X218,TARIFF_PROFILES!$A:$A,0)))</f>
        <v/>
      </c>
      <c r="AH218" t="str">
        <f>IF($AG218="","",SUMIFS(OPERATING_COEFFS!$C:$C,OPERATING_COEFFS!$A:$A,"DistanceClass",OPERATING_COEFFS!$B:$B,$AG218))</f>
        <v/>
      </c>
      <c r="AJ218" t="str">
        <f>IF($AI218="","",SUMIFS(OPERATING_COEFFS!$C:$C,OPERATING_COEFFS!$A:$A,"SeasonClass",OPERATING_COEFFS!$B:$B,$AI218))</f>
        <v/>
      </c>
      <c r="AL218" t="str">
        <f>IF($AK218="","",SUMIFS(OPERATING_COEFFS!$C:$C,OPERATING_COEFFS!$A:$A,"UrgencyClass",OPERATING_COEFFS!$B:$B,$AK218))</f>
        <v/>
      </c>
      <c r="AN218" t="str">
        <f>IF($AM218="","",INDEX(TAX_MODES!$B:$B,MATCH($AM218,TAX_MODES!$A:$A,0)))</f>
        <v/>
      </c>
    </row>
    <row r="219" spans="24:40" x14ac:dyDescent="0.3">
      <c r="X219" s="13"/>
      <c r="Y219" s="13" t="str">
        <f>IF($X219="","",SUMIFS(TARIFF_PROFILES!$D:$D,TARIFF_PROFILES!$A:$A,$X219))</f>
        <v/>
      </c>
      <c r="Z219" s="13" t="str">
        <f>IF($X219="","",SUMIFS(TARIFF_PROFILES!$E:$E,TARIFF_PROFILES!$A:$A,$X219))</f>
        <v/>
      </c>
      <c r="AA219" s="13" t="str">
        <f>IF($X219="","",SUMIFS(TARIFF_PROFILES!$F:$F,TARIFF_PROFILES!$A:$A,$X219))</f>
        <v/>
      </c>
      <c r="AB219" s="13" t="str">
        <f>IF($X219="","",SUMIFS(TARIFF_PROFILES!$G:$G,TARIFF_PROFILES!$A:$A,$X219))</f>
        <v/>
      </c>
      <c r="AC219" s="13" t="str">
        <f>IF($X219="","",SUMIFS(TARIFF_PROFILES!$H:$H,TARIFF_PROFILES!$A:$A,$X219))</f>
        <v/>
      </c>
      <c r="AD219" s="13" t="str">
        <f>IF($X219="","",INDEX(TARIFF_PROFILES!$J:$J,MATCH($X219,TARIFF_PROFILES!$A:$A,0)))</f>
        <v/>
      </c>
      <c r="AE219" s="13" t="str">
        <f>IF($X219="","",INDEX(TARIFF_PROFILES!$K:$K,MATCH($X219,TARIFF_PROFILES!$A:$A,0)))</f>
        <v/>
      </c>
      <c r="AH219" t="str">
        <f>IF($AG219="","",SUMIFS(OPERATING_COEFFS!$C:$C,OPERATING_COEFFS!$A:$A,"DistanceClass",OPERATING_COEFFS!$B:$B,$AG219))</f>
        <v/>
      </c>
      <c r="AJ219" t="str">
        <f>IF($AI219="","",SUMIFS(OPERATING_COEFFS!$C:$C,OPERATING_COEFFS!$A:$A,"SeasonClass",OPERATING_COEFFS!$B:$B,$AI219))</f>
        <v/>
      </c>
      <c r="AL219" t="str">
        <f>IF($AK219="","",SUMIFS(OPERATING_COEFFS!$C:$C,OPERATING_COEFFS!$A:$A,"UrgencyClass",OPERATING_COEFFS!$B:$B,$AK219))</f>
        <v/>
      </c>
      <c r="AN219" t="str">
        <f>IF($AM219="","",INDEX(TAX_MODES!$B:$B,MATCH($AM219,TAX_MODES!$A:$A,0)))</f>
        <v/>
      </c>
    </row>
    <row r="220" spans="24:40" x14ac:dyDescent="0.3">
      <c r="X220" s="13"/>
      <c r="Y220" s="13" t="str">
        <f>IF($X220="","",SUMIFS(TARIFF_PROFILES!$D:$D,TARIFF_PROFILES!$A:$A,$X220))</f>
        <v/>
      </c>
      <c r="Z220" s="13" t="str">
        <f>IF($X220="","",SUMIFS(TARIFF_PROFILES!$E:$E,TARIFF_PROFILES!$A:$A,$X220))</f>
        <v/>
      </c>
      <c r="AA220" s="13" t="str">
        <f>IF($X220="","",SUMIFS(TARIFF_PROFILES!$F:$F,TARIFF_PROFILES!$A:$A,$X220))</f>
        <v/>
      </c>
      <c r="AB220" s="13" t="str">
        <f>IF($X220="","",SUMIFS(TARIFF_PROFILES!$G:$G,TARIFF_PROFILES!$A:$A,$X220))</f>
        <v/>
      </c>
      <c r="AC220" s="13" t="str">
        <f>IF($X220="","",SUMIFS(TARIFF_PROFILES!$H:$H,TARIFF_PROFILES!$A:$A,$X220))</f>
        <v/>
      </c>
      <c r="AD220" s="13" t="str">
        <f>IF($X220="","",INDEX(TARIFF_PROFILES!$J:$J,MATCH($X220,TARIFF_PROFILES!$A:$A,0)))</f>
        <v/>
      </c>
      <c r="AE220" s="13" t="str">
        <f>IF($X220="","",INDEX(TARIFF_PROFILES!$K:$K,MATCH($X220,TARIFF_PROFILES!$A:$A,0)))</f>
        <v/>
      </c>
      <c r="AH220" t="str">
        <f>IF($AG220="","",SUMIFS(OPERATING_COEFFS!$C:$C,OPERATING_COEFFS!$A:$A,"DistanceClass",OPERATING_COEFFS!$B:$B,$AG220))</f>
        <v/>
      </c>
      <c r="AJ220" t="str">
        <f>IF($AI220="","",SUMIFS(OPERATING_COEFFS!$C:$C,OPERATING_COEFFS!$A:$A,"SeasonClass",OPERATING_COEFFS!$B:$B,$AI220))</f>
        <v/>
      </c>
      <c r="AL220" t="str">
        <f>IF($AK220="","",SUMIFS(OPERATING_COEFFS!$C:$C,OPERATING_COEFFS!$A:$A,"UrgencyClass",OPERATING_COEFFS!$B:$B,$AK220))</f>
        <v/>
      </c>
      <c r="AN220" t="str">
        <f>IF($AM220="","",INDEX(TAX_MODES!$B:$B,MATCH($AM220,TAX_MODES!$A:$A,0)))</f>
        <v/>
      </c>
    </row>
    <row r="221" spans="24:40" x14ac:dyDescent="0.3">
      <c r="X221" s="13"/>
      <c r="Y221" s="13" t="str">
        <f>IF($X221="","",SUMIFS(TARIFF_PROFILES!$D:$D,TARIFF_PROFILES!$A:$A,$X221))</f>
        <v/>
      </c>
      <c r="Z221" s="13" t="str">
        <f>IF($X221="","",SUMIFS(TARIFF_PROFILES!$E:$E,TARIFF_PROFILES!$A:$A,$X221))</f>
        <v/>
      </c>
      <c r="AA221" s="13" t="str">
        <f>IF($X221="","",SUMIFS(TARIFF_PROFILES!$F:$F,TARIFF_PROFILES!$A:$A,$X221))</f>
        <v/>
      </c>
      <c r="AB221" s="13" t="str">
        <f>IF($X221="","",SUMIFS(TARIFF_PROFILES!$G:$G,TARIFF_PROFILES!$A:$A,$X221))</f>
        <v/>
      </c>
      <c r="AC221" s="13" t="str">
        <f>IF($X221="","",SUMIFS(TARIFF_PROFILES!$H:$H,TARIFF_PROFILES!$A:$A,$X221))</f>
        <v/>
      </c>
      <c r="AD221" s="13" t="str">
        <f>IF($X221="","",INDEX(TARIFF_PROFILES!$J:$J,MATCH($X221,TARIFF_PROFILES!$A:$A,0)))</f>
        <v/>
      </c>
      <c r="AE221" s="13" t="str">
        <f>IF($X221="","",INDEX(TARIFF_PROFILES!$K:$K,MATCH($X221,TARIFF_PROFILES!$A:$A,0)))</f>
        <v/>
      </c>
      <c r="AH221" t="str">
        <f>IF($AG221="","",SUMIFS(OPERATING_COEFFS!$C:$C,OPERATING_COEFFS!$A:$A,"DistanceClass",OPERATING_COEFFS!$B:$B,$AG221))</f>
        <v/>
      </c>
      <c r="AJ221" t="str">
        <f>IF($AI221="","",SUMIFS(OPERATING_COEFFS!$C:$C,OPERATING_COEFFS!$A:$A,"SeasonClass",OPERATING_COEFFS!$B:$B,$AI221))</f>
        <v/>
      </c>
      <c r="AL221" t="str">
        <f>IF($AK221="","",SUMIFS(OPERATING_COEFFS!$C:$C,OPERATING_COEFFS!$A:$A,"UrgencyClass",OPERATING_COEFFS!$B:$B,$AK221))</f>
        <v/>
      </c>
      <c r="AN221" t="str">
        <f>IF($AM221="","",INDEX(TAX_MODES!$B:$B,MATCH($AM221,TAX_MODES!$A:$A,0)))</f>
        <v/>
      </c>
    </row>
    <row r="222" spans="24:40" x14ac:dyDescent="0.3">
      <c r="X222" s="13"/>
      <c r="Y222" s="13" t="str">
        <f>IF($X222="","",SUMIFS(TARIFF_PROFILES!$D:$D,TARIFF_PROFILES!$A:$A,$X222))</f>
        <v/>
      </c>
      <c r="Z222" s="13" t="str">
        <f>IF($X222="","",SUMIFS(TARIFF_PROFILES!$E:$E,TARIFF_PROFILES!$A:$A,$X222))</f>
        <v/>
      </c>
      <c r="AA222" s="13" t="str">
        <f>IF($X222="","",SUMIFS(TARIFF_PROFILES!$F:$F,TARIFF_PROFILES!$A:$A,$X222))</f>
        <v/>
      </c>
      <c r="AB222" s="13" t="str">
        <f>IF($X222="","",SUMIFS(TARIFF_PROFILES!$G:$G,TARIFF_PROFILES!$A:$A,$X222))</f>
        <v/>
      </c>
      <c r="AC222" s="13" t="str">
        <f>IF($X222="","",SUMIFS(TARIFF_PROFILES!$H:$H,TARIFF_PROFILES!$A:$A,$X222))</f>
        <v/>
      </c>
      <c r="AD222" s="13" t="str">
        <f>IF($X222="","",INDEX(TARIFF_PROFILES!$J:$J,MATCH($X222,TARIFF_PROFILES!$A:$A,0)))</f>
        <v/>
      </c>
      <c r="AE222" s="13" t="str">
        <f>IF($X222="","",INDEX(TARIFF_PROFILES!$K:$K,MATCH($X222,TARIFF_PROFILES!$A:$A,0)))</f>
        <v/>
      </c>
      <c r="AH222" t="str">
        <f>IF($AG222="","",SUMIFS(OPERATING_COEFFS!$C:$C,OPERATING_COEFFS!$A:$A,"DistanceClass",OPERATING_COEFFS!$B:$B,$AG222))</f>
        <v/>
      </c>
      <c r="AJ222" t="str">
        <f>IF($AI222="","",SUMIFS(OPERATING_COEFFS!$C:$C,OPERATING_COEFFS!$A:$A,"SeasonClass",OPERATING_COEFFS!$B:$B,$AI222))</f>
        <v/>
      </c>
      <c r="AL222" t="str">
        <f>IF($AK222="","",SUMIFS(OPERATING_COEFFS!$C:$C,OPERATING_COEFFS!$A:$A,"UrgencyClass",OPERATING_COEFFS!$B:$B,$AK222))</f>
        <v/>
      </c>
      <c r="AN222" t="str">
        <f>IF($AM222="","",INDEX(TAX_MODES!$B:$B,MATCH($AM222,TAX_MODES!$A:$A,0)))</f>
        <v/>
      </c>
    </row>
    <row r="223" spans="24:40" x14ac:dyDescent="0.3">
      <c r="X223" s="13"/>
      <c r="Y223" s="13" t="str">
        <f>IF($X223="","",SUMIFS(TARIFF_PROFILES!$D:$D,TARIFF_PROFILES!$A:$A,$X223))</f>
        <v/>
      </c>
      <c r="Z223" s="13" t="str">
        <f>IF($X223="","",SUMIFS(TARIFF_PROFILES!$E:$E,TARIFF_PROFILES!$A:$A,$X223))</f>
        <v/>
      </c>
      <c r="AA223" s="13" t="str">
        <f>IF($X223="","",SUMIFS(TARIFF_PROFILES!$F:$F,TARIFF_PROFILES!$A:$A,$X223))</f>
        <v/>
      </c>
      <c r="AB223" s="13" t="str">
        <f>IF($X223="","",SUMIFS(TARIFF_PROFILES!$G:$G,TARIFF_PROFILES!$A:$A,$X223))</f>
        <v/>
      </c>
      <c r="AC223" s="13" t="str">
        <f>IF($X223="","",SUMIFS(TARIFF_PROFILES!$H:$H,TARIFF_PROFILES!$A:$A,$X223))</f>
        <v/>
      </c>
      <c r="AD223" s="13" t="str">
        <f>IF($X223="","",INDEX(TARIFF_PROFILES!$J:$J,MATCH($X223,TARIFF_PROFILES!$A:$A,0)))</f>
        <v/>
      </c>
      <c r="AE223" s="13" t="str">
        <f>IF($X223="","",INDEX(TARIFF_PROFILES!$K:$K,MATCH($X223,TARIFF_PROFILES!$A:$A,0)))</f>
        <v/>
      </c>
      <c r="AH223" t="str">
        <f>IF($AG223="","",SUMIFS(OPERATING_COEFFS!$C:$C,OPERATING_COEFFS!$A:$A,"DistanceClass",OPERATING_COEFFS!$B:$B,$AG223))</f>
        <v/>
      </c>
      <c r="AJ223" t="str">
        <f>IF($AI223="","",SUMIFS(OPERATING_COEFFS!$C:$C,OPERATING_COEFFS!$A:$A,"SeasonClass",OPERATING_COEFFS!$B:$B,$AI223))</f>
        <v/>
      </c>
      <c r="AL223" t="str">
        <f>IF($AK223="","",SUMIFS(OPERATING_COEFFS!$C:$C,OPERATING_COEFFS!$A:$A,"UrgencyClass",OPERATING_COEFFS!$B:$B,$AK223))</f>
        <v/>
      </c>
      <c r="AN223" t="str">
        <f>IF($AM223="","",INDEX(TAX_MODES!$B:$B,MATCH($AM223,TAX_MODES!$A:$A,0)))</f>
        <v/>
      </c>
    </row>
    <row r="224" spans="24:40" x14ac:dyDescent="0.3">
      <c r="X224" s="13"/>
      <c r="Y224" s="13" t="str">
        <f>IF($X224="","",SUMIFS(TARIFF_PROFILES!$D:$D,TARIFF_PROFILES!$A:$A,$X224))</f>
        <v/>
      </c>
      <c r="Z224" s="13" t="str">
        <f>IF($X224="","",SUMIFS(TARIFF_PROFILES!$E:$E,TARIFF_PROFILES!$A:$A,$X224))</f>
        <v/>
      </c>
      <c r="AA224" s="13" t="str">
        <f>IF($X224="","",SUMIFS(TARIFF_PROFILES!$F:$F,TARIFF_PROFILES!$A:$A,$X224))</f>
        <v/>
      </c>
      <c r="AB224" s="13" t="str">
        <f>IF($X224="","",SUMIFS(TARIFF_PROFILES!$G:$G,TARIFF_PROFILES!$A:$A,$X224))</f>
        <v/>
      </c>
      <c r="AC224" s="13" t="str">
        <f>IF($X224="","",SUMIFS(TARIFF_PROFILES!$H:$H,TARIFF_PROFILES!$A:$A,$X224))</f>
        <v/>
      </c>
      <c r="AD224" s="13" t="str">
        <f>IF($X224="","",INDEX(TARIFF_PROFILES!$J:$J,MATCH($X224,TARIFF_PROFILES!$A:$A,0)))</f>
        <v/>
      </c>
      <c r="AE224" s="13" t="str">
        <f>IF($X224="","",INDEX(TARIFF_PROFILES!$K:$K,MATCH($X224,TARIFF_PROFILES!$A:$A,0)))</f>
        <v/>
      </c>
      <c r="AH224" t="str">
        <f>IF($AG224="","",SUMIFS(OPERATING_COEFFS!$C:$C,OPERATING_COEFFS!$A:$A,"DistanceClass",OPERATING_COEFFS!$B:$B,$AG224))</f>
        <v/>
      </c>
      <c r="AJ224" t="str">
        <f>IF($AI224="","",SUMIFS(OPERATING_COEFFS!$C:$C,OPERATING_COEFFS!$A:$A,"SeasonClass",OPERATING_COEFFS!$B:$B,$AI224))</f>
        <v/>
      </c>
      <c r="AL224" t="str">
        <f>IF($AK224="","",SUMIFS(OPERATING_COEFFS!$C:$C,OPERATING_COEFFS!$A:$A,"UrgencyClass",OPERATING_COEFFS!$B:$B,$AK224))</f>
        <v/>
      </c>
      <c r="AN224" t="str">
        <f>IF($AM224="","",INDEX(TAX_MODES!$B:$B,MATCH($AM224,TAX_MODES!$A:$A,0)))</f>
        <v/>
      </c>
    </row>
    <row r="225" spans="24:40" x14ac:dyDescent="0.3">
      <c r="X225" s="13"/>
      <c r="Y225" s="13" t="str">
        <f>IF($X225="","",SUMIFS(TARIFF_PROFILES!$D:$D,TARIFF_PROFILES!$A:$A,$X225))</f>
        <v/>
      </c>
      <c r="Z225" s="13" t="str">
        <f>IF($X225="","",SUMIFS(TARIFF_PROFILES!$E:$E,TARIFF_PROFILES!$A:$A,$X225))</f>
        <v/>
      </c>
      <c r="AA225" s="13" t="str">
        <f>IF($X225="","",SUMIFS(TARIFF_PROFILES!$F:$F,TARIFF_PROFILES!$A:$A,$X225))</f>
        <v/>
      </c>
      <c r="AB225" s="13" t="str">
        <f>IF($X225="","",SUMIFS(TARIFF_PROFILES!$G:$G,TARIFF_PROFILES!$A:$A,$X225))</f>
        <v/>
      </c>
      <c r="AC225" s="13" t="str">
        <f>IF($X225="","",SUMIFS(TARIFF_PROFILES!$H:$H,TARIFF_PROFILES!$A:$A,$X225))</f>
        <v/>
      </c>
      <c r="AD225" s="13" t="str">
        <f>IF($X225="","",INDEX(TARIFF_PROFILES!$J:$J,MATCH($X225,TARIFF_PROFILES!$A:$A,0)))</f>
        <v/>
      </c>
      <c r="AE225" s="13" t="str">
        <f>IF($X225="","",INDEX(TARIFF_PROFILES!$K:$K,MATCH($X225,TARIFF_PROFILES!$A:$A,0)))</f>
        <v/>
      </c>
      <c r="AH225" t="str">
        <f>IF($AG225="","",SUMIFS(OPERATING_COEFFS!$C:$C,OPERATING_COEFFS!$A:$A,"DistanceClass",OPERATING_COEFFS!$B:$B,$AG225))</f>
        <v/>
      </c>
      <c r="AJ225" t="str">
        <f>IF($AI225="","",SUMIFS(OPERATING_COEFFS!$C:$C,OPERATING_COEFFS!$A:$A,"SeasonClass",OPERATING_COEFFS!$B:$B,$AI225))</f>
        <v/>
      </c>
      <c r="AL225" t="str">
        <f>IF($AK225="","",SUMIFS(OPERATING_COEFFS!$C:$C,OPERATING_COEFFS!$A:$A,"UrgencyClass",OPERATING_COEFFS!$B:$B,$AK225))</f>
        <v/>
      </c>
      <c r="AN225" t="str">
        <f>IF($AM225="","",INDEX(TAX_MODES!$B:$B,MATCH($AM225,TAX_MODES!$A:$A,0)))</f>
        <v/>
      </c>
    </row>
    <row r="226" spans="24:40" x14ac:dyDescent="0.3">
      <c r="X226" s="13"/>
      <c r="Y226" s="13" t="str">
        <f>IF($X226="","",SUMIFS(TARIFF_PROFILES!$D:$D,TARIFF_PROFILES!$A:$A,$X226))</f>
        <v/>
      </c>
      <c r="Z226" s="13" t="str">
        <f>IF($X226="","",SUMIFS(TARIFF_PROFILES!$E:$E,TARIFF_PROFILES!$A:$A,$X226))</f>
        <v/>
      </c>
      <c r="AA226" s="13" t="str">
        <f>IF($X226="","",SUMIFS(TARIFF_PROFILES!$F:$F,TARIFF_PROFILES!$A:$A,$X226))</f>
        <v/>
      </c>
      <c r="AB226" s="13" t="str">
        <f>IF($X226="","",SUMIFS(TARIFF_PROFILES!$G:$G,TARIFF_PROFILES!$A:$A,$X226))</f>
        <v/>
      </c>
      <c r="AC226" s="13" t="str">
        <f>IF($X226="","",SUMIFS(TARIFF_PROFILES!$H:$H,TARIFF_PROFILES!$A:$A,$X226))</f>
        <v/>
      </c>
      <c r="AD226" s="13" t="str">
        <f>IF($X226="","",INDEX(TARIFF_PROFILES!$J:$J,MATCH($X226,TARIFF_PROFILES!$A:$A,0)))</f>
        <v/>
      </c>
      <c r="AE226" s="13" t="str">
        <f>IF($X226="","",INDEX(TARIFF_PROFILES!$K:$K,MATCH($X226,TARIFF_PROFILES!$A:$A,0)))</f>
        <v/>
      </c>
      <c r="AH226" t="str">
        <f>IF($AG226="","",SUMIFS(OPERATING_COEFFS!$C:$C,OPERATING_COEFFS!$A:$A,"DistanceClass",OPERATING_COEFFS!$B:$B,$AG226))</f>
        <v/>
      </c>
      <c r="AJ226" t="str">
        <f>IF($AI226="","",SUMIFS(OPERATING_COEFFS!$C:$C,OPERATING_COEFFS!$A:$A,"SeasonClass",OPERATING_COEFFS!$B:$B,$AI226))</f>
        <v/>
      </c>
      <c r="AL226" t="str">
        <f>IF($AK226="","",SUMIFS(OPERATING_COEFFS!$C:$C,OPERATING_COEFFS!$A:$A,"UrgencyClass",OPERATING_COEFFS!$B:$B,$AK226))</f>
        <v/>
      </c>
      <c r="AN226" t="str">
        <f>IF($AM226="","",INDEX(TAX_MODES!$B:$B,MATCH($AM226,TAX_MODES!$A:$A,0)))</f>
        <v/>
      </c>
    </row>
    <row r="227" spans="24:40" x14ac:dyDescent="0.3">
      <c r="X227" s="13"/>
      <c r="Y227" s="13" t="str">
        <f>IF($X227="","",SUMIFS(TARIFF_PROFILES!$D:$D,TARIFF_PROFILES!$A:$A,$X227))</f>
        <v/>
      </c>
      <c r="Z227" s="13" t="str">
        <f>IF($X227="","",SUMIFS(TARIFF_PROFILES!$E:$E,TARIFF_PROFILES!$A:$A,$X227))</f>
        <v/>
      </c>
      <c r="AA227" s="13" t="str">
        <f>IF($X227="","",SUMIFS(TARIFF_PROFILES!$F:$F,TARIFF_PROFILES!$A:$A,$X227))</f>
        <v/>
      </c>
      <c r="AB227" s="13" t="str">
        <f>IF($X227="","",SUMIFS(TARIFF_PROFILES!$G:$G,TARIFF_PROFILES!$A:$A,$X227))</f>
        <v/>
      </c>
      <c r="AC227" s="13" t="str">
        <f>IF($X227="","",SUMIFS(TARIFF_PROFILES!$H:$H,TARIFF_PROFILES!$A:$A,$X227))</f>
        <v/>
      </c>
      <c r="AD227" s="13" t="str">
        <f>IF($X227="","",INDEX(TARIFF_PROFILES!$J:$J,MATCH($X227,TARIFF_PROFILES!$A:$A,0)))</f>
        <v/>
      </c>
      <c r="AE227" s="13" t="str">
        <f>IF($X227="","",INDEX(TARIFF_PROFILES!$K:$K,MATCH($X227,TARIFF_PROFILES!$A:$A,0)))</f>
        <v/>
      </c>
      <c r="AH227" t="str">
        <f>IF($AG227="","",SUMIFS(OPERATING_COEFFS!$C:$C,OPERATING_COEFFS!$A:$A,"DistanceClass",OPERATING_COEFFS!$B:$B,$AG227))</f>
        <v/>
      </c>
      <c r="AJ227" t="str">
        <f>IF($AI227="","",SUMIFS(OPERATING_COEFFS!$C:$C,OPERATING_COEFFS!$A:$A,"SeasonClass",OPERATING_COEFFS!$B:$B,$AI227))</f>
        <v/>
      </c>
      <c r="AL227" t="str">
        <f>IF($AK227="","",SUMIFS(OPERATING_COEFFS!$C:$C,OPERATING_COEFFS!$A:$A,"UrgencyClass",OPERATING_COEFFS!$B:$B,$AK227))</f>
        <v/>
      </c>
      <c r="AN227" t="str">
        <f>IF($AM227="","",INDEX(TAX_MODES!$B:$B,MATCH($AM227,TAX_MODES!$A:$A,0)))</f>
        <v/>
      </c>
    </row>
    <row r="228" spans="24:40" x14ac:dyDescent="0.3">
      <c r="X228" s="13"/>
      <c r="Y228" s="13" t="str">
        <f>IF($X228="","",SUMIFS(TARIFF_PROFILES!$D:$D,TARIFF_PROFILES!$A:$A,$X228))</f>
        <v/>
      </c>
      <c r="Z228" s="13" t="str">
        <f>IF($X228="","",SUMIFS(TARIFF_PROFILES!$E:$E,TARIFF_PROFILES!$A:$A,$X228))</f>
        <v/>
      </c>
      <c r="AA228" s="13" t="str">
        <f>IF($X228="","",SUMIFS(TARIFF_PROFILES!$F:$F,TARIFF_PROFILES!$A:$A,$X228))</f>
        <v/>
      </c>
      <c r="AB228" s="13" t="str">
        <f>IF($X228="","",SUMIFS(TARIFF_PROFILES!$G:$G,TARIFF_PROFILES!$A:$A,$X228))</f>
        <v/>
      </c>
      <c r="AC228" s="13" t="str">
        <f>IF($X228="","",SUMIFS(TARIFF_PROFILES!$H:$H,TARIFF_PROFILES!$A:$A,$X228))</f>
        <v/>
      </c>
      <c r="AD228" s="13" t="str">
        <f>IF($X228="","",INDEX(TARIFF_PROFILES!$J:$J,MATCH($X228,TARIFF_PROFILES!$A:$A,0)))</f>
        <v/>
      </c>
      <c r="AE228" s="13" t="str">
        <f>IF($X228="","",INDEX(TARIFF_PROFILES!$K:$K,MATCH($X228,TARIFF_PROFILES!$A:$A,0)))</f>
        <v/>
      </c>
      <c r="AH228" t="str">
        <f>IF($AG228="","",SUMIFS(OPERATING_COEFFS!$C:$C,OPERATING_COEFFS!$A:$A,"DistanceClass",OPERATING_COEFFS!$B:$B,$AG228))</f>
        <v/>
      </c>
      <c r="AJ228" t="str">
        <f>IF($AI228="","",SUMIFS(OPERATING_COEFFS!$C:$C,OPERATING_COEFFS!$A:$A,"SeasonClass",OPERATING_COEFFS!$B:$B,$AI228))</f>
        <v/>
      </c>
      <c r="AL228" t="str">
        <f>IF($AK228="","",SUMIFS(OPERATING_COEFFS!$C:$C,OPERATING_COEFFS!$A:$A,"UrgencyClass",OPERATING_COEFFS!$B:$B,$AK228))</f>
        <v/>
      </c>
      <c r="AN228" t="str">
        <f>IF($AM228="","",INDEX(TAX_MODES!$B:$B,MATCH($AM228,TAX_MODES!$A:$A,0)))</f>
        <v/>
      </c>
    </row>
    <row r="229" spans="24:40" x14ac:dyDescent="0.3">
      <c r="X229" s="13"/>
      <c r="Y229" s="13" t="str">
        <f>IF($X229="","",SUMIFS(TARIFF_PROFILES!$D:$D,TARIFF_PROFILES!$A:$A,$X229))</f>
        <v/>
      </c>
      <c r="Z229" s="13" t="str">
        <f>IF($X229="","",SUMIFS(TARIFF_PROFILES!$E:$E,TARIFF_PROFILES!$A:$A,$X229))</f>
        <v/>
      </c>
      <c r="AA229" s="13" t="str">
        <f>IF($X229="","",SUMIFS(TARIFF_PROFILES!$F:$F,TARIFF_PROFILES!$A:$A,$X229))</f>
        <v/>
      </c>
      <c r="AB229" s="13" t="str">
        <f>IF($X229="","",SUMIFS(TARIFF_PROFILES!$G:$G,TARIFF_PROFILES!$A:$A,$X229))</f>
        <v/>
      </c>
      <c r="AC229" s="13" t="str">
        <f>IF($X229="","",SUMIFS(TARIFF_PROFILES!$H:$H,TARIFF_PROFILES!$A:$A,$X229))</f>
        <v/>
      </c>
      <c r="AD229" s="13" t="str">
        <f>IF($X229="","",INDEX(TARIFF_PROFILES!$J:$J,MATCH($X229,TARIFF_PROFILES!$A:$A,0)))</f>
        <v/>
      </c>
      <c r="AE229" s="13" t="str">
        <f>IF($X229="","",INDEX(TARIFF_PROFILES!$K:$K,MATCH($X229,TARIFF_PROFILES!$A:$A,0)))</f>
        <v/>
      </c>
      <c r="AH229" t="str">
        <f>IF($AG229="","",SUMIFS(OPERATING_COEFFS!$C:$C,OPERATING_COEFFS!$A:$A,"DistanceClass",OPERATING_COEFFS!$B:$B,$AG229))</f>
        <v/>
      </c>
      <c r="AJ229" t="str">
        <f>IF($AI229="","",SUMIFS(OPERATING_COEFFS!$C:$C,OPERATING_COEFFS!$A:$A,"SeasonClass",OPERATING_COEFFS!$B:$B,$AI229))</f>
        <v/>
      </c>
      <c r="AL229" t="str">
        <f>IF($AK229="","",SUMIFS(OPERATING_COEFFS!$C:$C,OPERATING_COEFFS!$A:$A,"UrgencyClass",OPERATING_COEFFS!$B:$B,$AK229))</f>
        <v/>
      </c>
      <c r="AN229" t="str">
        <f>IF($AM229="","",INDEX(TAX_MODES!$B:$B,MATCH($AM229,TAX_MODES!$A:$A,0)))</f>
        <v/>
      </c>
    </row>
    <row r="230" spans="24:40" x14ac:dyDescent="0.3">
      <c r="X230" s="13"/>
      <c r="Y230" s="13" t="str">
        <f>IF($X230="","",SUMIFS(TARIFF_PROFILES!$D:$D,TARIFF_PROFILES!$A:$A,$X230))</f>
        <v/>
      </c>
      <c r="Z230" s="13" t="str">
        <f>IF($X230="","",SUMIFS(TARIFF_PROFILES!$E:$E,TARIFF_PROFILES!$A:$A,$X230))</f>
        <v/>
      </c>
      <c r="AA230" s="13" t="str">
        <f>IF($X230="","",SUMIFS(TARIFF_PROFILES!$F:$F,TARIFF_PROFILES!$A:$A,$X230))</f>
        <v/>
      </c>
      <c r="AB230" s="13" t="str">
        <f>IF($X230="","",SUMIFS(TARIFF_PROFILES!$G:$G,TARIFF_PROFILES!$A:$A,$X230))</f>
        <v/>
      </c>
      <c r="AC230" s="13" t="str">
        <f>IF($X230="","",SUMIFS(TARIFF_PROFILES!$H:$H,TARIFF_PROFILES!$A:$A,$X230))</f>
        <v/>
      </c>
      <c r="AD230" s="13" t="str">
        <f>IF($X230="","",INDEX(TARIFF_PROFILES!$J:$J,MATCH($X230,TARIFF_PROFILES!$A:$A,0)))</f>
        <v/>
      </c>
      <c r="AE230" s="13" t="str">
        <f>IF($X230="","",INDEX(TARIFF_PROFILES!$K:$K,MATCH($X230,TARIFF_PROFILES!$A:$A,0)))</f>
        <v/>
      </c>
      <c r="AH230" t="str">
        <f>IF($AG230="","",SUMIFS(OPERATING_COEFFS!$C:$C,OPERATING_COEFFS!$A:$A,"DistanceClass",OPERATING_COEFFS!$B:$B,$AG230))</f>
        <v/>
      </c>
      <c r="AJ230" t="str">
        <f>IF($AI230="","",SUMIFS(OPERATING_COEFFS!$C:$C,OPERATING_COEFFS!$A:$A,"SeasonClass",OPERATING_COEFFS!$B:$B,$AI230))</f>
        <v/>
      </c>
      <c r="AL230" t="str">
        <f>IF($AK230="","",SUMIFS(OPERATING_COEFFS!$C:$C,OPERATING_COEFFS!$A:$A,"UrgencyClass",OPERATING_COEFFS!$B:$B,$AK230))</f>
        <v/>
      </c>
      <c r="AN230" t="str">
        <f>IF($AM230="","",INDEX(TAX_MODES!$B:$B,MATCH($AM230,TAX_MODES!$A:$A,0)))</f>
        <v/>
      </c>
    </row>
    <row r="231" spans="24:40" x14ac:dyDescent="0.3">
      <c r="X231" s="13"/>
      <c r="Y231" s="13" t="str">
        <f>IF($X231="","",SUMIFS(TARIFF_PROFILES!$D:$D,TARIFF_PROFILES!$A:$A,$X231))</f>
        <v/>
      </c>
      <c r="Z231" s="13" t="str">
        <f>IF($X231="","",SUMIFS(TARIFF_PROFILES!$E:$E,TARIFF_PROFILES!$A:$A,$X231))</f>
        <v/>
      </c>
      <c r="AA231" s="13" t="str">
        <f>IF($X231="","",SUMIFS(TARIFF_PROFILES!$F:$F,TARIFF_PROFILES!$A:$A,$X231))</f>
        <v/>
      </c>
      <c r="AB231" s="13" t="str">
        <f>IF($X231="","",SUMIFS(TARIFF_PROFILES!$G:$G,TARIFF_PROFILES!$A:$A,$X231))</f>
        <v/>
      </c>
      <c r="AC231" s="13" t="str">
        <f>IF($X231="","",SUMIFS(TARIFF_PROFILES!$H:$H,TARIFF_PROFILES!$A:$A,$X231))</f>
        <v/>
      </c>
      <c r="AD231" s="13" t="str">
        <f>IF($X231="","",INDEX(TARIFF_PROFILES!$J:$J,MATCH($X231,TARIFF_PROFILES!$A:$A,0)))</f>
        <v/>
      </c>
      <c r="AE231" s="13" t="str">
        <f>IF($X231="","",INDEX(TARIFF_PROFILES!$K:$K,MATCH($X231,TARIFF_PROFILES!$A:$A,0)))</f>
        <v/>
      </c>
      <c r="AH231" t="str">
        <f>IF($AG231="","",SUMIFS(OPERATING_COEFFS!$C:$C,OPERATING_COEFFS!$A:$A,"DistanceClass",OPERATING_COEFFS!$B:$B,$AG231))</f>
        <v/>
      </c>
      <c r="AJ231" t="str">
        <f>IF($AI231="","",SUMIFS(OPERATING_COEFFS!$C:$C,OPERATING_COEFFS!$A:$A,"SeasonClass",OPERATING_COEFFS!$B:$B,$AI231))</f>
        <v/>
      </c>
      <c r="AL231" t="str">
        <f>IF($AK231="","",SUMIFS(OPERATING_COEFFS!$C:$C,OPERATING_COEFFS!$A:$A,"UrgencyClass",OPERATING_COEFFS!$B:$B,$AK231))</f>
        <v/>
      </c>
      <c r="AN231" t="str">
        <f>IF($AM231="","",INDEX(TAX_MODES!$B:$B,MATCH($AM231,TAX_MODES!$A:$A,0)))</f>
        <v/>
      </c>
    </row>
    <row r="232" spans="24:40" x14ac:dyDescent="0.3">
      <c r="X232" s="13"/>
      <c r="Y232" s="13" t="str">
        <f>IF($X232="","",SUMIFS(TARIFF_PROFILES!$D:$D,TARIFF_PROFILES!$A:$A,$X232))</f>
        <v/>
      </c>
      <c r="Z232" s="13" t="str">
        <f>IF($X232="","",SUMIFS(TARIFF_PROFILES!$E:$E,TARIFF_PROFILES!$A:$A,$X232))</f>
        <v/>
      </c>
      <c r="AA232" s="13" t="str">
        <f>IF($X232="","",SUMIFS(TARIFF_PROFILES!$F:$F,TARIFF_PROFILES!$A:$A,$X232))</f>
        <v/>
      </c>
      <c r="AB232" s="13" t="str">
        <f>IF($X232="","",SUMIFS(TARIFF_PROFILES!$G:$G,TARIFF_PROFILES!$A:$A,$X232))</f>
        <v/>
      </c>
      <c r="AC232" s="13" t="str">
        <f>IF($X232="","",SUMIFS(TARIFF_PROFILES!$H:$H,TARIFF_PROFILES!$A:$A,$X232))</f>
        <v/>
      </c>
      <c r="AD232" s="13" t="str">
        <f>IF($X232="","",INDEX(TARIFF_PROFILES!$J:$J,MATCH($X232,TARIFF_PROFILES!$A:$A,0)))</f>
        <v/>
      </c>
      <c r="AE232" s="13" t="str">
        <f>IF($X232="","",INDEX(TARIFF_PROFILES!$K:$K,MATCH($X232,TARIFF_PROFILES!$A:$A,0)))</f>
        <v/>
      </c>
      <c r="AH232" t="str">
        <f>IF($AG232="","",SUMIFS(OPERATING_COEFFS!$C:$C,OPERATING_COEFFS!$A:$A,"DistanceClass",OPERATING_COEFFS!$B:$B,$AG232))</f>
        <v/>
      </c>
      <c r="AJ232" t="str">
        <f>IF($AI232="","",SUMIFS(OPERATING_COEFFS!$C:$C,OPERATING_COEFFS!$A:$A,"SeasonClass",OPERATING_COEFFS!$B:$B,$AI232))</f>
        <v/>
      </c>
      <c r="AL232" t="str">
        <f>IF($AK232="","",SUMIFS(OPERATING_COEFFS!$C:$C,OPERATING_COEFFS!$A:$A,"UrgencyClass",OPERATING_COEFFS!$B:$B,$AK232))</f>
        <v/>
      </c>
      <c r="AN232" t="str">
        <f>IF($AM232="","",INDEX(TAX_MODES!$B:$B,MATCH($AM232,TAX_MODES!$A:$A,0)))</f>
        <v/>
      </c>
    </row>
    <row r="233" spans="24:40" x14ac:dyDescent="0.3">
      <c r="X233" s="13"/>
      <c r="Y233" s="13" t="str">
        <f>IF($X233="","",SUMIFS(TARIFF_PROFILES!$D:$D,TARIFF_PROFILES!$A:$A,$X233))</f>
        <v/>
      </c>
      <c r="Z233" s="13" t="str">
        <f>IF($X233="","",SUMIFS(TARIFF_PROFILES!$E:$E,TARIFF_PROFILES!$A:$A,$X233))</f>
        <v/>
      </c>
      <c r="AA233" s="13" t="str">
        <f>IF($X233="","",SUMIFS(TARIFF_PROFILES!$F:$F,TARIFF_PROFILES!$A:$A,$X233))</f>
        <v/>
      </c>
      <c r="AB233" s="13" t="str">
        <f>IF($X233="","",SUMIFS(TARIFF_PROFILES!$G:$G,TARIFF_PROFILES!$A:$A,$X233))</f>
        <v/>
      </c>
      <c r="AC233" s="13" t="str">
        <f>IF($X233="","",SUMIFS(TARIFF_PROFILES!$H:$H,TARIFF_PROFILES!$A:$A,$X233))</f>
        <v/>
      </c>
      <c r="AD233" s="13" t="str">
        <f>IF($X233="","",INDEX(TARIFF_PROFILES!$J:$J,MATCH($X233,TARIFF_PROFILES!$A:$A,0)))</f>
        <v/>
      </c>
      <c r="AE233" s="13" t="str">
        <f>IF($X233="","",INDEX(TARIFF_PROFILES!$K:$K,MATCH($X233,TARIFF_PROFILES!$A:$A,0)))</f>
        <v/>
      </c>
      <c r="AH233" t="str">
        <f>IF($AG233="","",SUMIFS(OPERATING_COEFFS!$C:$C,OPERATING_COEFFS!$A:$A,"DistanceClass",OPERATING_COEFFS!$B:$B,$AG233))</f>
        <v/>
      </c>
      <c r="AJ233" t="str">
        <f>IF($AI233="","",SUMIFS(OPERATING_COEFFS!$C:$C,OPERATING_COEFFS!$A:$A,"SeasonClass",OPERATING_COEFFS!$B:$B,$AI233))</f>
        <v/>
      </c>
      <c r="AL233" t="str">
        <f>IF($AK233="","",SUMIFS(OPERATING_COEFFS!$C:$C,OPERATING_COEFFS!$A:$A,"UrgencyClass",OPERATING_COEFFS!$B:$B,$AK233))</f>
        <v/>
      </c>
      <c r="AN233" t="str">
        <f>IF($AM233="","",INDEX(TAX_MODES!$B:$B,MATCH($AM233,TAX_MODES!$A:$A,0)))</f>
        <v/>
      </c>
    </row>
    <row r="234" spans="24:40" x14ac:dyDescent="0.3">
      <c r="X234" s="13"/>
      <c r="Y234" s="13" t="str">
        <f>IF($X234="","",SUMIFS(TARIFF_PROFILES!$D:$D,TARIFF_PROFILES!$A:$A,$X234))</f>
        <v/>
      </c>
      <c r="Z234" s="13" t="str">
        <f>IF($X234="","",SUMIFS(TARIFF_PROFILES!$E:$E,TARIFF_PROFILES!$A:$A,$X234))</f>
        <v/>
      </c>
      <c r="AA234" s="13" t="str">
        <f>IF($X234="","",SUMIFS(TARIFF_PROFILES!$F:$F,TARIFF_PROFILES!$A:$A,$X234))</f>
        <v/>
      </c>
      <c r="AB234" s="13" t="str">
        <f>IF($X234="","",SUMIFS(TARIFF_PROFILES!$G:$G,TARIFF_PROFILES!$A:$A,$X234))</f>
        <v/>
      </c>
      <c r="AC234" s="13" t="str">
        <f>IF($X234="","",SUMIFS(TARIFF_PROFILES!$H:$H,TARIFF_PROFILES!$A:$A,$X234))</f>
        <v/>
      </c>
      <c r="AD234" s="13" t="str">
        <f>IF($X234="","",INDEX(TARIFF_PROFILES!$J:$J,MATCH($X234,TARIFF_PROFILES!$A:$A,0)))</f>
        <v/>
      </c>
      <c r="AE234" s="13" t="str">
        <f>IF($X234="","",INDEX(TARIFF_PROFILES!$K:$K,MATCH($X234,TARIFF_PROFILES!$A:$A,0)))</f>
        <v/>
      </c>
      <c r="AH234" t="str">
        <f>IF($AG234="","",SUMIFS(OPERATING_COEFFS!$C:$C,OPERATING_COEFFS!$A:$A,"DistanceClass",OPERATING_COEFFS!$B:$B,$AG234))</f>
        <v/>
      </c>
      <c r="AJ234" t="str">
        <f>IF($AI234="","",SUMIFS(OPERATING_COEFFS!$C:$C,OPERATING_COEFFS!$A:$A,"SeasonClass",OPERATING_COEFFS!$B:$B,$AI234))</f>
        <v/>
      </c>
      <c r="AL234" t="str">
        <f>IF($AK234="","",SUMIFS(OPERATING_COEFFS!$C:$C,OPERATING_COEFFS!$A:$A,"UrgencyClass",OPERATING_COEFFS!$B:$B,$AK234))</f>
        <v/>
      </c>
      <c r="AN234" t="str">
        <f>IF($AM234="","",INDEX(TAX_MODES!$B:$B,MATCH($AM234,TAX_MODES!$A:$A,0)))</f>
        <v/>
      </c>
    </row>
    <row r="235" spans="24:40" x14ac:dyDescent="0.3">
      <c r="X235" s="13"/>
      <c r="Y235" s="13" t="str">
        <f>IF($X235="","",SUMIFS(TARIFF_PROFILES!$D:$D,TARIFF_PROFILES!$A:$A,$X235))</f>
        <v/>
      </c>
      <c r="Z235" s="13" t="str">
        <f>IF($X235="","",SUMIFS(TARIFF_PROFILES!$E:$E,TARIFF_PROFILES!$A:$A,$X235))</f>
        <v/>
      </c>
      <c r="AA235" s="13" t="str">
        <f>IF($X235="","",SUMIFS(TARIFF_PROFILES!$F:$F,TARIFF_PROFILES!$A:$A,$X235))</f>
        <v/>
      </c>
      <c r="AB235" s="13" t="str">
        <f>IF($X235="","",SUMIFS(TARIFF_PROFILES!$G:$G,TARIFF_PROFILES!$A:$A,$X235))</f>
        <v/>
      </c>
      <c r="AC235" s="13" t="str">
        <f>IF($X235="","",SUMIFS(TARIFF_PROFILES!$H:$H,TARIFF_PROFILES!$A:$A,$X235))</f>
        <v/>
      </c>
      <c r="AD235" s="13" t="str">
        <f>IF($X235="","",INDEX(TARIFF_PROFILES!$J:$J,MATCH($X235,TARIFF_PROFILES!$A:$A,0)))</f>
        <v/>
      </c>
      <c r="AE235" s="13" t="str">
        <f>IF($X235="","",INDEX(TARIFF_PROFILES!$K:$K,MATCH($X235,TARIFF_PROFILES!$A:$A,0)))</f>
        <v/>
      </c>
      <c r="AH235" t="str">
        <f>IF($AG235="","",SUMIFS(OPERATING_COEFFS!$C:$C,OPERATING_COEFFS!$A:$A,"DistanceClass",OPERATING_COEFFS!$B:$B,$AG235))</f>
        <v/>
      </c>
      <c r="AJ235" t="str">
        <f>IF($AI235="","",SUMIFS(OPERATING_COEFFS!$C:$C,OPERATING_COEFFS!$A:$A,"SeasonClass",OPERATING_COEFFS!$B:$B,$AI235))</f>
        <v/>
      </c>
      <c r="AL235" t="str">
        <f>IF($AK235="","",SUMIFS(OPERATING_COEFFS!$C:$C,OPERATING_COEFFS!$A:$A,"UrgencyClass",OPERATING_COEFFS!$B:$B,$AK235))</f>
        <v/>
      </c>
      <c r="AN235" t="str">
        <f>IF($AM235="","",INDEX(TAX_MODES!$B:$B,MATCH($AM235,TAX_MODES!$A:$A,0)))</f>
        <v/>
      </c>
    </row>
    <row r="236" spans="24:40" x14ac:dyDescent="0.3">
      <c r="X236" s="13"/>
      <c r="Y236" s="13" t="str">
        <f>IF($X236="","",SUMIFS(TARIFF_PROFILES!$D:$D,TARIFF_PROFILES!$A:$A,$X236))</f>
        <v/>
      </c>
      <c r="Z236" s="13" t="str">
        <f>IF($X236="","",SUMIFS(TARIFF_PROFILES!$E:$E,TARIFF_PROFILES!$A:$A,$X236))</f>
        <v/>
      </c>
      <c r="AA236" s="13" t="str">
        <f>IF($X236="","",SUMIFS(TARIFF_PROFILES!$F:$F,TARIFF_PROFILES!$A:$A,$X236))</f>
        <v/>
      </c>
      <c r="AB236" s="13" t="str">
        <f>IF($X236="","",SUMIFS(TARIFF_PROFILES!$G:$G,TARIFF_PROFILES!$A:$A,$X236))</f>
        <v/>
      </c>
      <c r="AC236" s="13" t="str">
        <f>IF($X236="","",SUMIFS(TARIFF_PROFILES!$H:$H,TARIFF_PROFILES!$A:$A,$X236))</f>
        <v/>
      </c>
      <c r="AD236" s="13" t="str">
        <f>IF($X236="","",INDEX(TARIFF_PROFILES!$J:$J,MATCH($X236,TARIFF_PROFILES!$A:$A,0)))</f>
        <v/>
      </c>
      <c r="AE236" s="13" t="str">
        <f>IF($X236="","",INDEX(TARIFF_PROFILES!$K:$K,MATCH($X236,TARIFF_PROFILES!$A:$A,0)))</f>
        <v/>
      </c>
      <c r="AH236" t="str">
        <f>IF($AG236="","",SUMIFS(OPERATING_COEFFS!$C:$C,OPERATING_COEFFS!$A:$A,"DistanceClass",OPERATING_COEFFS!$B:$B,$AG236))</f>
        <v/>
      </c>
      <c r="AJ236" t="str">
        <f>IF($AI236="","",SUMIFS(OPERATING_COEFFS!$C:$C,OPERATING_COEFFS!$A:$A,"SeasonClass",OPERATING_COEFFS!$B:$B,$AI236))</f>
        <v/>
      </c>
      <c r="AL236" t="str">
        <f>IF($AK236="","",SUMIFS(OPERATING_COEFFS!$C:$C,OPERATING_COEFFS!$A:$A,"UrgencyClass",OPERATING_COEFFS!$B:$B,$AK236))</f>
        <v/>
      </c>
      <c r="AN236" t="str">
        <f>IF($AM236="","",INDEX(TAX_MODES!$B:$B,MATCH($AM236,TAX_MODES!$A:$A,0)))</f>
        <v/>
      </c>
    </row>
    <row r="237" spans="24:40" x14ac:dyDescent="0.3">
      <c r="X237" s="13"/>
      <c r="Y237" s="13" t="str">
        <f>IF($X237="","",SUMIFS(TARIFF_PROFILES!$D:$D,TARIFF_PROFILES!$A:$A,$X237))</f>
        <v/>
      </c>
      <c r="Z237" s="13" t="str">
        <f>IF($X237="","",SUMIFS(TARIFF_PROFILES!$E:$E,TARIFF_PROFILES!$A:$A,$X237))</f>
        <v/>
      </c>
      <c r="AA237" s="13" t="str">
        <f>IF($X237="","",SUMIFS(TARIFF_PROFILES!$F:$F,TARIFF_PROFILES!$A:$A,$X237))</f>
        <v/>
      </c>
      <c r="AB237" s="13" t="str">
        <f>IF($X237="","",SUMIFS(TARIFF_PROFILES!$G:$G,TARIFF_PROFILES!$A:$A,$X237))</f>
        <v/>
      </c>
      <c r="AC237" s="13" t="str">
        <f>IF($X237="","",SUMIFS(TARIFF_PROFILES!$H:$H,TARIFF_PROFILES!$A:$A,$X237))</f>
        <v/>
      </c>
      <c r="AD237" s="13" t="str">
        <f>IF($X237="","",INDEX(TARIFF_PROFILES!$J:$J,MATCH($X237,TARIFF_PROFILES!$A:$A,0)))</f>
        <v/>
      </c>
      <c r="AE237" s="13" t="str">
        <f>IF($X237="","",INDEX(TARIFF_PROFILES!$K:$K,MATCH($X237,TARIFF_PROFILES!$A:$A,0)))</f>
        <v/>
      </c>
      <c r="AH237" t="str">
        <f>IF($AG237="","",SUMIFS(OPERATING_COEFFS!$C:$C,OPERATING_COEFFS!$A:$A,"DistanceClass",OPERATING_COEFFS!$B:$B,$AG237))</f>
        <v/>
      </c>
      <c r="AJ237" t="str">
        <f>IF($AI237="","",SUMIFS(OPERATING_COEFFS!$C:$C,OPERATING_COEFFS!$A:$A,"SeasonClass",OPERATING_COEFFS!$B:$B,$AI237))</f>
        <v/>
      </c>
      <c r="AL237" t="str">
        <f>IF($AK237="","",SUMIFS(OPERATING_COEFFS!$C:$C,OPERATING_COEFFS!$A:$A,"UrgencyClass",OPERATING_COEFFS!$B:$B,$AK237))</f>
        <v/>
      </c>
      <c r="AN237" t="str">
        <f>IF($AM237="","",INDEX(TAX_MODES!$B:$B,MATCH($AM237,TAX_MODES!$A:$A,0)))</f>
        <v/>
      </c>
    </row>
    <row r="238" spans="24:40" x14ac:dyDescent="0.3">
      <c r="X238" s="13"/>
      <c r="Y238" s="13" t="str">
        <f>IF($X238="","",SUMIFS(TARIFF_PROFILES!$D:$D,TARIFF_PROFILES!$A:$A,$X238))</f>
        <v/>
      </c>
      <c r="Z238" s="13" t="str">
        <f>IF($X238="","",SUMIFS(TARIFF_PROFILES!$E:$E,TARIFF_PROFILES!$A:$A,$X238))</f>
        <v/>
      </c>
      <c r="AA238" s="13" t="str">
        <f>IF($X238="","",SUMIFS(TARIFF_PROFILES!$F:$F,TARIFF_PROFILES!$A:$A,$X238))</f>
        <v/>
      </c>
      <c r="AB238" s="13" t="str">
        <f>IF($X238="","",SUMIFS(TARIFF_PROFILES!$G:$G,TARIFF_PROFILES!$A:$A,$X238))</f>
        <v/>
      </c>
      <c r="AC238" s="13" t="str">
        <f>IF($X238="","",SUMIFS(TARIFF_PROFILES!$H:$H,TARIFF_PROFILES!$A:$A,$X238))</f>
        <v/>
      </c>
      <c r="AD238" s="13" t="str">
        <f>IF($X238="","",INDEX(TARIFF_PROFILES!$J:$J,MATCH($X238,TARIFF_PROFILES!$A:$A,0)))</f>
        <v/>
      </c>
      <c r="AE238" s="13" t="str">
        <f>IF($X238="","",INDEX(TARIFF_PROFILES!$K:$K,MATCH($X238,TARIFF_PROFILES!$A:$A,0)))</f>
        <v/>
      </c>
      <c r="AH238" t="str">
        <f>IF($AG238="","",SUMIFS(OPERATING_COEFFS!$C:$C,OPERATING_COEFFS!$A:$A,"DistanceClass",OPERATING_COEFFS!$B:$B,$AG238))</f>
        <v/>
      </c>
      <c r="AJ238" t="str">
        <f>IF($AI238="","",SUMIFS(OPERATING_COEFFS!$C:$C,OPERATING_COEFFS!$A:$A,"SeasonClass",OPERATING_COEFFS!$B:$B,$AI238))</f>
        <v/>
      </c>
      <c r="AL238" t="str">
        <f>IF($AK238="","",SUMIFS(OPERATING_COEFFS!$C:$C,OPERATING_COEFFS!$A:$A,"UrgencyClass",OPERATING_COEFFS!$B:$B,$AK238))</f>
        <v/>
      </c>
      <c r="AN238" t="str">
        <f>IF($AM238="","",INDEX(TAX_MODES!$B:$B,MATCH($AM238,TAX_MODES!$A:$A,0)))</f>
        <v/>
      </c>
    </row>
    <row r="239" spans="24:40" x14ac:dyDescent="0.3">
      <c r="X239" s="13"/>
      <c r="Y239" s="13" t="str">
        <f>IF($X239="","",SUMIFS(TARIFF_PROFILES!$D:$D,TARIFF_PROFILES!$A:$A,$X239))</f>
        <v/>
      </c>
      <c r="Z239" s="13" t="str">
        <f>IF($X239="","",SUMIFS(TARIFF_PROFILES!$E:$E,TARIFF_PROFILES!$A:$A,$X239))</f>
        <v/>
      </c>
      <c r="AA239" s="13" t="str">
        <f>IF($X239="","",SUMIFS(TARIFF_PROFILES!$F:$F,TARIFF_PROFILES!$A:$A,$X239))</f>
        <v/>
      </c>
      <c r="AB239" s="13" t="str">
        <f>IF($X239="","",SUMIFS(TARIFF_PROFILES!$G:$G,TARIFF_PROFILES!$A:$A,$X239))</f>
        <v/>
      </c>
      <c r="AC239" s="13" t="str">
        <f>IF($X239="","",SUMIFS(TARIFF_PROFILES!$H:$H,TARIFF_PROFILES!$A:$A,$X239))</f>
        <v/>
      </c>
      <c r="AD239" s="13" t="str">
        <f>IF($X239="","",INDEX(TARIFF_PROFILES!$J:$J,MATCH($X239,TARIFF_PROFILES!$A:$A,0)))</f>
        <v/>
      </c>
      <c r="AE239" s="13" t="str">
        <f>IF($X239="","",INDEX(TARIFF_PROFILES!$K:$K,MATCH($X239,TARIFF_PROFILES!$A:$A,0)))</f>
        <v/>
      </c>
      <c r="AH239" t="str">
        <f>IF($AG239="","",SUMIFS(OPERATING_COEFFS!$C:$C,OPERATING_COEFFS!$A:$A,"DistanceClass",OPERATING_COEFFS!$B:$B,$AG239))</f>
        <v/>
      </c>
      <c r="AJ239" t="str">
        <f>IF($AI239="","",SUMIFS(OPERATING_COEFFS!$C:$C,OPERATING_COEFFS!$A:$A,"SeasonClass",OPERATING_COEFFS!$B:$B,$AI239))</f>
        <v/>
      </c>
      <c r="AL239" t="str">
        <f>IF($AK239="","",SUMIFS(OPERATING_COEFFS!$C:$C,OPERATING_COEFFS!$A:$A,"UrgencyClass",OPERATING_COEFFS!$B:$B,$AK239))</f>
        <v/>
      </c>
      <c r="AN239" t="str">
        <f>IF($AM239="","",INDEX(TAX_MODES!$B:$B,MATCH($AM239,TAX_MODES!$A:$A,0)))</f>
        <v/>
      </c>
    </row>
    <row r="240" spans="24:40" x14ac:dyDescent="0.3">
      <c r="X240" s="13"/>
      <c r="Y240" s="13" t="str">
        <f>IF($X240="","",SUMIFS(TARIFF_PROFILES!$D:$D,TARIFF_PROFILES!$A:$A,$X240))</f>
        <v/>
      </c>
      <c r="Z240" s="13" t="str">
        <f>IF($X240="","",SUMIFS(TARIFF_PROFILES!$E:$E,TARIFF_PROFILES!$A:$A,$X240))</f>
        <v/>
      </c>
      <c r="AA240" s="13" t="str">
        <f>IF($X240="","",SUMIFS(TARIFF_PROFILES!$F:$F,TARIFF_PROFILES!$A:$A,$X240))</f>
        <v/>
      </c>
      <c r="AB240" s="13" t="str">
        <f>IF($X240="","",SUMIFS(TARIFF_PROFILES!$G:$G,TARIFF_PROFILES!$A:$A,$X240))</f>
        <v/>
      </c>
      <c r="AC240" s="13" t="str">
        <f>IF($X240="","",SUMIFS(TARIFF_PROFILES!$H:$H,TARIFF_PROFILES!$A:$A,$X240))</f>
        <v/>
      </c>
      <c r="AD240" s="13" t="str">
        <f>IF($X240="","",INDEX(TARIFF_PROFILES!$J:$J,MATCH($X240,TARIFF_PROFILES!$A:$A,0)))</f>
        <v/>
      </c>
      <c r="AE240" s="13" t="str">
        <f>IF($X240="","",INDEX(TARIFF_PROFILES!$K:$K,MATCH($X240,TARIFF_PROFILES!$A:$A,0)))</f>
        <v/>
      </c>
      <c r="AH240" t="str">
        <f>IF($AG240="","",SUMIFS(OPERATING_COEFFS!$C:$C,OPERATING_COEFFS!$A:$A,"DistanceClass",OPERATING_COEFFS!$B:$B,$AG240))</f>
        <v/>
      </c>
      <c r="AJ240" t="str">
        <f>IF($AI240="","",SUMIFS(OPERATING_COEFFS!$C:$C,OPERATING_COEFFS!$A:$A,"SeasonClass",OPERATING_COEFFS!$B:$B,$AI240))</f>
        <v/>
      </c>
      <c r="AL240" t="str">
        <f>IF($AK240="","",SUMIFS(OPERATING_COEFFS!$C:$C,OPERATING_COEFFS!$A:$A,"UrgencyClass",OPERATING_COEFFS!$B:$B,$AK240))</f>
        <v/>
      </c>
      <c r="AN240" t="str">
        <f>IF($AM240="","",INDEX(TAX_MODES!$B:$B,MATCH($AM240,TAX_MODES!$A:$A,0)))</f>
        <v/>
      </c>
    </row>
    <row r="241" spans="24:40" x14ac:dyDescent="0.3">
      <c r="X241" s="13"/>
      <c r="Y241" s="13" t="str">
        <f>IF($X241="","",SUMIFS(TARIFF_PROFILES!$D:$D,TARIFF_PROFILES!$A:$A,$X241))</f>
        <v/>
      </c>
      <c r="Z241" s="13" t="str">
        <f>IF($X241="","",SUMIFS(TARIFF_PROFILES!$E:$E,TARIFF_PROFILES!$A:$A,$X241))</f>
        <v/>
      </c>
      <c r="AA241" s="13" t="str">
        <f>IF($X241="","",SUMIFS(TARIFF_PROFILES!$F:$F,TARIFF_PROFILES!$A:$A,$X241))</f>
        <v/>
      </c>
      <c r="AB241" s="13" t="str">
        <f>IF($X241="","",SUMIFS(TARIFF_PROFILES!$G:$G,TARIFF_PROFILES!$A:$A,$X241))</f>
        <v/>
      </c>
      <c r="AC241" s="13" t="str">
        <f>IF($X241="","",SUMIFS(TARIFF_PROFILES!$H:$H,TARIFF_PROFILES!$A:$A,$X241))</f>
        <v/>
      </c>
      <c r="AD241" s="13" t="str">
        <f>IF($X241="","",INDEX(TARIFF_PROFILES!$J:$J,MATCH($X241,TARIFF_PROFILES!$A:$A,0)))</f>
        <v/>
      </c>
      <c r="AE241" s="13" t="str">
        <f>IF($X241="","",INDEX(TARIFF_PROFILES!$K:$K,MATCH($X241,TARIFF_PROFILES!$A:$A,0)))</f>
        <v/>
      </c>
      <c r="AH241" t="str">
        <f>IF($AG241="","",SUMIFS(OPERATING_COEFFS!$C:$C,OPERATING_COEFFS!$A:$A,"DistanceClass",OPERATING_COEFFS!$B:$B,$AG241))</f>
        <v/>
      </c>
      <c r="AJ241" t="str">
        <f>IF($AI241="","",SUMIFS(OPERATING_COEFFS!$C:$C,OPERATING_COEFFS!$A:$A,"SeasonClass",OPERATING_COEFFS!$B:$B,$AI241))</f>
        <v/>
      </c>
      <c r="AL241" t="str">
        <f>IF($AK241="","",SUMIFS(OPERATING_COEFFS!$C:$C,OPERATING_COEFFS!$A:$A,"UrgencyClass",OPERATING_COEFFS!$B:$B,$AK241))</f>
        <v/>
      </c>
      <c r="AN241" t="str">
        <f>IF($AM241="","",INDEX(TAX_MODES!$B:$B,MATCH($AM241,TAX_MODES!$A:$A,0)))</f>
        <v/>
      </c>
    </row>
    <row r="242" spans="24:40" x14ac:dyDescent="0.3">
      <c r="X242" s="13"/>
      <c r="Y242" s="13" t="str">
        <f>IF($X242="","",SUMIFS(TARIFF_PROFILES!$D:$D,TARIFF_PROFILES!$A:$A,$X242))</f>
        <v/>
      </c>
      <c r="Z242" s="13" t="str">
        <f>IF($X242="","",SUMIFS(TARIFF_PROFILES!$E:$E,TARIFF_PROFILES!$A:$A,$X242))</f>
        <v/>
      </c>
      <c r="AA242" s="13" t="str">
        <f>IF($X242="","",SUMIFS(TARIFF_PROFILES!$F:$F,TARIFF_PROFILES!$A:$A,$X242))</f>
        <v/>
      </c>
      <c r="AB242" s="13" t="str">
        <f>IF($X242="","",SUMIFS(TARIFF_PROFILES!$G:$G,TARIFF_PROFILES!$A:$A,$X242))</f>
        <v/>
      </c>
      <c r="AC242" s="13" t="str">
        <f>IF($X242="","",SUMIFS(TARIFF_PROFILES!$H:$H,TARIFF_PROFILES!$A:$A,$X242))</f>
        <v/>
      </c>
      <c r="AD242" s="13" t="str">
        <f>IF($X242="","",INDEX(TARIFF_PROFILES!$J:$J,MATCH($X242,TARIFF_PROFILES!$A:$A,0)))</f>
        <v/>
      </c>
      <c r="AE242" s="13" t="str">
        <f>IF($X242="","",INDEX(TARIFF_PROFILES!$K:$K,MATCH($X242,TARIFF_PROFILES!$A:$A,0)))</f>
        <v/>
      </c>
      <c r="AH242" t="str">
        <f>IF($AG242="","",SUMIFS(OPERATING_COEFFS!$C:$C,OPERATING_COEFFS!$A:$A,"DistanceClass",OPERATING_COEFFS!$B:$B,$AG242))</f>
        <v/>
      </c>
      <c r="AJ242" t="str">
        <f>IF($AI242="","",SUMIFS(OPERATING_COEFFS!$C:$C,OPERATING_COEFFS!$A:$A,"SeasonClass",OPERATING_COEFFS!$B:$B,$AI242))</f>
        <v/>
      </c>
      <c r="AL242" t="str">
        <f>IF($AK242="","",SUMIFS(OPERATING_COEFFS!$C:$C,OPERATING_COEFFS!$A:$A,"UrgencyClass",OPERATING_COEFFS!$B:$B,$AK242))</f>
        <v/>
      </c>
      <c r="AN242" t="str">
        <f>IF($AM242="","",INDEX(TAX_MODES!$B:$B,MATCH($AM242,TAX_MODES!$A:$A,0)))</f>
        <v/>
      </c>
    </row>
    <row r="243" spans="24:40" x14ac:dyDescent="0.3">
      <c r="X243" s="13"/>
      <c r="Y243" s="13" t="str">
        <f>IF($X243="","",SUMIFS(TARIFF_PROFILES!$D:$D,TARIFF_PROFILES!$A:$A,$X243))</f>
        <v/>
      </c>
      <c r="Z243" s="13" t="str">
        <f>IF($X243="","",SUMIFS(TARIFF_PROFILES!$E:$E,TARIFF_PROFILES!$A:$A,$X243))</f>
        <v/>
      </c>
      <c r="AA243" s="13" t="str">
        <f>IF($X243="","",SUMIFS(TARIFF_PROFILES!$F:$F,TARIFF_PROFILES!$A:$A,$X243))</f>
        <v/>
      </c>
      <c r="AB243" s="13" t="str">
        <f>IF($X243="","",SUMIFS(TARIFF_PROFILES!$G:$G,TARIFF_PROFILES!$A:$A,$X243))</f>
        <v/>
      </c>
      <c r="AC243" s="13" t="str">
        <f>IF($X243="","",SUMIFS(TARIFF_PROFILES!$H:$H,TARIFF_PROFILES!$A:$A,$X243))</f>
        <v/>
      </c>
      <c r="AD243" s="13" t="str">
        <f>IF($X243="","",INDEX(TARIFF_PROFILES!$J:$J,MATCH($X243,TARIFF_PROFILES!$A:$A,0)))</f>
        <v/>
      </c>
      <c r="AE243" s="13" t="str">
        <f>IF($X243="","",INDEX(TARIFF_PROFILES!$K:$K,MATCH($X243,TARIFF_PROFILES!$A:$A,0)))</f>
        <v/>
      </c>
      <c r="AH243" t="str">
        <f>IF($AG243="","",SUMIFS(OPERATING_COEFFS!$C:$C,OPERATING_COEFFS!$A:$A,"DistanceClass",OPERATING_COEFFS!$B:$B,$AG243))</f>
        <v/>
      </c>
      <c r="AJ243" t="str">
        <f>IF($AI243="","",SUMIFS(OPERATING_COEFFS!$C:$C,OPERATING_COEFFS!$A:$A,"SeasonClass",OPERATING_COEFFS!$B:$B,$AI243))</f>
        <v/>
      </c>
      <c r="AL243" t="str">
        <f>IF($AK243="","",SUMIFS(OPERATING_COEFFS!$C:$C,OPERATING_COEFFS!$A:$A,"UrgencyClass",OPERATING_COEFFS!$B:$B,$AK243))</f>
        <v/>
      </c>
      <c r="AN243" t="str">
        <f>IF($AM243="","",INDEX(TAX_MODES!$B:$B,MATCH($AM243,TAX_MODES!$A:$A,0)))</f>
        <v/>
      </c>
    </row>
    <row r="244" spans="24:40" x14ac:dyDescent="0.3">
      <c r="X244" s="13"/>
      <c r="Y244" s="13" t="str">
        <f>IF($X244="","",SUMIFS(TARIFF_PROFILES!$D:$D,TARIFF_PROFILES!$A:$A,$X244))</f>
        <v/>
      </c>
      <c r="Z244" s="13" t="str">
        <f>IF($X244="","",SUMIFS(TARIFF_PROFILES!$E:$E,TARIFF_PROFILES!$A:$A,$X244))</f>
        <v/>
      </c>
      <c r="AA244" s="13" t="str">
        <f>IF($X244="","",SUMIFS(TARIFF_PROFILES!$F:$F,TARIFF_PROFILES!$A:$A,$X244))</f>
        <v/>
      </c>
      <c r="AB244" s="13" t="str">
        <f>IF($X244="","",SUMIFS(TARIFF_PROFILES!$G:$G,TARIFF_PROFILES!$A:$A,$X244))</f>
        <v/>
      </c>
      <c r="AC244" s="13" t="str">
        <f>IF($X244="","",SUMIFS(TARIFF_PROFILES!$H:$H,TARIFF_PROFILES!$A:$A,$X244))</f>
        <v/>
      </c>
      <c r="AD244" s="13" t="str">
        <f>IF($X244="","",INDEX(TARIFF_PROFILES!$J:$J,MATCH($X244,TARIFF_PROFILES!$A:$A,0)))</f>
        <v/>
      </c>
      <c r="AE244" s="13" t="str">
        <f>IF($X244="","",INDEX(TARIFF_PROFILES!$K:$K,MATCH($X244,TARIFF_PROFILES!$A:$A,0)))</f>
        <v/>
      </c>
      <c r="AH244" t="str">
        <f>IF($AG244="","",SUMIFS(OPERATING_COEFFS!$C:$C,OPERATING_COEFFS!$A:$A,"DistanceClass",OPERATING_COEFFS!$B:$B,$AG244))</f>
        <v/>
      </c>
      <c r="AJ244" t="str">
        <f>IF($AI244="","",SUMIFS(OPERATING_COEFFS!$C:$C,OPERATING_COEFFS!$A:$A,"SeasonClass",OPERATING_COEFFS!$B:$B,$AI244))</f>
        <v/>
      </c>
      <c r="AL244" t="str">
        <f>IF($AK244="","",SUMIFS(OPERATING_COEFFS!$C:$C,OPERATING_COEFFS!$A:$A,"UrgencyClass",OPERATING_COEFFS!$B:$B,$AK244))</f>
        <v/>
      </c>
      <c r="AN244" t="str">
        <f>IF($AM244="","",INDEX(TAX_MODES!$B:$B,MATCH($AM244,TAX_MODES!$A:$A,0)))</f>
        <v/>
      </c>
    </row>
    <row r="245" spans="24:40" x14ac:dyDescent="0.3">
      <c r="X245" s="13"/>
      <c r="Y245" s="13" t="str">
        <f>IF($X245="","",SUMIFS(TARIFF_PROFILES!$D:$D,TARIFF_PROFILES!$A:$A,$X245))</f>
        <v/>
      </c>
      <c r="Z245" s="13" t="str">
        <f>IF($X245="","",SUMIFS(TARIFF_PROFILES!$E:$E,TARIFF_PROFILES!$A:$A,$X245))</f>
        <v/>
      </c>
      <c r="AA245" s="13" t="str">
        <f>IF($X245="","",SUMIFS(TARIFF_PROFILES!$F:$F,TARIFF_PROFILES!$A:$A,$X245))</f>
        <v/>
      </c>
      <c r="AB245" s="13" t="str">
        <f>IF($X245="","",SUMIFS(TARIFF_PROFILES!$G:$G,TARIFF_PROFILES!$A:$A,$X245))</f>
        <v/>
      </c>
      <c r="AC245" s="13" t="str">
        <f>IF($X245="","",SUMIFS(TARIFF_PROFILES!$H:$H,TARIFF_PROFILES!$A:$A,$X245))</f>
        <v/>
      </c>
      <c r="AD245" s="13" t="str">
        <f>IF($X245="","",INDEX(TARIFF_PROFILES!$J:$J,MATCH($X245,TARIFF_PROFILES!$A:$A,0)))</f>
        <v/>
      </c>
      <c r="AE245" s="13" t="str">
        <f>IF($X245="","",INDEX(TARIFF_PROFILES!$K:$K,MATCH($X245,TARIFF_PROFILES!$A:$A,0)))</f>
        <v/>
      </c>
      <c r="AH245" t="str">
        <f>IF($AG245="","",SUMIFS(OPERATING_COEFFS!$C:$C,OPERATING_COEFFS!$A:$A,"DistanceClass",OPERATING_COEFFS!$B:$B,$AG245))</f>
        <v/>
      </c>
      <c r="AJ245" t="str">
        <f>IF($AI245="","",SUMIFS(OPERATING_COEFFS!$C:$C,OPERATING_COEFFS!$A:$A,"SeasonClass",OPERATING_COEFFS!$B:$B,$AI245))</f>
        <v/>
      </c>
      <c r="AL245" t="str">
        <f>IF($AK245="","",SUMIFS(OPERATING_COEFFS!$C:$C,OPERATING_COEFFS!$A:$A,"UrgencyClass",OPERATING_COEFFS!$B:$B,$AK245))</f>
        <v/>
      </c>
      <c r="AN245" t="str">
        <f>IF($AM245="","",INDEX(TAX_MODES!$B:$B,MATCH($AM245,TAX_MODES!$A:$A,0)))</f>
        <v/>
      </c>
    </row>
    <row r="246" spans="24:40" x14ac:dyDescent="0.3">
      <c r="X246" s="13"/>
      <c r="Y246" s="13" t="str">
        <f>IF($X246="","",SUMIFS(TARIFF_PROFILES!$D:$D,TARIFF_PROFILES!$A:$A,$X246))</f>
        <v/>
      </c>
      <c r="Z246" s="13" t="str">
        <f>IF($X246="","",SUMIFS(TARIFF_PROFILES!$E:$E,TARIFF_PROFILES!$A:$A,$X246))</f>
        <v/>
      </c>
      <c r="AA246" s="13" t="str">
        <f>IF($X246="","",SUMIFS(TARIFF_PROFILES!$F:$F,TARIFF_PROFILES!$A:$A,$X246))</f>
        <v/>
      </c>
      <c r="AB246" s="13" t="str">
        <f>IF($X246="","",SUMIFS(TARIFF_PROFILES!$G:$G,TARIFF_PROFILES!$A:$A,$X246))</f>
        <v/>
      </c>
      <c r="AC246" s="13" t="str">
        <f>IF($X246="","",SUMIFS(TARIFF_PROFILES!$H:$H,TARIFF_PROFILES!$A:$A,$X246))</f>
        <v/>
      </c>
      <c r="AD246" s="13" t="str">
        <f>IF($X246="","",INDEX(TARIFF_PROFILES!$J:$J,MATCH($X246,TARIFF_PROFILES!$A:$A,0)))</f>
        <v/>
      </c>
      <c r="AE246" s="13" t="str">
        <f>IF($X246="","",INDEX(TARIFF_PROFILES!$K:$K,MATCH($X246,TARIFF_PROFILES!$A:$A,0)))</f>
        <v/>
      </c>
      <c r="AH246" t="str">
        <f>IF($AG246="","",SUMIFS(OPERATING_COEFFS!$C:$C,OPERATING_COEFFS!$A:$A,"DistanceClass",OPERATING_COEFFS!$B:$B,$AG246))</f>
        <v/>
      </c>
      <c r="AJ246" t="str">
        <f>IF($AI246="","",SUMIFS(OPERATING_COEFFS!$C:$C,OPERATING_COEFFS!$A:$A,"SeasonClass",OPERATING_COEFFS!$B:$B,$AI246))</f>
        <v/>
      </c>
      <c r="AL246" t="str">
        <f>IF($AK246="","",SUMIFS(OPERATING_COEFFS!$C:$C,OPERATING_COEFFS!$A:$A,"UrgencyClass",OPERATING_COEFFS!$B:$B,$AK246))</f>
        <v/>
      </c>
      <c r="AN246" t="str">
        <f>IF($AM246="","",INDEX(TAX_MODES!$B:$B,MATCH($AM246,TAX_MODES!$A:$A,0)))</f>
        <v/>
      </c>
    </row>
    <row r="247" spans="24:40" x14ac:dyDescent="0.3">
      <c r="X247" s="13"/>
      <c r="Y247" s="13" t="str">
        <f>IF($X247="","",SUMIFS(TARIFF_PROFILES!$D:$D,TARIFF_PROFILES!$A:$A,$X247))</f>
        <v/>
      </c>
      <c r="Z247" s="13" t="str">
        <f>IF($X247="","",SUMIFS(TARIFF_PROFILES!$E:$E,TARIFF_PROFILES!$A:$A,$X247))</f>
        <v/>
      </c>
      <c r="AA247" s="13" t="str">
        <f>IF($X247="","",SUMIFS(TARIFF_PROFILES!$F:$F,TARIFF_PROFILES!$A:$A,$X247))</f>
        <v/>
      </c>
      <c r="AB247" s="13" t="str">
        <f>IF($X247="","",SUMIFS(TARIFF_PROFILES!$G:$G,TARIFF_PROFILES!$A:$A,$X247))</f>
        <v/>
      </c>
      <c r="AC247" s="13" t="str">
        <f>IF($X247="","",SUMIFS(TARIFF_PROFILES!$H:$H,TARIFF_PROFILES!$A:$A,$X247))</f>
        <v/>
      </c>
      <c r="AD247" s="13" t="str">
        <f>IF($X247="","",INDEX(TARIFF_PROFILES!$J:$J,MATCH($X247,TARIFF_PROFILES!$A:$A,0)))</f>
        <v/>
      </c>
      <c r="AE247" s="13" t="str">
        <f>IF($X247="","",INDEX(TARIFF_PROFILES!$K:$K,MATCH($X247,TARIFF_PROFILES!$A:$A,0)))</f>
        <v/>
      </c>
      <c r="AH247" t="str">
        <f>IF($AG247="","",SUMIFS(OPERATING_COEFFS!$C:$C,OPERATING_COEFFS!$A:$A,"DistanceClass",OPERATING_COEFFS!$B:$B,$AG247))</f>
        <v/>
      </c>
      <c r="AJ247" t="str">
        <f>IF($AI247="","",SUMIFS(OPERATING_COEFFS!$C:$C,OPERATING_COEFFS!$A:$A,"SeasonClass",OPERATING_COEFFS!$B:$B,$AI247))</f>
        <v/>
      </c>
      <c r="AL247" t="str">
        <f>IF($AK247="","",SUMIFS(OPERATING_COEFFS!$C:$C,OPERATING_COEFFS!$A:$A,"UrgencyClass",OPERATING_COEFFS!$B:$B,$AK247))</f>
        <v/>
      </c>
      <c r="AN247" t="str">
        <f>IF($AM247="","",INDEX(TAX_MODES!$B:$B,MATCH($AM247,TAX_MODES!$A:$A,0)))</f>
        <v/>
      </c>
    </row>
    <row r="248" spans="24:40" x14ac:dyDescent="0.3">
      <c r="X248" s="13"/>
      <c r="Y248" s="13" t="str">
        <f>IF($X248="","",SUMIFS(TARIFF_PROFILES!$D:$D,TARIFF_PROFILES!$A:$A,$X248))</f>
        <v/>
      </c>
      <c r="Z248" s="13" t="str">
        <f>IF($X248="","",SUMIFS(TARIFF_PROFILES!$E:$E,TARIFF_PROFILES!$A:$A,$X248))</f>
        <v/>
      </c>
      <c r="AA248" s="13" t="str">
        <f>IF($X248="","",SUMIFS(TARIFF_PROFILES!$F:$F,TARIFF_PROFILES!$A:$A,$X248))</f>
        <v/>
      </c>
      <c r="AB248" s="13" t="str">
        <f>IF($X248="","",SUMIFS(TARIFF_PROFILES!$G:$G,TARIFF_PROFILES!$A:$A,$X248))</f>
        <v/>
      </c>
      <c r="AC248" s="13" t="str">
        <f>IF($X248="","",SUMIFS(TARIFF_PROFILES!$H:$H,TARIFF_PROFILES!$A:$A,$X248))</f>
        <v/>
      </c>
      <c r="AD248" s="13" t="str">
        <f>IF($X248="","",INDEX(TARIFF_PROFILES!$J:$J,MATCH($X248,TARIFF_PROFILES!$A:$A,0)))</f>
        <v/>
      </c>
      <c r="AE248" s="13" t="str">
        <f>IF($X248="","",INDEX(TARIFF_PROFILES!$K:$K,MATCH($X248,TARIFF_PROFILES!$A:$A,0)))</f>
        <v/>
      </c>
      <c r="AH248" t="str">
        <f>IF($AG248="","",SUMIFS(OPERATING_COEFFS!$C:$C,OPERATING_COEFFS!$A:$A,"DistanceClass",OPERATING_COEFFS!$B:$B,$AG248))</f>
        <v/>
      </c>
      <c r="AJ248" t="str">
        <f>IF($AI248="","",SUMIFS(OPERATING_COEFFS!$C:$C,OPERATING_COEFFS!$A:$A,"SeasonClass",OPERATING_COEFFS!$B:$B,$AI248))</f>
        <v/>
      </c>
      <c r="AL248" t="str">
        <f>IF($AK248="","",SUMIFS(OPERATING_COEFFS!$C:$C,OPERATING_COEFFS!$A:$A,"UrgencyClass",OPERATING_COEFFS!$B:$B,$AK248))</f>
        <v/>
      </c>
      <c r="AN248" t="str">
        <f>IF($AM248="","",INDEX(TAX_MODES!$B:$B,MATCH($AM248,TAX_MODES!$A:$A,0)))</f>
        <v/>
      </c>
    </row>
    <row r="249" spans="24:40" x14ac:dyDescent="0.3">
      <c r="X249" s="13"/>
      <c r="Y249" s="13" t="str">
        <f>IF($X249="","",SUMIFS(TARIFF_PROFILES!$D:$D,TARIFF_PROFILES!$A:$A,$X249))</f>
        <v/>
      </c>
      <c r="Z249" s="13" t="str">
        <f>IF($X249="","",SUMIFS(TARIFF_PROFILES!$E:$E,TARIFF_PROFILES!$A:$A,$X249))</f>
        <v/>
      </c>
      <c r="AA249" s="13" t="str">
        <f>IF($X249="","",SUMIFS(TARIFF_PROFILES!$F:$F,TARIFF_PROFILES!$A:$A,$X249))</f>
        <v/>
      </c>
      <c r="AB249" s="13" t="str">
        <f>IF($X249="","",SUMIFS(TARIFF_PROFILES!$G:$G,TARIFF_PROFILES!$A:$A,$X249))</f>
        <v/>
      </c>
      <c r="AC249" s="13" t="str">
        <f>IF($X249="","",SUMIFS(TARIFF_PROFILES!$H:$H,TARIFF_PROFILES!$A:$A,$X249))</f>
        <v/>
      </c>
      <c r="AD249" s="13" t="str">
        <f>IF($X249="","",INDEX(TARIFF_PROFILES!$J:$J,MATCH($X249,TARIFF_PROFILES!$A:$A,0)))</f>
        <v/>
      </c>
      <c r="AE249" s="13" t="str">
        <f>IF($X249="","",INDEX(TARIFF_PROFILES!$K:$K,MATCH($X249,TARIFF_PROFILES!$A:$A,0)))</f>
        <v/>
      </c>
      <c r="AH249" t="str">
        <f>IF($AG249="","",SUMIFS(OPERATING_COEFFS!$C:$C,OPERATING_COEFFS!$A:$A,"DistanceClass",OPERATING_COEFFS!$B:$B,$AG249))</f>
        <v/>
      </c>
      <c r="AJ249" t="str">
        <f>IF($AI249="","",SUMIFS(OPERATING_COEFFS!$C:$C,OPERATING_COEFFS!$A:$A,"SeasonClass",OPERATING_COEFFS!$B:$B,$AI249))</f>
        <v/>
      </c>
      <c r="AL249" t="str">
        <f>IF($AK249="","",SUMIFS(OPERATING_COEFFS!$C:$C,OPERATING_COEFFS!$A:$A,"UrgencyClass",OPERATING_COEFFS!$B:$B,$AK249))</f>
        <v/>
      </c>
      <c r="AN249" t="str">
        <f>IF($AM249="","",INDEX(TAX_MODES!$B:$B,MATCH($AM249,TAX_MODES!$A:$A,0)))</f>
        <v/>
      </c>
    </row>
    <row r="250" spans="24:40" x14ac:dyDescent="0.3">
      <c r="X250" s="13"/>
      <c r="Y250" s="13" t="str">
        <f>IF($X250="","",SUMIFS(TARIFF_PROFILES!$D:$D,TARIFF_PROFILES!$A:$A,$X250))</f>
        <v/>
      </c>
      <c r="Z250" s="13" t="str">
        <f>IF($X250="","",SUMIFS(TARIFF_PROFILES!$E:$E,TARIFF_PROFILES!$A:$A,$X250))</f>
        <v/>
      </c>
      <c r="AA250" s="13" t="str">
        <f>IF($X250="","",SUMIFS(TARIFF_PROFILES!$F:$F,TARIFF_PROFILES!$A:$A,$X250))</f>
        <v/>
      </c>
      <c r="AB250" s="13" t="str">
        <f>IF($X250="","",SUMIFS(TARIFF_PROFILES!$G:$G,TARIFF_PROFILES!$A:$A,$X250))</f>
        <v/>
      </c>
      <c r="AC250" s="13" t="str">
        <f>IF($X250="","",SUMIFS(TARIFF_PROFILES!$H:$H,TARIFF_PROFILES!$A:$A,$X250))</f>
        <v/>
      </c>
      <c r="AD250" s="13" t="str">
        <f>IF($X250="","",INDEX(TARIFF_PROFILES!$J:$J,MATCH($X250,TARIFF_PROFILES!$A:$A,0)))</f>
        <v/>
      </c>
      <c r="AE250" s="13" t="str">
        <f>IF($X250="","",INDEX(TARIFF_PROFILES!$K:$K,MATCH($X250,TARIFF_PROFILES!$A:$A,0)))</f>
        <v/>
      </c>
      <c r="AH250" t="str">
        <f>IF($AG250="","",SUMIFS(OPERATING_COEFFS!$C:$C,OPERATING_COEFFS!$A:$A,"DistanceClass",OPERATING_COEFFS!$B:$B,$AG250))</f>
        <v/>
      </c>
      <c r="AJ250" t="str">
        <f>IF($AI250="","",SUMIFS(OPERATING_COEFFS!$C:$C,OPERATING_COEFFS!$A:$A,"SeasonClass",OPERATING_COEFFS!$B:$B,$AI250))</f>
        <v/>
      </c>
      <c r="AL250" t="str">
        <f>IF($AK250="","",SUMIFS(OPERATING_COEFFS!$C:$C,OPERATING_COEFFS!$A:$A,"UrgencyClass",OPERATING_COEFFS!$B:$B,$AK250))</f>
        <v/>
      </c>
      <c r="AN250" t="str">
        <f>IF($AM250="","",INDEX(TAX_MODES!$B:$B,MATCH($AM250,TAX_MODES!$A:$A,0)))</f>
        <v/>
      </c>
    </row>
    <row r="251" spans="24:40" x14ac:dyDescent="0.3">
      <c r="X251" s="13"/>
      <c r="Y251" s="13" t="str">
        <f>IF($X251="","",SUMIFS(TARIFF_PROFILES!$D:$D,TARIFF_PROFILES!$A:$A,$X251))</f>
        <v/>
      </c>
      <c r="Z251" s="13" t="str">
        <f>IF($X251="","",SUMIFS(TARIFF_PROFILES!$E:$E,TARIFF_PROFILES!$A:$A,$X251))</f>
        <v/>
      </c>
      <c r="AA251" s="13" t="str">
        <f>IF($X251="","",SUMIFS(TARIFF_PROFILES!$F:$F,TARIFF_PROFILES!$A:$A,$X251))</f>
        <v/>
      </c>
      <c r="AB251" s="13" t="str">
        <f>IF($X251="","",SUMIFS(TARIFF_PROFILES!$G:$G,TARIFF_PROFILES!$A:$A,$X251))</f>
        <v/>
      </c>
      <c r="AC251" s="13" t="str">
        <f>IF($X251="","",SUMIFS(TARIFF_PROFILES!$H:$H,TARIFF_PROFILES!$A:$A,$X251))</f>
        <v/>
      </c>
      <c r="AD251" s="13" t="str">
        <f>IF($X251="","",INDEX(TARIFF_PROFILES!$J:$J,MATCH($X251,TARIFF_PROFILES!$A:$A,0)))</f>
        <v/>
      </c>
      <c r="AE251" s="13" t="str">
        <f>IF($X251="","",INDEX(TARIFF_PROFILES!$K:$K,MATCH($X251,TARIFF_PROFILES!$A:$A,0)))</f>
        <v/>
      </c>
      <c r="AH251" t="str">
        <f>IF($AG251="","",SUMIFS(OPERATING_COEFFS!$C:$C,OPERATING_COEFFS!$A:$A,"DistanceClass",OPERATING_COEFFS!$B:$B,$AG251))</f>
        <v/>
      </c>
      <c r="AJ251" t="str">
        <f>IF($AI251="","",SUMIFS(OPERATING_COEFFS!$C:$C,OPERATING_COEFFS!$A:$A,"SeasonClass",OPERATING_COEFFS!$B:$B,$AI251))</f>
        <v/>
      </c>
      <c r="AL251" t="str">
        <f>IF($AK251="","",SUMIFS(OPERATING_COEFFS!$C:$C,OPERATING_COEFFS!$A:$A,"UrgencyClass",OPERATING_COEFFS!$B:$B,$AK251))</f>
        <v/>
      </c>
      <c r="AN251" t="str">
        <f>IF($AM251="","",INDEX(TAX_MODES!$B:$B,MATCH($AM251,TAX_MODES!$A:$A,0)))</f>
        <v/>
      </c>
    </row>
    <row r="252" spans="24:40" x14ac:dyDescent="0.3">
      <c r="X252" s="13"/>
      <c r="Y252" s="13" t="str">
        <f>IF($X252="","",SUMIFS(TARIFF_PROFILES!$D:$D,TARIFF_PROFILES!$A:$A,$X252))</f>
        <v/>
      </c>
      <c r="Z252" s="13" t="str">
        <f>IF($X252="","",SUMIFS(TARIFF_PROFILES!$E:$E,TARIFF_PROFILES!$A:$A,$X252))</f>
        <v/>
      </c>
      <c r="AA252" s="13" t="str">
        <f>IF($X252="","",SUMIFS(TARIFF_PROFILES!$F:$F,TARIFF_PROFILES!$A:$A,$X252))</f>
        <v/>
      </c>
      <c r="AB252" s="13" t="str">
        <f>IF($X252="","",SUMIFS(TARIFF_PROFILES!$G:$G,TARIFF_PROFILES!$A:$A,$X252))</f>
        <v/>
      </c>
      <c r="AC252" s="13" t="str">
        <f>IF($X252="","",SUMIFS(TARIFF_PROFILES!$H:$H,TARIFF_PROFILES!$A:$A,$X252))</f>
        <v/>
      </c>
      <c r="AD252" s="13" t="str">
        <f>IF($X252="","",INDEX(TARIFF_PROFILES!$J:$J,MATCH($X252,TARIFF_PROFILES!$A:$A,0)))</f>
        <v/>
      </c>
      <c r="AE252" s="13" t="str">
        <f>IF($X252="","",INDEX(TARIFF_PROFILES!$K:$K,MATCH($X252,TARIFF_PROFILES!$A:$A,0)))</f>
        <v/>
      </c>
      <c r="AH252" t="str">
        <f>IF($AG252="","",SUMIFS(OPERATING_COEFFS!$C:$C,OPERATING_COEFFS!$A:$A,"DistanceClass",OPERATING_COEFFS!$B:$B,$AG252))</f>
        <v/>
      </c>
      <c r="AJ252" t="str">
        <f>IF($AI252="","",SUMIFS(OPERATING_COEFFS!$C:$C,OPERATING_COEFFS!$A:$A,"SeasonClass",OPERATING_COEFFS!$B:$B,$AI252))</f>
        <v/>
      </c>
      <c r="AL252" t="str">
        <f>IF($AK252="","",SUMIFS(OPERATING_COEFFS!$C:$C,OPERATING_COEFFS!$A:$A,"UrgencyClass",OPERATING_COEFFS!$B:$B,$AK252))</f>
        <v/>
      </c>
      <c r="AN252" t="str">
        <f>IF($AM252="","",INDEX(TAX_MODES!$B:$B,MATCH($AM252,TAX_MODES!$A:$A,0)))</f>
        <v/>
      </c>
    </row>
    <row r="253" spans="24:40" x14ac:dyDescent="0.3">
      <c r="X253" s="13"/>
      <c r="Y253" s="13" t="str">
        <f>IF($X253="","",SUMIFS(TARIFF_PROFILES!$D:$D,TARIFF_PROFILES!$A:$A,$X253))</f>
        <v/>
      </c>
      <c r="Z253" s="13" t="str">
        <f>IF($X253="","",SUMIFS(TARIFF_PROFILES!$E:$E,TARIFF_PROFILES!$A:$A,$X253))</f>
        <v/>
      </c>
      <c r="AA253" s="13" t="str">
        <f>IF($X253="","",SUMIFS(TARIFF_PROFILES!$F:$F,TARIFF_PROFILES!$A:$A,$X253))</f>
        <v/>
      </c>
      <c r="AB253" s="13" t="str">
        <f>IF($X253="","",SUMIFS(TARIFF_PROFILES!$G:$G,TARIFF_PROFILES!$A:$A,$X253))</f>
        <v/>
      </c>
      <c r="AC253" s="13" t="str">
        <f>IF($X253="","",SUMIFS(TARIFF_PROFILES!$H:$H,TARIFF_PROFILES!$A:$A,$X253))</f>
        <v/>
      </c>
      <c r="AD253" s="13" t="str">
        <f>IF($X253="","",INDEX(TARIFF_PROFILES!$J:$J,MATCH($X253,TARIFF_PROFILES!$A:$A,0)))</f>
        <v/>
      </c>
      <c r="AE253" s="13" t="str">
        <f>IF($X253="","",INDEX(TARIFF_PROFILES!$K:$K,MATCH($X253,TARIFF_PROFILES!$A:$A,0)))</f>
        <v/>
      </c>
      <c r="AH253" t="str">
        <f>IF($AG253="","",SUMIFS(OPERATING_COEFFS!$C:$C,OPERATING_COEFFS!$A:$A,"DistanceClass",OPERATING_COEFFS!$B:$B,$AG253))</f>
        <v/>
      </c>
      <c r="AJ253" t="str">
        <f>IF($AI253="","",SUMIFS(OPERATING_COEFFS!$C:$C,OPERATING_COEFFS!$A:$A,"SeasonClass",OPERATING_COEFFS!$B:$B,$AI253))</f>
        <v/>
      </c>
      <c r="AL253" t="str">
        <f>IF($AK253="","",SUMIFS(OPERATING_COEFFS!$C:$C,OPERATING_COEFFS!$A:$A,"UrgencyClass",OPERATING_COEFFS!$B:$B,$AK253))</f>
        <v/>
      </c>
      <c r="AN253" t="str">
        <f>IF($AM253="","",INDEX(TAX_MODES!$B:$B,MATCH($AM253,TAX_MODES!$A:$A,0)))</f>
        <v/>
      </c>
    </row>
    <row r="254" spans="24:40" x14ac:dyDescent="0.3">
      <c r="X254" s="13"/>
      <c r="Y254" s="13" t="str">
        <f>IF($X254="","",SUMIFS(TARIFF_PROFILES!$D:$D,TARIFF_PROFILES!$A:$A,$X254))</f>
        <v/>
      </c>
      <c r="Z254" s="13" t="str">
        <f>IF($X254="","",SUMIFS(TARIFF_PROFILES!$E:$E,TARIFF_PROFILES!$A:$A,$X254))</f>
        <v/>
      </c>
      <c r="AA254" s="13" t="str">
        <f>IF($X254="","",SUMIFS(TARIFF_PROFILES!$F:$F,TARIFF_PROFILES!$A:$A,$X254))</f>
        <v/>
      </c>
      <c r="AB254" s="13" t="str">
        <f>IF($X254="","",SUMIFS(TARIFF_PROFILES!$G:$G,TARIFF_PROFILES!$A:$A,$X254))</f>
        <v/>
      </c>
      <c r="AC254" s="13" t="str">
        <f>IF($X254="","",SUMIFS(TARIFF_PROFILES!$H:$H,TARIFF_PROFILES!$A:$A,$X254))</f>
        <v/>
      </c>
      <c r="AD254" s="13" t="str">
        <f>IF($X254="","",INDEX(TARIFF_PROFILES!$J:$J,MATCH($X254,TARIFF_PROFILES!$A:$A,0)))</f>
        <v/>
      </c>
      <c r="AE254" s="13" t="str">
        <f>IF($X254="","",INDEX(TARIFF_PROFILES!$K:$K,MATCH($X254,TARIFF_PROFILES!$A:$A,0)))</f>
        <v/>
      </c>
      <c r="AH254" t="str">
        <f>IF($AG254="","",SUMIFS(OPERATING_COEFFS!$C:$C,OPERATING_COEFFS!$A:$A,"DistanceClass",OPERATING_COEFFS!$B:$B,$AG254))</f>
        <v/>
      </c>
      <c r="AJ254" t="str">
        <f>IF($AI254="","",SUMIFS(OPERATING_COEFFS!$C:$C,OPERATING_COEFFS!$A:$A,"SeasonClass",OPERATING_COEFFS!$B:$B,$AI254))</f>
        <v/>
      </c>
      <c r="AL254" t="str">
        <f>IF($AK254="","",SUMIFS(OPERATING_COEFFS!$C:$C,OPERATING_COEFFS!$A:$A,"UrgencyClass",OPERATING_COEFFS!$B:$B,$AK254))</f>
        <v/>
      </c>
      <c r="AN254" t="str">
        <f>IF($AM254="","",INDEX(TAX_MODES!$B:$B,MATCH($AM254,TAX_MODES!$A:$A,0)))</f>
        <v/>
      </c>
    </row>
    <row r="255" spans="24:40" x14ac:dyDescent="0.3">
      <c r="X255" s="13"/>
      <c r="Y255" s="13" t="str">
        <f>IF($X255="","",SUMIFS(TARIFF_PROFILES!$D:$D,TARIFF_PROFILES!$A:$A,$X255))</f>
        <v/>
      </c>
      <c r="Z255" s="13" t="str">
        <f>IF($X255="","",SUMIFS(TARIFF_PROFILES!$E:$E,TARIFF_PROFILES!$A:$A,$X255))</f>
        <v/>
      </c>
      <c r="AA255" s="13" t="str">
        <f>IF($X255="","",SUMIFS(TARIFF_PROFILES!$F:$F,TARIFF_PROFILES!$A:$A,$X255))</f>
        <v/>
      </c>
      <c r="AB255" s="13" t="str">
        <f>IF($X255="","",SUMIFS(TARIFF_PROFILES!$G:$G,TARIFF_PROFILES!$A:$A,$X255))</f>
        <v/>
      </c>
      <c r="AC255" s="13" t="str">
        <f>IF($X255="","",SUMIFS(TARIFF_PROFILES!$H:$H,TARIFF_PROFILES!$A:$A,$X255))</f>
        <v/>
      </c>
      <c r="AD255" s="13" t="str">
        <f>IF($X255="","",INDEX(TARIFF_PROFILES!$J:$J,MATCH($X255,TARIFF_PROFILES!$A:$A,0)))</f>
        <v/>
      </c>
      <c r="AE255" s="13" t="str">
        <f>IF($X255="","",INDEX(TARIFF_PROFILES!$K:$K,MATCH($X255,TARIFF_PROFILES!$A:$A,0)))</f>
        <v/>
      </c>
      <c r="AH255" t="str">
        <f>IF($AG255="","",SUMIFS(OPERATING_COEFFS!$C:$C,OPERATING_COEFFS!$A:$A,"DistanceClass",OPERATING_COEFFS!$B:$B,$AG255))</f>
        <v/>
      </c>
      <c r="AJ255" t="str">
        <f>IF($AI255="","",SUMIFS(OPERATING_COEFFS!$C:$C,OPERATING_COEFFS!$A:$A,"SeasonClass",OPERATING_COEFFS!$B:$B,$AI255))</f>
        <v/>
      </c>
      <c r="AL255" t="str">
        <f>IF($AK255="","",SUMIFS(OPERATING_COEFFS!$C:$C,OPERATING_COEFFS!$A:$A,"UrgencyClass",OPERATING_COEFFS!$B:$B,$AK255))</f>
        <v/>
      </c>
      <c r="AN255" t="str">
        <f>IF($AM255="","",INDEX(TAX_MODES!$B:$B,MATCH($AM255,TAX_MODES!$A:$A,0)))</f>
        <v/>
      </c>
    </row>
    <row r="256" spans="24:40" x14ac:dyDescent="0.3">
      <c r="X256" s="13"/>
      <c r="Y256" s="13" t="str">
        <f>IF($X256="","",SUMIFS(TARIFF_PROFILES!$D:$D,TARIFF_PROFILES!$A:$A,$X256))</f>
        <v/>
      </c>
      <c r="Z256" s="13" t="str">
        <f>IF($X256="","",SUMIFS(TARIFF_PROFILES!$E:$E,TARIFF_PROFILES!$A:$A,$X256))</f>
        <v/>
      </c>
      <c r="AA256" s="13" t="str">
        <f>IF($X256="","",SUMIFS(TARIFF_PROFILES!$F:$F,TARIFF_PROFILES!$A:$A,$X256))</f>
        <v/>
      </c>
      <c r="AB256" s="13" t="str">
        <f>IF($X256="","",SUMIFS(TARIFF_PROFILES!$G:$G,TARIFF_PROFILES!$A:$A,$X256))</f>
        <v/>
      </c>
      <c r="AC256" s="13" t="str">
        <f>IF($X256="","",SUMIFS(TARIFF_PROFILES!$H:$H,TARIFF_PROFILES!$A:$A,$X256))</f>
        <v/>
      </c>
      <c r="AD256" s="13" t="str">
        <f>IF($X256="","",INDEX(TARIFF_PROFILES!$J:$J,MATCH($X256,TARIFF_PROFILES!$A:$A,0)))</f>
        <v/>
      </c>
      <c r="AE256" s="13" t="str">
        <f>IF($X256="","",INDEX(TARIFF_PROFILES!$K:$K,MATCH($X256,TARIFF_PROFILES!$A:$A,0)))</f>
        <v/>
      </c>
      <c r="AH256" t="str">
        <f>IF($AG256="","",SUMIFS(OPERATING_COEFFS!$C:$C,OPERATING_COEFFS!$A:$A,"DistanceClass",OPERATING_COEFFS!$B:$B,$AG256))</f>
        <v/>
      </c>
      <c r="AJ256" t="str">
        <f>IF($AI256="","",SUMIFS(OPERATING_COEFFS!$C:$C,OPERATING_COEFFS!$A:$A,"SeasonClass",OPERATING_COEFFS!$B:$B,$AI256))</f>
        <v/>
      </c>
      <c r="AL256" t="str">
        <f>IF($AK256="","",SUMIFS(OPERATING_COEFFS!$C:$C,OPERATING_COEFFS!$A:$A,"UrgencyClass",OPERATING_COEFFS!$B:$B,$AK256))</f>
        <v/>
      </c>
      <c r="AN256" t="str">
        <f>IF($AM256="","",INDEX(TAX_MODES!$B:$B,MATCH($AM256,TAX_MODES!$A:$A,0)))</f>
        <v/>
      </c>
    </row>
    <row r="257" spans="24:40" x14ac:dyDescent="0.3">
      <c r="X257" s="13"/>
      <c r="Y257" s="13" t="str">
        <f>IF($X257="","",SUMIFS(TARIFF_PROFILES!$D:$D,TARIFF_PROFILES!$A:$A,$X257))</f>
        <v/>
      </c>
      <c r="Z257" s="13" t="str">
        <f>IF($X257="","",SUMIFS(TARIFF_PROFILES!$E:$E,TARIFF_PROFILES!$A:$A,$X257))</f>
        <v/>
      </c>
      <c r="AA257" s="13" t="str">
        <f>IF($X257="","",SUMIFS(TARIFF_PROFILES!$F:$F,TARIFF_PROFILES!$A:$A,$X257))</f>
        <v/>
      </c>
      <c r="AB257" s="13" t="str">
        <f>IF($X257="","",SUMIFS(TARIFF_PROFILES!$G:$G,TARIFF_PROFILES!$A:$A,$X257))</f>
        <v/>
      </c>
      <c r="AC257" s="13" t="str">
        <f>IF($X257="","",SUMIFS(TARIFF_PROFILES!$H:$H,TARIFF_PROFILES!$A:$A,$X257))</f>
        <v/>
      </c>
      <c r="AD257" s="13" t="str">
        <f>IF($X257="","",INDEX(TARIFF_PROFILES!$J:$J,MATCH($X257,TARIFF_PROFILES!$A:$A,0)))</f>
        <v/>
      </c>
      <c r="AE257" s="13" t="str">
        <f>IF($X257="","",INDEX(TARIFF_PROFILES!$K:$K,MATCH($X257,TARIFF_PROFILES!$A:$A,0)))</f>
        <v/>
      </c>
      <c r="AH257" t="str">
        <f>IF($AG257="","",SUMIFS(OPERATING_COEFFS!$C:$C,OPERATING_COEFFS!$A:$A,"DistanceClass",OPERATING_COEFFS!$B:$B,$AG257))</f>
        <v/>
      </c>
      <c r="AJ257" t="str">
        <f>IF($AI257="","",SUMIFS(OPERATING_COEFFS!$C:$C,OPERATING_COEFFS!$A:$A,"SeasonClass",OPERATING_COEFFS!$B:$B,$AI257))</f>
        <v/>
      </c>
      <c r="AL257" t="str">
        <f>IF($AK257="","",SUMIFS(OPERATING_COEFFS!$C:$C,OPERATING_COEFFS!$A:$A,"UrgencyClass",OPERATING_COEFFS!$B:$B,$AK257))</f>
        <v/>
      </c>
      <c r="AN257" t="str">
        <f>IF($AM257="","",INDEX(TAX_MODES!$B:$B,MATCH($AM257,TAX_MODES!$A:$A,0)))</f>
        <v/>
      </c>
    </row>
    <row r="258" spans="24:40" x14ac:dyDescent="0.3">
      <c r="X258" s="13"/>
      <c r="Y258" s="13" t="str">
        <f>IF($X258="","",SUMIFS(TARIFF_PROFILES!$D:$D,TARIFF_PROFILES!$A:$A,$X258))</f>
        <v/>
      </c>
      <c r="Z258" s="13" t="str">
        <f>IF($X258="","",SUMIFS(TARIFF_PROFILES!$E:$E,TARIFF_PROFILES!$A:$A,$X258))</f>
        <v/>
      </c>
      <c r="AA258" s="13" t="str">
        <f>IF($X258="","",SUMIFS(TARIFF_PROFILES!$F:$F,TARIFF_PROFILES!$A:$A,$X258))</f>
        <v/>
      </c>
      <c r="AB258" s="13" t="str">
        <f>IF($X258="","",SUMIFS(TARIFF_PROFILES!$G:$G,TARIFF_PROFILES!$A:$A,$X258))</f>
        <v/>
      </c>
      <c r="AC258" s="13" t="str">
        <f>IF($X258="","",SUMIFS(TARIFF_PROFILES!$H:$H,TARIFF_PROFILES!$A:$A,$X258))</f>
        <v/>
      </c>
      <c r="AD258" s="13" t="str">
        <f>IF($X258="","",INDEX(TARIFF_PROFILES!$J:$J,MATCH($X258,TARIFF_PROFILES!$A:$A,0)))</f>
        <v/>
      </c>
      <c r="AE258" s="13" t="str">
        <f>IF($X258="","",INDEX(TARIFF_PROFILES!$K:$K,MATCH($X258,TARIFF_PROFILES!$A:$A,0)))</f>
        <v/>
      </c>
      <c r="AH258" t="str">
        <f>IF($AG258="","",SUMIFS(OPERATING_COEFFS!$C:$C,OPERATING_COEFFS!$A:$A,"DistanceClass",OPERATING_COEFFS!$B:$B,$AG258))</f>
        <v/>
      </c>
      <c r="AJ258" t="str">
        <f>IF($AI258="","",SUMIFS(OPERATING_COEFFS!$C:$C,OPERATING_COEFFS!$A:$A,"SeasonClass",OPERATING_COEFFS!$B:$B,$AI258))</f>
        <v/>
      </c>
      <c r="AL258" t="str">
        <f>IF($AK258="","",SUMIFS(OPERATING_COEFFS!$C:$C,OPERATING_COEFFS!$A:$A,"UrgencyClass",OPERATING_COEFFS!$B:$B,$AK258))</f>
        <v/>
      </c>
      <c r="AN258" t="str">
        <f>IF($AM258="","",INDEX(TAX_MODES!$B:$B,MATCH($AM258,TAX_MODES!$A:$A,0)))</f>
        <v/>
      </c>
    </row>
    <row r="259" spans="24:40" x14ac:dyDescent="0.3">
      <c r="X259" s="13"/>
      <c r="Y259" s="13" t="str">
        <f>IF($X259="","",SUMIFS(TARIFF_PROFILES!$D:$D,TARIFF_PROFILES!$A:$A,$X259))</f>
        <v/>
      </c>
      <c r="Z259" s="13" t="str">
        <f>IF($X259="","",SUMIFS(TARIFF_PROFILES!$E:$E,TARIFF_PROFILES!$A:$A,$X259))</f>
        <v/>
      </c>
      <c r="AA259" s="13" t="str">
        <f>IF($X259="","",SUMIFS(TARIFF_PROFILES!$F:$F,TARIFF_PROFILES!$A:$A,$X259))</f>
        <v/>
      </c>
      <c r="AB259" s="13" t="str">
        <f>IF($X259="","",SUMIFS(TARIFF_PROFILES!$G:$G,TARIFF_PROFILES!$A:$A,$X259))</f>
        <v/>
      </c>
      <c r="AC259" s="13" t="str">
        <f>IF($X259="","",SUMIFS(TARIFF_PROFILES!$H:$H,TARIFF_PROFILES!$A:$A,$X259))</f>
        <v/>
      </c>
      <c r="AD259" s="13" t="str">
        <f>IF($X259="","",INDEX(TARIFF_PROFILES!$J:$J,MATCH($X259,TARIFF_PROFILES!$A:$A,0)))</f>
        <v/>
      </c>
      <c r="AE259" s="13" t="str">
        <f>IF($X259="","",INDEX(TARIFF_PROFILES!$K:$K,MATCH($X259,TARIFF_PROFILES!$A:$A,0)))</f>
        <v/>
      </c>
      <c r="AH259" t="str">
        <f>IF($AG259="","",SUMIFS(OPERATING_COEFFS!$C:$C,OPERATING_COEFFS!$A:$A,"DistanceClass",OPERATING_COEFFS!$B:$B,$AG259))</f>
        <v/>
      </c>
      <c r="AJ259" t="str">
        <f>IF($AI259="","",SUMIFS(OPERATING_COEFFS!$C:$C,OPERATING_COEFFS!$A:$A,"SeasonClass",OPERATING_COEFFS!$B:$B,$AI259))</f>
        <v/>
      </c>
      <c r="AL259" t="str">
        <f>IF($AK259="","",SUMIFS(OPERATING_COEFFS!$C:$C,OPERATING_COEFFS!$A:$A,"UrgencyClass",OPERATING_COEFFS!$B:$B,$AK259))</f>
        <v/>
      </c>
      <c r="AN259" t="str">
        <f>IF($AM259="","",INDEX(TAX_MODES!$B:$B,MATCH($AM259,TAX_MODES!$A:$A,0)))</f>
        <v/>
      </c>
    </row>
    <row r="260" spans="24:40" x14ac:dyDescent="0.3">
      <c r="X260" s="13"/>
      <c r="Y260" s="13" t="str">
        <f>IF($X260="","",SUMIFS(TARIFF_PROFILES!$D:$D,TARIFF_PROFILES!$A:$A,$X260))</f>
        <v/>
      </c>
      <c r="Z260" s="13" t="str">
        <f>IF($X260="","",SUMIFS(TARIFF_PROFILES!$E:$E,TARIFF_PROFILES!$A:$A,$X260))</f>
        <v/>
      </c>
      <c r="AA260" s="13" t="str">
        <f>IF($X260="","",SUMIFS(TARIFF_PROFILES!$F:$F,TARIFF_PROFILES!$A:$A,$X260))</f>
        <v/>
      </c>
      <c r="AB260" s="13" t="str">
        <f>IF($X260="","",SUMIFS(TARIFF_PROFILES!$G:$G,TARIFF_PROFILES!$A:$A,$X260))</f>
        <v/>
      </c>
      <c r="AC260" s="13" t="str">
        <f>IF($X260="","",SUMIFS(TARIFF_PROFILES!$H:$H,TARIFF_PROFILES!$A:$A,$X260))</f>
        <v/>
      </c>
      <c r="AD260" s="13" t="str">
        <f>IF($X260="","",INDEX(TARIFF_PROFILES!$J:$J,MATCH($X260,TARIFF_PROFILES!$A:$A,0)))</f>
        <v/>
      </c>
      <c r="AE260" s="13" t="str">
        <f>IF($X260="","",INDEX(TARIFF_PROFILES!$K:$K,MATCH($X260,TARIFF_PROFILES!$A:$A,0)))</f>
        <v/>
      </c>
      <c r="AH260" t="str">
        <f>IF($AG260="","",SUMIFS(OPERATING_COEFFS!$C:$C,OPERATING_COEFFS!$A:$A,"DistanceClass",OPERATING_COEFFS!$B:$B,$AG260))</f>
        <v/>
      </c>
      <c r="AJ260" t="str">
        <f>IF($AI260="","",SUMIFS(OPERATING_COEFFS!$C:$C,OPERATING_COEFFS!$A:$A,"SeasonClass",OPERATING_COEFFS!$B:$B,$AI260))</f>
        <v/>
      </c>
      <c r="AL260" t="str">
        <f>IF($AK260="","",SUMIFS(OPERATING_COEFFS!$C:$C,OPERATING_COEFFS!$A:$A,"UrgencyClass",OPERATING_COEFFS!$B:$B,$AK260))</f>
        <v/>
      </c>
      <c r="AN260" t="str">
        <f>IF($AM260="","",INDEX(TAX_MODES!$B:$B,MATCH($AM260,TAX_MODES!$A:$A,0)))</f>
        <v/>
      </c>
    </row>
    <row r="261" spans="24:40" x14ac:dyDescent="0.3">
      <c r="X261" s="13"/>
      <c r="Y261" s="13" t="str">
        <f>IF($X261="","",SUMIFS(TARIFF_PROFILES!$D:$D,TARIFF_PROFILES!$A:$A,$X261))</f>
        <v/>
      </c>
      <c r="Z261" s="13" t="str">
        <f>IF($X261="","",SUMIFS(TARIFF_PROFILES!$E:$E,TARIFF_PROFILES!$A:$A,$X261))</f>
        <v/>
      </c>
      <c r="AA261" s="13" t="str">
        <f>IF($X261="","",SUMIFS(TARIFF_PROFILES!$F:$F,TARIFF_PROFILES!$A:$A,$X261))</f>
        <v/>
      </c>
      <c r="AB261" s="13" t="str">
        <f>IF($X261="","",SUMIFS(TARIFF_PROFILES!$G:$G,TARIFF_PROFILES!$A:$A,$X261))</f>
        <v/>
      </c>
      <c r="AC261" s="13" t="str">
        <f>IF($X261="","",SUMIFS(TARIFF_PROFILES!$H:$H,TARIFF_PROFILES!$A:$A,$X261))</f>
        <v/>
      </c>
      <c r="AD261" s="13" t="str">
        <f>IF($X261="","",INDEX(TARIFF_PROFILES!$J:$J,MATCH($X261,TARIFF_PROFILES!$A:$A,0)))</f>
        <v/>
      </c>
      <c r="AE261" s="13" t="str">
        <f>IF($X261="","",INDEX(TARIFF_PROFILES!$K:$K,MATCH($X261,TARIFF_PROFILES!$A:$A,0)))</f>
        <v/>
      </c>
      <c r="AH261" t="str">
        <f>IF($AG261="","",SUMIFS(OPERATING_COEFFS!$C:$C,OPERATING_COEFFS!$A:$A,"DistanceClass",OPERATING_COEFFS!$B:$B,$AG261))</f>
        <v/>
      </c>
      <c r="AJ261" t="str">
        <f>IF($AI261="","",SUMIFS(OPERATING_COEFFS!$C:$C,OPERATING_COEFFS!$A:$A,"SeasonClass",OPERATING_COEFFS!$B:$B,$AI261))</f>
        <v/>
      </c>
      <c r="AL261" t="str">
        <f>IF($AK261="","",SUMIFS(OPERATING_COEFFS!$C:$C,OPERATING_COEFFS!$A:$A,"UrgencyClass",OPERATING_COEFFS!$B:$B,$AK261))</f>
        <v/>
      </c>
      <c r="AN261" t="str">
        <f>IF($AM261="","",INDEX(TAX_MODES!$B:$B,MATCH($AM261,TAX_MODES!$A:$A,0)))</f>
        <v/>
      </c>
    </row>
    <row r="262" spans="24:40" x14ac:dyDescent="0.3">
      <c r="X262" s="13"/>
      <c r="Y262" s="13" t="str">
        <f>IF($X262="","",SUMIFS(TARIFF_PROFILES!$D:$D,TARIFF_PROFILES!$A:$A,$X262))</f>
        <v/>
      </c>
      <c r="Z262" s="13" t="str">
        <f>IF($X262="","",SUMIFS(TARIFF_PROFILES!$E:$E,TARIFF_PROFILES!$A:$A,$X262))</f>
        <v/>
      </c>
      <c r="AA262" s="13" t="str">
        <f>IF($X262="","",SUMIFS(TARIFF_PROFILES!$F:$F,TARIFF_PROFILES!$A:$A,$X262))</f>
        <v/>
      </c>
      <c r="AB262" s="13" t="str">
        <f>IF($X262="","",SUMIFS(TARIFF_PROFILES!$G:$G,TARIFF_PROFILES!$A:$A,$X262))</f>
        <v/>
      </c>
      <c r="AC262" s="13" t="str">
        <f>IF($X262="","",SUMIFS(TARIFF_PROFILES!$H:$H,TARIFF_PROFILES!$A:$A,$X262))</f>
        <v/>
      </c>
      <c r="AD262" s="13" t="str">
        <f>IF($X262="","",INDEX(TARIFF_PROFILES!$J:$J,MATCH($X262,TARIFF_PROFILES!$A:$A,0)))</f>
        <v/>
      </c>
      <c r="AE262" s="13" t="str">
        <f>IF($X262="","",INDEX(TARIFF_PROFILES!$K:$K,MATCH($X262,TARIFF_PROFILES!$A:$A,0)))</f>
        <v/>
      </c>
      <c r="AH262" t="str">
        <f>IF($AG262="","",SUMIFS(OPERATING_COEFFS!$C:$C,OPERATING_COEFFS!$A:$A,"DistanceClass",OPERATING_COEFFS!$B:$B,$AG262))</f>
        <v/>
      </c>
      <c r="AJ262" t="str">
        <f>IF($AI262="","",SUMIFS(OPERATING_COEFFS!$C:$C,OPERATING_COEFFS!$A:$A,"SeasonClass",OPERATING_COEFFS!$B:$B,$AI262))</f>
        <v/>
      </c>
      <c r="AL262" t="str">
        <f>IF($AK262="","",SUMIFS(OPERATING_COEFFS!$C:$C,OPERATING_COEFFS!$A:$A,"UrgencyClass",OPERATING_COEFFS!$B:$B,$AK262))</f>
        <v/>
      </c>
      <c r="AN262" t="str">
        <f>IF($AM262="","",INDEX(TAX_MODES!$B:$B,MATCH($AM262,TAX_MODES!$A:$A,0)))</f>
        <v/>
      </c>
    </row>
    <row r="263" spans="24:40" x14ac:dyDescent="0.3">
      <c r="X263" s="13"/>
      <c r="Y263" s="13" t="str">
        <f>IF($X263="","",SUMIFS(TARIFF_PROFILES!$D:$D,TARIFF_PROFILES!$A:$A,$X263))</f>
        <v/>
      </c>
      <c r="Z263" s="13" t="str">
        <f>IF($X263="","",SUMIFS(TARIFF_PROFILES!$E:$E,TARIFF_PROFILES!$A:$A,$X263))</f>
        <v/>
      </c>
      <c r="AA263" s="13" t="str">
        <f>IF($X263="","",SUMIFS(TARIFF_PROFILES!$F:$F,TARIFF_PROFILES!$A:$A,$X263))</f>
        <v/>
      </c>
      <c r="AB263" s="13" t="str">
        <f>IF($X263="","",SUMIFS(TARIFF_PROFILES!$G:$G,TARIFF_PROFILES!$A:$A,$X263))</f>
        <v/>
      </c>
      <c r="AC263" s="13" t="str">
        <f>IF($X263="","",SUMIFS(TARIFF_PROFILES!$H:$H,TARIFF_PROFILES!$A:$A,$X263))</f>
        <v/>
      </c>
      <c r="AD263" s="13" t="str">
        <f>IF($X263="","",INDEX(TARIFF_PROFILES!$J:$J,MATCH($X263,TARIFF_PROFILES!$A:$A,0)))</f>
        <v/>
      </c>
      <c r="AE263" s="13" t="str">
        <f>IF($X263="","",INDEX(TARIFF_PROFILES!$K:$K,MATCH($X263,TARIFF_PROFILES!$A:$A,0)))</f>
        <v/>
      </c>
      <c r="AH263" t="str">
        <f>IF($AG263="","",SUMIFS(OPERATING_COEFFS!$C:$C,OPERATING_COEFFS!$A:$A,"DistanceClass",OPERATING_COEFFS!$B:$B,$AG263))</f>
        <v/>
      </c>
      <c r="AJ263" t="str">
        <f>IF($AI263="","",SUMIFS(OPERATING_COEFFS!$C:$C,OPERATING_COEFFS!$A:$A,"SeasonClass",OPERATING_COEFFS!$B:$B,$AI263))</f>
        <v/>
      </c>
      <c r="AL263" t="str">
        <f>IF($AK263="","",SUMIFS(OPERATING_COEFFS!$C:$C,OPERATING_COEFFS!$A:$A,"UrgencyClass",OPERATING_COEFFS!$B:$B,$AK263))</f>
        <v/>
      </c>
      <c r="AN263" t="str">
        <f>IF($AM263="","",INDEX(TAX_MODES!$B:$B,MATCH($AM263,TAX_MODES!$A:$A,0)))</f>
        <v/>
      </c>
    </row>
    <row r="264" spans="24:40" x14ac:dyDescent="0.3">
      <c r="X264" s="13"/>
      <c r="Y264" s="13" t="str">
        <f>IF($X264="","",SUMIFS(TARIFF_PROFILES!$D:$D,TARIFF_PROFILES!$A:$A,$X264))</f>
        <v/>
      </c>
      <c r="Z264" s="13" t="str">
        <f>IF($X264="","",SUMIFS(TARIFF_PROFILES!$E:$E,TARIFF_PROFILES!$A:$A,$X264))</f>
        <v/>
      </c>
      <c r="AA264" s="13" t="str">
        <f>IF($X264="","",SUMIFS(TARIFF_PROFILES!$F:$F,TARIFF_PROFILES!$A:$A,$X264))</f>
        <v/>
      </c>
      <c r="AB264" s="13" t="str">
        <f>IF($X264="","",SUMIFS(TARIFF_PROFILES!$G:$G,TARIFF_PROFILES!$A:$A,$X264))</f>
        <v/>
      </c>
      <c r="AC264" s="13" t="str">
        <f>IF($X264="","",SUMIFS(TARIFF_PROFILES!$H:$H,TARIFF_PROFILES!$A:$A,$X264))</f>
        <v/>
      </c>
      <c r="AD264" s="13" t="str">
        <f>IF($X264="","",INDEX(TARIFF_PROFILES!$J:$J,MATCH($X264,TARIFF_PROFILES!$A:$A,0)))</f>
        <v/>
      </c>
      <c r="AE264" s="13" t="str">
        <f>IF($X264="","",INDEX(TARIFF_PROFILES!$K:$K,MATCH($X264,TARIFF_PROFILES!$A:$A,0)))</f>
        <v/>
      </c>
      <c r="AH264" t="str">
        <f>IF($AG264="","",SUMIFS(OPERATING_COEFFS!$C:$C,OPERATING_COEFFS!$A:$A,"DistanceClass",OPERATING_COEFFS!$B:$B,$AG264))</f>
        <v/>
      </c>
      <c r="AJ264" t="str">
        <f>IF($AI264="","",SUMIFS(OPERATING_COEFFS!$C:$C,OPERATING_COEFFS!$A:$A,"SeasonClass",OPERATING_COEFFS!$B:$B,$AI264))</f>
        <v/>
      </c>
      <c r="AL264" t="str">
        <f>IF($AK264="","",SUMIFS(OPERATING_COEFFS!$C:$C,OPERATING_COEFFS!$A:$A,"UrgencyClass",OPERATING_COEFFS!$B:$B,$AK264))</f>
        <v/>
      </c>
      <c r="AN264" t="str">
        <f>IF($AM264="","",INDEX(TAX_MODES!$B:$B,MATCH($AM264,TAX_MODES!$A:$A,0)))</f>
        <v/>
      </c>
    </row>
    <row r="265" spans="24:40" x14ac:dyDescent="0.3">
      <c r="X265" s="13"/>
      <c r="Y265" s="13" t="str">
        <f>IF($X265="","",SUMIFS(TARIFF_PROFILES!$D:$D,TARIFF_PROFILES!$A:$A,$X265))</f>
        <v/>
      </c>
      <c r="Z265" s="13" t="str">
        <f>IF($X265="","",SUMIFS(TARIFF_PROFILES!$E:$E,TARIFF_PROFILES!$A:$A,$X265))</f>
        <v/>
      </c>
      <c r="AA265" s="13" t="str">
        <f>IF($X265="","",SUMIFS(TARIFF_PROFILES!$F:$F,TARIFF_PROFILES!$A:$A,$X265))</f>
        <v/>
      </c>
      <c r="AB265" s="13" t="str">
        <f>IF($X265="","",SUMIFS(TARIFF_PROFILES!$G:$G,TARIFF_PROFILES!$A:$A,$X265))</f>
        <v/>
      </c>
      <c r="AC265" s="13" t="str">
        <f>IF($X265="","",SUMIFS(TARIFF_PROFILES!$H:$H,TARIFF_PROFILES!$A:$A,$X265))</f>
        <v/>
      </c>
      <c r="AD265" s="13" t="str">
        <f>IF($X265="","",INDEX(TARIFF_PROFILES!$J:$J,MATCH($X265,TARIFF_PROFILES!$A:$A,0)))</f>
        <v/>
      </c>
      <c r="AE265" s="13" t="str">
        <f>IF($X265="","",INDEX(TARIFF_PROFILES!$K:$K,MATCH($X265,TARIFF_PROFILES!$A:$A,0)))</f>
        <v/>
      </c>
      <c r="AH265" t="str">
        <f>IF($AG265="","",SUMIFS(OPERATING_COEFFS!$C:$C,OPERATING_COEFFS!$A:$A,"DistanceClass",OPERATING_COEFFS!$B:$B,$AG265))</f>
        <v/>
      </c>
      <c r="AJ265" t="str">
        <f>IF($AI265="","",SUMIFS(OPERATING_COEFFS!$C:$C,OPERATING_COEFFS!$A:$A,"SeasonClass",OPERATING_COEFFS!$B:$B,$AI265))</f>
        <v/>
      </c>
      <c r="AL265" t="str">
        <f>IF($AK265="","",SUMIFS(OPERATING_COEFFS!$C:$C,OPERATING_COEFFS!$A:$A,"UrgencyClass",OPERATING_COEFFS!$B:$B,$AK265))</f>
        <v/>
      </c>
      <c r="AN265" t="str">
        <f>IF($AM265="","",INDEX(TAX_MODES!$B:$B,MATCH($AM265,TAX_MODES!$A:$A,0)))</f>
        <v/>
      </c>
    </row>
    <row r="266" spans="24:40" x14ac:dyDescent="0.3">
      <c r="X266" s="13"/>
      <c r="Y266" s="13" t="str">
        <f>IF($X266="","",SUMIFS(TARIFF_PROFILES!$D:$D,TARIFF_PROFILES!$A:$A,$X266))</f>
        <v/>
      </c>
      <c r="Z266" s="13" t="str">
        <f>IF($X266="","",SUMIFS(TARIFF_PROFILES!$E:$E,TARIFF_PROFILES!$A:$A,$X266))</f>
        <v/>
      </c>
      <c r="AA266" s="13" t="str">
        <f>IF($X266="","",SUMIFS(TARIFF_PROFILES!$F:$F,TARIFF_PROFILES!$A:$A,$X266))</f>
        <v/>
      </c>
      <c r="AB266" s="13" t="str">
        <f>IF($X266="","",SUMIFS(TARIFF_PROFILES!$G:$G,TARIFF_PROFILES!$A:$A,$X266))</f>
        <v/>
      </c>
      <c r="AC266" s="13" t="str">
        <f>IF($X266="","",SUMIFS(TARIFF_PROFILES!$H:$H,TARIFF_PROFILES!$A:$A,$X266))</f>
        <v/>
      </c>
      <c r="AD266" s="13" t="str">
        <f>IF($X266="","",INDEX(TARIFF_PROFILES!$J:$J,MATCH($X266,TARIFF_PROFILES!$A:$A,0)))</f>
        <v/>
      </c>
      <c r="AE266" s="13" t="str">
        <f>IF($X266="","",INDEX(TARIFF_PROFILES!$K:$K,MATCH($X266,TARIFF_PROFILES!$A:$A,0)))</f>
        <v/>
      </c>
      <c r="AH266" t="str">
        <f>IF($AG266="","",SUMIFS(OPERATING_COEFFS!$C:$C,OPERATING_COEFFS!$A:$A,"DistanceClass",OPERATING_COEFFS!$B:$B,$AG266))</f>
        <v/>
      </c>
      <c r="AJ266" t="str">
        <f>IF($AI266="","",SUMIFS(OPERATING_COEFFS!$C:$C,OPERATING_COEFFS!$A:$A,"SeasonClass",OPERATING_COEFFS!$B:$B,$AI266))</f>
        <v/>
      </c>
      <c r="AL266" t="str">
        <f>IF($AK266="","",SUMIFS(OPERATING_COEFFS!$C:$C,OPERATING_COEFFS!$A:$A,"UrgencyClass",OPERATING_COEFFS!$B:$B,$AK266))</f>
        <v/>
      </c>
      <c r="AN266" t="str">
        <f>IF($AM266="","",INDEX(TAX_MODES!$B:$B,MATCH($AM266,TAX_MODES!$A:$A,0)))</f>
        <v/>
      </c>
    </row>
    <row r="267" spans="24:40" x14ac:dyDescent="0.3">
      <c r="X267" s="13"/>
      <c r="Y267" s="13" t="str">
        <f>IF($X267="","",SUMIFS(TARIFF_PROFILES!$D:$D,TARIFF_PROFILES!$A:$A,$X267))</f>
        <v/>
      </c>
      <c r="Z267" s="13" t="str">
        <f>IF($X267="","",SUMIFS(TARIFF_PROFILES!$E:$E,TARIFF_PROFILES!$A:$A,$X267))</f>
        <v/>
      </c>
      <c r="AA267" s="13" t="str">
        <f>IF($X267="","",SUMIFS(TARIFF_PROFILES!$F:$F,TARIFF_PROFILES!$A:$A,$X267))</f>
        <v/>
      </c>
      <c r="AB267" s="13" t="str">
        <f>IF($X267="","",SUMIFS(TARIFF_PROFILES!$G:$G,TARIFF_PROFILES!$A:$A,$X267))</f>
        <v/>
      </c>
      <c r="AC267" s="13" t="str">
        <f>IF($X267="","",SUMIFS(TARIFF_PROFILES!$H:$H,TARIFF_PROFILES!$A:$A,$X267))</f>
        <v/>
      </c>
      <c r="AD267" s="13" t="str">
        <f>IF($X267="","",INDEX(TARIFF_PROFILES!$J:$J,MATCH($X267,TARIFF_PROFILES!$A:$A,0)))</f>
        <v/>
      </c>
      <c r="AE267" s="13" t="str">
        <f>IF($X267="","",INDEX(TARIFF_PROFILES!$K:$K,MATCH($X267,TARIFF_PROFILES!$A:$A,0)))</f>
        <v/>
      </c>
      <c r="AH267" t="str">
        <f>IF($AG267="","",SUMIFS(OPERATING_COEFFS!$C:$C,OPERATING_COEFFS!$A:$A,"DistanceClass",OPERATING_COEFFS!$B:$B,$AG267))</f>
        <v/>
      </c>
      <c r="AJ267" t="str">
        <f>IF($AI267="","",SUMIFS(OPERATING_COEFFS!$C:$C,OPERATING_COEFFS!$A:$A,"SeasonClass",OPERATING_COEFFS!$B:$B,$AI267))</f>
        <v/>
      </c>
      <c r="AL267" t="str">
        <f>IF($AK267="","",SUMIFS(OPERATING_COEFFS!$C:$C,OPERATING_COEFFS!$A:$A,"UrgencyClass",OPERATING_COEFFS!$B:$B,$AK267))</f>
        <v/>
      </c>
      <c r="AN267" t="str">
        <f>IF($AM267="","",INDEX(TAX_MODES!$B:$B,MATCH($AM267,TAX_MODES!$A:$A,0)))</f>
        <v/>
      </c>
    </row>
    <row r="268" spans="24:40" x14ac:dyDescent="0.3">
      <c r="X268" s="13"/>
      <c r="Y268" s="13" t="str">
        <f>IF($X268="","",SUMIFS(TARIFF_PROFILES!$D:$D,TARIFF_PROFILES!$A:$A,$X268))</f>
        <v/>
      </c>
      <c r="Z268" s="13" t="str">
        <f>IF($X268="","",SUMIFS(TARIFF_PROFILES!$E:$E,TARIFF_PROFILES!$A:$A,$X268))</f>
        <v/>
      </c>
      <c r="AA268" s="13" t="str">
        <f>IF($X268="","",SUMIFS(TARIFF_PROFILES!$F:$F,TARIFF_PROFILES!$A:$A,$X268))</f>
        <v/>
      </c>
      <c r="AB268" s="13" t="str">
        <f>IF($X268="","",SUMIFS(TARIFF_PROFILES!$G:$G,TARIFF_PROFILES!$A:$A,$X268))</f>
        <v/>
      </c>
      <c r="AC268" s="13" t="str">
        <f>IF($X268="","",SUMIFS(TARIFF_PROFILES!$H:$H,TARIFF_PROFILES!$A:$A,$X268))</f>
        <v/>
      </c>
      <c r="AD268" s="13" t="str">
        <f>IF($X268="","",INDEX(TARIFF_PROFILES!$J:$J,MATCH($X268,TARIFF_PROFILES!$A:$A,0)))</f>
        <v/>
      </c>
      <c r="AE268" s="13" t="str">
        <f>IF($X268="","",INDEX(TARIFF_PROFILES!$K:$K,MATCH($X268,TARIFF_PROFILES!$A:$A,0)))</f>
        <v/>
      </c>
      <c r="AH268" t="str">
        <f>IF($AG268="","",SUMIFS(OPERATING_COEFFS!$C:$C,OPERATING_COEFFS!$A:$A,"DistanceClass",OPERATING_COEFFS!$B:$B,$AG268))</f>
        <v/>
      </c>
      <c r="AJ268" t="str">
        <f>IF($AI268="","",SUMIFS(OPERATING_COEFFS!$C:$C,OPERATING_COEFFS!$A:$A,"SeasonClass",OPERATING_COEFFS!$B:$B,$AI268))</f>
        <v/>
      </c>
      <c r="AL268" t="str">
        <f>IF($AK268="","",SUMIFS(OPERATING_COEFFS!$C:$C,OPERATING_COEFFS!$A:$A,"UrgencyClass",OPERATING_COEFFS!$B:$B,$AK268))</f>
        <v/>
      </c>
      <c r="AN268" t="str">
        <f>IF($AM268="","",INDEX(TAX_MODES!$B:$B,MATCH($AM268,TAX_MODES!$A:$A,0)))</f>
        <v/>
      </c>
    </row>
    <row r="269" spans="24:40" x14ac:dyDescent="0.3">
      <c r="X269" s="13"/>
      <c r="Y269" s="13" t="str">
        <f>IF($X269="","",SUMIFS(TARIFF_PROFILES!$D:$D,TARIFF_PROFILES!$A:$A,$X269))</f>
        <v/>
      </c>
      <c r="Z269" s="13" t="str">
        <f>IF($X269="","",SUMIFS(TARIFF_PROFILES!$E:$E,TARIFF_PROFILES!$A:$A,$X269))</f>
        <v/>
      </c>
      <c r="AA269" s="13" t="str">
        <f>IF($X269="","",SUMIFS(TARIFF_PROFILES!$F:$F,TARIFF_PROFILES!$A:$A,$X269))</f>
        <v/>
      </c>
      <c r="AB269" s="13" t="str">
        <f>IF($X269="","",SUMIFS(TARIFF_PROFILES!$G:$G,TARIFF_PROFILES!$A:$A,$X269))</f>
        <v/>
      </c>
      <c r="AC269" s="13" t="str">
        <f>IF($X269="","",SUMIFS(TARIFF_PROFILES!$H:$H,TARIFF_PROFILES!$A:$A,$X269))</f>
        <v/>
      </c>
      <c r="AD269" s="13" t="str">
        <f>IF($X269="","",INDEX(TARIFF_PROFILES!$J:$J,MATCH($X269,TARIFF_PROFILES!$A:$A,0)))</f>
        <v/>
      </c>
      <c r="AE269" s="13" t="str">
        <f>IF($X269="","",INDEX(TARIFF_PROFILES!$K:$K,MATCH($X269,TARIFF_PROFILES!$A:$A,0)))</f>
        <v/>
      </c>
      <c r="AH269" t="str">
        <f>IF($AG269="","",SUMIFS(OPERATING_COEFFS!$C:$C,OPERATING_COEFFS!$A:$A,"DistanceClass",OPERATING_COEFFS!$B:$B,$AG269))</f>
        <v/>
      </c>
      <c r="AJ269" t="str">
        <f>IF($AI269="","",SUMIFS(OPERATING_COEFFS!$C:$C,OPERATING_COEFFS!$A:$A,"SeasonClass",OPERATING_COEFFS!$B:$B,$AI269))</f>
        <v/>
      </c>
      <c r="AL269" t="str">
        <f>IF($AK269="","",SUMIFS(OPERATING_COEFFS!$C:$C,OPERATING_COEFFS!$A:$A,"UrgencyClass",OPERATING_COEFFS!$B:$B,$AK269))</f>
        <v/>
      </c>
      <c r="AN269" t="str">
        <f>IF($AM269="","",INDEX(TAX_MODES!$B:$B,MATCH($AM269,TAX_MODES!$A:$A,0)))</f>
        <v/>
      </c>
    </row>
    <row r="270" spans="24:40" x14ac:dyDescent="0.3">
      <c r="X270" s="13"/>
      <c r="Y270" s="13" t="str">
        <f>IF($X270="","",SUMIFS(TARIFF_PROFILES!$D:$D,TARIFF_PROFILES!$A:$A,$X270))</f>
        <v/>
      </c>
      <c r="Z270" s="13" t="str">
        <f>IF($X270="","",SUMIFS(TARIFF_PROFILES!$E:$E,TARIFF_PROFILES!$A:$A,$X270))</f>
        <v/>
      </c>
      <c r="AA270" s="13" t="str">
        <f>IF($X270="","",SUMIFS(TARIFF_PROFILES!$F:$F,TARIFF_PROFILES!$A:$A,$X270))</f>
        <v/>
      </c>
      <c r="AB270" s="13" t="str">
        <f>IF($X270="","",SUMIFS(TARIFF_PROFILES!$G:$G,TARIFF_PROFILES!$A:$A,$X270))</f>
        <v/>
      </c>
      <c r="AC270" s="13" t="str">
        <f>IF($X270="","",SUMIFS(TARIFF_PROFILES!$H:$H,TARIFF_PROFILES!$A:$A,$X270))</f>
        <v/>
      </c>
      <c r="AD270" s="13" t="str">
        <f>IF($X270="","",INDEX(TARIFF_PROFILES!$J:$J,MATCH($X270,TARIFF_PROFILES!$A:$A,0)))</f>
        <v/>
      </c>
      <c r="AE270" s="13" t="str">
        <f>IF($X270="","",INDEX(TARIFF_PROFILES!$K:$K,MATCH($X270,TARIFF_PROFILES!$A:$A,0)))</f>
        <v/>
      </c>
      <c r="AH270" t="str">
        <f>IF($AG270="","",SUMIFS(OPERATING_COEFFS!$C:$C,OPERATING_COEFFS!$A:$A,"DistanceClass",OPERATING_COEFFS!$B:$B,$AG270))</f>
        <v/>
      </c>
      <c r="AJ270" t="str">
        <f>IF($AI270="","",SUMIFS(OPERATING_COEFFS!$C:$C,OPERATING_COEFFS!$A:$A,"SeasonClass",OPERATING_COEFFS!$B:$B,$AI270))</f>
        <v/>
      </c>
      <c r="AL270" t="str">
        <f>IF($AK270="","",SUMIFS(OPERATING_COEFFS!$C:$C,OPERATING_COEFFS!$A:$A,"UrgencyClass",OPERATING_COEFFS!$B:$B,$AK270))</f>
        <v/>
      </c>
      <c r="AN270" t="str">
        <f>IF($AM270="","",INDEX(TAX_MODES!$B:$B,MATCH($AM270,TAX_MODES!$A:$A,0)))</f>
        <v/>
      </c>
    </row>
    <row r="271" spans="24:40" x14ac:dyDescent="0.3">
      <c r="X271" s="13"/>
      <c r="Y271" s="13" t="str">
        <f>IF($X271="","",SUMIFS(TARIFF_PROFILES!$D:$D,TARIFF_PROFILES!$A:$A,$X271))</f>
        <v/>
      </c>
      <c r="Z271" s="13" t="str">
        <f>IF($X271="","",SUMIFS(TARIFF_PROFILES!$E:$E,TARIFF_PROFILES!$A:$A,$X271))</f>
        <v/>
      </c>
      <c r="AA271" s="13" t="str">
        <f>IF($X271="","",SUMIFS(TARIFF_PROFILES!$F:$F,TARIFF_PROFILES!$A:$A,$X271))</f>
        <v/>
      </c>
      <c r="AB271" s="13" t="str">
        <f>IF($X271="","",SUMIFS(TARIFF_PROFILES!$G:$G,TARIFF_PROFILES!$A:$A,$X271))</f>
        <v/>
      </c>
      <c r="AC271" s="13" t="str">
        <f>IF($X271="","",SUMIFS(TARIFF_PROFILES!$H:$H,TARIFF_PROFILES!$A:$A,$X271))</f>
        <v/>
      </c>
      <c r="AD271" s="13" t="str">
        <f>IF($X271="","",INDEX(TARIFF_PROFILES!$J:$J,MATCH($X271,TARIFF_PROFILES!$A:$A,0)))</f>
        <v/>
      </c>
      <c r="AE271" s="13" t="str">
        <f>IF($X271="","",INDEX(TARIFF_PROFILES!$K:$K,MATCH($X271,TARIFF_PROFILES!$A:$A,0)))</f>
        <v/>
      </c>
      <c r="AH271" t="str">
        <f>IF($AG271="","",SUMIFS(OPERATING_COEFFS!$C:$C,OPERATING_COEFFS!$A:$A,"DistanceClass",OPERATING_COEFFS!$B:$B,$AG271))</f>
        <v/>
      </c>
      <c r="AJ271" t="str">
        <f>IF($AI271="","",SUMIFS(OPERATING_COEFFS!$C:$C,OPERATING_COEFFS!$A:$A,"SeasonClass",OPERATING_COEFFS!$B:$B,$AI271))</f>
        <v/>
      </c>
      <c r="AL271" t="str">
        <f>IF($AK271="","",SUMIFS(OPERATING_COEFFS!$C:$C,OPERATING_COEFFS!$A:$A,"UrgencyClass",OPERATING_COEFFS!$B:$B,$AK271))</f>
        <v/>
      </c>
      <c r="AN271" t="str">
        <f>IF($AM271="","",INDEX(TAX_MODES!$B:$B,MATCH($AM271,TAX_MODES!$A:$A,0)))</f>
        <v/>
      </c>
    </row>
    <row r="272" spans="24:40" x14ac:dyDescent="0.3">
      <c r="X272" s="13"/>
      <c r="Y272" s="13" t="str">
        <f>IF($X272="","",SUMIFS(TARIFF_PROFILES!$D:$D,TARIFF_PROFILES!$A:$A,$X272))</f>
        <v/>
      </c>
      <c r="Z272" s="13" t="str">
        <f>IF($X272="","",SUMIFS(TARIFF_PROFILES!$E:$E,TARIFF_PROFILES!$A:$A,$X272))</f>
        <v/>
      </c>
      <c r="AA272" s="13" t="str">
        <f>IF($X272="","",SUMIFS(TARIFF_PROFILES!$F:$F,TARIFF_PROFILES!$A:$A,$X272))</f>
        <v/>
      </c>
      <c r="AB272" s="13" t="str">
        <f>IF($X272="","",SUMIFS(TARIFF_PROFILES!$G:$G,TARIFF_PROFILES!$A:$A,$X272))</f>
        <v/>
      </c>
      <c r="AC272" s="13" t="str">
        <f>IF($X272="","",SUMIFS(TARIFF_PROFILES!$H:$H,TARIFF_PROFILES!$A:$A,$X272))</f>
        <v/>
      </c>
      <c r="AD272" s="13" t="str">
        <f>IF($X272="","",INDEX(TARIFF_PROFILES!$J:$J,MATCH($X272,TARIFF_PROFILES!$A:$A,0)))</f>
        <v/>
      </c>
      <c r="AE272" s="13" t="str">
        <f>IF($X272="","",INDEX(TARIFF_PROFILES!$K:$K,MATCH($X272,TARIFF_PROFILES!$A:$A,0)))</f>
        <v/>
      </c>
      <c r="AH272" t="str">
        <f>IF($AG272="","",SUMIFS(OPERATING_COEFFS!$C:$C,OPERATING_COEFFS!$A:$A,"DistanceClass",OPERATING_COEFFS!$B:$B,$AG272))</f>
        <v/>
      </c>
      <c r="AJ272" t="str">
        <f>IF($AI272="","",SUMIFS(OPERATING_COEFFS!$C:$C,OPERATING_COEFFS!$A:$A,"SeasonClass",OPERATING_COEFFS!$B:$B,$AI272))</f>
        <v/>
      </c>
      <c r="AL272" t="str">
        <f>IF($AK272="","",SUMIFS(OPERATING_COEFFS!$C:$C,OPERATING_COEFFS!$A:$A,"UrgencyClass",OPERATING_COEFFS!$B:$B,$AK272))</f>
        <v/>
      </c>
      <c r="AN272" t="str">
        <f>IF($AM272="","",INDEX(TAX_MODES!$B:$B,MATCH($AM272,TAX_MODES!$A:$A,0)))</f>
        <v/>
      </c>
    </row>
    <row r="273" spans="24:40" x14ac:dyDescent="0.3">
      <c r="X273" s="13"/>
      <c r="Y273" s="13" t="str">
        <f>IF($X273="","",SUMIFS(TARIFF_PROFILES!$D:$D,TARIFF_PROFILES!$A:$A,$X273))</f>
        <v/>
      </c>
      <c r="Z273" s="13" t="str">
        <f>IF($X273="","",SUMIFS(TARIFF_PROFILES!$E:$E,TARIFF_PROFILES!$A:$A,$X273))</f>
        <v/>
      </c>
      <c r="AA273" s="13" t="str">
        <f>IF($X273="","",SUMIFS(TARIFF_PROFILES!$F:$F,TARIFF_PROFILES!$A:$A,$X273))</f>
        <v/>
      </c>
      <c r="AB273" s="13" t="str">
        <f>IF($X273="","",SUMIFS(TARIFF_PROFILES!$G:$G,TARIFF_PROFILES!$A:$A,$X273))</f>
        <v/>
      </c>
      <c r="AC273" s="13" t="str">
        <f>IF($X273="","",SUMIFS(TARIFF_PROFILES!$H:$H,TARIFF_PROFILES!$A:$A,$X273))</f>
        <v/>
      </c>
      <c r="AD273" s="13" t="str">
        <f>IF($X273="","",INDEX(TARIFF_PROFILES!$J:$J,MATCH($X273,TARIFF_PROFILES!$A:$A,0)))</f>
        <v/>
      </c>
      <c r="AE273" s="13" t="str">
        <f>IF($X273="","",INDEX(TARIFF_PROFILES!$K:$K,MATCH($X273,TARIFF_PROFILES!$A:$A,0)))</f>
        <v/>
      </c>
      <c r="AH273" t="str">
        <f>IF($AG273="","",SUMIFS(OPERATING_COEFFS!$C:$C,OPERATING_COEFFS!$A:$A,"DistanceClass",OPERATING_COEFFS!$B:$B,$AG273))</f>
        <v/>
      </c>
      <c r="AJ273" t="str">
        <f>IF($AI273="","",SUMIFS(OPERATING_COEFFS!$C:$C,OPERATING_COEFFS!$A:$A,"SeasonClass",OPERATING_COEFFS!$B:$B,$AI273))</f>
        <v/>
      </c>
      <c r="AL273" t="str">
        <f>IF($AK273="","",SUMIFS(OPERATING_COEFFS!$C:$C,OPERATING_COEFFS!$A:$A,"UrgencyClass",OPERATING_COEFFS!$B:$B,$AK273))</f>
        <v/>
      </c>
      <c r="AN273" t="str">
        <f>IF($AM273="","",INDEX(TAX_MODES!$B:$B,MATCH($AM273,TAX_MODES!$A:$A,0)))</f>
        <v/>
      </c>
    </row>
    <row r="274" spans="24:40" x14ac:dyDescent="0.3">
      <c r="X274" s="13"/>
      <c r="Y274" s="13" t="str">
        <f>IF($X274="","",SUMIFS(TARIFF_PROFILES!$D:$D,TARIFF_PROFILES!$A:$A,$X274))</f>
        <v/>
      </c>
      <c r="Z274" s="13" t="str">
        <f>IF($X274="","",SUMIFS(TARIFF_PROFILES!$E:$E,TARIFF_PROFILES!$A:$A,$X274))</f>
        <v/>
      </c>
      <c r="AA274" s="13" t="str">
        <f>IF($X274="","",SUMIFS(TARIFF_PROFILES!$F:$F,TARIFF_PROFILES!$A:$A,$X274))</f>
        <v/>
      </c>
      <c r="AB274" s="13" t="str">
        <f>IF($X274="","",SUMIFS(TARIFF_PROFILES!$G:$G,TARIFF_PROFILES!$A:$A,$X274))</f>
        <v/>
      </c>
      <c r="AC274" s="13" t="str">
        <f>IF($X274="","",SUMIFS(TARIFF_PROFILES!$H:$H,TARIFF_PROFILES!$A:$A,$X274))</f>
        <v/>
      </c>
      <c r="AD274" s="13" t="str">
        <f>IF($X274="","",INDEX(TARIFF_PROFILES!$J:$J,MATCH($X274,TARIFF_PROFILES!$A:$A,0)))</f>
        <v/>
      </c>
      <c r="AE274" s="13" t="str">
        <f>IF($X274="","",INDEX(TARIFF_PROFILES!$K:$K,MATCH($X274,TARIFF_PROFILES!$A:$A,0)))</f>
        <v/>
      </c>
      <c r="AH274" t="str">
        <f>IF($AG274="","",SUMIFS(OPERATING_COEFFS!$C:$C,OPERATING_COEFFS!$A:$A,"DistanceClass",OPERATING_COEFFS!$B:$B,$AG274))</f>
        <v/>
      </c>
      <c r="AJ274" t="str">
        <f>IF($AI274="","",SUMIFS(OPERATING_COEFFS!$C:$C,OPERATING_COEFFS!$A:$A,"SeasonClass",OPERATING_COEFFS!$B:$B,$AI274))</f>
        <v/>
      </c>
      <c r="AL274" t="str">
        <f>IF($AK274="","",SUMIFS(OPERATING_COEFFS!$C:$C,OPERATING_COEFFS!$A:$A,"UrgencyClass",OPERATING_COEFFS!$B:$B,$AK274))</f>
        <v/>
      </c>
      <c r="AN274" t="str">
        <f>IF($AM274="","",INDEX(TAX_MODES!$B:$B,MATCH($AM274,TAX_MODES!$A:$A,0)))</f>
        <v/>
      </c>
    </row>
    <row r="275" spans="24:40" x14ac:dyDescent="0.3">
      <c r="X275" s="13"/>
      <c r="Y275" s="13" t="str">
        <f>IF($X275="","",SUMIFS(TARIFF_PROFILES!$D:$D,TARIFF_PROFILES!$A:$A,$X275))</f>
        <v/>
      </c>
      <c r="Z275" s="13" t="str">
        <f>IF($X275="","",SUMIFS(TARIFF_PROFILES!$E:$E,TARIFF_PROFILES!$A:$A,$X275))</f>
        <v/>
      </c>
      <c r="AA275" s="13" t="str">
        <f>IF($X275="","",SUMIFS(TARIFF_PROFILES!$F:$F,TARIFF_PROFILES!$A:$A,$X275))</f>
        <v/>
      </c>
      <c r="AB275" s="13" t="str">
        <f>IF($X275="","",SUMIFS(TARIFF_PROFILES!$G:$G,TARIFF_PROFILES!$A:$A,$X275))</f>
        <v/>
      </c>
      <c r="AC275" s="13" t="str">
        <f>IF($X275="","",SUMIFS(TARIFF_PROFILES!$H:$H,TARIFF_PROFILES!$A:$A,$X275))</f>
        <v/>
      </c>
      <c r="AD275" s="13" t="str">
        <f>IF($X275="","",INDEX(TARIFF_PROFILES!$J:$J,MATCH($X275,TARIFF_PROFILES!$A:$A,0)))</f>
        <v/>
      </c>
      <c r="AE275" s="13" t="str">
        <f>IF($X275="","",INDEX(TARIFF_PROFILES!$K:$K,MATCH($X275,TARIFF_PROFILES!$A:$A,0)))</f>
        <v/>
      </c>
      <c r="AH275" t="str">
        <f>IF($AG275="","",SUMIFS(OPERATING_COEFFS!$C:$C,OPERATING_COEFFS!$A:$A,"DistanceClass",OPERATING_COEFFS!$B:$B,$AG275))</f>
        <v/>
      </c>
      <c r="AJ275" t="str">
        <f>IF($AI275="","",SUMIFS(OPERATING_COEFFS!$C:$C,OPERATING_COEFFS!$A:$A,"SeasonClass",OPERATING_COEFFS!$B:$B,$AI275))</f>
        <v/>
      </c>
      <c r="AL275" t="str">
        <f>IF($AK275="","",SUMIFS(OPERATING_COEFFS!$C:$C,OPERATING_COEFFS!$A:$A,"UrgencyClass",OPERATING_COEFFS!$B:$B,$AK275))</f>
        <v/>
      </c>
      <c r="AN275" t="str">
        <f>IF($AM275="","",INDEX(TAX_MODES!$B:$B,MATCH($AM275,TAX_MODES!$A:$A,0)))</f>
        <v/>
      </c>
    </row>
    <row r="276" spans="24:40" x14ac:dyDescent="0.3">
      <c r="X276" s="13"/>
      <c r="Y276" s="13" t="str">
        <f>IF($X276="","",SUMIFS(TARIFF_PROFILES!$D:$D,TARIFF_PROFILES!$A:$A,$X276))</f>
        <v/>
      </c>
      <c r="Z276" s="13" t="str">
        <f>IF($X276="","",SUMIFS(TARIFF_PROFILES!$E:$E,TARIFF_PROFILES!$A:$A,$X276))</f>
        <v/>
      </c>
      <c r="AA276" s="13" t="str">
        <f>IF($X276="","",SUMIFS(TARIFF_PROFILES!$F:$F,TARIFF_PROFILES!$A:$A,$X276))</f>
        <v/>
      </c>
      <c r="AB276" s="13" t="str">
        <f>IF($X276="","",SUMIFS(TARIFF_PROFILES!$G:$G,TARIFF_PROFILES!$A:$A,$X276))</f>
        <v/>
      </c>
      <c r="AC276" s="13" t="str">
        <f>IF($X276="","",SUMIFS(TARIFF_PROFILES!$H:$H,TARIFF_PROFILES!$A:$A,$X276))</f>
        <v/>
      </c>
      <c r="AD276" s="13" t="str">
        <f>IF($X276="","",INDEX(TARIFF_PROFILES!$J:$J,MATCH($X276,TARIFF_PROFILES!$A:$A,0)))</f>
        <v/>
      </c>
      <c r="AE276" s="13" t="str">
        <f>IF($X276="","",INDEX(TARIFF_PROFILES!$K:$K,MATCH($X276,TARIFF_PROFILES!$A:$A,0)))</f>
        <v/>
      </c>
      <c r="AH276" t="str">
        <f>IF($AG276="","",SUMIFS(OPERATING_COEFFS!$C:$C,OPERATING_COEFFS!$A:$A,"DistanceClass",OPERATING_COEFFS!$B:$B,$AG276))</f>
        <v/>
      </c>
      <c r="AJ276" t="str">
        <f>IF($AI276="","",SUMIFS(OPERATING_COEFFS!$C:$C,OPERATING_COEFFS!$A:$A,"SeasonClass",OPERATING_COEFFS!$B:$B,$AI276))</f>
        <v/>
      </c>
      <c r="AL276" t="str">
        <f>IF($AK276="","",SUMIFS(OPERATING_COEFFS!$C:$C,OPERATING_COEFFS!$A:$A,"UrgencyClass",OPERATING_COEFFS!$B:$B,$AK276))</f>
        <v/>
      </c>
      <c r="AN276" t="str">
        <f>IF($AM276="","",INDEX(TAX_MODES!$B:$B,MATCH($AM276,TAX_MODES!$A:$A,0)))</f>
        <v/>
      </c>
    </row>
    <row r="277" spans="24:40" x14ac:dyDescent="0.3">
      <c r="X277" s="13"/>
      <c r="Y277" s="13" t="str">
        <f>IF($X277="","",SUMIFS(TARIFF_PROFILES!$D:$D,TARIFF_PROFILES!$A:$A,$X277))</f>
        <v/>
      </c>
      <c r="Z277" s="13" t="str">
        <f>IF($X277="","",SUMIFS(TARIFF_PROFILES!$E:$E,TARIFF_PROFILES!$A:$A,$X277))</f>
        <v/>
      </c>
      <c r="AA277" s="13" t="str">
        <f>IF($X277="","",SUMIFS(TARIFF_PROFILES!$F:$F,TARIFF_PROFILES!$A:$A,$X277))</f>
        <v/>
      </c>
      <c r="AB277" s="13" t="str">
        <f>IF($X277="","",SUMIFS(TARIFF_PROFILES!$G:$G,TARIFF_PROFILES!$A:$A,$X277))</f>
        <v/>
      </c>
      <c r="AC277" s="13" t="str">
        <f>IF($X277="","",SUMIFS(TARIFF_PROFILES!$H:$H,TARIFF_PROFILES!$A:$A,$X277))</f>
        <v/>
      </c>
      <c r="AD277" s="13" t="str">
        <f>IF($X277="","",INDEX(TARIFF_PROFILES!$J:$J,MATCH($X277,TARIFF_PROFILES!$A:$A,0)))</f>
        <v/>
      </c>
      <c r="AE277" s="13" t="str">
        <f>IF($X277="","",INDEX(TARIFF_PROFILES!$K:$K,MATCH($X277,TARIFF_PROFILES!$A:$A,0)))</f>
        <v/>
      </c>
      <c r="AH277" t="str">
        <f>IF($AG277="","",SUMIFS(OPERATING_COEFFS!$C:$C,OPERATING_COEFFS!$A:$A,"DistanceClass",OPERATING_COEFFS!$B:$B,$AG277))</f>
        <v/>
      </c>
      <c r="AJ277" t="str">
        <f>IF($AI277="","",SUMIFS(OPERATING_COEFFS!$C:$C,OPERATING_COEFFS!$A:$A,"SeasonClass",OPERATING_COEFFS!$B:$B,$AI277))</f>
        <v/>
      </c>
      <c r="AL277" t="str">
        <f>IF($AK277="","",SUMIFS(OPERATING_COEFFS!$C:$C,OPERATING_COEFFS!$A:$A,"UrgencyClass",OPERATING_COEFFS!$B:$B,$AK277))</f>
        <v/>
      </c>
      <c r="AN277" t="str">
        <f>IF($AM277="","",INDEX(TAX_MODES!$B:$B,MATCH($AM277,TAX_MODES!$A:$A,0)))</f>
        <v/>
      </c>
    </row>
    <row r="278" spans="24:40" x14ac:dyDescent="0.3">
      <c r="X278" s="13"/>
      <c r="Y278" s="13" t="str">
        <f>IF($X278="","",SUMIFS(TARIFF_PROFILES!$D:$D,TARIFF_PROFILES!$A:$A,$X278))</f>
        <v/>
      </c>
      <c r="Z278" s="13" t="str">
        <f>IF($X278="","",SUMIFS(TARIFF_PROFILES!$E:$E,TARIFF_PROFILES!$A:$A,$X278))</f>
        <v/>
      </c>
      <c r="AA278" s="13" t="str">
        <f>IF($X278="","",SUMIFS(TARIFF_PROFILES!$F:$F,TARIFF_PROFILES!$A:$A,$X278))</f>
        <v/>
      </c>
      <c r="AB278" s="13" t="str">
        <f>IF($X278="","",SUMIFS(TARIFF_PROFILES!$G:$G,TARIFF_PROFILES!$A:$A,$X278))</f>
        <v/>
      </c>
      <c r="AC278" s="13" t="str">
        <f>IF($X278="","",SUMIFS(TARIFF_PROFILES!$H:$H,TARIFF_PROFILES!$A:$A,$X278))</f>
        <v/>
      </c>
      <c r="AD278" s="13" t="str">
        <f>IF($X278="","",INDEX(TARIFF_PROFILES!$J:$J,MATCH($X278,TARIFF_PROFILES!$A:$A,0)))</f>
        <v/>
      </c>
      <c r="AE278" s="13" t="str">
        <f>IF($X278="","",INDEX(TARIFF_PROFILES!$K:$K,MATCH($X278,TARIFF_PROFILES!$A:$A,0)))</f>
        <v/>
      </c>
      <c r="AH278" t="str">
        <f>IF($AG278="","",SUMIFS(OPERATING_COEFFS!$C:$C,OPERATING_COEFFS!$A:$A,"DistanceClass",OPERATING_COEFFS!$B:$B,$AG278))</f>
        <v/>
      </c>
      <c r="AJ278" t="str">
        <f>IF($AI278="","",SUMIFS(OPERATING_COEFFS!$C:$C,OPERATING_COEFFS!$A:$A,"SeasonClass",OPERATING_COEFFS!$B:$B,$AI278))</f>
        <v/>
      </c>
      <c r="AL278" t="str">
        <f>IF($AK278="","",SUMIFS(OPERATING_COEFFS!$C:$C,OPERATING_COEFFS!$A:$A,"UrgencyClass",OPERATING_COEFFS!$B:$B,$AK278))</f>
        <v/>
      </c>
      <c r="AN278" t="str">
        <f>IF($AM278="","",INDEX(TAX_MODES!$B:$B,MATCH($AM278,TAX_MODES!$A:$A,0)))</f>
        <v/>
      </c>
    </row>
    <row r="279" spans="24:40" x14ac:dyDescent="0.3">
      <c r="X279" s="13"/>
      <c r="Y279" s="13" t="str">
        <f>IF($X279="","",SUMIFS(TARIFF_PROFILES!$D:$D,TARIFF_PROFILES!$A:$A,$X279))</f>
        <v/>
      </c>
      <c r="Z279" s="13" t="str">
        <f>IF($X279="","",SUMIFS(TARIFF_PROFILES!$E:$E,TARIFF_PROFILES!$A:$A,$X279))</f>
        <v/>
      </c>
      <c r="AA279" s="13" t="str">
        <f>IF($X279="","",SUMIFS(TARIFF_PROFILES!$F:$F,TARIFF_PROFILES!$A:$A,$X279))</f>
        <v/>
      </c>
      <c r="AB279" s="13" t="str">
        <f>IF($X279="","",SUMIFS(TARIFF_PROFILES!$G:$G,TARIFF_PROFILES!$A:$A,$X279))</f>
        <v/>
      </c>
      <c r="AC279" s="13" t="str">
        <f>IF($X279="","",SUMIFS(TARIFF_PROFILES!$H:$H,TARIFF_PROFILES!$A:$A,$X279))</f>
        <v/>
      </c>
      <c r="AD279" s="13" t="str">
        <f>IF($X279="","",INDEX(TARIFF_PROFILES!$J:$J,MATCH($X279,TARIFF_PROFILES!$A:$A,0)))</f>
        <v/>
      </c>
      <c r="AE279" s="13" t="str">
        <f>IF($X279="","",INDEX(TARIFF_PROFILES!$K:$K,MATCH($X279,TARIFF_PROFILES!$A:$A,0)))</f>
        <v/>
      </c>
      <c r="AH279" t="str">
        <f>IF($AG279="","",SUMIFS(OPERATING_COEFFS!$C:$C,OPERATING_COEFFS!$A:$A,"DistanceClass",OPERATING_COEFFS!$B:$B,$AG279))</f>
        <v/>
      </c>
      <c r="AJ279" t="str">
        <f>IF($AI279="","",SUMIFS(OPERATING_COEFFS!$C:$C,OPERATING_COEFFS!$A:$A,"SeasonClass",OPERATING_COEFFS!$B:$B,$AI279))</f>
        <v/>
      </c>
      <c r="AL279" t="str">
        <f>IF($AK279="","",SUMIFS(OPERATING_COEFFS!$C:$C,OPERATING_COEFFS!$A:$A,"UrgencyClass",OPERATING_COEFFS!$B:$B,$AK279))</f>
        <v/>
      </c>
      <c r="AN279" t="str">
        <f>IF($AM279="","",INDEX(TAX_MODES!$B:$B,MATCH($AM279,TAX_MODES!$A:$A,0)))</f>
        <v/>
      </c>
    </row>
    <row r="280" spans="24:40" x14ac:dyDescent="0.3">
      <c r="X280" s="13"/>
      <c r="Y280" s="13" t="str">
        <f>IF($X280="","",SUMIFS(TARIFF_PROFILES!$D:$D,TARIFF_PROFILES!$A:$A,$X280))</f>
        <v/>
      </c>
      <c r="Z280" s="13" t="str">
        <f>IF($X280="","",SUMIFS(TARIFF_PROFILES!$E:$E,TARIFF_PROFILES!$A:$A,$X280))</f>
        <v/>
      </c>
      <c r="AA280" s="13" t="str">
        <f>IF($X280="","",SUMIFS(TARIFF_PROFILES!$F:$F,TARIFF_PROFILES!$A:$A,$X280))</f>
        <v/>
      </c>
      <c r="AB280" s="13" t="str">
        <f>IF($X280="","",SUMIFS(TARIFF_PROFILES!$G:$G,TARIFF_PROFILES!$A:$A,$X280))</f>
        <v/>
      </c>
      <c r="AC280" s="13" t="str">
        <f>IF($X280="","",SUMIFS(TARIFF_PROFILES!$H:$H,TARIFF_PROFILES!$A:$A,$X280))</f>
        <v/>
      </c>
      <c r="AD280" s="13" t="str">
        <f>IF($X280="","",INDEX(TARIFF_PROFILES!$J:$J,MATCH($X280,TARIFF_PROFILES!$A:$A,0)))</f>
        <v/>
      </c>
      <c r="AE280" s="13" t="str">
        <f>IF($X280="","",INDEX(TARIFF_PROFILES!$K:$K,MATCH($X280,TARIFF_PROFILES!$A:$A,0)))</f>
        <v/>
      </c>
      <c r="AH280" t="str">
        <f>IF($AG280="","",SUMIFS(OPERATING_COEFFS!$C:$C,OPERATING_COEFFS!$A:$A,"DistanceClass",OPERATING_COEFFS!$B:$B,$AG280))</f>
        <v/>
      </c>
      <c r="AJ280" t="str">
        <f>IF($AI280="","",SUMIFS(OPERATING_COEFFS!$C:$C,OPERATING_COEFFS!$A:$A,"SeasonClass",OPERATING_COEFFS!$B:$B,$AI280))</f>
        <v/>
      </c>
      <c r="AL280" t="str">
        <f>IF($AK280="","",SUMIFS(OPERATING_COEFFS!$C:$C,OPERATING_COEFFS!$A:$A,"UrgencyClass",OPERATING_COEFFS!$B:$B,$AK280))</f>
        <v/>
      </c>
      <c r="AN280" t="str">
        <f>IF($AM280="","",INDEX(TAX_MODES!$B:$B,MATCH($AM280,TAX_MODES!$A:$A,0)))</f>
        <v/>
      </c>
    </row>
    <row r="281" spans="24:40" x14ac:dyDescent="0.3">
      <c r="X281" s="13"/>
      <c r="Y281" s="13" t="str">
        <f>IF($X281="","",SUMIFS(TARIFF_PROFILES!$D:$D,TARIFF_PROFILES!$A:$A,$X281))</f>
        <v/>
      </c>
      <c r="Z281" s="13" t="str">
        <f>IF($X281="","",SUMIFS(TARIFF_PROFILES!$E:$E,TARIFF_PROFILES!$A:$A,$X281))</f>
        <v/>
      </c>
      <c r="AA281" s="13" t="str">
        <f>IF($X281="","",SUMIFS(TARIFF_PROFILES!$F:$F,TARIFF_PROFILES!$A:$A,$X281))</f>
        <v/>
      </c>
      <c r="AB281" s="13" t="str">
        <f>IF($X281="","",SUMIFS(TARIFF_PROFILES!$G:$G,TARIFF_PROFILES!$A:$A,$X281))</f>
        <v/>
      </c>
      <c r="AC281" s="13" t="str">
        <f>IF($X281="","",SUMIFS(TARIFF_PROFILES!$H:$H,TARIFF_PROFILES!$A:$A,$X281))</f>
        <v/>
      </c>
      <c r="AD281" s="13" t="str">
        <f>IF($X281="","",INDEX(TARIFF_PROFILES!$J:$J,MATCH($X281,TARIFF_PROFILES!$A:$A,0)))</f>
        <v/>
      </c>
      <c r="AE281" s="13" t="str">
        <f>IF($X281="","",INDEX(TARIFF_PROFILES!$K:$K,MATCH($X281,TARIFF_PROFILES!$A:$A,0)))</f>
        <v/>
      </c>
      <c r="AH281" t="str">
        <f>IF($AG281="","",SUMIFS(OPERATING_COEFFS!$C:$C,OPERATING_COEFFS!$A:$A,"DistanceClass",OPERATING_COEFFS!$B:$B,$AG281))</f>
        <v/>
      </c>
      <c r="AJ281" t="str">
        <f>IF($AI281="","",SUMIFS(OPERATING_COEFFS!$C:$C,OPERATING_COEFFS!$A:$A,"SeasonClass",OPERATING_COEFFS!$B:$B,$AI281))</f>
        <v/>
      </c>
      <c r="AL281" t="str">
        <f>IF($AK281="","",SUMIFS(OPERATING_COEFFS!$C:$C,OPERATING_COEFFS!$A:$A,"UrgencyClass",OPERATING_COEFFS!$B:$B,$AK281))</f>
        <v/>
      </c>
      <c r="AN281" t="str">
        <f>IF($AM281="","",INDEX(TAX_MODES!$B:$B,MATCH($AM281,TAX_MODES!$A:$A,0)))</f>
        <v/>
      </c>
    </row>
    <row r="282" spans="24:40" x14ac:dyDescent="0.3">
      <c r="X282" s="13"/>
      <c r="Y282" s="13" t="str">
        <f>IF($X282="","",SUMIFS(TARIFF_PROFILES!$D:$D,TARIFF_PROFILES!$A:$A,$X282))</f>
        <v/>
      </c>
      <c r="Z282" s="13" t="str">
        <f>IF($X282="","",SUMIFS(TARIFF_PROFILES!$E:$E,TARIFF_PROFILES!$A:$A,$X282))</f>
        <v/>
      </c>
      <c r="AA282" s="13" t="str">
        <f>IF($X282="","",SUMIFS(TARIFF_PROFILES!$F:$F,TARIFF_PROFILES!$A:$A,$X282))</f>
        <v/>
      </c>
      <c r="AB282" s="13" t="str">
        <f>IF($X282="","",SUMIFS(TARIFF_PROFILES!$G:$G,TARIFF_PROFILES!$A:$A,$X282))</f>
        <v/>
      </c>
      <c r="AC282" s="13" t="str">
        <f>IF($X282="","",SUMIFS(TARIFF_PROFILES!$H:$H,TARIFF_PROFILES!$A:$A,$X282))</f>
        <v/>
      </c>
      <c r="AD282" s="13" t="str">
        <f>IF($X282="","",INDEX(TARIFF_PROFILES!$J:$J,MATCH($X282,TARIFF_PROFILES!$A:$A,0)))</f>
        <v/>
      </c>
      <c r="AE282" s="13" t="str">
        <f>IF($X282="","",INDEX(TARIFF_PROFILES!$K:$K,MATCH($X282,TARIFF_PROFILES!$A:$A,0)))</f>
        <v/>
      </c>
      <c r="AH282" t="str">
        <f>IF($AG282="","",SUMIFS(OPERATING_COEFFS!$C:$C,OPERATING_COEFFS!$A:$A,"DistanceClass",OPERATING_COEFFS!$B:$B,$AG282))</f>
        <v/>
      </c>
      <c r="AJ282" t="str">
        <f>IF($AI282="","",SUMIFS(OPERATING_COEFFS!$C:$C,OPERATING_COEFFS!$A:$A,"SeasonClass",OPERATING_COEFFS!$B:$B,$AI282))</f>
        <v/>
      </c>
      <c r="AL282" t="str">
        <f>IF($AK282="","",SUMIFS(OPERATING_COEFFS!$C:$C,OPERATING_COEFFS!$A:$A,"UrgencyClass",OPERATING_COEFFS!$B:$B,$AK282))</f>
        <v/>
      </c>
      <c r="AN282" t="str">
        <f>IF($AM282="","",INDEX(TAX_MODES!$B:$B,MATCH($AM282,TAX_MODES!$A:$A,0)))</f>
        <v/>
      </c>
    </row>
    <row r="283" spans="24:40" x14ac:dyDescent="0.3">
      <c r="X283" s="13"/>
      <c r="Y283" s="13" t="str">
        <f>IF($X283="","",SUMIFS(TARIFF_PROFILES!$D:$D,TARIFF_PROFILES!$A:$A,$X283))</f>
        <v/>
      </c>
      <c r="Z283" s="13" t="str">
        <f>IF($X283="","",SUMIFS(TARIFF_PROFILES!$E:$E,TARIFF_PROFILES!$A:$A,$X283))</f>
        <v/>
      </c>
      <c r="AA283" s="13" t="str">
        <f>IF($X283="","",SUMIFS(TARIFF_PROFILES!$F:$F,TARIFF_PROFILES!$A:$A,$X283))</f>
        <v/>
      </c>
      <c r="AB283" s="13" t="str">
        <f>IF($X283="","",SUMIFS(TARIFF_PROFILES!$G:$G,TARIFF_PROFILES!$A:$A,$X283))</f>
        <v/>
      </c>
      <c r="AC283" s="13" t="str">
        <f>IF($X283="","",SUMIFS(TARIFF_PROFILES!$H:$H,TARIFF_PROFILES!$A:$A,$X283))</f>
        <v/>
      </c>
      <c r="AD283" s="13" t="str">
        <f>IF($X283="","",INDEX(TARIFF_PROFILES!$J:$J,MATCH($X283,TARIFF_PROFILES!$A:$A,0)))</f>
        <v/>
      </c>
      <c r="AE283" s="13" t="str">
        <f>IF($X283="","",INDEX(TARIFF_PROFILES!$K:$K,MATCH($X283,TARIFF_PROFILES!$A:$A,0)))</f>
        <v/>
      </c>
      <c r="AH283" t="str">
        <f>IF($AG283="","",SUMIFS(OPERATING_COEFFS!$C:$C,OPERATING_COEFFS!$A:$A,"DistanceClass",OPERATING_COEFFS!$B:$B,$AG283))</f>
        <v/>
      </c>
      <c r="AJ283" t="str">
        <f>IF($AI283="","",SUMIFS(OPERATING_COEFFS!$C:$C,OPERATING_COEFFS!$A:$A,"SeasonClass",OPERATING_COEFFS!$B:$B,$AI283))</f>
        <v/>
      </c>
      <c r="AL283" t="str">
        <f>IF($AK283="","",SUMIFS(OPERATING_COEFFS!$C:$C,OPERATING_COEFFS!$A:$A,"UrgencyClass",OPERATING_COEFFS!$B:$B,$AK283))</f>
        <v/>
      </c>
      <c r="AN283" t="str">
        <f>IF($AM283="","",INDEX(TAX_MODES!$B:$B,MATCH($AM283,TAX_MODES!$A:$A,0)))</f>
        <v/>
      </c>
    </row>
    <row r="284" spans="24:40" x14ac:dyDescent="0.3">
      <c r="X284" s="13"/>
      <c r="Y284" s="13" t="str">
        <f>IF($X284="","",SUMIFS(TARIFF_PROFILES!$D:$D,TARIFF_PROFILES!$A:$A,$X284))</f>
        <v/>
      </c>
      <c r="Z284" s="13" t="str">
        <f>IF($X284="","",SUMIFS(TARIFF_PROFILES!$E:$E,TARIFF_PROFILES!$A:$A,$X284))</f>
        <v/>
      </c>
      <c r="AA284" s="13" t="str">
        <f>IF($X284="","",SUMIFS(TARIFF_PROFILES!$F:$F,TARIFF_PROFILES!$A:$A,$X284))</f>
        <v/>
      </c>
      <c r="AB284" s="13" t="str">
        <f>IF($X284="","",SUMIFS(TARIFF_PROFILES!$G:$G,TARIFF_PROFILES!$A:$A,$X284))</f>
        <v/>
      </c>
      <c r="AC284" s="13" t="str">
        <f>IF($X284="","",SUMIFS(TARIFF_PROFILES!$H:$H,TARIFF_PROFILES!$A:$A,$X284))</f>
        <v/>
      </c>
      <c r="AD284" s="13" t="str">
        <f>IF($X284="","",INDEX(TARIFF_PROFILES!$J:$J,MATCH($X284,TARIFF_PROFILES!$A:$A,0)))</f>
        <v/>
      </c>
      <c r="AE284" s="13" t="str">
        <f>IF($X284="","",INDEX(TARIFF_PROFILES!$K:$K,MATCH($X284,TARIFF_PROFILES!$A:$A,0)))</f>
        <v/>
      </c>
      <c r="AH284" t="str">
        <f>IF($AG284="","",SUMIFS(OPERATING_COEFFS!$C:$C,OPERATING_COEFFS!$A:$A,"DistanceClass",OPERATING_COEFFS!$B:$B,$AG284))</f>
        <v/>
      </c>
      <c r="AJ284" t="str">
        <f>IF($AI284="","",SUMIFS(OPERATING_COEFFS!$C:$C,OPERATING_COEFFS!$A:$A,"SeasonClass",OPERATING_COEFFS!$B:$B,$AI284))</f>
        <v/>
      </c>
      <c r="AL284" t="str">
        <f>IF($AK284="","",SUMIFS(OPERATING_COEFFS!$C:$C,OPERATING_COEFFS!$A:$A,"UrgencyClass",OPERATING_COEFFS!$B:$B,$AK284))</f>
        <v/>
      </c>
      <c r="AN284" t="str">
        <f>IF($AM284="","",INDEX(TAX_MODES!$B:$B,MATCH($AM284,TAX_MODES!$A:$A,0)))</f>
        <v/>
      </c>
    </row>
    <row r="285" spans="24:40" x14ac:dyDescent="0.3">
      <c r="X285" s="13"/>
      <c r="Y285" s="13" t="str">
        <f>IF($X285="","",SUMIFS(TARIFF_PROFILES!$D:$D,TARIFF_PROFILES!$A:$A,$X285))</f>
        <v/>
      </c>
      <c r="Z285" s="13" t="str">
        <f>IF($X285="","",SUMIFS(TARIFF_PROFILES!$E:$E,TARIFF_PROFILES!$A:$A,$X285))</f>
        <v/>
      </c>
      <c r="AA285" s="13" t="str">
        <f>IF($X285="","",SUMIFS(TARIFF_PROFILES!$F:$F,TARIFF_PROFILES!$A:$A,$X285))</f>
        <v/>
      </c>
      <c r="AB285" s="13" t="str">
        <f>IF($X285="","",SUMIFS(TARIFF_PROFILES!$G:$G,TARIFF_PROFILES!$A:$A,$X285))</f>
        <v/>
      </c>
      <c r="AC285" s="13" t="str">
        <f>IF($X285="","",SUMIFS(TARIFF_PROFILES!$H:$H,TARIFF_PROFILES!$A:$A,$X285))</f>
        <v/>
      </c>
      <c r="AD285" s="13" t="str">
        <f>IF($X285="","",INDEX(TARIFF_PROFILES!$J:$J,MATCH($X285,TARIFF_PROFILES!$A:$A,0)))</f>
        <v/>
      </c>
      <c r="AE285" s="13" t="str">
        <f>IF($X285="","",INDEX(TARIFF_PROFILES!$K:$K,MATCH($X285,TARIFF_PROFILES!$A:$A,0)))</f>
        <v/>
      </c>
      <c r="AH285" t="str">
        <f>IF($AG285="","",SUMIFS(OPERATING_COEFFS!$C:$C,OPERATING_COEFFS!$A:$A,"DistanceClass",OPERATING_COEFFS!$B:$B,$AG285))</f>
        <v/>
      </c>
      <c r="AJ285" t="str">
        <f>IF($AI285="","",SUMIFS(OPERATING_COEFFS!$C:$C,OPERATING_COEFFS!$A:$A,"SeasonClass",OPERATING_COEFFS!$B:$B,$AI285))</f>
        <v/>
      </c>
      <c r="AL285" t="str">
        <f>IF($AK285="","",SUMIFS(OPERATING_COEFFS!$C:$C,OPERATING_COEFFS!$A:$A,"UrgencyClass",OPERATING_COEFFS!$B:$B,$AK285))</f>
        <v/>
      </c>
      <c r="AN285" t="str">
        <f>IF($AM285="","",INDEX(TAX_MODES!$B:$B,MATCH($AM285,TAX_MODES!$A:$A,0)))</f>
        <v/>
      </c>
    </row>
    <row r="286" spans="24:40" x14ac:dyDescent="0.3">
      <c r="X286" s="13"/>
      <c r="Y286" s="13" t="str">
        <f>IF($X286="","",SUMIFS(TARIFF_PROFILES!$D:$D,TARIFF_PROFILES!$A:$A,$X286))</f>
        <v/>
      </c>
      <c r="Z286" s="13" t="str">
        <f>IF($X286="","",SUMIFS(TARIFF_PROFILES!$E:$E,TARIFF_PROFILES!$A:$A,$X286))</f>
        <v/>
      </c>
      <c r="AA286" s="13" t="str">
        <f>IF($X286="","",SUMIFS(TARIFF_PROFILES!$F:$F,TARIFF_PROFILES!$A:$A,$X286))</f>
        <v/>
      </c>
      <c r="AB286" s="13" t="str">
        <f>IF($X286="","",SUMIFS(TARIFF_PROFILES!$G:$G,TARIFF_PROFILES!$A:$A,$X286))</f>
        <v/>
      </c>
      <c r="AC286" s="13" t="str">
        <f>IF($X286="","",SUMIFS(TARIFF_PROFILES!$H:$H,TARIFF_PROFILES!$A:$A,$X286))</f>
        <v/>
      </c>
      <c r="AD286" s="13" t="str">
        <f>IF($X286="","",INDEX(TARIFF_PROFILES!$J:$J,MATCH($X286,TARIFF_PROFILES!$A:$A,0)))</f>
        <v/>
      </c>
      <c r="AE286" s="13" t="str">
        <f>IF($X286="","",INDEX(TARIFF_PROFILES!$K:$K,MATCH($X286,TARIFF_PROFILES!$A:$A,0)))</f>
        <v/>
      </c>
      <c r="AH286" t="str">
        <f>IF($AG286="","",SUMIFS(OPERATING_COEFFS!$C:$C,OPERATING_COEFFS!$A:$A,"DistanceClass",OPERATING_COEFFS!$B:$B,$AG286))</f>
        <v/>
      </c>
      <c r="AJ286" t="str">
        <f>IF($AI286="","",SUMIFS(OPERATING_COEFFS!$C:$C,OPERATING_COEFFS!$A:$A,"SeasonClass",OPERATING_COEFFS!$B:$B,$AI286))</f>
        <v/>
      </c>
      <c r="AL286" t="str">
        <f>IF($AK286="","",SUMIFS(OPERATING_COEFFS!$C:$C,OPERATING_COEFFS!$A:$A,"UrgencyClass",OPERATING_COEFFS!$B:$B,$AK286))</f>
        <v/>
      </c>
      <c r="AN286" t="str">
        <f>IF($AM286="","",INDEX(TAX_MODES!$B:$B,MATCH($AM286,TAX_MODES!$A:$A,0)))</f>
        <v/>
      </c>
    </row>
    <row r="287" spans="24:40" x14ac:dyDescent="0.3">
      <c r="X287" s="13"/>
      <c r="Y287" s="13" t="str">
        <f>IF($X287="","",SUMIFS(TARIFF_PROFILES!$D:$D,TARIFF_PROFILES!$A:$A,$X287))</f>
        <v/>
      </c>
      <c r="Z287" s="13" t="str">
        <f>IF($X287="","",SUMIFS(TARIFF_PROFILES!$E:$E,TARIFF_PROFILES!$A:$A,$X287))</f>
        <v/>
      </c>
      <c r="AA287" s="13" t="str">
        <f>IF($X287="","",SUMIFS(TARIFF_PROFILES!$F:$F,TARIFF_PROFILES!$A:$A,$X287))</f>
        <v/>
      </c>
      <c r="AB287" s="13" t="str">
        <f>IF($X287="","",SUMIFS(TARIFF_PROFILES!$G:$G,TARIFF_PROFILES!$A:$A,$X287))</f>
        <v/>
      </c>
      <c r="AC287" s="13" t="str">
        <f>IF($X287="","",SUMIFS(TARIFF_PROFILES!$H:$H,TARIFF_PROFILES!$A:$A,$X287))</f>
        <v/>
      </c>
      <c r="AD287" s="13" t="str">
        <f>IF($X287="","",INDEX(TARIFF_PROFILES!$J:$J,MATCH($X287,TARIFF_PROFILES!$A:$A,0)))</f>
        <v/>
      </c>
      <c r="AE287" s="13" t="str">
        <f>IF($X287="","",INDEX(TARIFF_PROFILES!$K:$K,MATCH($X287,TARIFF_PROFILES!$A:$A,0)))</f>
        <v/>
      </c>
      <c r="AH287" t="str">
        <f>IF($AG287="","",SUMIFS(OPERATING_COEFFS!$C:$C,OPERATING_COEFFS!$A:$A,"DistanceClass",OPERATING_COEFFS!$B:$B,$AG287))</f>
        <v/>
      </c>
      <c r="AJ287" t="str">
        <f>IF($AI287="","",SUMIFS(OPERATING_COEFFS!$C:$C,OPERATING_COEFFS!$A:$A,"SeasonClass",OPERATING_COEFFS!$B:$B,$AI287))</f>
        <v/>
      </c>
      <c r="AL287" t="str">
        <f>IF($AK287="","",SUMIFS(OPERATING_COEFFS!$C:$C,OPERATING_COEFFS!$A:$A,"UrgencyClass",OPERATING_COEFFS!$B:$B,$AK287))</f>
        <v/>
      </c>
      <c r="AN287" t="str">
        <f>IF($AM287="","",INDEX(TAX_MODES!$B:$B,MATCH($AM287,TAX_MODES!$A:$A,0)))</f>
        <v/>
      </c>
    </row>
    <row r="288" spans="24:40" x14ac:dyDescent="0.3">
      <c r="X288" s="13"/>
      <c r="Y288" s="13" t="str">
        <f>IF($X288="","",SUMIFS(TARIFF_PROFILES!$D:$D,TARIFF_PROFILES!$A:$A,$X288))</f>
        <v/>
      </c>
      <c r="Z288" s="13" t="str">
        <f>IF($X288="","",SUMIFS(TARIFF_PROFILES!$E:$E,TARIFF_PROFILES!$A:$A,$X288))</f>
        <v/>
      </c>
      <c r="AA288" s="13" t="str">
        <f>IF($X288="","",SUMIFS(TARIFF_PROFILES!$F:$F,TARIFF_PROFILES!$A:$A,$X288))</f>
        <v/>
      </c>
      <c r="AB288" s="13" t="str">
        <f>IF($X288="","",SUMIFS(TARIFF_PROFILES!$G:$G,TARIFF_PROFILES!$A:$A,$X288))</f>
        <v/>
      </c>
      <c r="AC288" s="13" t="str">
        <f>IF($X288="","",SUMIFS(TARIFF_PROFILES!$H:$H,TARIFF_PROFILES!$A:$A,$X288))</f>
        <v/>
      </c>
      <c r="AD288" s="13" t="str">
        <f>IF($X288="","",INDEX(TARIFF_PROFILES!$J:$J,MATCH($X288,TARIFF_PROFILES!$A:$A,0)))</f>
        <v/>
      </c>
      <c r="AE288" s="13" t="str">
        <f>IF($X288="","",INDEX(TARIFF_PROFILES!$K:$K,MATCH($X288,TARIFF_PROFILES!$A:$A,0)))</f>
        <v/>
      </c>
      <c r="AH288" t="str">
        <f>IF($AG288="","",SUMIFS(OPERATING_COEFFS!$C:$C,OPERATING_COEFFS!$A:$A,"DistanceClass",OPERATING_COEFFS!$B:$B,$AG288))</f>
        <v/>
      </c>
      <c r="AJ288" t="str">
        <f>IF($AI288="","",SUMIFS(OPERATING_COEFFS!$C:$C,OPERATING_COEFFS!$A:$A,"SeasonClass",OPERATING_COEFFS!$B:$B,$AI288))</f>
        <v/>
      </c>
      <c r="AL288" t="str">
        <f>IF($AK288="","",SUMIFS(OPERATING_COEFFS!$C:$C,OPERATING_COEFFS!$A:$A,"UrgencyClass",OPERATING_COEFFS!$B:$B,$AK288))</f>
        <v/>
      </c>
      <c r="AN288" t="str">
        <f>IF($AM288="","",INDEX(TAX_MODES!$B:$B,MATCH($AM288,TAX_MODES!$A:$A,0)))</f>
        <v/>
      </c>
    </row>
    <row r="289" spans="24:40" x14ac:dyDescent="0.3">
      <c r="X289" s="13"/>
      <c r="Y289" s="13" t="str">
        <f>IF($X289="","",SUMIFS(TARIFF_PROFILES!$D:$D,TARIFF_PROFILES!$A:$A,$X289))</f>
        <v/>
      </c>
      <c r="Z289" s="13" t="str">
        <f>IF($X289="","",SUMIFS(TARIFF_PROFILES!$E:$E,TARIFF_PROFILES!$A:$A,$X289))</f>
        <v/>
      </c>
      <c r="AA289" s="13" t="str">
        <f>IF($X289="","",SUMIFS(TARIFF_PROFILES!$F:$F,TARIFF_PROFILES!$A:$A,$X289))</f>
        <v/>
      </c>
      <c r="AB289" s="13" t="str">
        <f>IF($X289="","",SUMIFS(TARIFF_PROFILES!$G:$G,TARIFF_PROFILES!$A:$A,$X289))</f>
        <v/>
      </c>
      <c r="AC289" s="13" t="str">
        <f>IF($X289="","",SUMIFS(TARIFF_PROFILES!$H:$H,TARIFF_PROFILES!$A:$A,$X289))</f>
        <v/>
      </c>
      <c r="AD289" s="13" t="str">
        <f>IF($X289="","",INDEX(TARIFF_PROFILES!$J:$J,MATCH($X289,TARIFF_PROFILES!$A:$A,0)))</f>
        <v/>
      </c>
      <c r="AE289" s="13" t="str">
        <f>IF($X289="","",INDEX(TARIFF_PROFILES!$K:$K,MATCH($X289,TARIFF_PROFILES!$A:$A,0)))</f>
        <v/>
      </c>
      <c r="AH289" t="str">
        <f>IF($AG289="","",SUMIFS(OPERATING_COEFFS!$C:$C,OPERATING_COEFFS!$A:$A,"DistanceClass",OPERATING_COEFFS!$B:$B,$AG289))</f>
        <v/>
      </c>
      <c r="AJ289" t="str">
        <f>IF($AI289="","",SUMIFS(OPERATING_COEFFS!$C:$C,OPERATING_COEFFS!$A:$A,"SeasonClass",OPERATING_COEFFS!$B:$B,$AI289))</f>
        <v/>
      </c>
      <c r="AL289" t="str">
        <f>IF($AK289="","",SUMIFS(OPERATING_COEFFS!$C:$C,OPERATING_COEFFS!$A:$A,"UrgencyClass",OPERATING_COEFFS!$B:$B,$AK289))</f>
        <v/>
      </c>
      <c r="AN289" t="str">
        <f>IF($AM289="","",INDEX(TAX_MODES!$B:$B,MATCH($AM289,TAX_MODES!$A:$A,0)))</f>
        <v/>
      </c>
    </row>
    <row r="290" spans="24:40" x14ac:dyDescent="0.3">
      <c r="X290" s="13"/>
      <c r="Y290" s="13" t="str">
        <f>IF($X290="","",SUMIFS(TARIFF_PROFILES!$D:$D,TARIFF_PROFILES!$A:$A,$X290))</f>
        <v/>
      </c>
      <c r="Z290" s="13" t="str">
        <f>IF($X290="","",SUMIFS(TARIFF_PROFILES!$E:$E,TARIFF_PROFILES!$A:$A,$X290))</f>
        <v/>
      </c>
      <c r="AA290" s="13" t="str">
        <f>IF($X290="","",SUMIFS(TARIFF_PROFILES!$F:$F,TARIFF_PROFILES!$A:$A,$X290))</f>
        <v/>
      </c>
      <c r="AB290" s="13" t="str">
        <f>IF($X290="","",SUMIFS(TARIFF_PROFILES!$G:$G,TARIFF_PROFILES!$A:$A,$X290))</f>
        <v/>
      </c>
      <c r="AC290" s="13" t="str">
        <f>IF($X290="","",SUMIFS(TARIFF_PROFILES!$H:$H,TARIFF_PROFILES!$A:$A,$X290))</f>
        <v/>
      </c>
      <c r="AD290" s="13" t="str">
        <f>IF($X290="","",INDEX(TARIFF_PROFILES!$J:$J,MATCH($X290,TARIFF_PROFILES!$A:$A,0)))</f>
        <v/>
      </c>
      <c r="AE290" s="13" t="str">
        <f>IF($X290="","",INDEX(TARIFF_PROFILES!$K:$K,MATCH($X290,TARIFF_PROFILES!$A:$A,0)))</f>
        <v/>
      </c>
      <c r="AH290" t="str">
        <f>IF($AG290="","",SUMIFS(OPERATING_COEFFS!$C:$C,OPERATING_COEFFS!$A:$A,"DistanceClass",OPERATING_COEFFS!$B:$B,$AG290))</f>
        <v/>
      </c>
      <c r="AJ290" t="str">
        <f>IF($AI290="","",SUMIFS(OPERATING_COEFFS!$C:$C,OPERATING_COEFFS!$A:$A,"SeasonClass",OPERATING_COEFFS!$B:$B,$AI290))</f>
        <v/>
      </c>
      <c r="AL290" t="str">
        <f>IF($AK290="","",SUMIFS(OPERATING_COEFFS!$C:$C,OPERATING_COEFFS!$A:$A,"UrgencyClass",OPERATING_COEFFS!$B:$B,$AK290))</f>
        <v/>
      </c>
      <c r="AN290" t="str">
        <f>IF($AM290="","",INDEX(TAX_MODES!$B:$B,MATCH($AM290,TAX_MODES!$A:$A,0)))</f>
        <v/>
      </c>
    </row>
    <row r="291" spans="24:40" x14ac:dyDescent="0.3">
      <c r="X291" s="13"/>
      <c r="Y291" s="13" t="str">
        <f>IF($X291="","",SUMIFS(TARIFF_PROFILES!$D:$D,TARIFF_PROFILES!$A:$A,$X291))</f>
        <v/>
      </c>
      <c r="Z291" s="13" t="str">
        <f>IF($X291="","",SUMIFS(TARIFF_PROFILES!$E:$E,TARIFF_PROFILES!$A:$A,$X291))</f>
        <v/>
      </c>
      <c r="AA291" s="13" t="str">
        <f>IF($X291="","",SUMIFS(TARIFF_PROFILES!$F:$F,TARIFF_PROFILES!$A:$A,$X291))</f>
        <v/>
      </c>
      <c r="AB291" s="13" t="str">
        <f>IF($X291="","",SUMIFS(TARIFF_PROFILES!$G:$G,TARIFF_PROFILES!$A:$A,$X291))</f>
        <v/>
      </c>
      <c r="AC291" s="13" t="str">
        <f>IF($X291="","",SUMIFS(TARIFF_PROFILES!$H:$H,TARIFF_PROFILES!$A:$A,$X291))</f>
        <v/>
      </c>
      <c r="AD291" s="13" t="str">
        <f>IF($X291="","",INDEX(TARIFF_PROFILES!$J:$J,MATCH($X291,TARIFF_PROFILES!$A:$A,0)))</f>
        <v/>
      </c>
      <c r="AE291" s="13" t="str">
        <f>IF($X291="","",INDEX(TARIFF_PROFILES!$K:$K,MATCH($X291,TARIFF_PROFILES!$A:$A,0)))</f>
        <v/>
      </c>
      <c r="AH291" t="str">
        <f>IF($AG291="","",SUMIFS(OPERATING_COEFFS!$C:$C,OPERATING_COEFFS!$A:$A,"DistanceClass",OPERATING_COEFFS!$B:$B,$AG291))</f>
        <v/>
      </c>
      <c r="AJ291" t="str">
        <f>IF($AI291="","",SUMIFS(OPERATING_COEFFS!$C:$C,OPERATING_COEFFS!$A:$A,"SeasonClass",OPERATING_COEFFS!$B:$B,$AI291))</f>
        <v/>
      </c>
      <c r="AL291" t="str">
        <f>IF($AK291="","",SUMIFS(OPERATING_COEFFS!$C:$C,OPERATING_COEFFS!$A:$A,"UrgencyClass",OPERATING_COEFFS!$B:$B,$AK291))</f>
        <v/>
      </c>
      <c r="AN291" t="str">
        <f>IF($AM291="","",INDEX(TAX_MODES!$B:$B,MATCH($AM291,TAX_MODES!$A:$A,0)))</f>
        <v/>
      </c>
    </row>
    <row r="292" spans="24:40" x14ac:dyDescent="0.3">
      <c r="X292" s="13"/>
      <c r="Y292" s="13" t="str">
        <f>IF($X292="","",SUMIFS(TARIFF_PROFILES!$D:$D,TARIFF_PROFILES!$A:$A,$X292))</f>
        <v/>
      </c>
      <c r="Z292" s="13" t="str">
        <f>IF($X292="","",SUMIFS(TARIFF_PROFILES!$E:$E,TARIFF_PROFILES!$A:$A,$X292))</f>
        <v/>
      </c>
      <c r="AA292" s="13" t="str">
        <f>IF($X292="","",SUMIFS(TARIFF_PROFILES!$F:$F,TARIFF_PROFILES!$A:$A,$X292))</f>
        <v/>
      </c>
      <c r="AB292" s="13" t="str">
        <f>IF($X292="","",SUMIFS(TARIFF_PROFILES!$G:$G,TARIFF_PROFILES!$A:$A,$X292))</f>
        <v/>
      </c>
      <c r="AC292" s="13" t="str">
        <f>IF($X292="","",SUMIFS(TARIFF_PROFILES!$H:$H,TARIFF_PROFILES!$A:$A,$X292))</f>
        <v/>
      </c>
      <c r="AD292" s="13" t="str">
        <f>IF($X292="","",INDEX(TARIFF_PROFILES!$J:$J,MATCH($X292,TARIFF_PROFILES!$A:$A,0)))</f>
        <v/>
      </c>
      <c r="AE292" s="13" t="str">
        <f>IF($X292="","",INDEX(TARIFF_PROFILES!$K:$K,MATCH($X292,TARIFF_PROFILES!$A:$A,0)))</f>
        <v/>
      </c>
      <c r="AH292" t="str">
        <f>IF($AG292="","",SUMIFS(OPERATING_COEFFS!$C:$C,OPERATING_COEFFS!$A:$A,"DistanceClass",OPERATING_COEFFS!$B:$B,$AG292))</f>
        <v/>
      </c>
      <c r="AJ292" t="str">
        <f>IF($AI292="","",SUMIFS(OPERATING_COEFFS!$C:$C,OPERATING_COEFFS!$A:$A,"SeasonClass",OPERATING_COEFFS!$B:$B,$AI292))</f>
        <v/>
      </c>
      <c r="AL292" t="str">
        <f>IF($AK292="","",SUMIFS(OPERATING_COEFFS!$C:$C,OPERATING_COEFFS!$A:$A,"UrgencyClass",OPERATING_COEFFS!$B:$B,$AK292))</f>
        <v/>
      </c>
      <c r="AN292" t="str">
        <f>IF($AM292="","",INDEX(TAX_MODES!$B:$B,MATCH($AM292,TAX_MODES!$A:$A,0)))</f>
        <v/>
      </c>
    </row>
    <row r="293" spans="24:40" x14ac:dyDescent="0.3">
      <c r="X293" s="13"/>
      <c r="Y293" s="13" t="str">
        <f>IF($X293="","",SUMIFS(TARIFF_PROFILES!$D:$D,TARIFF_PROFILES!$A:$A,$X293))</f>
        <v/>
      </c>
      <c r="Z293" s="13" t="str">
        <f>IF($X293="","",SUMIFS(TARIFF_PROFILES!$E:$E,TARIFF_PROFILES!$A:$A,$X293))</f>
        <v/>
      </c>
      <c r="AA293" s="13" t="str">
        <f>IF($X293="","",SUMIFS(TARIFF_PROFILES!$F:$F,TARIFF_PROFILES!$A:$A,$X293))</f>
        <v/>
      </c>
      <c r="AB293" s="13" t="str">
        <f>IF($X293="","",SUMIFS(TARIFF_PROFILES!$G:$G,TARIFF_PROFILES!$A:$A,$X293))</f>
        <v/>
      </c>
      <c r="AC293" s="13" t="str">
        <f>IF($X293="","",SUMIFS(TARIFF_PROFILES!$H:$H,TARIFF_PROFILES!$A:$A,$X293))</f>
        <v/>
      </c>
      <c r="AD293" s="13" t="str">
        <f>IF($X293="","",INDEX(TARIFF_PROFILES!$J:$J,MATCH($X293,TARIFF_PROFILES!$A:$A,0)))</f>
        <v/>
      </c>
      <c r="AE293" s="13" t="str">
        <f>IF($X293="","",INDEX(TARIFF_PROFILES!$K:$K,MATCH($X293,TARIFF_PROFILES!$A:$A,0)))</f>
        <v/>
      </c>
      <c r="AH293" t="str">
        <f>IF($AG293="","",SUMIFS(OPERATING_COEFFS!$C:$C,OPERATING_COEFFS!$A:$A,"DistanceClass",OPERATING_COEFFS!$B:$B,$AG293))</f>
        <v/>
      </c>
      <c r="AJ293" t="str">
        <f>IF($AI293="","",SUMIFS(OPERATING_COEFFS!$C:$C,OPERATING_COEFFS!$A:$A,"SeasonClass",OPERATING_COEFFS!$B:$B,$AI293))</f>
        <v/>
      </c>
      <c r="AL293" t="str">
        <f>IF($AK293="","",SUMIFS(OPERATING_COEFFS!$C:$C,OPERATING_COEFFS!$A:$A,"UrgencyClass",OPERATING_COEFFS!$B:$B,$AK293))</f>
        <v/>
      </c>
      <c r="AN293" t="str">
        <f>IF($AM293="","",INDEX(TAX_MODES!$B:$B,MATCH($AM293,TAX_MODES!$A:$A,0)))</f>
        <v/>
      </c>
    </row>
    <row r="294" spans="24:40" x14ac:dyDescent="0.3">
      <c r="X294" s="13"/>
      <c r="Y294" s="13" t="str">
        <f>IF($X294="","",SUMIFS(TARIFF_PROFILES!$D:$D,TARIFF_PROFILES!$A:$A,$X294))</f>
        <v/>
      </c>
      <c r="Z294" s="13" t="str">
        <f>IF($X294="","",SUMIFS(TARIFF_PROFILES!$E:$E,TARIFF_PROFILES!$A:$A,$X294))</f>
        <v/>
      </c>
      <c r="AA294" s="13" t="str">
        <f>IF($X294="","",SUMIFS(TARIFF_PROFILES!$F:$F,TARIFF_PROFILES!$A:$A,$X294))</f>
        <v/>
      </c>
      <c r="AB294" s="13" t="str">
        <f>IF($X294="","",SUMIFS(TARIFF_PROFILES!$G:$G,TARIFF_PROFILES!$A:$A,$X294))</f>
        <v/>
      </c>
      <c r="AC294" s="13" t="str">
        <f>IF($X294="","",SUMIFS(TARIFF_PROFILES!$H:$H,TARIFF_PROFILES!$A:$A,$X294))</f>
        <v/>
      </c>
      <c r="AD294" s="13" t="str">
        <f>IF($X294="","",INDEX(TARIFF_PROFILES!$J:$J,MATCH($X294,TARIFF_PROFILES!$A:$A,0)))</f>
        <v/>
      </c>
      <c r="AE294" s="13" t="str">
        <f>IF($X294="","",INDEX(TARIFF_PROFILES!$K:$K,MATCH($X294,TARIFF_PROFILES!$A:$A,0)))</f>
        <v/>
      </c>
      <c r="AH294" t="str">
        <f>IF($AG294="","",SUMIFS(OPERATING_COEFFS!$C:$C,OPERATING_COEFFS!$A:$A,"DistanceClass",OPERATING_COEFFS!$B:$B,$AG294))</f>
        <v/>
      </c>
      <c r="AJ294" t="str">
        <f>IF($AI294="","",SUMIFS(OPERATING_COEFFS!$C:$C,OPERATING_COEFFS!$A:$A,"SeasonClass",OPERATING_COEFFS!$B:$B,$AI294))</f>
        <v/>
      </c>
      <c r="AL294" t="str">
        <f>IF($AK294="","",SUMIFS(OPERATING_COEFFS!$C:$C,OPERATING_COEFFS!$A:$A,"UrgencyClass",OPERATING_COEFFS!$B:$B,$AK294))</f>
        <v/>
      </c>
      <c r="AN294" t="str">
        <f>IF($AM294="","",INDEX(TAX_MODES!$B:$B,MATCH($AM294,TAX_MODES!$A:$A,0)))</f>
        <v/>
      </c>
    </row>
    <row r="295" spans="24:40" x14ac:dyDescent="0.3">
      <c r="X295" s="13"/>
      <c r="Y295" s="13" t="str">
        <f>IF($X295="","",SUMIFS(TARIFF_PROFILES!$D:$D,TARIFF_PROFILES!$A:$A,$X295))</f>
        <v/>
      </c>
      <c r="Z295" s="13" t="str">
        <f>IF($X295="","",SUMIFS(TARIFF_PROFILES!$E:$E,TARIFF_PROFILES!$A:$A,$X295))</f>
        <v/>
      </c>
      <c r="AA295" s="13" t="str">
        <f>IF($X295="","",SUMIFS(TARIFF_PROFILES!$F:$F,TARIFF_PROFILES!$A:$A,$X295))</f>
        <v/>
      </c>
      <c r="AB295" s="13" t="str">
        <f>IF($X295="","",SUMIFS(TARIFF_PROFILES!$G:$G,TARIFF_PROFILES!$A:$A,$X295))</f>
        <v/>
      </c>
      <c r="AC295" s="13" t="str">
        <f>IF($X295="","",SUMIFS(TARIFF_PROFILES!$H:$H,TARIFF_PROFILES!$A:$A,$X295))</f>
        <v/>
      </c>
      <c r="AD295" s="13" t="str">
        <f>IF($X295="","",INDEX(TARIFF_PROFILES!$J:$J,MATCH($X295,TARIFF_PROFILES!$A:$A,0)))</f>
        <v/>
      </c>
      <c r="AE295" s="13" t="str">
        <f>IF($X295="","",INDEX(TARIFF_PROFILES!$K:$K,MATCH($X295,TARIFF_PROFILES!$A:$A,0)))</f>
        <v/>
      </c>
      <c r="AH295" t="str">
        <f>IF($AG295="","",SUMIFS(OPERATING_COEFFS!$C:$C,OPERATING_COEFFS!$A:$A,"DistanceClass",OPERATING_COEFFS!$B:$B,$AG295))</f>
        <v/>
      </c>
      <c r="AJ295" t="str">
        <f>IF($AI295="","",SUMIFS(OPERATING_COEFFS!$C:$C,OPERATING_COEFFS!$A:$A,"SeasonClass",OPERATING_COEFFS!$B:$B,$AI295))</f>
        <v/>
      </c>
      <c r="AL295" t="str">
        <f>IF($AK295="","",SUMIFS(OPERATING_COEFFS!$C:$C,OPERATING_COEFFS!$A:$A,"UrgencyClass",OPERATING_COEFFS!$B:$B,$AK295))</f>
        <v/>
      </c>
      <c r="AN295" t="str">
        <f>IF($AM295="","",INDEX(TAX_MODES!$B:$B,MATCH($AM295,TAX_MODES!$A:$A,0)))</f>
        <v/>
      </c>
    </row>
    <row r="296" spans="24:40" x14ac:dyDescent="0.3">
      <c r="X296" s="13"/>
      <c r="Y296" s="13" t="str">
        <f>IF($X296="","",SUMIFS(TARIFF_PROFILES!$D:$D,TARIFF_PROFILES!$A:$A,$X296))</f>
        <v/>
      </c>
      <c r="Z296" s="13" t="str">
        <f>IF($X296="","",SUMIFS(TARIFF_PROFILES!$E:$E,TARIFF_PROFILES!$A:$A,$X296))</f>
        <v/>
      </c>
      <c r="AA296" s="13" t="str">
        <f>IF($X296="","",SUMIFS(TARIFF_PROFILES!$F:$F,TARIFF_PROFILES!$A:$A,$X296))</f>
        <v/>
      </c>
      <c r="AB296" s="13" t="str">
        <f>IF($X296="","",SUMIFS(TARIFF_PROFILES!$G:$G,TARIFF_PROFILES!$A:$A,$X296))</f>
        <v/>
      </c>
      <c r="AC296" s="13" t="str">
        <f>IF($X296="","",SUMIFS(TARIFF_PROFILES!$H:$H,TARIFF_PROFILES!$A:$A,$X296))</f>
        <v/>
      </c>
      <c r="AD296" s="13" t="str">
        <f>IF($X296="","",INDEX(TARIFF_PROFILES!$J:$J,MATCH($X296,TARIFF_PROFILES!$A:$A,0)))</f>
        <v/>
      </c>
      <c r="AE296" s="13" t="str">
        <f>IF($X296="","",INDEX(TARIFF_PROFILES!$K:$K,MATCH($X296,TARIFF_PROFILES!$A:$A,0)))</f>
        <v/>
      </c>
      <c r="AH296" t="str">
        <f>IF($AG296="","",SUMIFS(OPERATING_COEFFS!$C:$C,OPERATING_COEFFS!$A:$A,"DistanceClass",OPERATING_COEFFS!$B:$B,$AG296))</f>
        <v/>
      </c>
      <c r="AJ296" t="str">
        <f>IF($AI296="","",SUMIFS(OPERATING_COEFFS!$C:$C,OPERATING_COEFFS!$A:$A,"SeasonClass",OPERATING_COEFFS!$B:$B,$AI296))</f>
        <v/>
      </c>
      <c r="AL296" t="str">
        <f>IF($AK296="","",SUMIFS(OPERATING_COEFFS!$C:$C,OPERATING_COEFFS!$A:$A,"UrgencyClass",OPERATING_COEFFS!$B:$B,$AK296))</f>
        <v/>
      </c>
      <c r="AN296" t="str">
        <f>IF($AM296="","",INDEX(TAX_MODES!$B:$B,MATCH($AM296,TAX_MODES!$A:$A,0)))</f>
        <v/>
      </c>
    </row>
    <row r="297" spans="24:40" x14ac:dyDescent="0.3">
      <c r="X297" s="13"/>
      <c r="Y297" s="13" t="str">
        <f>IF($X297="","",SUMIFS(TARIFF_PROFILES!$D:$D,TARIFF_PROFILES!$A:$A,$X297))</f>
        <v/>
      </c>
      <c r="Z297" s="13" t="str">
        <f>IF($X297="","",SUMIFS(TARIFF_PROFILES!$E:$E,TARIFF_PROFILES!$A:$A,$X297))</f>
        <v/>
      </c>
      <c r="AA297" s="13" t="str">
        <f>IF($X297="","",SUMIFS(TARIFF_PROFILES!$F:$F,TARIFF_PROFILES!$A:$A,$X297))</f>
        <v/>
      </c>
      <c r="AB297" s="13" t="str">
        <f>IF($X297="","",SUMIFS(TARIFF_PROFILES!$G:$G,TARIFF_PROFILES!$A:$A,$X297))</f>
        <v/>
      </c>
      <c r="AC297" s="13" t="str">
        <f>IF($X297="","",SUMIFS(TARIFF_PROFILES!$H:$H,TARIFF_PROFILES!$A:$A,$X297))</f>
        <v/>
      </c>
      <c r="AD297" s="13" t="str">
        <f>IF($X297="","",INDEX(TARIFF_PROFILES!$J:$J,MATCH($X297,TARIFF_PROFILES!$A:$A,0)))</f>
        <v/>
      </c>
      <c r="AE297" s="13" t="str">
        <f>IF($X297="","",INDEX(TARIFF_PROFILES!$K:$K,MATCH($X297,TARIFF_PROFILES!$A:$A,0)))</f>
        <v/>
      </c>
      <c r="AH297" t="str">
        <f>IF($AG297="","",SUMIFS(OPERATING_COEFFS!$C:$C,OPERATING_COEFFS!$A:$A,"DistanceClass",OPERATING_COEFFS!$B:$B,$AG297))</f>
        <v/>
      </c>
      <c r="AJ297" t="str">
        <f>IF($AI297="","",SUMIFS(OPERATING_COEFFS!$C:$C,OPERATING_COEFFS!$A:$A,"SeasonClass",OPERATING_COEFFS!$B:$B,$AI297))</f>
        <v/>
      </c>
      <c r="AL297" t="str">
        <f>IF($AK297="","",SUMIFS(OPERATING_COEFFS!$C:$C,OPERATING_COEFFS!$A:$A,"UrgencyClass",OPERATING_COEFFS!$B:$B,$AK297))</f>
        <v/>
      </c>
      <c r="AN297" t="str">
        <f>IF($AM297="","",INDEX(TAX_MODES!$B:$B,MATCH($AM297,TAX_MODES!$A:$A,0)))</f>
        <v/>
      </c>
    </row>
    <row r="298" spans="24:40" x14ac:dyDescent="0.3">
      <c r="X298" s="13"/>
      <c r="Y298" s="13" t="str">
        <f>IF($X298="","",SUMIFS(TARIFF_PROFILES!$D:$D,TARIFF_PROFILES!$A:$A,$X298))</f>
        <v/>
      </c>
      <c r="Z298" s="13" t="str">
        <f>IF($X298="","",SUMIFS(TARIFF_PROFILES!$E:$E,TARIFF_PROFILES!$A:$A,$X298))</f>
        <v/>
      </c>
      <c r="AA298" s="13" t="str">
        <f>IF($X298="","",SUMIFS(TARIFF_PROFILES!$F:$F,TARIFF_PROFILES!$A:$A,$X298))</f>
        <v/>
      </c>
      <c r="AB298" s="13" t="str">
        <f>IF($X298="","",SUMIFS(TARIFF_PROFILES!$G:$G,TARIFF_PROFILES!$A:$A,$X298))</f>
        <v/>
      </c>
      <c r="AC298" s="13" t="str">
        <f>IF($X298="","",SUMIFS(TARIFF_PROFILES!$H:$H,TARIFF_PROFILES!$A:$A,$X298))</f>
        <v/>
      </c>
      <c r="AD298" s="13" t="str">
        <f>IF($X298="","",INDEX(TARIFF_PROFILES!$J:$J,MATCH($X298,TARIFF_PROFILES!$A:$A,0)))</f>
        <v/>
      </c>
      <c r="AE298" s="13" t="str">
        <f>IF($X298="","",INDEX(TARIFF_PROFILES!$K:$K,MATCH($X298,TARIFF_PROFILES!$A:$A,0)))</f>
        <v/>
      </c>
      <c r="AH298" t="str">
        <f>IF($AG298="","",SUMIFS(OPERATING_COEFFS!$C:$C,OPERATING_COEFFS!$A:$A,"DistanceClass",OPERATING_COEFFS!$B:$B,$AG298))</f>
        <v/>
      </c>
      <c r="AJ298" t="str">
        <f>IF($AI298="","",SUMIFS(OPERATING_COEFFS!$C:$C,OPERATING_COEFFS!$A:$A,"SeasonClass",OPERATING_COEFFS!$B:$B,$AI298))</f>
        <v/>
      </c>
      <c r="AL298" t="str">
        <f>IF($AK298="","",SUMIFS(OPERATING_COEFFS!$C:$C,OPERATING_COEFFS!$A:$A,"UrgencyClass",OPERATING_COEFFS!$B:$B,$AK298))</f>
        <v/>
      </c>
      <c r="AN298" t="str">
        <f>IF($AM298="","",INDEX(TAX_MODES!$B:$B,MATCH($AM298,TAX_MODES!$A:$A,0)))</f>
        <v/>
      </c>
    </row>
    <row r="299" spans="24:40" x14ac:dyDescent="0.3">
      <c r="X299" s="13"/>
      <c r="Y299" s="13" t="str">
        <f>IF($X299="","",SUMIFS(TARIFF_PROFILES!$D:$D,TARIFF_PROFILES!$A:$A,$X299))</f>
        <v/>
      </c>
      <c r="Z299" s="13" t="str">
        <f>IF($X299="","",SUMIFS(TARIFF_PROFILES!$E:$E,TARIFF_PROFILES!$A:$A,$X299))</f>
        <v/>
      </c>
      <c r="AA299" s="13" t="str">
        <f>IF($X299="","",SUMIFS(TARIFF_PROFILES!$F:$F,TARIFF_PROFILES!$A:$A,$X299))</f>
        <v/>
      </c>
      <c r="AB299" s="13" t="str">
        <f>IF($X299="","",SUMIFS(TARIFF_PROFILES!$G:$G,TARIFF_PROFILES!$A:$A,$X299))</f>
        <v/>
      </c>
      <c r="AC299" s="13" t="str">
        <f>IF($X299="","",SUMIFS(TARIFF_PROFILES!$H:$H,TARIFF_PROFILES!$A:$A,$X299))</f>
        <v/>
      </c>
      <c r="AD299" s="13" t="str">
        <f>IF($X299="","",INDEX(TARIFF_PROFILES!$J:$J,MATCH($X299,TARIFF_PROFILES!$A:$A,0)))</f>
        <v/>
      </c>
      <c r="AE299" s="13" t="str">
        <f>IF($X299="","",INDEX(TARIFF_PROFILES!$K:$K,MATCH($X299,TARIFF_PROFILES!$A:$A,0)))</f>
        <v/>
      </c>
      <c r="AH299" t="str">
        <f>IF($AG299="","",SUMIFS(OPERATING_COEFFS!$C:$C,OPERATING_COEFFS!$A:$A,"DistanceClass",OPERATING_COEFFS!$B:$B,$AG299))</f>
        <v/>
      </c>
      <c r="AJ299" t="str">
        <f>IF($AI299="","",SUMIFS(OPERATING_COEFFS!$C:$C,OPERATING_COEFFS!$A:$A,"SeasonClass",OPERATING_COEFFS!$B:$B,$AI299))</f>
        <v/>
      </c>
      <c r="AL299" t="str">
        <f>IF($AK299="","",SUMIFS(OPERATING_COEFFS!$C:$C,OPERATING_COEFFS!$A:$A,"UrgencyClass",OPERATING_COEFFS!$B:$B,$AK299))</f>
        <v/>
      </c>
      <c r="AN299" t="str">
        <f>IF($AM299="","",INDEX(TAX_MODES!$B:$B,MATCH($AM299,TAX_MODES!$A:$A,0)))</f>
        <v/>
      </c>
    </row>
    <row r="300" spans="24:40" x14ac:dyDescent="0.3">
      <c r="X300" s="13"/>
      <c r="Y300" s="13" t="str">
        <f>IF($X300="","",SUMIFS(TARIFF_PROFILES!$D:$D,TARIFF_PROFILES!$A:$A,$X300))</f>
        <v/>
      </c>
      <c r="Z300" s="13" t="str">
        <f>IF($X300="","",SUMIFS(TARIFF_PROFILES!$E:$E,TARIFF_PROFILES!$A:$A,$X300))</f>
        <v/>
      </c>
      <c r="AA300" s="13" t="str">
        <f>IF($X300="","",SUMIFS(TARIFF_PROFILES!$F:$F,TARIFF_PROFILES!$A:$A,$X300))</f>
        <v/>
      </c>
      <c r="AB300" s="13" t="str">
        <f>IF($X300="","",SUMIFS(TARIFF_PROFILES!$G:$G,TARIFF_PROFILES!$A:$A,$X300))</f>
        <v/>
      </c>
      <c r="AC300" s="13" t="str">
        <f>IF($X300="","",SUMIFS(TARIFF_PROFILES!$H:$H,TARIFF_PROFILES!$A:$A,$X300))</f>
        <v/>
      </c>
      <c r="AD300" s="13" t="str">
        <f>IF($X300="","",INDEX(TARIFF_PROFILES!$J:$J,MATCH($X300,TARIFF_PROFILES!$A:$A,0)))</f>
        <v/>
      </c>
      <c r="AE300" s="13" t="str">
        <f>IF($X300="","",INDEX(TARIFF_PROFILES!$K:$K,MATCH($X300,TARIFF_PROFILES!$A:$A,0)))</f>
        <v/>
      </c>
      <c r="AH300" t="str">
        <f>IF($AG300="","",SUMIFS(OPERATING_COEFFS!$C:$C,OPERATING_COEFFS!$A:$A,"DistanceClass",OPERATING_COEFFS!$B:$B,$AG300))</f>
        <v/>
      </c>
      <c r="AJ300" t="str">
        <f>IF($AI300="","",SUMIFS(OPERATING_COEFFS!$C:$C,OPERATING_COEFFS!$A:$A,"SeasonClass",OPERATING_COEFFS!$B:$B,$AI300))</f>
        <v/>
      </c>
      <c r="AL300" t="str">
        <f>IF($AK300="","",SUMIFS(OPERATING_COEFFS!$C:$C,OPERATING_COEFFS!$A:$A,"UrgencyClass",OPERATING_COEFFS!$B:$B,$AK300))</f>
        <v/>
      </c>
      <c r="AN300" t="str">
        <f>IF($AM300="","",INDEX(TAX_MODES!$B:$B,MATCH($AM300,TAX_MODES!$A:$A,0)))</f>
        <v/>
      </c>
    </row>
    <row r="301" spans="24:40" x14ac:dyDescent="0.3">
      <c r="X301" s="13"/>
      <c r="Y301" s="13" t="str">
        <f>IF($X301="","",SUMIFS(TARIFF_PROFILES!$D:$D,TARIFF_PROFILES!$A:$A,$X301))</f>
        <v/>
      </c>
      <c r="Z301" s="13" t="str">
        <f>IF($X301="","",SUMIFS(TARIFF_PROFILES!$E:$E,TARIFF_PROFILES!$A:$A,$X301))</f>
        <v/>
      </c>
      <c r="AA301" s="13" t="str">
        <f>IF($X301="","",SUMIFS(TARIFF_PROFILES!$F:$F,TARIFF_PROFILES!$A:$A,$X301))</f>
        <v/>
      </c>
      <c r="AB301" s="13" t="str">
        <f>IF($X301="","",SUMIFS(TARIFF_PROFILES!$G:$G,TARIFF_PROFILES!$A:$A,$X301))</f>
        <v/>
      </c>
      <c r="AC301" s="13" t="str">
        <f>IF($X301="","",SUMIFS(TARIFF_PROFILES!$H:$H,TARIFF_PROFILES!$A:$A,$X301))</f>
        <v/>
      </c>
      <c r="AD301" s="13" t="str">
        <f>IF($X301="","",INDEX(TARIFF_PROFILES!$J:$J,MATCH($X301,TARIFF_PROFILES!$A:$A,0)))</f>
        <v/>
      </c>
      <c r="AE301" s="13" t="str">
        <f>IF($X301="","",INDEX(TARIFF_PROFILES!$K:$K,MATCH($X301,TARIFF_PROFILES!$A:$A,0)))</f>
        <v/>
      </c>
      <c r="AH301" t="str">
        <f>IF($AG301="","",SUMIFS(OPERATING_COEFFS!$C:$C,OPERATING_COEFFS!$A:$A,"DistanceClass",OPERATING_COEFFS!$B:$B,$AG301))</f>
        <v/>
      </c>
      <c r="AJ301" t="str">
        <f>IF($AI301="","",SUMIFS(OPERATING_COEFFS!$C:$C,OPERATING_COEFFS!$A:$A,"SeasonClass",OPERATING_COEFFS!$B:$B,$AI301))</f>
        <v/>
      </c>
      <c r="AL301" t="str">
        <f>IF($AK301="","",SUMIFS(OPERATING_COEFFS!$C:$C,OPERATING_COEFFS!$A:$A,"UrgencyClass",OPERATING_COEFFS!$B:$B,$AK301))</f>
        <v/>
      </c>
      <c r="AN301" t="str">
        <f>IF($AM301="","",INDEX(TAX_MODES!$B:$B,MATCH($AM301,TAX_MODES!$A:$A,0)))</f>
        <v/>
      </c>
    </row>
    <row r="302" spans="24:40" x14ac:dyDescent="0.3">
      <c r="X302" s="13"/>
      <c r="Y302" s="13" t="str">
        <f>IF($X302="","",SUMIFS(TARIFF_PROFILES!$D:$D,TARIFF_PROFILES!$A:$A,$X302))</f>
        <v/>
      </c>
      <c r="Z302" s="13" t="str">
        <f>IF($X302="","",SUMIFS(TARIFF_PROFILES!$E:$E,TARIFF_PROFILES!$A:$A,$X302))</f>
        <v/>
      </c>
      <c r="AA302" s="13" t="str">
        <f>IF($X302="","",SUMIFS(TARIFF_PROFILES!$F:$F,TARIFF_PROFILES!$A:$A,$X302))</f>
        <v/>
      </c>
      <c r="AB302" s="13" t="str">
        <f>IF($X302="","",SUMIFS(TARIFF_PROFILES!$G:$G,TARIFF_PROFILES!$A:$A,$X302))</f>
        <v/>
      </c>
      <c r="AC302" s="13" t="str">
        <f>IF($X302="","",SUMIFS(TARIFF_PROFILES!$H:$H,TARIFF_PROFILES!$A:$A,$X302))</f>
        <v/>
      </c>
      <c r="AD302" s="13" t="str">
        <f>IF($X302="","",INDEX(TARIFF_PROFILES!$J:$J,MATCH($X302,TARIFF_PROFILES!$A:$A,0)))</f>
        <v/>
      </c>
      <c r="AE302" s="13" t="str">
        <f>IF($X302="","",INDEX(TARIFF_PROFILES!$K:$K,MATCH($X302,TARIFF_PROFILES!$A:$A,0)))</f>
        <v/>
      </c>
      <c r="AH302" t="str">
        <f>IF($AG302="","",SUMIFS(OPERATING_COEFFS!$C:$C,OPERATING_COEFFS!$A:$A,"DistanceClass",OPERATING_COEFFS!$B:$B,$AG302))</f>
        <v/>
      </c>
      <c r="AJ302" t="str">
        <f>IF($AI302="","",SUMIFS(OPERATING_COEFFS!$C:$C,OPERATING_COEFFS!$A:$A,"SeasonClass",OPERATING_COEFFS!$B:$B,$AI302))</f>
        <v/>
      </c>
      <c r="AL302" t="str">
        <f>IF($AK302="","",SUMIFS(OPERATING_COEFFS!$C:$C,OPERATING_COEFFS!$A:$A,"UrgencyClass",OPERATING_COEFFS!$B:$B,$AK302))</f>
        <v/>
      </c>
      <c r="AN302" t="str">
        <f>IF($AM302="","",INDEX(TAX_MODES!$B:$B,MATCH($AM302,TAX_MODES!$A:$A,0)))</f>
        <v/>
      </c>
    </row>
    <row r="303" spans="24:40" x14ac:dyDescent="0.3">
      <c r="X303" s="13"/>
      <c r="Y303" s="13" t="str">
        <f>IF($X303="","",SUMIFS(TARIFF_PROFILES!$D:$D,TARIFF_PROFILES!$A:$A,$X303))</f>
        <v/>
      </c>
      <c r="Z303" s="13" t="str">
        <f>IF($X303="","",SUMIFS(TARIFF_PROFILES!$E:$E,TARIFF_PROFILES!$A:$A,$X303))</f>
        <v/>
      </c>
      <c r="AA303" s="13" t="str">
        <f>IF($X303="","",SUMIFS(TARIFF_PROFILES!$F:$F,TARIFF_PROFILES!$A:$A,$X303))</f>
        <v/>
      </c>
      <c r="AB303" s="13" t="str">
        <f>IF($X303="","",SUMIFS(TARIFF_PROFILES!$G:$G,TARIFF_PROFILES!$A:$A,$X303))</f>
        <v/>
      </c>
      <c r="AC303" s="13" t="str">
        <f>IF($X303="","",SUMIFS(TARIFF_PROFILES!$H:$H,TARIFF_PROFILES!$A:$A,$X303))</f>
        <v/>
      </c>
      <c r="AD303" s="13" t="str">
        <f>IF($X303="","",INDEX(TARIFF_PROFILES!$J:$J,MATCH($X303,TARIFF_PROFILES!$A:$A,0)))</f>
        <v/>
      </c>
      <c r="AE303" s="13" t="str">
        <f>IF($X303="","",INDEX(TARIFF_PROFILES!$K:$K,MATCH($X303,TARIFF_PROFILES!$A:$A,0)))</f>
        <v/>
      </c>
      <c r="AH303" t="str">
        <f>IF($AG303="","",SUMIFS(OPERATING_COEFFS!$C:$C,OPERATING_COEFFS!$A:$A,"DistanceClass",OPERATING_COEFFS!$B:$B,$AG303))</f>
        <v/>
      </c>
      <c r="AJ303" t="str">
        <f>IF($AI303="","",SUMIFS(OPERATING_COEFFS!$C:$C,OPERATING_COEFFS!$A:$A,"SeasonClass",OPERATING_COEFFS!$B:$B,$AI303))</f>
        <v/>
      </c>
      <c r="AL303" t="str">
        <f>IF($AK303="","",SUMIFS(OPERATING_COEFFS!$C:$C,OPERATING_COEFFS!$A:$A,"UrgencyClass",OPERATING_COEFFS!$B:$B,$AK303))</f>
        <v/>
      </c>
      <c r="AN303" t="str">
        <f>IF($AM303="","",INDEX(TAX_MODES!$B:$B,MATCH($AM303,TAX_MODES!$A:$A,0)))</f>
        <v/>
      </c>
    </row>
    <row r="304" spans="24:40" x14ac:dyDescent="0.3">
      <c r="X304" s="13"/>
      <c r="Y304" s="13" t="str">
        <f>IF($X304="","",SUMIFS(TARIFF_PROFILES!$D:$D,TARIFF_PROFILES!$A:$A,$X304))</f>
        <v/>
      </c>
      <c r="Z304" s="13" t="str">
        <f>IF($X304="","",SUMIFS(TARIFF_PROFILES!$E:$E,TARIFF_PROFILES!$A:$A,$X304))</f>
        <v/>
      </c>
      <c r="AA304" s="13" t="str">
        <f>IF($X304="","",SUMIFS(TARIFF_PROFILES!$F:$F,TARIFF_PROFILES!$A:$A,$X304))</f>
        <v/>
      </c>
      <c r="AB304" s="13" t="str">
        <f>IF($X304="","",SUMIFS(TARIFF_PROFILES!$G:$G,TARIFF_PROFILES!$A:$A,$X304))</f>
        <v/>
      </c>
      <c r="AC304" s="13" t="str">
        <f>IF($X304="","",SUMIFS(TARIFF_PROFILES!$H:$H,TARIFF_PROFILES!$A:$A,$X304))</f>
        <v/>
      </c>
      <c r="AD304" s="13" t="str">
        <f>IF($X304="","",INDEX(TARIFF_PROFILES!$J:$J,MATCH($X304,TARIFF_PROFILES!$A:$A,0)))</f>
        <v/>
      </c>
      <c r="AE304" s="13" t="str">
        <f>IF($X304="","",INDEX(TARIFF_PROFILES!$K:$K,MATCH($X304,TARIFF_PROFILES!$A:$A,0)))</f>
        <v/>
      </c>
      <c r="AH304" t="str">
        <f>IF($AG304="","",SUMIFS(OPERATING_COEFFS!$C:$C,OPERATING_COEFFS!$A:$A,"DistanceClass",OPERATING_COEFFS!$B:$B,$AG304))</f>
        <v/>
      </c>
      <c r="AJ304" t="str">
        <f>IF($AI304="","",SUMIFS(OPERATING_COEFFS!$C:$C,OPERATING_COEFFS!$A:$A,"SeasonClass",OPERATING_COEFFS!$B:$B,$AI304))</f>
        <v/>
      </c>
      <c r="AL304" t="str">
        <f>IF($AK304="","",SUMIFS(OPERATING_COEFFS!$C:$C,OPERATING_COEFFS!$A:$A,"UrgencyClass",OPERATING_COEFFS!$B:$B,$AK304))</f>
        <v/>
      </c>
      <c r="AN304" t="str">
        <f>IF($AM304="","",INDEX(TAX_MODES!$B:$B,MATCH($AM304,TAX_MODES!$A:$A,0)))</f>
        <v/>
      </c>
    </row>
    <row r="305" spans="24:40" x14ac:dyDescent="0.3">
      <c r="X305" s="13"/>
      <c r="Y305" s="13" t="str">
        <f>IF($X305="","",SUMIFS(TARIFF_PROFILES!$D:$D,TARIFF_PROFILES!$A:$A,$X305))</f>
        <v/>
      </c>
      <c r="Z305" s="13" t="str">
        <f>IF($X305="","",SUMIFS(TARIFF_PROFILES!$E:$E,TARIFF_PROFILES!$A:$A,$X305))</f>
        <v/>
      </c>
      <c r="AA305" s="13" t="str">
        <f>IF($X305="","",SUMIFS(TARIFF_PROFILES!$F:$F,TARIFF_PROFILES!$A:$A,$X305))</f>
        <v/>
      </c>
      <c r="AB305" s="13" t="str">
        <f>IF($X305="","",SUMIFS(TARIFF_PROFILES!$G:$G,TARIFF_PROFILES!$A:$A,$X305))</f>
        <v/>
      </c>
      <c r="AC305" s="13" t="str">
        <f>IF($X305="","",SUMIFS(TARIFF_PROFILES!$H:$H,TARIFF_PROFILES!$A:$A,$X305))</f>
        <v/>
      </c>
      <c r="AD305" s="13" t="str">
        <f>IF($X305="","",INDEX(TARIFF_PROFILES!$J:$J,MATCH($X305,TARIFF_PROFILES!$A:$A,0)))</f>
        <v/>
      </c>
      <c r="AE305" s="13" t="str">
        <f>IF($X305="","",INDEX(TARIFF_PROFILES!$K:$K,MATCH($X305,TARIFF_PROFILES!$A:$A,0)))</f>
        <v/>
      </c>
      <c r="AH305" t="str">
        <f>IF($AG305="","",SUMIFS(OPERATING_COEFFS!$C:$C,OPERATING_COEFFS!$A:$A,"DistanceClass",OPERATING_COEFFS!$B:$B,$AG305))</f>
        <v/>
      </c>
      <c r="AJ305" t="str">
        <f>IF($AI305="","",SUMIFS(OPERATING_COEFFS!$C:$C,OPERATING_COEFFS!$A:$A,"SeasonClass",OPERATING_COEFFS!$B:$B,$AI305))</f>
        <v/>
      </c>
      <c r="AL305" t="str">
        <f>IF($AK305="","",SUMIFS(OPERATING_COEFFS!$C:$C,OPERATING_COEFFS!$A:$A,"UrgencyClass",OPERATING_COEFFS!$B:$B,$AK305))</f>
        <v/>
      </c>
      <c r="AN305" t="str">
        <f>IF($AM305="","",INDEX(TAX_MODES!$B:$B,MATCH($AM305,TAX_MODES!$A:$A,0)))</f>
        <v/>
      </c>
    </row>
    <row r="306" spans="24:40" x14ac:dyDescent="0.3">
      <c r="X306" s="13"/>
      <c r="Y306" s="13" t="str">
        <f>IF($X306="","",SUMIFS(TARIFF_PROFILES!$D:$D,TARIFF_PROFILES!$A:$A,$X306))</f>
        <v/>
      </c>
      <c r="Z306" s="13" t="str">
        <f>IF($X306="","",SUMIFS(TARIFF_PROFILES!$E:$E,TARIFF_PROFILES!$A:$A,$X306))</f>
        <v/>
      </c>
      <c r="AA306" s="13" t="str">
        <f>IF($X306="","",SUMIFS(TARIFF_PROFILES!$F:$F,TARIFF_PROFILES!$A:$A,$X306))</f>
        <v/>
      </c>
      <c r="AB306" s="13" t="str">
        <f>IF($X306="","",SUMIFS(TARIFF_PROFILES!$G:$G,TARIFF_PROFILES!$A:$A,$X306))</f>
        <v/>
      </c>
      <c r="AC306" s="13" t="str">
        <f>IF($X306="","",SUMIFS(TARIFF_PROFILES!$H:$H,TARIFF_PROFILES!$A:$A,$X306))</f>
        <v/>
      </c>
      <c r="AD306" s="13" t="str">
        <f>IF($X306="","",INDEX(TARIFF_PROFILES!$J:$J,MATCH($X306,TARIFF_PROFILES!$A:$A,0)))</f>
        <v/>
      </c>
      <c r="AE306" s="13" t="str">
        <f>IF($X306="","",INDEX(TARIFF_PROFILES!$K:$K,MATCH($X306,TARIFF_PROFILES!$A:$A,0)))</f>
        <v/>
      </c>
      <c r="AH306" t="str">
        <f>IF($AG306="","",SUMIFS(OPERATING_COEFFS!$C:$C,OPERATING_COEFFS!$A:$A,"DistanceClass",OPERATING_COEFFS!$B:$B,$AG306))</f>
        <v/>
      </c>
      <c r="AJ306" t="str">
        <f>IF($AI306="","",SUMIFS(OPERATING_COEFFS!$C:$C,OPERATING_COEFFS!$A:$A,"SeasonClass",OPERATING_COEFFS!$B:$B,$AI306))</f>
        <v/>
      </c>
      <c r="AL306" t="str">
        <f>IF($AK306="","",SUMIFS(OPERATING_COEFFS!$C:$C,OPERATING_COEFFS!$A:$A,"UrgencyClass",OPERATING_COEFFS!$B:$B,$AK306))</f>
        <v/>
      </c>
      <c r="AN306" t="str">
        <f>IF($AM306="","",INDEX(TAX_MODES!$B:$B,MATCH($AM306,TAX_MODES!$A:$A,0)))</f>
        <v/>
      </c>
    </row>
    <row r="307" spans="24:40" x14ac:dyDescent="0.3">
      <c r="X307" s="13"/>
      <c r="Y307" s="13" t="str">
        <f>IF($X307="","",SUMIFS(TARIFF_PROFILES!$D:$D,TARIFF_PROFILES!$A:$A,$X307))</f>
        <v/>
      </c>
      <c r="Z307" s="13" t="str">
        <f>IF($X307="","",SUMIFS(TARIFF_PROFILES!$E:$E,TARIFF_PROFILES!$A:$A,$X307))</f>
        <v/>
      </c>
      <c r="AA307" s="13" t="str">
        <f>IF($X307="","",SUMIFS(TARIFF_PROFILES!$F:$F,TARIFF_PROFILES!$A:$A,$X307))</f>
        <v/>
      </c>
      <c r="AB307" s="13" t="str">
        <f>IF($X307="","",SUMIFS(TARIFF_PROFILES!$G:$G,TARIFF_PROFILES!$A:$A,$X307))</f>
        <v/>
      </c>
      <c r="AC307" s="13" t="str">
        <f>IF($X307="","",SUMIFS(TARIFF_PROFILES!$H:$H,TARIFF_PROFILES!$A:$A,$X307))</f>
        <v/>
      </c>
      <c r="AD307" s="13" t="str">
        <f>IF($X307="","",INDEX(TARIFF_PROFILES!$J:$J,MATCH($X307,TARIFF_PROFILES!$A:$A,0)))</f>
        <v/>
      </c>
      <c r="AE307" s="13" t="str">
        <f>IF($X307="","",INDEX(TARIFF_PROFILES!$K:$K,MATCH($X307,TARIFF_PROFILES!$A:$A,0)))</f>
        <v/>
      </c>
      <c r="AH307" t="str">
        <f>IF($AG307="","",SUMIFS(OPERATING_COEFFS!$C:$C,OPERATING_COEFFS!$A:$A,"DistanceClass",OPERATING_COEFFS!$B:$B,$AG307))</f>
        <v/>
      </c>
      <c r="AJ307" t="str">
        <f>IF($AI307="","",SUMIFS(OPERATING_COEFFS!$C:$C,OPERATING_COEFFS!$A:$A,"SeasonClass",OPERATING_COEFFS!$B:$B,$AI307))</f>
        <v/>
      </c>
      <c r="AL307" t="str">
        <f>IF($AK307="","",SUMIFS(OPERATING_COEFFS!$C:$C,OPERATING_COEFFS!$A:$A,"UrgencyClass",OPERATING_COEFFS!$B:$B,$AK307))</f>
        <v/>
      </c>
      <c r="AN307" t="str">
        <f>IF($AM307="","",INDEX(TAX_MODES!$B:$B,MATCH($AM307,TAX_MODES!$A:$A,0)))</f>
        <v/>
      </c>
    </row>
    <row r="308" spans="24:40" x14ac:dyDescent="0.3">
      <c r="X308" s="13"/>
      <c r="Y308" s="13" t="str">
        <f>IF($X308="","",SUMIFS(TARIFF_PROFILES!$D:$D,TARIFF_PROFILES!$A:$A,$X308))</f>
        <v/>
      </c>
      <c r="Z308" s="13" t="str">
        <f>IF($X308="","",SUMIFS(TARIFF_PROFILES!$E:$E,TARIFF_PROFILES!$A:$A,$X308))</f>
        <v/>
      </c>
      <c r="AA308" s="13" t="str">
        <f>IF($X308="","",SUMIFS(TARIFF_PROFILES!$F:$F,TARIFF_PROFILES!$A:$A,$X308))</f>
        <v/>
      </c>
      <c r="AB308" s="13" t="str">
        <f>IF($X308="","",SUMIFS(TARIFF_PROFILES!$G:$G,TARIFF_PROFILES!$A:$A,$X308))</f>
        <v/>
      </c>
      <c r="AC308" s="13" t="str">
        <f>IF($X308="","",SUMIFS(TARIFF_PROFILES!$H:$H,TARIFF_PROFILES!$A:$A,$X308))</f>
        <v/>
      </c>
      <c r="AD308" s="13" t="str">
        <f>IF($X308="","",INDEX(TARIFF_PROFILES!$J:$J,MATCH($X308,TARIFF_PROFILES!$A:$A,0)))</f>
        <v/>
      </c>
      <c r="AE308" s="13" t="str">
        <f>IF($X308="","",INDEX(TARIFF_PROFILES!$K:$K,MATCH($X308,TARIFF_PROFILES!$A:$A,0)))</f>
        <v/>
      </c>
      <c r="AH308" t="str">
        <f>IF($AG308="","",SUMIFS(OPERATING_COEFFS!$C:$C,OPERATING_COEFFS!$A:$A,"DistanceClass",OPERATING_COEFFS!$B:$B,$AG308))</f>
        <v/>
      </c>
      <c r="AJ308" t="str">
        <f>IF($AI308="","",SUMIFS(OPERATING_COEFFS!$C:$C,OPERATING_COEFFS!$A:$A,"SeasonClass",OPERATING_COEFFS!$B:$B,$AI308))</f>
        <v/>
      </c>
      <c r="AL308" t="str">
        <f>IF($AK308="","",SUMIFS(OPERATING_COEFFS!$C:$C,OPERATING_COEFFS!$A:$A,"UrgencyClass",OPERATING_COEFFS!$B:$B,$AK308))</f>
        <v/>
      </c>
      <c r="AN308" t="str">
        <f>IF($AM308="","",INDEX(TAX_MODES!$B:$B,MATCH($AM308,TAX_MODES!$A:$A,0)))</f>
        <v/>
      </c>
    </row>
    <row r="309" spans="24:40" x14ac:dyDescent="0.3">
      <c r="X309" s="13"/>
      <c r="Y309" s="13" t="str">
        <f>IF($X309="","",SUMIFS(TARIFF_PROFILES!$D:$D,TARIFF_PROFILES!$A:$A,$X309))</f>
        <v/>
      </c>
      <c r="Z309" s="13" t="str">
        <f>IF($X309="","",SUMIFS(TARIFF_PROFILES!$E:$E,TARIFF_PROFILES!$A:$A,$X309))</f>
        <v/>
      </c>
      <c r="AA309" s="13" t="str">
        <f>IF($X309="","",SUMIFS(TARIFF_PROFILES!$F:$F,TARIFF_PROFILES!$A:$A,$X309))</f>
        <v/>
      </c>
      <c r="AB309" s="13" t="str">
        <f>IF($X309="","",SUMIFS(TARIFF_PROFILES!$G:$G,TARIFF_PROFILES!$A:$A,$X309))</f>
        <v/>
      </c>
      <c r="AC309" s="13" t="str">
        <f>IF($X309="","",SUMIFS(TARIFF_PROFILES!$H:$H,TARIFF_PROFILES!$A:$A,$X309))</f>
        <v/>
      </c>
      <c r="AD309" s="13" t="str">
        <f>IF($X309="","",INDEX(TARIFF_PROFILES!$J:$J,MATCH($X309,TARIFF_PROFILES!$A:$A,0)))</f>
        <v/>
      </c>
      <c r="AE309" s="13" t="str">
        <f>IF($X309="","",INDEX(TARIFF_PROFILES!$K:$K,MATCH($X309,TARIFF_PROFILES!$A:$A,0)))</f>
        <v/>
      </c>
      <c r="AH309" t="str">
        <f>IF($AG309="","",SUMIFS(OPERATING_COEFFS!$C:$C,OPERATING_COEFFS!$A:$A,"DistanceClass",OPERATING_COEFFS!$B:$B,$AG309))</f>
        <v/>
      </c>
      <c r="AJ309" t="str">
        <f>IF($AI309="","",SUMIFS(OPERATING_COEFFS!$C:$C,OPERATING_COEFFS!$A:$A,"SeasonClass",OPERATING_COEFFS!$B:$B,$AI309))</f>
        <v/>
      </c>
      <c r="AL309" t="str">
        <f>IF($AK309="","",SUMIFS(OPERATING_COEFFS!$C:$C,OPERATING_COEFFS!$A:$A,"UrgencyClass",OPERATING_COEFFS!$B:$B,$AK309))</f>
        <v/>
      </c>
      <c r="AN309" t="str">
        <f>IF($AM309="","",INDEX(TAX_MODES!$B:$B,MATCH($AM309,TAX_MODES!$A:$A,0)))</f>
        <v/>
      </c>
    </row>
    <row r="310" spans="24:40" x14ac:dyDescent="0.3">
      <c r="X310" s="13"/>
      <c r="Y310" s="13" t="str">
        <f>IF($X310="","",SUMIFS(TARIFF_PROFILES!$D:$D,TARIFF_PROFILES!$A:$A,$X310))</f>
        <v/>
      </c>
      <c r="Z310" s="13" t="str">
        <f>IF($X310="","",SUMIFS(TARIFF_PROFILES!$E:$E,TARIFF_PROFILES!$A:$A,$X310))</f>
        <v/>
      </c>
      <c r="AA310" s="13" t="str">
        <f>IF($X310="","",SUMIFS(TARIFF_PROFILES!$F:$F,TARIFF_PROFILES!$A:$A,$X310))</f>
        <v/>
      </c>
      <c r="AB310" s="13" t="str">
        <f>IF($X310="","",SUMIFS(TARIFF_PROFILES!$G:$G,TARIFF_PROFILES!$A:$A,$X310))</f>
        <v/>
      </c>
      <c r="AC310" s="13" t="str">
        <f>IF($X310="","",SUMIFS(TARIFF_PROFILES!$H:$H,TARIFF_PROFILES!$A:$A,$X310))</f>
        <v/>
      </c>
      <c r="AD310" s="13" t="str">
        <f>IF($X310="","",INDEX(TARIFF_PROFILES!$J:$J,MATCH($X310,TARIFF_PROFILES!$A:$A,0)))</f>
        <v/>
      </c>
      <c r="AE310" s="13" t="str">
        <f>IF($X310="","",INDEX(TARIFF_PROFILES!$K:$K,MATCH($X310,TARIFF_PROFILES!$A:$A,0)))</f>
        <v/>
      </c>
      <c r="AH310" t="str">
        <f>IF($AG310="","",SUMIFS(OPERATING_COEFFS!$C:$C,OPERATING_COEFFS!$A:$A,"DistanceClass",OPERATING_COEFFS!$B:$B,$AG310))</f>
        <v/>
      </c>
      <c r="AJ310" t="str">
        <f>IF($AI310="","",SUMIFS(OPERATING_COEFFS!$C:$C,OPERATING_COEFFS!$A:$A,"SeasonClass",OPERATING_COEFFS!$B:$B,$AI310))</f>
        <v/>
      </c>
      <c r="AL310" t="str">
        <f>IF($AK310="","",SUMIFS(OPERATING_COEFFS!$C:$C,OPERATING_COEFFS!$A:$A,"UrgencyClass",OPERATING_COEFFS!$B:$B,$AK310))</f>
        <v/>
      </c>
      <c r="AN310" t="str">
        <f>IF($AM310="","",INDEX(TAX_MODES!$B:$B,MATCH($AM310,TAX_MODES!$A:$A,0)))</f>
        <v/>
      </c>
    </row>
    <row r="311" spans="24:40" x14ac:dyDescent="0.3">
      <c r="X311" s="13"/>
      <c r="Y311" s="13" t="str">
        <f>IF($X311="","",SUMIFS(TARIFF_PROFILES!$D:$D,TARIFF_PROFILES!$A:$A,$X311))</f>
        <v/>
      </c>
      <c r="Z311" s="13" t="str">
        <f>IF($X311="","",SUMIFS(TARIFF_PROFILES!$E:$E,TARIFF_PROFILES!$A:$A,$X311))</f>
        <v/>
      </c>
      <c r="AA311" s="13" t="str">
        <f>IF($X311="","",SUMIFS(TARIFF_PROFILES!$F:$F,TARIFF_PROFILES!$A:$A,$X311))</f>
        <v/>
      </c>
      <c r="AB311" s="13" t="str">
        <f>IF($X311="","",SUMIFS(TARIFF_PROFILES!$G:$G,TARIFF_PROFILES!$A:$A,$X311))</f>
        <v/>
      </c>
      <c r="AC311" s="13" t="str">
        <f>IF($X311="","",SUMIFS(TARIFF_PROFILES!$H:$H,TARIFF_PROFILES!$A:$A,$X311))</f>
        <v/>
      </c>
      <c r="AD311" s="13" t="str">
        <f>IF($X311="","",INDEX(TARIFF_PROFILES!$J:$J,MATCH($X311,TARIFF_PROFILES!$A:$A,0)))</f>
        <v/>
      </c>
      <c r="AE311" s="13" t="str">
        <f>IF($X311="","",INDEX(TARIFF_PROFILES!$K:$K,MATCH($X311,TARIFF_PROFILES!$A:$A,0)))</f>
        <v/>
      </c>
      <c r="AH311" t="str">
        <f>IF($AG311="","",SUMIFS(OPERATING_COEFFS!$C:$C,OPERATING_COEFFS!$A:$A,"DistanceClass",OPERATING_COEFFS!$B:$B,$AG311))</f>
        <v/>
      </c>
      <c r="AJ311" t="str">
        <f>IF($AI311="","",SUMIFS(OPERATING_COEFFS!$C:$C,OPERATING_COEFFS!$A:$A,"SeasonClass",OPERATING_COEFFS!$B:$B,$AI311))</f>
        <v/>
      </c>
      <c r="AL311" t="str">
        <f>IF($AK311="","",SUMIFS(OPERATING_COEFFS!$C:$C,OPERATING_COEFFS!$A:$A,"UrgencyClass",OPERATING_COEFFS!$B:$B,$AK311))</f>
        <v/>
      </c>
      <c r="AN311" t="str">
        <f>IF($AM311="","",INDEX(TAX_MODES!$B:$B,MATCH($AM311,TAX_MODES!$A:$A,0)))</f>
        <v/>
      </c>
    </row>
    <row r="312" spans="24:40" x14ac:dyDescent="0.3">
      <c r="X312" s="13"/>
      <c r="Y312" s="13" t="str">
        <f>IF($X312="","",SUMIFS(TARIFF_PROFILES!$D:$D,TARIFF_PROFILES!$A:$A,$X312))</f>
        <v/>
      </c>
      <c r="Z312" s="13" t="str">
        <f>IF($X312="","",SUMIFS(TARIFF_PROFILES!$E:$E,TARIFF_PROFILES!$A:$A,$X312))</f>
        <v/>
      </c>
      <c r="AA312" s="13" t="str">
        <f>IF($X312="","",SUMIFS(TARIFF_PROFILES!$F:$F,TARIFF_PROFILES!$A:$A,$X312))</f>
        <v/>
      </c>
      <c r="AB312" s="13" t="str">
        <f>IF($X312="","",SUMIFS(TARIFF_PROFILES!$G:$G,TARIFF_PROFILES!$A:$A,$X312))</f>
        <v/>
      </c>
      <c r="AC312" s="13" t="str">
        <f>IF($X312="","",SUMIFS(TARIFF_PROFILES!$H:$H,TARIFF_PROFILES!$A:$A,$X312))</f>
        <v/>
      </c>
      <c r="AD312" s="13" t="str">
        <f>IF($X312="","",INDEX(TARIFF_PROFILES!$J:$J,MATCH($X312,TARIFF_PROFILES!$A:$A,0)))</f>
        <v/>
      </c>
      <c r="AE312" s="13" t="str">
        <f>IF($X312="","",INDEX(TARIFF_PROFILES!$K:$K,MATCH($X312,TARIFF_PROFILES!$A:$A,0)))</f>
        <v/>
      </c>
      <c r="AH312" t="str">
        <f>IF($AG312="","",SUMIFS(OPERATING_COEFFS!$C:$C,OPERATING_COEFFS!$A:$A,"DistanceClass",OPERATING_COEFFS!$B:$B,$AG312))</f>
        <v/>
      </c>
      <c r="AJ312" t="str">
        <f>IF($AI312="","",SUMIFS(OPERATING_COEFFS!$C:$C,OPERATING_COEFFS!$A:$A,"SeasonClass",OPERATING_COEFFS!$B:$B,$AI312))</f>
        <v/>
      </c>
      <c r="AL312" t="str">
        <f>IF($AK312="","",SUMIFS(OPERATING_COEFFS!$C:$C,OPERATING_COEFFS!$A:$A,"UrgencyClass",OPERATING_COEFFS!$B:$B,$AK312))</f>
        <v/>
      </c>
      <c r="AN312" t="str">
        <f>IF($AM312="","",INDEX(TAX_MODES!$B:$B,MATCH($AM312,TAX_MODES!$A:$A,0)))</f>
        <v/>
      </c>
    </row>
    <row r="313" spans="24:40" x14ac:dyDescent="0.3">
      <c r="X313" s="13"/>
      <c r="Y313" s="13" t="str">
        <f>IF($X313="","",SUMIFS(TARIFF_PROFILES!$D:$D,TARIFF_PROFILES!$A:$A,$X313))</f>
        <v/>
      </c>
      <c r="Z313" s="13" t="str">
        <f>IF($X313="","",SUMIFS(TARIFF_PROFILES!$E:$E,TARIFF_PROFILES!$A:$A,$X313))</f>
        <v/>
      </c>
      <c r="AA313" s="13" t="str">
        <f>IF($X313="","",SUMIFS(TARIFF_PROFILES!$F:$F,TARIFF_PROFILES!$A:$A,$X313))</f>
        <v/>
      </c>
      <c r="AB313" s="13" t="str">
        <f>IF($X313="","",SUMIFS(TARIFF_PROFILES!$G:$G,TARIFF_PROFILES!$A:$A,$X313))</f>
        <v/>
      </c>
      <c r="AC313" s="13" t="str">
        <f>IF($X313="","",SUMIFS(TARIFF_PROFILES!$H:$H,TARIFF_PROFILES!$A:$A,$X313))</f>
        <v/>
      </c>
      <c r="AD313" s="13" t="str">
        <f>IF($X313="","",INDEX(TARIFF_PROFILES!$J:$J,MATCH($X313,TARIFF_PROFILES!$A:$A,0)))</f>
        <v/>
      </c>
      <c r="AE313" s="13" t="str">
        <f>IF($X313="","",INDEX(TARIFF_PROFILES!$K:$K,MATCH($X313,TARIFF_PROFILES!$A:$A,0)))</f>
        <v/>
      </c>
      <c r="AH313" t="str">
        <f>IF($AG313="","",SUMIFS(OPERATING_COEFFS!$C:$C,OPERATING_COEFFS!$A:$A,"DistanceClass",OPERATING_COEFFS!$B:$B,$AG313))</f>
        <v/>
      </c>
      <c r="AJ313" t="str">
        <f>IF($AI313="","",SUMIFS(OPERATING_COEFFS!$C:$C,OPERATING_COEFFS!$A:$A,"SeasonClass",OPERATING_COEFFS!$B:$B,$AI313))</f>
        <v/>
      </c>
      <c r="AL313" t="str">
        <f>IF($AK313="","",SUMIFS(OPERATING_COEFFS!$C:$C,OPERATING_COEFFS!$A:$A,"UrgencyClass",OPERATING_COEFFS!$B:$B,$AK313))</f>
        <v/>
      </c>
      <c r="AN313" t="str">
        <f>IF($AM313="","",INDEX(TAX_MODES!$B:$B,MATCH($AM313,TAX_MODES!$A:$A,0)))</f>
        <v/>
      </c>
    </row>
    <row r="314" spans="24:40" x14ac:dyDescent="0.3">
      <c r="X314" s="13"/>
      <c r="Y314" s="13" t="str">
        <f>IF($X314="","",SUMIFS(TARIFF_PROFILES!$D:$D,TARIFF_PROFILES!$A:$A,$X314))</f>
        <v/>
      </c>
      <c r="Z314" s="13" t="str">
        <f>IF($X314="","",SUMIFS(TARIFF_PROFILES!$E:$E,TARIFF_PROFILES!$A:$A,$X314))</f>
        <v/>
      </c>
      <c r="AA314" s="13" t="str">
        <f>IF($X314="","",SUMIFS(TARIFF_PROFILES!$F:$F,TARIFF_PROFILES!$A:$A,$X314))</f>
        <v/>
      </c>
      <c r="AB314" s="13" t="str">
        <f>IF($X314="","",SUMIFS(TARIFF_PROFILES!$G:$G,TARIFF_PROFILES!$A:$A,$X314))</f>
        <v/>
      </c>
      <c r="AC314" s="13" t="str">
        <f>IF($X314="","",SUMIFS(TARIFF_PROFILES!$H:$H,TARIFF_PROFILES!$A:$A,$X314))</f>
        <v/>
      </c>
      <c r="AD314" s="13" t="str">
        <f>IF($X314="","",INDEX(TARIFF_PROFILES!$J:$J,MATCH($X314,TARIFF_PROFILES!$A:$A,0)))</f>
        <v/>
      </c>
      <c r="AE314" s="13" t="str">
        <f>IF($X314="","",INDEX(TARIFF_PROFILES!$K:$K,MATCH($X314,TARIFF_PROFILES!$A:$A,0)))</f>
        <v/>
      </c>
      <c r="AH314" t="str">
        <f>IF($AG314="","",SUMIFS(OPERATING_COEFFS!$C:$C,OPERATING_COEFFS!$A:$A,"DistanceClass",OPERATING_COEFFS!$B:$B,$AG314))</f>
        <v/>
      </c>
      <c r="AJ314" t="str">
        <f>IF($AI314="","",SUMIFS(OPERATING_COEFFS!$C:$C,OPERATING_COEFFS!$A:$A,"SeasonClass",OPERATING_COEFFS!$B:$B,$AI314))</f>
        <v/>
      </c>
      <c r="AL314" t="str">
        <f>IF($AK314="","",SUMIFS(OPERATING_COEFFS!$C:$C,OPERATING_COEFFS!$A:$A,"UrgencyClass",OPERATING_COEFFS!$B:$B,$AK314))</f>
        <v/>
      </c>
      <c r="AN314" t="str">
        <f>IF($AM314="","",INDEX(TAX_MODES!$B:$B,MATCH($AM314,TAX_MODES!$A:$A,0)))</f>
        <v/>
      </c>
    </row>
    <row r="315" spans="24:40" x14ac:dyDescent="0.3">
      <c r="X315" s="13"/>
      <c r="Y315" s="13" t="str">
        <f>IF($X315="","",SUMIFS(TARIFF_PROFILES!$D:$D,TARIFF_PROFILES!$A:$A,$X315))</f>
        <v/>
      </c>
      <c r="Z315" s="13" t="str">
        <f>IF($X315="","",SUMIFS(TARIFF_PROFILES!$E:$E,TARIFF_PROFILES!$A:$A,$X315))</f>
        <v/>
      </c>
      <c r="AA315" s="13" t="str">
        <f>IF($X315="","",SUMIFS(TARIFF_PROFILES!$F:$F,TARIFF_PROFILES!$A:$A,$X315))</f>
        <v/>
      </c>
      <c r="AB315" s="13" t="str">
        <f>IF($X315="","",SUMIFS(TARIFF_PROFILES!$G:$G,TARIFF_PROFILES!$A:$A,$X315))</f>
        <v/>
      </c>
      <c r="AC315" s="13" t="str">
        <f>IF($X315="","",SUMIFS(TARIFF_PROFILES!$H:$H,TARIFF_PROFILES!$A:$A,$X315))</f>
        <v/>
      </c>
      <c r="AD315" s="13" t="str">
        <f>IF($X315="","",INDEX(TARIFF_PROFILES!$J:$J,MATCH($X315,TARIFF_PROFILES!$A:$A,0)))</f>
        <v/>
      </c>
      <c r="AE315" s="13" t="str">
        <f>IF($X315="","",INDEX(TARIFF_PROFILES!$K:$K,MATCH($X315,TARIFF_PROFILES!$A:$A,0)))</f>
        <v/>
      </c>
      <c r="AH315" t="str">
        <f>IF($AG315="","",SUMIFS(OPERATING_COEFFS!$C:$C,OPERATING_COEFFS!$A:$A,"DistanceClass",OPERATING_COEFFS!$B:$B,$AG315))</f>
        <v/>
      </c>
      <c r="AJ315" t="str">
        <f>IF($AI315="","",SUMIFS(OPERATING_COEFFS!$C:$C,OPERATING_COEFFS!$A:$A,"SeasonClass",OPERATING_COEFFS!$B:$B,$AI315))</f>
        <v/>
      </c>
      <c r="AL315" t="str">
        <f>IF($AK315="","",SUMIFS(OPERATING_COEFFS!$C:$C,OPERATING_COEFFS!$A:$A,"UrgencyClass",OPERATING_COEFFS!$B:$B,$AK315))</f>
        <v/>
      </c>
      <c r="AN315" t="str">
        <f>IF($AM315="","",INDEX(TAX_MODES!$B:$B,MATCH($AM315,TAX_MODES!$A:$A,0)))</f>
        <v/>
      </c>
    </row>
    <row r="316" spans="24:40" x14ac:dyDescent="0.3">
      <c r="X316" s="13"/>
      <c r="Y316" s="13" t="str">
        <f>IF($X316="","",SUMIFS(TARIFF_PROFILES!$D:$D,TARIFF_PROFILES!$A:$A,$X316))</f>
        <v/>
      </c>
      <c r="Z316" s="13" t="str">
        <f>IF($X316="","",SUMIFS(TARIFF_PROFILES!$E:$E,TARIFF_PROFILES!$A:$A,$X316))</f>
        <v/>
      </c>
      <c r="AA316" s="13" t="str">
        <f>IF($X316="","",SUMIFS(TARIFF_PROFILES!$F:$F,TARIFF_PROFILES!$A:$A,$X316))</f>
        <v/>
      </c>
      <c r="AB316" s="13" t="str">
        <f>IF($X316="","",SUMIFS(TARIFF_PROFILES!$G:$G,TARIFF_PROFILES!$A:$A,$X316))</f>
        <v/>
      </c>
      <c r="AC316" s="13" t="str">
        <f>IF($X316="","",SUMIFS(TARIFF_PROFILES!$H:$H,TARIFF_PROFILES!$A:$A,$X316))</f>
        <v/>
      </c>
      <c r="AD316" s="13" t="str">
        <f>IF($X316="","",INDEX(TARIFF_PROFILES!$J:$J,MATCH($X316,TARIFF_PROFILES!$A:$A,0)))</f>
        <v/>
      </c>
      <c r="AE316" s="13" t="str">
        <f>IF($X316="","",INDEX(TARIFF_PROFILES!$K:$K,MATCH($X316,TARIFF_PROFILES!$A:$A,0)))</f>
        <v/>
      </c>
      <c r="AH316" t="str">
        <f>IF($AG316="","",SUMIFS(OPERATING_COEFFS!$C:$C,OPERATING_COEFFS!$A:$A,"DistanceClass",OPERATING_COEFFS!$B:$B,$AG316))</f>
        <v/>
      </c>
      <c r="AJ316" t="str">
        <f>IF($AI316="","",SUMIFS(OPERATING_COEFFS!$C:$C,OPERATING_COEFFS!$A:$A,"SeasonClass",OPERATING_COEFFS!$B:$B,$AI316))</f>
        <v/>
      </c>
      <c r="AL316" t="str">
        <f>IF($AK316="","",SUMIFS(OPERATING_COEFFS!$C:$C,OPERATING_COEFFS!$A:$A,"UrgencyClass",OPERATING_COEFFS!$B:$B,$AK316))</f>
        <v/>
      </c>
      <c r="AN316" t="str">
        <f>IF($AM316="","",INDEX(TAX_MODES!$B:$B,MATCH($AM316,TAX_MODES!$A:$A,0)))</f>
        <v/>
      </c>
    </row>
    <row r="317" spans="24:40" x14ac:dyDescent="0.3">
      <c r="X317" s="13"/>
      <c r="Y317" s="13" t="str">
        <f>IF($X317="","",SUMIFS(TARIFF_PROFILES!$D:$D,TARIFF_PROFILES!$A:$A,$X317))</f>
        <v/>
      </c>
      <c r="Z317" s="13" t="str">
        <f>IF($X317="","",SUMIFS(TARIFF_PROFILES!$E:$E,TARIFF_PROFILES!$A:$A,$X317))</f>
        <v/>
      </c>
      <c r="AA317" s="13" t="str">
        <f>IF($X317="","",SUMIFS(TARIFF_PROFILES!$F:$F,TARIFF_PROFILES!$A:$A,$X317))</f>
        <v/>
      </c>
      <c r="AB317" s="13" t="str">
        <f>IF($X317="","",SUMIFS(TARIFF_PROFILES!$G:$G,TARIFF_PROFILES!$A:$A,$X317))</f>
        <v/>
      </c>
      <c r="AC317" s="13" t="str">
        <f>IF($X317="","",SUMIFS(TARIFF_PROFILES!$H:$H,TARIFF_PROFILES!$A:$A,$X317))</f>
        <v/>
      </c>
      <c r="AD317" s="13" t="str">
        <f>IF($X317="","",INDEX(TARIFF_PROFILES!$J:$J,MATCH($X317,TARIFF_PROFILES!$A:$A,0)))</f>
        <v/>
      </c>
      <c r="AE317" s="13" t="str">
        <f>IF($X317="","",INDEX(TARIFF_PROFILES!$K:$K,MATCH($X317,TARIFF_PROFILES!$A:$A,0)))</f>
        <v/>
      </c>
      <c r="AH317" t="str">
        <f>IF($AG317="","",SUMIFS(OPERATING_COEFFS!$C:$C,OPERATING_COEFFS!$A:$A,"DistanceClass",OPERATING_COEFFS!$B:$B,$AG317))</f>
        <v/>
      </c>
      <c r="AJ317" t="str">
        <f>IF($AI317="","",SUMIFS(OPERATING_COEFFS!$C:$C,OPERATING_COEFFS!$A:$A,"SeasonClass",OPERATING_COEFFS!$B:$B,$AI317))</f>
        <v/>
      </c>
      <c r="AL317" t="str">
        <f>IF($AK317="","",SUMIFS(OPERATING_COEFFS!$C:$C,OPERATING_COEFFS!$A:$A,"UrgencyClass",OPERATING_COEFFS!$B:$B,$AK317))</f>
        <v/>
      </c>
      <c r="AN317" t="str">
        <f>IF($AM317="","",INDEX(TAX_MODES!$B:$B,MATCH($AM317,TAX_MODES!$A:$A,0)))</f>
        <v/>
      </c>
    </row>
    <row r="318" spans="24:40" x14ac:dyDescent="0.3">
      <c r="X318" s="13"/>
      <c r="Y318" s="13" t="str">
        <f>IF($X318="","",SUMIFS(TARIFF_PROFILES!$D:$D,TARIFF_PROFILES!$A:$A,$X318))</f>
        <v/>
      </c>
      <c r="Z318" s="13" t="str">
        <f>IF($X318="","",SUMIFS(TARIFF_PROFILES!$E:$E,TARIFF_PROFILES!$A:$A,$X318))</f>
        <v/>
      </c>
      <c r="AA318" s="13" t="str">
        <f>IF($X318="","",SUMIFS(TARIFF_PROFILES!$F:$F,TARIFF_PROFILES!$A:$A,$X318))</f>
        <v/>
      </c>
      <c r="AB318" s="13" t="str">
        <f>IF($X318="","",SUMIFS(TARIFF_PROFILES!$G:$G,TARIFF_PROFILES!$A:$A,$X318))</f>
        <v/>
      </c>
      <c r="AC318" s="13" t="str">
        <f>IF($X318="","",SUMIFS(TARIFF_PROFILES!$H:$H,TARIFF_PROFILES!$A:$A,$X318))</f>
        <v/>
      </c>
      <c r="AD318" s="13" t="str">
        <f>IF($X318="","",INDEX(TARIFF_PROFILES!$J:$J,MATCH($X318,TARIFF_PROFILES!$A:$A,0)))</f>
        <v/>
      </c>
      <c r="AE318" s="13" t="str">
        <f>IF($X318="","",INDEX(TARIFF_PROFILES!$K:$K,MATCH($X318,TARIFF_PROFILES!$A:$A,0)))</f>
        <v/>
      </c>
      <c r="AH318" t="str">
        <f>IF($AG318="","",SUMIFS(OPERATING_COEFFS!$C:$C,OPERATING_COEFFS!$A:$A,"DistanceClass",OPERATING_COEFFS!$B:$B,$AG318))</f>
        <v/>
      </c>
      <c r="AJ318" t="str">
        <f>IF($AI318="","",SUMIFS(OPERATING_COEFFS!$C:$C,OPERATING_COEFFS!$A:$A,"SeasonClass",OPERATING_COEFFS!$B:$B,$AI318))</f>
        <v/>
      </c>
      <c r="AL318" t="str">
        <f>IF($AK318="","",SUMIFS(OPERATING_COEFFS!$C:$C,OPERATING_COEFFS!$A:$A,"UrgencyClass",OPERATING_COEFFS!$B:$B,$AK318))</f>
        <v/>
      </c>
      <c r="AN318" t="str">
        <f>IF($AM318="","",INDEX(TAX_MODES!$B:$B,MATCH($AM318,TAX_MODES!$A:$A,0)))</f>
        <v/>
      </c>
    </row>
    <row r="319" spans="24:40" x14ac:dyDescent="0.3">
      <c r="X319" s="13"/>
      <c r="Y319" s="13" t="str">
        <f>IF($X319="","",SUMIFS(TARIFF_PROFILES!$D:$D,TARIFF_PROFILES!$A:$A,$X319))</f>
        <v/>
      </c>
      <c r="Z319" s="13" t="str">
        <f>IF($X319="","",SUMIFS(TARIFF_PROFILES!$E:$E,TARIFF_PROFILES!$A:$A,$X319))</f>
        <v/>
      </c>
      <c r="AA319" s="13" t="str">
        <f>IF($X319="","",SUMIFS(TARIFF_PROFILES!$F:$F,TARIFF_PROFILES!$A:$A,$X319))</f>
        <v/>
      </c>
      <c r="AB319" s="13" t="str">
        <f>IF($X319="","",SUMIFS(TARIFF_PROFILES!$G:$G,TARIFF_PROFILES!$A:$A,$X319))</f>
        <v/>
      </c>
      <c r="AC319" s="13" t="str">
        <f>IF($X319="","",SUMIFS(TARIFF_PROFILES!$H:$H,TARIFF_PROFILES!$A:$A,$X319))</f>
        <v/>
      </c>
      <c r="AD319" s="13" t="str">
        <f>IF($X319="","",INDEX(TARIFF_PROFILES!$J:$J,MATCH($X319,TARIFF_PROFILES!$A:$A,0)))</f>
        <v/>
      </c>
      <c r="AE319" s="13" t="str">
        <f>IF($X319="","",INDEX(TARIFF_PROFILES!$K:$K,MATCH($X319,TARIFF_PROFILES!$A:$A,0)))</f>
        <v/>
      </c>
      <c r="AH319" t="str">
        <f>IF($AG319="","",SUMIFS(OPERATING_COEFFS!$C:$C,OPERATING_COEFFS!$A:$A,"DistanceClass",OPERATING_COEFFS!$B:$B,$AG319))</f>
        <v/>
      </c>
      <c r="AJ319" t="str">
        <f>IF($AI319="","",SUMIFS(OPERATING_COEFFS!$C:$C,OPERATING_COEFFS!$A:$A,"SeasonClass",OPERATING_COEFFS!$B:$B,$AI319))</f>
        <v/>
      </c>
      <c r="AL319" t="str">
        <f>IF($AK319="","",SUMIFS(OPERATING_COEFFS!$C:$C,OPERATING_COEFFS!$A:$A,"UrgencyClass",OPERATING_COEFFS!$B:$B,$AK319))</f>
        <v/>
      </c>
      <c r="AN319" t="str">
        <f>IF($AM319="","",INDEX(TAX_MODES!$B:$B,MATCH($AM319,TAX_MODES!$A:$A,0)))</f>
        <v/>
      </c>
    </row>
    <row r="320" spans="24:40" x14ac:dyDescent="0.3">
      <c r="X320" s="13"/>
      <c r="Y320" s="13" t="str">
        <f>IF($X320="","",SUMIFS(TARIFF_PROFILES!$D:$D,TARIFF_PROFILES!$A:$A,$X320))</f>
        <v/>
      </c>
      <c r="Z320" s="13" t="str">
        <f>IF($X320="","",SUMIFS(TARIFF_PROFILES!$E:$E,TARIFF_PROFILES!$A:$A,$X320))</f>
        <v/>
      </c>
      <c r="AA320" s="13" t="str">
        <f>IF($X320="","",SUMIFS(TARIFF_PROFILES!$F:$F,TARIFF_PROFILES!$A:$A,$X320))</f>
        <v/>
      </c>
      <c r="AB320" s="13" t="str">
        <f>IF($X320="","",SUMIFS(TARIFF_PROFILES!$G:$G,TARIFF_PROFILES!$A:$A,$X320))</f>
        <v/>
      </c>
      <c r="AC320" s="13" t="str">
        <f>IF($X320="","",SUMIFS(TARIFF_PROFILES!$H:$H,TARIFF_PROFILES!$A:$A,$X320))</f>
        <v/>
      </c>
      <c r="AD320" s="13" t="str">
        <f>IF($X320="","",INDEX(TARIFF_PROFILES!$J:$J,MATCH($X320,TARIFF_PROFILES!$A:$A,0)))</f>
        <v/>
      </c>
      <c r="AE320" s="13" t="str">
        <f>IF($X320="","",INDEX(TARIFF_PROFILES!$K:$K,MATCH($X320,TARIFF_PROFILES!$A:$A,0)))</f>
        <v/>
      </c>
      <c r="AH320" t="str">
        <f>IF($AG320="","",SUMIFS(OPERATING_COEFFS!$C:$C,OPERATING_COEFFS!$A:$A,"DistanceClass",OPERATING_COEFFS!$B:$B,$AG320))</f>
        <v/>
      </c>
      <c r="AJ320" t="str">
        <f>IF($AI320="","",SUMIFS(OPERATING_COEFFS!$C:$C,OPERATING_COEFFS!$A:$A,"SeasonClass",OPERATING_COEFFS!$B:$B,$AI320))</f>
        <v/>
      </c>
      <c r="AL320" t="str">
        <f>IF($AK320="","",SUMIFS(OPERATING_COEFFS!$C:$C,OPERATING_COEFFS!$A:$A,"UrgencyClass",OPERATING_COEFFS!$B:$B,$AK320))</f>
        <v/>
      </c>
      <c r="AN320" t="str">
        <f>IF($AM320="","",INDEX(TAX_MODES!$B:$B,MATCH($AM320,TAX_MODES!$A:$A,0)))</f>
        <v/>
      </c>
    </row>
    <row r="321" spans="24:40" x14ac:dyDescent="0.3">
      <c r="X321" s="13"/>
      <c r="Y321" s="13" t="str">
        <f>IF($X321="","",SUMIFS(TARIFF_PROFILES!$D:$D,TARIFF_PROFILES!$A:$A,$X321))</f>
        <v/>
      </c>
      <c r="Z321" s="13" t="str">
        <f>IF($X321="","",SUMIFS(TARIFF_PROFILES!$E:$E,TARIFF_PROFILES!$A:$A,$X321))</f>
        <v/>
      </c>
      <c r="AA321" s="13" t="str">
        <f>IF($X321="","",SUMIFS(TARIFF_PROFILES!$F:$F,TARIFF_PROFILES!$A:$A,$X321))</f>
        <v/>
      </c>
      <c r="AB321" s="13" t="str">
        <f>IF($X321="","",SUMIFS(TARIFF_PROFILES!$G:$G,TARIFF_PROFILES!$A:$A,$X321))</f>
        <v/>
      </c>
      <c r="AC321" s="13" t="str">
        <f>IF($X321="","",SUMIFS(TARIFF_PROFILES!$H:$H,TARIFF_PROFILES!$A:$A,$X321))</f>
        <v/>
      </c>
      <c r="AD321" s="13" t="str">
        <f>IF($X321="","",INDEX(TARIFF_PROFILES!$J:$J,MATCH($X321,TARIFF_PROFILES!$A:$A,0)))</f>
        <v/>
      </c>
      <c r="AE321" s="13" t="str">
        <f>IF($X321="","",INDEX(TARIFF_PROFILES!$K:$K,MATCH($X321,TARIFF_PROFILES!$A:$A,0)))</f>
        <v/>
      </c>
      <c r="AH321" t="str">
        <f>IF($AG321="","",SUMIFS(OPERATING_COEFFS!$C:$C,OPERATING_COEFFS!$A:$A,"DistanceClass",OPERATING_COEFFS!$B:$B,$AG321))</f>
        <v/>
      </c>
      <c r="AJ321" t="str">
        <f>IF($AI321="","",SUMIFS(OPERATING_COEFFS!$C:$C,OPERATING_COEFFS!$A:$A,"SeasonClass",OPERATING_COEFFS!$B:$B,$AI321))</f>
        <v/>
      </c>
      <c r="AL321" t="str">
        <f>IF($AK321="","",SUMIFS(OPERATING_COEFFS!$C:$C,OPERATING_COEFFS!$A:$A,"UrgencyClass",OPERATING_COEFFS!$B:$B,$AK321))</f>
        <v/>
      </c>
      <c r="AN321" t="str">
        <f>IF($AM321="","",INDEX(TAX_MODES!$B:$B,MATCH($AM321,TAX_MODES!$A:$A,0)))</f>
        <v/>
      </c>
    </row>
    <row r="322" spans="24:40" x14ac:dyDescent="0.3">
      <c r="X322" s="13"/>
      <c r="Y322" s="13" t="str">
        <f>IF($X322="","",SUMIFS(TARIFF_PROFILES!$D:$D,TARIFF_PROFILES!$A:$A,$X322))</f>
        <v/>
      </c>
      <c r="Z322" s="13" t="str">
        <f>IF($X322="","",SUMIFS(TARIFF_PROFILES!$E:$E,TARIFF_PROFILES!$A:$A,$X322))</f>
        <v/>
      </c>
      <c r="AA322" s="13" t="str">
        <f>IF($X322="","",SUMIFS(TARIFF_PROFILES!$F:$F,TARIFF_PROFILES!$A:$A,$X322))</f>
        <v/>
      </c>
      <c r="AB322" s="13" t="str">
        <f>IF($X322="","",SUMIFS(TARIFF_PROFILES!$G:$G,TARIFF_PROFILES!$A:$A,$X322))</f>
        <v/>
      </c>
      <c r="AC322" s="13" t="str">
        <f>IF($X322="","",SUMIFS(TARIFF_PROFILES!$H:$H,TARIFF_PROFILES!$A:$A,$X322))</f>
        <v/>
      </c>
      <c r="AD322" s="13" t="str">
        <f>IF($X322="","",INDEX(TARIFF_PROFILES!$J:$J,MATCH($X322,TARIFF_PROFILES!$A:$A,0)))</f>
        <v/>
      </c>
      <c r="AE322" s="13" t="str">
        <f>IF($X322="","",INDEX(TARIFF_PROFILES!$K:$K,MATCH($X322,TARIFF_PROFILES!$A:$A,0)))</f>
        <v/>
      </c>
      <c r="AH322" t="str">
        <f>IF($AG322="","",SUMIFS(OPERATING_COEFFS!$C:$C,OPERATING_COEFFS!$A:$A,"DistanceClass",OPERATING_COEFFS!$B:$B,$AG322))</f>
        <v/>
      </c>
      <c r="AJ322" t="str">
        <f>IF($AI322="","",SUMIFS(OPERATING_COEFFS!$C:$C,OPERATING_COEFFS!$A:$A,"SeasonClass",OPERATING_COEFFS!$B:$B,$AI322))</f>
        <v/>
      </c>
      <c r="AL322" t="str">
        <f>IF($AK322="","",SUMIFS(OPERATING_COEFFS!$C:$C,OPERATING_COEFFS!$A:$A,"UrgencyClass",OPERATING_COEFFS!$B:$B,$AK322))</f>
        <v/>
      </c>
      <c r="AN322" t="str">
        <f>IF($AM322="","",INDEX(TAX_MODES!$B:$B,MATCH($AM322,TAX_MODES!$A:$A,0)))</f>
        <v/>
      </c>
    </row>
    <row r="323" spans="24:40" x14ac:dyDescent="0.3">
      <c r="X323" s="13"/>
      <c r="Y323" s="13" t="str">
        <f>IF($X323="","",SUMIFS(TARIFF_PROFILES!$D:$D,TARIFF_PROFILES!$A:$A,$X323))</f>
        <v/>
      </c>
      <c r="Z323" s="13" t="str">
        <f>IF($X323="","",SUMIFS(TARIFF_PROFILES!$E:$E,TARIFF_PROFILES!$A:$A,$X323))</f>
        <v/>
      </c>
      <c r="AA323" s="13" t="str">
        <f>IF($X323="","",SUMIFS(TARIFF_PROFILES!$F:$F,TARIFF_PROFILES!$A:$A,$X323))</f>
        <v/>
      </c>
      <c r="AB323" s="13" t="str">
        <f>IF($X323="","",SUMIFS(TARIFF_PROFILES!$G:$G,TARIFF_PROFILES!$A:$A,$X323))</f>
        <v/>
      </c>
      <c r="AC323" s="13" t="str">
        <f>IF($X323="","",SUMIFS(TARIFF_PROFILES!$H:$H,TARIFF_PROFILES!$A:$A,$X323))</f>
        <v/>
      </c>
      <c r="AD323" s="13" t="str">
        <f>IF($X323="","",INDEX(TARIFF_PROFILES!$J:$J,MATCH($X323,TARIFF_PROFILES!$A:$A,0)))</f>
        <v/>
      </c>
      <c r="AE323" s="13" t="str">
        <f>IF($X323="","",INDEX(TARIFF_PROFILES!$K:$K,MATCH($X323,TARIFF_PROFILES!$A:$A,0)))</f>
        <v/>
      </c>
      <c r="AH323" t="str">
        <f>IF($AG323="","",SUMIFS(OPERATING_COEFFS!$C:$C,OPERATING_COEFFS!$A:$A,"DistanceClass",OPERATING_COEFFS!$B:$B,$AG323))</f>
        <v/>
      </c>
      <c r="AJ323" t="str">
        <f>IF($AI323="","",SUMIFS(OPERATING_COEFFS!$C:$C,OPERATING_COEFFS!$A:$A,"SeasonClass",OPERATING_COEFFS!$B:$B,$AI323))</f>
        <v/>
      </c>
      <c r="AL323" t="str">
        <f>IF($AK323="","",SUMIFS(OPERATING_COEFFS!$C:$C,OPERATING_COEFFS!$A:$A,"UrgencyClass",OPERATING_COEFFS!$B:$B,$AK323))</f>
        <v/>
      </c>
      <c r="AN323" t="str">
        <f>IF($AM323="","",INDEX(TAX_MODES!$B:$B,MATCH($AM323,TAX_MODES!$A:$A,0)))</f>
        <v/>
      </c>
    </row>
    <row r="324" spans="24:40" x14ac:dyDescent="0.3">
      <c r="X324" s="13"/>
      <c r="Y324" s="13" t="str">
        <f>IF($X324="","",SUMIFS(TARIFF_PROFILES!$D:$D,TARIFF_PROFILES!$A:$A,$X324))</f>
        <v/>
      </c>
      <c r="Z324" s="13" t="str">
        <f>IF($X324="","",SUMIFS(TARIFF_PROFILES!$E:$E,TARIFF_PROFILES!$A:$A,$X324))</f>
        <v/>
      </c>
      <c r="AA324" s="13" t="str">
        <f>IF($X324="","",SUMIFS(TARIFF_PROFILES!$F:$F,TARIFF_PROFILES!$A:$A,$X324))</f>
        <v/>
      </c>
      <c r="AB324" s="13" t="str">
        <f>IF($X324="","",SUMIFS(TARIFF_PROFILES!$G:$G,TARIFF_PROFILES!$A:$A,$X324))</f>
        <v/>
      </c>
      <c r="AC324" s="13" t="str">
        <f>IF($X324="","",SUMIFS(TARIFF_PROFILES!$H:$H,TARIFF_PROFILES!$A:$A,$X324))</f>
        <v/>
      </c>
      <c r="AD324" s="13" t="str">
        <f>IF($X324="","",INDEX(TARIFF_PROFILES!$J:$J,MATCH($X324,TARIFF_PROFILES!$A:$A,0)))</f>
        <v/>
      </c>
      <c r="AE324" s="13" t="str">
        <f>IF($X324="","",INDEX(TARIFF_PROFILES!$K:$K,MATCH($X324,TARIFF_PROFILES!$A:$A,0)))</f>
        <v/>
      </c>
      <c r="AH324" t="str">
        <f>IF($AG324="","",SUMIFS(OPERATING_COEFFS!$C:$C,OPERATING_COEFFS!$A:$A,"DistanceClass",OPERATING_COEFFS!$B:$B,$AG324))</f>
        <v/>
      </c>
      <c r="AJ324" t="str">
        <f>IF($AI324="","",SUMIFS(OPERATING_COEFFS!$C:$C,OPERATING_COEFFS!$A:$A,"SeasonClass",OPERATING_COEFFS!$B:$B,$AI324))</f>
        <v/>
      </c>
      <c r="AL324" t="str">
        <f>IF($AK324="","",SUMIFS(OPERATING_COEFFS!$C:$C,OPERATING_COEFFS!$A:$A,"UrgencyClass",OPERATING_COEFFS!$B:$B,$AK324))</f>
        <v/>
      </c>
      <c r="AN324" t="str">
        <f>IF($AM324="","",INDEX(TAX_MODES!$B:$B,MATCH($AM324,TAX_MODES!$A:$A,0)))</f>
        <v/>
      </c>
    </row>
    <row r="325" spans="24:40" x14ac:dyDescent="0.3">
      <c r="X325" s="13"/>
      <c r="Y325" s="13" t="str">
        <f>IF($X325="","",SUMIFS(TARIFF_PROFILES!$D:$D,TARIFF_PROFILES!$A:$A,$X325))</f>
        <v/>
      </c>
      <c r="Z325" s="13" t="str">
        <f>IF($X325="","",SUMIFS(TARIFF_PROFILES!$E:$E,TARIFF_PROFILES!$A:$A,$X325))</f>
        <v/>
      </c>
      <c r="AA325" s="13" t="str">
        <f>IF($X325="","",SUMIFS(TARIFF_PROFILES!$F:$F,TARIFF_PROFILES!$A:$A,$X325))</f>
        <v/>
      </c>
      <c r="AB325" s="13" t="str">
        <f>IF($X325="","",SUMIFS(TARIFF_PROFILES!$G:$G,TARIFF_PROFILES!$A:$A,$X325))</f>
        <v/>
      </c>
      <c r="AC325" s="13" t="str">
        <f>IF($X325="","",SUMIFS(TARIFF_PROFILES!$H:$H,TARIFF_PROFILES!$A:$A,$X325))</f>
        <v/>
      </c>
      <c r="AD325" s="13" t="str">
        <f>IF($X325="","",INDEX(TARIFF_PROFILES!$J:$J,MATCH($X325,TARIFF_PROFILES!$A:$A,0)))</f>
        <v/>
      </c>
      <c r="AE325" s="13" t="str">
        <f>IF($X325="","",INDEX(TARIFF_PROFILES!$K:$K,MATCH($X325,TARIFF_PROFILES!$A:$A,0)))</f>
        <v/>
      </c>
      <c r="AH325" t="str">
        <f>IF($AG325="","",SUMIFS(OPERATING_COEFFS!$C:$C,OPERATING_COEFFS!$A:$A,"DistanceClass",OPERATING_COEFFS!$B:$B,$AG325))</f>
        <v/>
      </c>
      <c r="AJ325" t="str">
        <f>IF($AI325="","",SUMIFS(OPERATING_COEFFS!$C:$C,OPERATING_COEFFS!$A:$A,"SeasonClass",OPERATING_COEFFS!$B:$B,$AI325))</f>
        <v/>
      </c>
      <c r="AL325" t="str">
        <f>IF($AK325="","",SUMIFS(OPERATING_COEFFS!$C:$C,OPERATING_COEFFS!$A:$A,"UrgencyClass",OPERATING_COEFFS!$B:$B,$AK325))</f>
        <v/>
      </c>
      <c r="AN325" t="str">
        <f>IF($AM325="","",INDEX(TAX_MODES!$B:$B,MATCH($AM325,TAX_MODES!$A:$A,0)))</f>
        <v/>
      </c>
    </row>
    <row r="326" spans="24:40" x14ac:dyDescent="0.3">
      <c r="X326" s="13"/>
      <c r="Y326" s="13" t="str">
        <f>IF($X326="","",SUMIFS(TARIFF_PROFILES!$D:$D,TARIFF_PROFILES!$A:$A,$X326))</f>
        <v/>
      </c>
      <c r="Z326" s="13" t="str">
        <f>IF($X326="","",SUMIFS(TARIFF_PROFILES!$E:$E,TARIFF_PROFILES!$A:$A,$X326))</f>
        <v/>
      </c>
      <c r="AA326" s="13" t="str">
        <f>IF($X326="","",SUMIFS(TARIFF_PROFILES!$F:$F,TARIFF_PROFILES!$A:$A,$X326))</f>
        <v/>
      </c>
      <c r="AB326" s="13" t="str">
        <f>IF($X326="","",SUMIFS(TARIFF_PROFILES!$G:$G,TARIFF_PROFILES!$A:$A,$X326))</f>
        <v/>
      </c>
      <c r="AC326" s="13" t="str">
        <f>IF($X326="","",SUMIFS(TARIFF_PROFILES!$H:$H,TARIFF_PROFILES!$A:$A,$X326))</f>
        <v/>
      </c>
      <c r="AD326" s="13" t="str">
        <f>IF($X326="","",INDEX(TARIFF_PROFILES!$J:$J,MATCH($X326,TARIFF_PROFILES!$A:$A,0)))</f>
        <v/>
      </c>
      <c r="AE326" s="13" t="str">
        <f>IF($X326="","",INDEX(TARIFF_PROFILES!$K:$K,MATCH($X326,TARIFF_PROFILES!$A:$A,0)))</f>
        <v/>
      </c>
      <c r="AH326" t="str">
        <f>IF($AG326="","",SUMIFS(OPERATING_COEFFS!$C:$C,OPERATING_COEFFS!$A:$A,"DistanceClass",OPERATING_COEFFS!$B:$B,$AG326))</f>
        <v/>
      </c>
      <c r="AJ326" t="str">
        <f>IF($AI326="","",SUMIFS(OPERATING_COEFFS!$C:$C,OPERATING_COEFFS!$A:$A,"SeasonClass",OPERATING_COEFFS!$B:$B,$AI326))</f>
        <v/>
      </c>
      <c r="AL326" t="str">
        <f>IF($AK326="","",SUMIFS(OPERATING_COEFFS!$C:$C,OPERATING_COEFFS!$A:$A,"UrgencyClass",OPERATING_COEFFS!$B:$B,$AK326))</f>
        <v/>
      </c>
      <c r="AN326" t="str">
        <f>IF($AM326="","",INDEX(TAX_MODES!$B:$B,MATCH($AM326,TAX_MODES!$A:$A,0)))</f>
        <v/>
      </c>
    </row>
    <row r="327" spans="24:40" x14ac:dyDescent="0.3">
      <c r="X327" s="13"/>
      <c r="Y327" s="13" t="str">
        <f>IF($X327="","",SUMIFS(TARIFF_PROFILES!$D:$D,TARIFF_PROFILES!$A:$A,$X327))</f>
        <v/>
      </c>
      <c r="Z327" s="13" t="str">
        <f>IF($X327="","",SUMIFS(TARIFF_PROFILES!$E:$E,TARIFF_PROFILES!$A:$A,$X327))</f>
        <v/>
      </c>
      <c r="AA327" s="13" t="str">
        <f>IF($X327="","",SUMIFS(TARIFF_PROFILES!$F:$F,TARIFF_PROFILES!$A:$A,$X327))</f>
        <v/>
      </c>
      <c r="AB327" s="13" t="str">
        <f>IF($X327="","",SUMIFS(TARIFF_PROFILES!$G:$G,TARIFF_PROFILES!$A:$A,$X327))</f>
        <v/>
      </c>
      <c r="AC327" s="13" t="str">
        <f>IF($X327="","",SUMIFS(TARIFF_PROFILES!$H:$H,TARIFF_PROFILES!$A:$A,$X327))</f>
        <v/>
      </c>
      <c r="AD327" s="13" t="str">
        <f>IF($X327="","",INDEX(TARIFF_PROFILES!$J:$J,MATCH($X327,TARIFF_PROFILES!$A:$A,0)))</f>
        <v/>
      </c>
      <c r="AE327" s="13" t="str">
        <f>IF($X327="","",INDEX(TARIFF_PROFILES!$K:$K,MATCH($X327,TARIFF_PROFILES!$A:$A,0)))</f>
        <v/>
      </c>
      <c r="AH327" t="str">
        <f>IF($AG327="","",SUMIFS(OPERATING_COEFFS!$C:$C,OPERATING_COEFFS!$A:$A,"DistanceClass",OPERATING_COEFFS!$B:$B,$AG327))</f>
        <v/>
      </c>
      <c r="AJ327" t="str">
        <f>IF($AI327="","",SUMIFS(OPERATING_COEFFS!$C:$C,OPERATING_COEFFS!$A:$A,"SeasonClass",OPERATING_COEFFS!$B:$B,$AI327))</f>
        <v/>
      </c>
      <c r="AL327" t="str">
        <f>IF($AK327="","",SUMIFS(OPERATING_COEFFS!$C:$C,OPERATING_COEFFS!$A:$A,"UrgencyClass",OPERATING_COEFFS!$B:$B,$AK327))</f>
        <v/>
      </c>
      <c r="AN327" t="str">
        <f>IF($AM327="","",INDEX(TAX_MODES!$B:$B,MATCH($AM327,TAX_MODES!$A:$A,0)))</f>
        <v/>
      </c>
    </row>
    <row r="328" spans="24:40" x14ac:dyDescent="0.3">
      <c r="X328" s="13"/>
      <c r="Y328" s="13" t="str">
        <f>IF($X328="","",SUMIFS(TARIFF_PROFILES!$D:$D,TARIFF_PROFILES!$A:$A,$X328))</f>
        <v/>
      </c>
      <c r="Z328" s="13" t="str">
        <f>IF($X328="","",SUMIFS(TARIFF_PROFILES!$E:$E,TARIFF_PROFILES!$A:$A,$X328))</f>
        <v/>
      </c>
      <c r="AA328" s="13" t="str">
        <f>IF($X328="","",SUMIFS(TARIFF_PROFILES!$F:$F,TARIFF_PROFILES!$A:$A,$X328))</f>
        <v/>
      </c>
      <c r="AB328" s="13" t="str">
        <f>IF($X328="","",SUMIFS(TARIFF_PROFILES!$G:$G,TARIFF_PROFILES!$A:$A,$X328))</f>
        <v/>
      </c>
      <c r="AC328" s="13" t="str">
        <f>IF($X328="","",SUMIFS(TARIFF_PROFILES!$H:$H,TARIFF_PROFILES!$A:$A,$X328))</f>
        <v/>
      </c>
      <c r="AD328" s="13" t="str">
        <f>IF($X328="","",INDEX(TARIFF_PROFILES!$J:$J,MATCH($X328,TARIFF_PROFILES!$A:$A,0)))</f>
        <v/>
      </c>
      <c r="AE328" s="13" t="str">
        <f>IF($X328="","",INDEX(TARIFF_PROFILES!$K:$K,MATCH($X328,TARIFF_PROFILES!$A:$A,0)))</f>
        <v/>
      </c>
      <c r="AH328" t="str">
        <f>IF($AG328="","",SUMIFS(OPERATING_COEFFS!$C:$C,OPERATING_COEFFS!$A:$A,"DistanceClass",OPERATING_COEFFS!$B:$B,$AG328))</f>
        <v/>
      </c>
      <c r="AJ328" t="str">
        <f>IF($AI328="","",SUMIFS(OPERATING_COEFFS!$C:$C,OPERATING_COEFFS!$A:$A,"SeasonClass",OPERATING_COEFFS!$B:$B,$AI328))</f>
        <v/>
      </c>
      <c r="AL328" t="str">
        <f>IF($AK328="","",SUMIFS(OPERATING_COEFFS!$C:$C,OPERATING_COEFFS!$A:$A,"UrgencyClass",OPERATING_COEFFS!$B:$B,$AK328))</f>
        <v/>
      </c>
      <c r="AN328" t="str">
        <f>IF($AM328="","",INDEX(TAX_MODES!$B:$B,MATCH($AM328,TAX_MODES!$A:$A,0)))</f>
        <v/>
      </c>
    </row>
    <row r="329" spans="24:40" x14ac:dyDescent="0.3">
      <c r="X329" s="13"/>
      <c r="Y329" s="13" t="str">
        <f>IF($X329="","",SUMIFS(TARIFF_PROFILES!$D:$D,TARIFF_PROFILES!$A:$A,$X329))</f>
        <v/>
      </c>
      <c r="Z329" s="13" t="str">
        <f>IF($X329="","",SUMIFS(TARIFF_PROFILES!$E:$E,TARIFF_PROFILES!$A:$A,$X329))</f>
        <v/>
      </c>
      <c r="AA329" s="13" t="str">
        <f>IF($X329="","",SUMIFS(TARIFF_PROFILES!$F:$F,TARIFF_PROFILES!$A:$A,$X329))</f>
        <v/>
      </c>
      <c r="AB329" s="13" t="str">
        <f>IF($X329="","",SUMIFS(TARIFF_PROFILES!$G:$G,TARIFF_PROFILES!$A:$A,$X329))</f>
        <v/>
      </c>
      <c r="AC329" s="13" t="str">
        <f>IF($X329="","",SUMIFS(TARIFF_PROFILES!$H:$H,TARIFF_PROFILES!$A:$A,$X329))</f>
        <v/>
      </c>
      <c r="AD329" s="13" t="str">
        <f>IF($X329="","",INDEX(TARIFF_PROFILES!$J:$J,MATCH($X329,TARIFF_PROFILES!$A:$A,0)))</f>
        <v/>
      </c>
      <c r="AE329" s="13" t="str">
        <f>IF($X329="","",INDEX(TARIFF_PROFILES!$K:$K,MATCH($X329,TARIFF_PROFILES!$A:$A,0)))</f>
        <v/>
      </c>
      <c r="AH329" t="str">
        <f>IF($AG329="","",SUMIFS(OPERATING_COEFFS!$C:$C,OPERATING_COEFFS!$A:$A,"DistanceClass",OPERATING_COEFFS!$B:$B,$AG329))</f>
        <v/>
      </c>
      <c r="AJ329" t="str">
        <f>IF($AI329="","",SUMIFS(OPERATING_COEFFS!$C:$C,OPERATING_COEFFS!$A:$A,"SeasonClass",OPERATING_COEFFS!$B:$B,$AI329))</f>
        <v/>
      </c>
      <c r="AL329" t="str">
        <f>IF($AK329="","",SUMIFS(OPERATING_COEFFS!$C:$C,OPERATING_COEFFS!$A:$A,"UrgencyClass",OPERATING_COEFFS!$B:$B,$AK329))</f>
        <v/>
      </c>
      <c r="AN329" t="str">
        <f>IF($AM329="","",INDEX(TAX_MODES!$B:$B,MATCH($AM329,TAX_MODES!$A:$A,0)))</f>
        <v/>
      </c>
    </row>
    <row r="330" spans="24:40" x14ac:dyDescent="0.3">
      <c r="X330" s="13"/>
      <c r="Y330" s="13" t="str">
        <f>IF($X330="","",SUMIFS(TARIFF_PROFILES!$D:$D,TARIFF_PROFILES!$A:$A,$X330))</f>
        <v/>
      </c>
      <c r="Z330" s="13" t="str">
        <f>IF($X330="","",SUMIFS(TARIFF_PROFILES!$E:$E,TARIFF_PROFILES!$A:$A,$X330))</f>
        <v/>
      </c>
      <c r="AA330" s="13" t="str">
        <f>IF($X330="","",SUMIFS(TARIFF_PROFILES!$F:$F,TARIFF_PROFILES!$A:$A,$X330))</f>
        <v/>
      </c>
      <c r="AB330" s="13" t="str">
        <f>IF($X330="","",SUMIFS(TARIFF_PROFILES!$G:$G,TARIFF_PROFILES!$A:$A,$X330))</f>
        <v/>
      </c>
      <c r="AC330" s="13" t="str">
        <f>IF($X330="","",SUMIFS(TARIFF_PROFILES!$H:$H,TARIFF_PROFILES!$A:$A,$X330))</f>
        <v/>
      </c>
      <c r="AD330" s="13" t="str">
        <f>IF($X330="","",INDEX(TARIFF_PROFILES!$J:$J,MATCH($X330,TARIFF_PROFILES!$A:$A,0)))</f>
        <v/>
      </c>
      <c r="AE330" s="13" t="str">
        <f>IF($X330="","",INDEX(TARIFF_PROFILES!$K:$K,MATCH($X330,TARIFF_PROFILES!$A:$A,0)))</f>
        <v/>
      </c>
      <c r="AH330" t="str">
        <f>IF($AG330="","",SUMIFS(OPERATING_COEFFS!$C:$C,OPERATING_COEFFS!$A:$A,"DistanceClass",OPERATING_COEFFS!$B:$B,$AG330))</f>
        <v/>
      </c>
      <c r="AJ330" t="str">
        <f>IF($AI330="","",SUMIFS(OPERATING_COEFFS!$C:$C,OPERATING_COEFFS!$A:$A,"SeasonClass",OPERATING_COEFFS!$B:$B,$AI330))</f>
        <v/>
      </c>
      <c r="AL330" t="str">
        <f>IF($AK330="","",SUMIFS(OPERATING_COEFFS!$C:$C,OPERATING_COEFFS!$A:$A,"UrgencyClass",OPERATING_COEFFS!$B:$B,$AK330))</f>
        <v/>
      </c>
      <c r="AN330" t="str">
        <f>IF($AM330="","",INDEX(TAX_MODES!$B:$B,MATCH($AM330,TAX_MODES!$A:$A,0)))</f>
        <v/>
      </c>
    </row>
    <row r="331" spans="24:40" x14ac:dyDescent="0.3">
      <c r="X331" s="13"/>
      <c r="Y331" s="13" t="str">
        <f>IF($X331="","",SUMIFS(TARIFF_PROFILES!$D:$D,TARIFF_PROFILES!$A:$A,$X331))</f>
        <v/>
      </c>
      <c r="Z331" s="13" t="str">
        <f>IF($X331="","",SUMIFS(TARIFF_PROFILES!$E:$E,TARIFF_PROFILES!$A:$A,$X331))</f>
        <v/>
      </c>
      <c r="AA331" s="13" t="str">
        <f>IF($X331="","",SUMIFS(TARIFF_PROFILES!$F:$F,TARIFF_PROFILES!$A:$A,$X331))</f>
        <v/>
      </c>
      <c r="AB331" s="13" t="str">
        <f>IF($X331="","",SUMIFS(TARIFF_PROFILES!$G:$G,TARIFF_PROFILES!$A:$A,$X331))</f>
        <v/>
      </c>
      <c r="AC331" s="13" t="str">
        <f>IF($X331="","",SUMIFS(TARIFF_PROFILES!$H:$H,TARIFF_PROFILES!$A:$A,$X331))</f>
        <v/>
      </c>
      <c r="AD331" s="13" t="str">
        <f>IF($X331="","",INDEX(TARIFF_PROFILES!$J:$J,MATCH($X331,TARIFF_PROFILES!$A:$A,0)))</f>
        <v/>
      </c>
      <c r="AE331" s="13" t="str">
        <f>IF($X331="","",INDEX(TARIFF_PROFILES!$K:$K,MATCH($X331,TARIFF_PROFILES!$A:$A,0)))</f>
        <v/>
      </c>
      <c r="AH331" t="str">
        <f>IF($AG331="","",SUMIFS(OPERATING_COEFFS!$C:$C,OPERATING_COEFFS!$A:$A,"DistanceClass",OPERATING_COEFFS!$B:$B,$AG331))</f>
        <v/>
      </c>
      <c r="AJ331" t="str">
        <f>IF($AI331="","",SUMIFS(OPERATING_COEFFS!$C:$C,OPERATING_COEFFS!$A:$A,"SeasonClass",OPERATING_COEFFS!$B:$B,$AI331))</f>
        <v/>
      </c>
      <c r="AL331" t="str">
        <f>IF($AK331="","",SUMIFS(OPERATING_COEFFS!$C:$C,OPERATING_COEFFS!$A:$A,"UrgencyClass",OPERATING_COEFFS!$B:$B,$AK331))</f>
        <v/>
      </c>
      <c r="AN331" t="str">
        <f>IF($AM331="","",INDEX(TAX_MODES!$B:$B,MATCH($AM331,TAX_MODES!$A:$A,0)))</f>
        <v/>
      </c>
    </row>
    <row r="332" spans="24:40" x14ac:dyDescent="0.3">
      <c r="X332" s="13"/>
      <c r="Y332" s="13" t="str">
        <f>IF($X332="","",SUMIFS(TARIFF_PROFILES!$D:$D,TARIFF_PROFILES!$A:$A,$X332))</f>
        <v/>
      </c>
      <c r="Z332" s="13" t="str">
        <f>IF($X332="","",SUMIFS(TARIFF_PROFILES!$E:$E,TARIFF_PROFILES!$A:$A,$X332))</f>
        <v/>
      </c>
      <c r="AA332" s="13" t="str">
        <f>IF($X332="","",SUMIFS(TARIFF_PROFILES!$F:$F,TARIFF_PROFILES!$A:$A,$X332))</f>
        <v/>
      </c>
      <c r="AB332" s="13" t="str">
        <f>IF($X332="","",SUMIFS(TARIFF_PROFILES!$G:$G,TARIFF_PROFILES!$A:$A,$X332))</f>
        <v/>
      </c>
      <c r="AC332" s="13" t="str">
        <f>IF($X332="","",SUMIFS(TARIFF_PROFILES!$H:$H,TARIFF_PROFILES!$A:$A,$X332))</f>
        <v/>
      </c>
      <c r="AD332" s="13" t="str">
        <f>IF($X332="","",INDEX(TARIFF_PROFILES!$J:$J,MATCH($X332,TARIFF_PROFILES!$A:$A,0)))</f>
        <v/>
      </c>
      <c r="AE332" s="13" t="str">
        <f>IF($X332="","",INDEX(TARIFF_PROFILES!$K:$K,MATCH($X332,TARIFF_PROFILES!$A:$A,0)))</f>
        <v/>
      </c>
      <c r="AH332" t="str">
        <f>IF($AG332="","",SUMIFS(OPERATING_COEFFS!$C:$C,OPERATING_COEFFS!$A:$A,"DistanceClass",OPERATING_COEFFS!$B:$B,$AG332))</f>
        <v/>
      </c>
      <c r="AJ332" t="str">
        <f>IF($AI332="","",SUMIFS(OPERATING_COEFFS!$C:$C,OPERATING_COEFFS!$A:$A,"SeasonClass",OPERATING_COEFFS!$B:$B,$AI332))</f>
        <v/>
      </c>
      <c r="AL332" t="str">
        <f>IF($AK332="","",SUMIFS(OPERATING_COEFFS!$C:$C,OPERATING_COEFFS!$A:$A,"UrgencyClass",OPERATING_COEFFS!$B:$B,$AK332))</f>
        <v/>
      </c>
      <c r="AN332" t="str">
        <f>IF($AM332="","",INDEX(TAX_MODES!$B:$B,MATCH($AM332,TAX_MODES!$A:$A,0)))</f>
        <v/>
      </c>
    </row>
    <row r="333" spans="24:40" x14ac:dyDescent="0.3">
      <c r="X333" s="13"/>
      <c r="Y333" s="13" t="str">
        <f>IF($X333="","",SUMIFS(TARIFF_PROFILES!$D:$D,TARIFF_PROFILES!$A:$A,$X333))</f>
        <v/>
      </c>
      <c r="Z333" s="13" t="str">
        <f>IF($X333="","",SUMIFS(TARIFF_PROFILES!$E:$E,TARIFF_PROFILES!$A:$A,$X333))</f>
        <v/>
      </c>
      <c r="AA333" s="13" t="str">
        <f>IF($X333="","",SUMIFS(TARIFF_PROFILES!$F:$F,TARIFF_PROFILES!$A:$A,$X333))</f>
        <v/>
      </c>
      <c r="AB333" s="13" t="str">
        <f>IF($X333="","",SUMIFS(TARIFF_PROFILES!$G:$G,TARIFF_PROFILES!$A:$A,$X333))</f>
        <v/>
      </c>
      <c r="AC333" s="13" t="str">
        <f>IF($X333="","",SUMIFS(TARIFF_PROFILES!$H:$H,TARIFF_PROFILES!$A:$A,$X333))</f>
        <v/>
      </c>
      <c r="AD333" s="13" t="str">
        <f>IF($X333="","",INDEX(TARIFF_PROFILES!$J:$J,MATCH($X333,TARIFF_PROFILES!$A:$A,0)))</f>
        <v/>
      </c>
      <c r="AE333" s="13" t="str">
        <f>IF($X333="","",INDEX(TARIFF_PROFILES!$K:$K,MATCH($X333,TARIFF_PROFILES!$A:$A,0)))</f>
        <v/>
      </c>
      <c r="AH333" t="str">
        <f>IF($AG333="","",SUMIFS(OPERATING_COEFFS!$C:$C,OPERATING_COEFFS!$A:$A,"DistanceClass",OPERATING_COEFFS!$B:$B,$AG333))</f>
        <v/>
      </c>
      <c r="AJ333" t="str">
        <f>IF($AI333="","",SUMIFS(OPERATING_COEFFS!$C:$C,OPERATING_COEFFS!$A:$A,"SeasonClass",OPERATING_COEFFS!$B:$B,$AI333))</f>
        <v/>
      </c>
      <c r="AL333" t="str">
        <f>IF($AK333="","",SUMIFS(OPERATING_COEFFS!$C:$C,OPERATING_COEFFS!$A:$A,"UrgencyClass",OPERATING_COEFFS!$B:$B,$AK333))</f>
        <v/>
      </c>
      <c r="AN333" t="str">
        <f>IF($AM333="","",INDEX(TAX_MODES!$B:$B,MATCH($AM333,TAX_MODES!$A:$A,0)))</f>
        <v/>
      </c>
    </row>
    <row r="334" spans="24:40" x14ac:dyDescent="0.3">
      <c r="X334" s="13"/>
      <c r="Y334" s="13" t="str">
        <f>IF($X334="","",SUMIFS(TARIFF_PROFILES!$D:$D,TARIFF_PROFILES!$A:$A,$X334))</f>
        <v/>
      </c>
      <c r="Z334" s="13" t="str">
        <f>IF($X334="","",SUMIFS(TARIFF_PROFILES!$E:$E,TARIFF_PROFILES!$A:$A,$X334))</f>
        <v/>
      </c>
      <c r="AA334" s="13" t="str">
        <f>IF($X334="","",SUMIFS(TARIFF_PROFILES!$F:$F,TARIFF_PROFILES!$A:$A,$X334))</f>
        <v/>
      </c>
      <c r="AB334" s="13" t="str">
        <f>IF($X334="","",SUMIFS(TARIFF_PROFILES!$G:$G,TARIFF_PROFILES!$A:$A,$X334))</f>
        <v/>
      </c>
      <c r="AC334" s="13" t="str">
        <f>IF($X334="","",SUMIFS(TARIFF_PROFILES!$H:$H,TARIFF_PROFILES!$A:$A,$X334))</f>
        <v/>
      </c>
      <c r="AD334" s="13" t="str">
        <f>IF($X334="","",INDEX(TARIFF_PROFILES!$J:$J,MATCH($X334,TARIFF_PROFILES!$A:$A,0)))</f>
        <v/>
      </c>
      <c r="AE334" s="13" t="str">
        <f>IF($X334="","",INDEX(TARIFF_PROFILES!$K:$K,MATCH($X334,TARIFF_PROFILES!$A:$A,0)))</f>
        <v/>
      </c>
      <c r="AH334" t="str">
        <f>IF($AG334="","",SUMIFS(OPERATING_COEFFS!$C:$C,OPERATING_COEFFS!$A:$A,"DistanceClass",OPERATING_COEFFS!$B:$B,$AG334))</f>
        <v/>
      </c>
      <c r="AJ334" t="str">
        <f>IF($AI334="","",SUMIFS(OPERATING_COEFFS!$C:$C,OPERATING_COEFFS!$A:$A,"SeasonClass",OPERATING_COEFFS!$B:$B,$AI334))</f>
        <v/>
      </c>
      <c r="AL334" t="str">
        <f>IF($AK334="","",SUMIFS(OPERATING_COEFFS!$C:$C,OPERATING_COEFFS!$A:$A,"UrgencyClass",OPERATING_COEFFS!$B:$B,$AK334))</f>
        <v/>
      </c>
      <c r="AN334" t="str">
        <f>IF($AM334="","",INDEX(TAX_MODES!$B:$B,MATCH($AM334,TAX_MODES!$A:$A,0)))</f>
        <v/>
      </c>
    </row>
    <row r="335" spans="24:40" x14ac:dyDescent="0.3">
      <c r="X335" s="13"/>
      <c r="Y335" s="13" t="str">
        <f>IF($X335="","",SUMIFS(TARIFF_PROFILES!$D:$D,TARIFF_PROFILES!$A:$A,$X335))</f>
        <v/>
      </c>
      <c r="Z335" s="13" t="str">
        <f>IF($X335="","",SUMIFS(TARIFF_PROFILES!$E:$E,TARIFF_PROFILES!$A:$A,$X335))</f>
        <v/>
      </c>
      <c r="AA335" s="13" t="str">
        <f>IF($X335="","",SUMIFS(TARIFF_PROFILES!$F:$F,TARIFF_PROFILES!$A:$A,$X335))</f>
        <v/>
      </c>
      <c r="AB335" s="13" t="str">
        <f>IF($X335="","",SUMIFS(TARIFF_PROFILES!$G:$G,TARIFF_PROFILES!$A:$A,$X335))</f>
        <v/>
      </c>
      <c r="AC335" s="13" t="str">
        <f>IF($X335="","",SUMIFS(TARIFF_PROFILES!$H:$H,TARIFF_PROFILES!$A:$A,$X335))</f>
        <v/>
      </c>
      <c r="AD335" s="13" t="str">
        <f>IF($X335="","",INDEX(TARIFF_PROFILES!$J:$J,MATCH($X335,TARIFF_PROFILES!$A:$A,0)))</f>
        <v/>
      </c>
      <c r="AE335" s="13" t="str">
        <f>IF($X335="","",INDEX(TARIFF_PROFILES!$K:$K,MATCH($X335,TARIFF_PROFILES!$A:$A,0)))</f>
        <v/>
      </c>
      <c r="AH335" t="str">
        <f>IF($AG335="","",SUMIFS(OPERATING_COEFFS!$C:$C,OPERATING_COEFFS!$A:$A,"DistanceClass",OPERATING_COEFFS!$B:$B,$AG335))</f>
        <v/>
      </c>
      <c r="AJ335" t="str">
        <f>IF($AI335="","",SUMIFS(OPERATING_COEFFS!$C:$C,OPERATING_COEFFS!$A:$A,"SeasonClass",OPERATING_COEFFS!$B:$B,$AI335))</f>
        <v/>
      </c>
      <c r="AL335" t="str">
        <f>IF($AK335="","",SUMIFS(OPERATING_COEFFS!$C:$C,OPERATING_COEFFS!$A:$A,"UrgencyClass",OPERATING_COEFFS!$B:$B,$AK335))</f>
        <v/>
      </c>
      <c r="AN335" t="str">
        <f>IF($AM335="","",INDEX(TAX_MODES!$B:$B,MATCH($AM335,TAX_MODES!$A:$A,0)))</f>
        <v/>
      </c>
    </row>
    <row r="336" spans="24:40" x14ac:dyDescent="0.3">
      <c r="X336" s="13"/>
      <c r="Y336" s="13" t="str">
        <f>IF($X336="","",SUMIFS(TARIFF_PROFILES!$D:$D,TARIFF_PROFILES!$A:$A,$X336))</f>
        <v/>
      </c>
      <c r="Z336" s="13" t="str">
        <f>IF($X336="","",SUMIFS(TARIFF_PROFILES!$E:$E,TARIFF_PROFILES!$A:$A,$X336))</f>
        <v/>
      </c>
      <c r="AA336" s="13" t="str">
        <f>IF($X336="","",SUMIFS(TARIFF_PROFILES!$F:$F,TARIFF_PROFILES!$A:$A,$X336))</f>
        <v/>
      </c>
      <c r="AB336" s="13" t="str">
        <f>IF($X336="","",SUMIFS(TARIFF_PROFILES!$G:$G,TARIFF_PROFILES!$A:$A,$X336))</f>
        <v/>
      </c>
      <c r="AC336" s="13" t="str">
        <f>IF($X336="","",SUMIFS(TARIFF_PROFILES!$H:$H,TARIFF_PROFILES!$A:$A,$X336))</f>
        <v/>
      </c>
      <c r="AD336" s="13" t="str">
        <f>IF($X336="","",INDEX(TARIFF_PROFILES!$J:$J,MATCH($X336,TARIFF_PROFILES!$A:$A,0)))</f>
        <v/>
      </c>
      <c r="AE336" s="13" t="str">
        <f>IF($X336="","",INDEX(TARIFF_PROFILES!$K:$K,MATCH($X336,TARIFF_PROFILES!$A:$A,0)))</f>
        <v/>
      </c>
      <c r="AH336" t="str">
        <f>IF($AG336="","",SUMIFS(OPERATING_COEFFS!$C:$C,OPERATING_COEFFS!$A:$A,"DistanceClass",OPERATING_COEFFS!$B:$B,$AG336))</f>
        <v/>
      </c>
      <c r="AJ336" t="str">
        <f>IF($AI336="","",SUMIFS(OPERATING_COEFFS!$C:$C,OPERATING_COEFFS!$A:$A,"SeasonClass",OPERATING_COEFFS!$B:$B,$AI336))</f>
        <v/>
      </c>
      <c r="AL336" t="str">
        <f>IF($AK336="","",SUMIFS(OPERATING_COEFFS!$C:$C,OPERATING_COEFFS!$A:$A,"UrgencyClass",OPERATING_COEFFS!$B:$B,$AK336))</f>
        <v/>
      </c>
      <c r="AN336" t="str">
        <f>IF($AM336="","",INDEX(TAX_MODES!$B:$B,MATCH($AM336,TAX_MODES!$A:$A,0)))</f>
        <v/>
      </c>
    </row>
    <row r="337" spans="24:40" x14ac:dyDescent="0.3">
      <c r="X337" s="13"/>
      <c r="Y337" s="13" t="str">
        <f>IF($X337="","",SUMIFS(TARIFF_PROFILES!$D:$D,TARIFF_PROFILES!$A:$A,$X337))</f>
        <v/>
      </c>
      <c r="Z337" s="13" t="str">
        <f>IF($X337="","",SUMIFS(TARIFF_PROFILES!$E:$E,TARIFF_PROFILES!$A:$A,$X337))</f>
        <v/>
      </c>
      <c r="AA337" s="13" t="str">
        <f>IF($X337="","",SUMIFS(TARIFF_PROFILES!$F:$F,TARIFF_PROFILES!$A:$A,$X337))</f>
        <v/>
      </c>
      <c r="AB337" s="13" t="str">
        <f>IF($X337="","",SUMIFS(TARIFF_PROFILES!$G:$G,TARIFF_PROFILES!$A:$A,$X337))</f>
        <v/>
      </c>
      <c r="AC337" s="13" t="str">
        <f>IF($X337="","",SUMIFS(TARIFF_PROFILES!$H:$H,TARIFF_PROFILES!$A:$A,$X337))</f>
        <v/>
      </c>
      <c r="AD337" s="13" t="str">
        <f>IF($X337="","",INDEX(TARIFF_PROFILES!$J:$J,MATCH($X337,TARIFF_PROFILES!$A:$A,0)))</f>
        <v/>
      </c>
      <c r="AE337" s="13" t="str">
        <f>IF($X337="","",INDEX(TARIFF_PROFILES!$K:$K,MATCH($X337,TARIFF_PROFILES!$A:$A,0)))</f>
        <v/>
      </c>
      <c r="AH337" t="str">
        <f>IF($AG337="","",SUMIFS(OPERATING_COEFFS!$C:$C,OPERATING_COEFFS!$A:$A,"DistanceClass",OPERATING_COEFFS!$B:$B,$AG337))</f>
        <v/>
      </c>
      <c r="AJ337" t="str">
        <f>IF($AI337="","",SUMIFS(OPERATING_COEFFS!$C:$C,OPERATING_COEFFS!$A:$A,"SeasonClass",OPERATING_COEFFS!$B:$B,$AI337))</f>
        <v/>
      </c>
      <c r="AL337" t="str">
        <f>IF($AK337="","",SUMIFS(OPERATING_COEFFS!$C:$C,OPERATING_COEFFS!$A:$A,"UrgencyClass",OPERATING_COEFFS!$B:$B,$AK337))</f>
        <v/>
      </c>
      <c r="AN337" t="str">
        <f>IF($AM337="","",INDEX(TAX_MODES!$B:$B,MATCH($AM337,TAX_MODES!$A:$A,0)))</f>
        <v/>
      </c>
    </row>
    <row r="338" spans="24:40" x14ac:dyDescent="0.3">
      <c r="X338" s="13"/>
      <c r="Y338" s="13" t="str">
        <f>IF($X338="","",SUMIFS(TARIFF_PROFILES!$D:$D,TARIFF_PROFILES!$A:$A,$X338))</f>
        <v/>
      </c>
      <c r="Z338" s="13" t="str">
        <f>IF($X338="","",SUMIFS(TARIFF_PROFILES!$E:$E,TARIFF_PROFILES!$A:$A,$X338))</f>
        <v/>
      </c>
      <c r="AA338" s="13" t="str">
        <f>IF($X338="","",SUMIFS(TARIFF_PROFILES!$F:$F,TARIFF_PROFILES!$A:$A,$X338))</f>
        <v/>
      </c>
      <c r="AB338" s="13" t="str">
        <f>IF($X338="","",SUMIFS(TARIFF_PROFILES!$G:$G,TARIFF_PROFILES!$A:$A,$X338))</f>
        <v/>
      </c>
      <c r="AC338" s="13" t="str">
        <f>IF($X338="","",SUMIFS(TARIFF_PROFILES!$H:$H,TARIFF_PROFILES!$A:$A,$X338))</f>
        <v/>
      </c>
      <c r="AD338" s="13" t="str">
        <f>IF($X338="","",INDEX(TARIFF_PROFILES!$J:$J,MATCH($X338,TARIFF_PROFILES!$A:$A,0)))</f>
        <v/>
      </c>
      <c r="AE338" s="13" t="str">
        <f>IF($X338="","",INDEX(TARIFF_PROFILES!$K:$K,MATCH($X338,TARIFF_PROFILES!$A:$A,0)))</f>
        <v/>
      </c>
      <c r="AH338" t="str">
        <f>IF($AG338="","",SUMIFS(OPERATING_COEFFS!$C:$C,OPERATING_COEFFS!$A:$A,"DistanceClass",OPERATING_COEFFS!$B:$B,$AG338))</f>
        <v/>
      </c>
      <c r="AJ338" t="str">
        <f>IF($AI338="","",SUMIFS(OPERATING_COEFFS!$C:$C,OPERATING_COEFFS!$A:$A,"SeasonClass",OPERATING_COEFFS!$B:$B,$AI338))</f>
        <v/>
      </c>
      <c r="AL338" t="str">
        <f>IF($AK338="","",SUMIFS(OPERATING_COEFFS!$C:$C,OPERATING_COEFFS!$A:$A,"UrgencyClass",OPERATING_COEFFS!$B:$B,$AK338))</f>
        <v/>
      </c>
      <c r="AN338" t="str">
        <f>IF($AM338="","",INDEX(TAX_MODES!$B:$B,MATCH($AM338,TAX_MODES!$A:$A,0)))</f>
        <v/>
      </c>
    </row>
    <row r="339" spans="24:40" x14ac:dyDescent="0.3">
      <c r="X339" s="13"/>
      <c r="Y339" s="13" t="str">
        <f>IF($X339="","",SUMIFS(TARIFF_PROFILES!$D:$D,TARIFF_PROFILES!$A:$A,$X339))</f>
        <v/>
      </c>
      <c r="Z339" s="13" t="str">
        <f>IF($X339="","",SUMIFS(TARIFF_PROFILES!$E:$E,TARIFF_PROFILES!$A:$A,$X339))</f>
        <v/>
      </c>
      <c r="AA339" s="13" t="str">
        <f>IF($X339="","",SUMIFS(TARIFF_PROFILES!$F:$F,TARIFF_PROFILES!$A:$A,$X339))</f>
        <v/>
      </c>
      <c r="AB339" s="13" t="str">
        <f>IF($X339="","",SUMIFS(TARIFF_PROFILES!$G:$G,TARIFF_PROFILES!$A:$A,$X339))</f>
        <v/>
      </c>
      <c r="AC339" s="13" t="str">
        <f>IF($X339="","",SUMIFS(TARIFF_PROFILES!$H:$H,TARIFF_PROFILES!$A:$A,$X339))</f>
        <v/>
      </c>
      <c r="AD339" s="13" t="str">
        <f>IF($X339="","",INDEX(TARIFF_PROFILES!$J:$J,MATCH($X339,TARIFF_PROFILES!$A:$A,0)))</f>
        <v/>
      </c>
      <c r="AE339" s="13" t="str">
        <f>IF($X339="","",INDEX(TARIFF_PROFILES!$K:$K,MATCH($X339,TARIFF_PROFILES!$A:$A,0)))</f>
        <v/>
      </c>
      <c r="AH339" t="str">
        <f>IF($AG339="","",SUMIFS(OPERATING_COEFFS!$C:$C,OPERATING_COEFFS!$A:$A,"DistanceClass",OPERATING_COEFFS!$B:$B,$AG339))</f>
        <v/>
      </c>
      <c r="AJ339" t="str">
        <f>IF($AI339="","",SUMIFS(OPERATING_COEFFS!$C:$C,OPERATING_COEFFS!$A:$A,"SeasonClass",OPERATING_COEFFS!$B:$B,$AI339))</f>
        <v/>
      </c>
      <c r="AL339" t="str">
        <f>IF($AK339="","",SUMIFS(OPERATING_COEFFS!$C:$C,OPERATING_COEFFS!$A:$A,"UrgencyClass",OPERATING_COEFFS!$B:$B,$AK339))</f>
        <v/>
      </c>
      <c r="AN339" t="str">
        <f>IF($AM339="","",INDEX(TAX_MODES!$B:$B,MATCH($AM339,TAX_MODES!$A:$A,0)))</f>
        <v/>
      </c>
    </row>
    <row r="340" spans="24:40" x14ac:dyDescent="0.3">
      <c r="X340" s="13"/>
      <c r="Y340" s="13" t="str">
        <f>IF($X340="","",SUMIFS(TARIFF_PROFILES!$D:$D,TARIFF_PROFILES!$A:$A,$X340))</f>
        <v/>
      </c>
      <c r="Z340" s="13" t="str">
        <f>IF($X340="","",SUMIFS(TARIFF_PROFILES!$E:$E,TARIFF_PROFILES!$A:$A,$X340))</f>
        <v/>
      </c>
      <c r="AA340" s="13" t="str">
        <f>IF($X340="","",SUMIFS(TARIFF_PROFILES!$F:$F,TARIFF_PROFILES!$A:$A,$X340))</f>
        <v/>
      </c>
      <c r="AB340" s="13" t="str">
        <f>IF($X340="","",SUMIFS(TARIFF_PROFILES!$G:$G,TARIFF_PROFILES!$A:$A,$X340))</f>
        <v/>
      </c>
      <c r="AC340" s="13" t="str">
        <f>IF($X340="","",SUMIFS(TARIFF_PROFILES!$H:$H,TARIFF_PROFILES!$A:$A,$X340))</f>
        <v/>
      </c>
      <c r="AD340" s="13" t="str">
        <f>IF($X340="","",INDEX(TARIFF_PROFILES!$J:$J,MATCH($X340,TARIFF_PROFILES!$A:$A,0)))</f>
        <v/>
      </c>
      <c r="AE340" s="13" t="str">
        <f>IF($X340="","",INDEX(TARIFF_PROFILES!$K:$K,MATCH($X340,TARIFF_PROFILES!$A:$A,0)))</f>
        <v/>
      </c>
      <c r="AH340" t="str">
        <f>IF($AG340="","",SUMIFS(OPERATING_COEFFS!$C:$C,OPERATING_COEFFS!$A:$A,"DistanceClass",OPERATING_COEFFS!$B:$B,$AG340))</f>
        <v/>
      </c>
      <c r="AJ340" t="str">
        <f>IF($AI340="","",SUMIFS(OPERATING_COEFFS!$C:$C,OPERATING_COEFFS!$A:$A,"SeasonClass",OPERATING_COEFFS!$B:$B,$AI340))</f>
        <v/>
      </c>
      <c r="AL340" t="str">
        <f>IF($AK340="","",SUMIFS(OPERATING_COEFFS!$C:$C,OPERATING_COEFFS!$A:$A,"UrgencyClass",OPERATING_COEFFS!$B:$B,$AK340))</f>
        <v/>
      </c>
      <c r="AN340" t="str">
        <f>IF($AM340="","",INDEX(TAX_MODES!$B:$B,MATCH($AM340,TAX_MODES!$A:$A,0)))</f>
        <v/>
      </c>
    </row>
    <row r="341" spans="24:40" x14ac:dyDescent="0.3">
      <c r="X341" s="13"/>
      <c r="Y341" s="13" t="str">
        <f>IF($X341="","",SUMIFS(TARIFF_PROFILES!$D:$D,TARIFF_PROFILES!$A:$A,$X341))</f>
        <v/>
      </c>
      <c r="Z341" s="13" t="str">
        <f>IF($X341="","",SUMIFS(TARIFF_PROFILES!$E:$E,TARIFF_PROFILES!$A:$A,$X341))</f>
        <v/>
      </c>
      <c r="AA341" s="13" t="str">
        <f>IF($X341="","",SUMIFS(TARIFF_PROFILES!$F:$F,TARIFF_PROFILES!$A:$A,$X341))</f>
        <v/>
      </c>
      <c r="AB341" s="13" t="str">
        <f>IF($X341="","",SUMIFS(TARIFF_PROFILES!$G:$G,TARIFF_PROFILES!$A:$A,$X341))</f>
        <v/>
      </c>
      <c r="AC341" s="13" t="str">
        <f>IF($X341="","",SUMIFS(TARIFF_PROFILES!$H:$H,TARIFF_PROFILES!$A:$A,$X341))</f>
        <v/>
      </c>
      <c r="AD341" s="13" t="str">
        <f>IF($X341="","",INDEX(TARIFF_PROFILES!$J:$J,MATCH($X341,TARIFF_PROFILES!$A:$A,0)))</f>
        <v/>
      </c>
      <c r="AE341" s="13" t="str">
        <f>IF($X341="","",INDEX(TARIFF_PROFILES!$K:$K,MATCH($X341,TARIFF_PROFILES!$A:$A,0)))</f>
        <v/>
      </c>
      <c r="AH341" t="str">
        <f>IF($AG341="","",SUMIFS(OPERATING_COEFFS!$C:$C,OPERATING_COEFFS!$A:$A,"DistanceClass",OPERATING_COEFFS!$B:$B,$AG341))</f>
        <v/>
      </c>
      <c r="AJ341" t="str">
        <f>IF($AI341="","",SUMIFS(OPERATING_COEFFS!$C:$C,OPERATING_COEFFS!$A:$A,"SeasonClass",OPERATING_COEFFS!$B:$B,$AI341))</f>
        <v/>
      </c>
      <c r="AL341" t="str">
        <f>IF($AK341="","",SUMIFS(OPERATING_COEFFS!$C:$C,OPERATING_COEFFS!$A:$A,"UrgencyClass",OPERATING_COEFFS!$B:$B,$AK341))</f>
        <v/>
      </c>
      <c r="AN341" t="str">
        <f>IF($AM341="","",INDEX(TAX_MODES!$B:$B,MATCH($AM341,TAX_MODES!$A:$A,0)))</f>
        <v/>
      </c>
    </row>
    <row r="342" spans="24:40" x14ac:dyDescent="0.3">
      <c r="X342" s="13"/>
      <c r="Y342" s="13" t="str">
        <f>IF($X342="","",SUMIFS(TARIFF_PROFILES!$D:$D,TARIFF_PROFILES!$A:$A,$X342))</f>
        <v/>
      </c>
      <c r="Z342" s="13" t="str">
        <f>IF($X342="","",SUMIFS(TARIFF_PROFILES!$E:$E,TARIFF_PROFILES!$A:$A,$X342))</f>
        <v/>
      </c>
      <c r="AA342" s="13" t="str">
        <f>IF($X342="","",SUMIFS(TARIFF_PROFILES!$F:$F,TARIFF_PROFILES!$A:$A,$X342))</f>
        <v/>
      </c>
      <c r="AB342" s="13" t="str">
        <f>IF($X342="","",SUMIFS(TARIFF_PROFILES!$G:$G,TARIFF_PROFILES!$A:$A,$X342))</f>
        <v/>
      </c>
      <c r="AC342" s="13" t="str">
        <f>IF($X342="","",SUMIFS(TARIFF_PROFILES!$H:$H,TARIFF_PROFILES!$A:$A,$X342))</f>
        <v/>
      </c>
      <c r="AD342" s="13" t="str">
        <f>IF($X342="","",INDEX(TARIFF_PROFILES!$J:$J,MATCH($X342,TARIFF_PROFILES!$A:$A,0)))</f>
        <v/>
      </c>
      <c r="AE342" s="13" t="str">
        <f>IF($X342="","",INDEX(TARIFF_PROFILES!$K:$K,MATCH($X342,TARIFF_PROFILES!$A:$A,0)))</f>
        <v/>
      </c>
      <c r="AH342" t="str">
        <f>IF($AG342="","",SUMIFS(OPERATING_COEFFS!$C:$C,OPERATING_COEFFS!$A:$A,"DistanceClass",OPERATING_COEFFS!$B:$B,$AG342))</f>
        <v/>
      </c>
      <c r="AJ342" t="str">
        <f>IF($AI342="","",SUMIFS(OPERATING_COEFFS!$C:$C,OPERATING_COEFFS!$A:$A,"SeasonClass",OPERATING_COEFFS!$B:$B,$AI342))</f>
        <v/>
      </c>
      <c r="AL342" t="str">
        <f>IF($AK342="","",SUMIFS(OPERATING_COEFFS!$C:$C,OPERATING_COEFFS!$A:$A,"UrgencyClass",OPERATING_COEFFS!$B:$B,$AK342))</f>
        <v/>
      </c>
      <c r="AN342" t="str">
        <f>IF($AM342="","",INDEX(TAX_MODES!$B:$B,MATCH($AM342,TAX_MODES!$A:$A,0)))</f>
        <v/>
      </c>
    </row>
    <row r="343" spans="24:40" x14ac:dyDescent="0.3">
      <c r="X343" s="13"/>
      <c r="Y343" s="13" t="str">
        <f>IF($X343="","",SUMIFS(TARIFF_PROFILES!$D:$D,TARIFF_PROFILES!$A:$A,$X343))</f>
        <v/>
      </c>
      <c r="Z343" s="13" t="str">
        <f>IF($X343="","",SUMIFS(TARIFF_PROFILES!$E:$E,TARIFF_PROFILES!$A:$A,$X343))</f>
        <v/>
      </c>
      <c r="AA343" s="13" t="str">
        <f>IF($X343="","",SUMIFS(TARIFF_PROFILES!$F:$F,TARIFF_PROFILES!$A:$A,$X343))</f>
        <v/>
      </c>
      <c r="AB343" s="13" t="str">
        <f>IF($X343="","",SUMIFS(TARIFF_PROFILES!$G:$G,TARIFF_PROFILES!$A:$A,$X343))</f>
        <v/>
      </c>
      <c r="AC343" s="13" t="str">
        <f>IF($X343="","",SUMIFS(TARIFF_PROFILES!$H:$H,TARIFF_PROFILES!$A:$A,$X343))</f>
        <v/>
      </c>
      <c r="AD343" s="13" t="str">
        <f>IF($X343="","",INDEX(TARIFF_PROFILES!$J:$J,MATCH($X343,TARIFF_PROFILES!$A:$A,0)))</f>
        <v/>
      </c>
      <c r="AE343" s="13" t="str">
        <f>IF($X343="","",INDEX(TARIFF_PROFILES!$K:$K,MATCH($X343,TARIFF_PROFILES!$A:$A,0)))</f>
        <v/>
      </c>
      <c r="AH343" t="str">
        <f>IF($AG343="","",SUMIFS(OPERATING_COEFFS!$C:$C,OPERATING_COEFFS!$A:$A,"DistanceClass",OPERATING_COEFFS!$B:$B,$AG343))</f>
        <v/>
      </c>
      <c r="AJ343" t="str">
        <f>IF($AI343="","",SUMIFS(OPERATING_COEFFS!$C:$C,OPERATING_COEFFS!$A:$A,"SeasonClass",OPERATING_COEFFS!$B:$B,$AI343))</f>
        <v/>
      </c>
      <c r="AL343" t="str">
        <f>IF($AK343="","",SUMIFS(OPERATING_COEFFS!$C:$C,OPERATING_COEFFS!$A:$A,"UrgencyClass",OPERATING_COEFFS!$B:$B,$AK343))</f>
        <v/>
      </c>
      <c r="AN343" t="str">
        <f>IF($AM343="","",INDEX(TAX_MODES!$B:$B,MATCH($AM343,TAX_MODES!$A:$A,0)))</f>
        <v/>
      </c>
    </row>
    <row r="344" spans="24:40" x14ac:dyDescent="0.3">
      <c r="X344" s="13"/>
      <c r="Y344" s="13" t="str">
        <f>IF($X344="","",SUMIFS(TARIFF_PROFILES!$D:$D,TARIFF_PROFILES!$A:$A,$X344))</f>
        <v/>
      </c>
      <c r="Z344" s="13" t="str">
        <f>IF($X344="","",SUMIFS(TARIFF_PROFILES!$E:$E,TARIFF_PROFILES!$A:$A,$X344))</f>
        <v/>
      </c>
      <c r="AA344" s="13" t="str">
        <f>IF($X344="","",SUMIFS(TARIFF_PROFILES!$F:$F,TARIFF_PROFILES!$A:$A,$X344))</f>
        <v/>
      </c>
      <c r="AB344" s="13" t="str">
        <f>IF($X344="","",SUMIFS(TARIFF_PROFILES!$G:$G,TARIFF_PROFILES!$A:$A,$X344))</f>
        <v/>
      </c>
      <c r="AC344" s="13" t="str">
        <f>IF($X344="","",SUMIFS(TARIFF_PROFILES!$H:$H,TARIFF_PROFILES!$A:$A,$X344))</f>
        <v/>
      </c>
      <c r="AD344" s="13" t="str">
        <f>IF($X344="","",INDEX(TARIFF_PROFILES!$J:$J,MATCH($X344,TARIFF_PROFILES!$A:$A,0)))</f>
        <v/>
      </c>
      <c r="AE344" s="13" t="str">
        <f>IF($X344="","",INDEX(TARIFF_PROFILES!$K:$K,MATCH($X344,TARIFF_PROFILES!$A:$A,0)))</f>
        <v/>
      </c>
      <c r="AH344" t="str">
        <f>IF($AG344="","",SUMIFS(OPERATING_COEFFS!$C:$C,OPERATING_COEFFS!$A:$A,"DistanceClass",OPERATING_COEFFS!$B:$B,$AG344))</f>
        <v/>
      </c>
      <c r="AJ344" t="str">
        <f>IF($AI344="","",SUMIFS(OPERATING_COEFFS!$C:$C,OPERATING_COEFFS!$A:$A,"SeasonClass",OPERATING_COEFFS!$B:$B,$AI344))</f>
        <v/>
      </c>
      <c r="AL344" t="str">
        <f>IF($AK344="","",SUMIFS(OPERATING_COEFFS!$C:$C,OPERATING_COEFFS!$A:$A,"UrgencyClass",OPERATING_COEFFS!$B:$B,$AK344))</f>
        <v/>
      </c>
      <c r="AN344" t="str">
        <f>IF($AM344="","",INDEX(TAX_MODES!$B:$B,MATCH($AM344,TAX_MODES!$A:$A,0)))</f>
        <v/>
      </c>
    </row>
    <row r="345" spans="24:40" x14ac:dyDescent="0.3">
      <c r="X345" s="13"/>
      <c r="Y345" s="13" t="str">
        <f>IF($X345="","",SUMIFS(TARIFF_PROFILES!$D:$D,TARIFF_PROFILES!$A:$A,$X345))</f>
        <v/>
      </c>
      <c r="Z345" s="13" t="str">
        <f>IF($X345="","",SUMIFS(TARIFF_PROFILES!$E:$E,TARIFF_PROFILES!$A:$A,$X345))</f>
        <v/>
      </c>
      <c r="AA345" s="13" t="str">
        <f>IF($X345="","",SUMIFS(TARIFF_PROFILES!$F:$F,TARIFF_PROFILES!$A:$A,$X345))</f>
        <v/>
      </c>
      <c r="AB345" s="13" t="str">
        <f>IF($X345="","",SUMIFS(TARIFF_PROFILES!$G:$G,TARIFF_PROFILES!$A:$A,$X345))</f>
        <v/>
      </c>
      <c r="AC345" s="13" t="str">
        <f>IF($X345="","",SUMIFS(TARIFF_PROFILES!$H:$H,TARIFF_PROFILES!$A:$A,$X345))</f>
        <v/>
      </c>
      <c r="AD345" s="13" t="str">
        <f>IF($X345="","",INDEX(TARIFF_PROFILES!$J:$J,MATCH($X345,TARIFF_PROFILES!$A:$A,0)))</f>
        <v/>
      </c>
      <c r="AE345" s="13" t="str">
        <f>IF($X345="","",INDEX(TARIFF_PROFILES!$K:$K,MATCH($X345,TARIFF_PROFILES!$A:$A,0)))</f>
        <v/>
      </c>
      <c r="AH345" t="str">
        <f>IF($AG345="","",SUMIFS(OPERATING_COEFFS!$C:$C,OPERATING_COEFFS!$A:$A,"DistanceClass",OPERATING_COEFFS!$B:$B,$AG345))</f>
        <v/>
      </c>
      <c r="AJ345" t="str">
        <f>IF($AI345="","",SUMIFS(OPERATING_COEFFS!$C:$C,OPERATING_COEFFS!$A:$A,"SeasonClass",OPERATING_COEFFS!$B:$B,$AI345))</f>
        <v/>
      </c>
      <c r="AL345" t="str">
        <f>IF($AK345="","",SUMIFS(OPERATING_COEFFS!$C:$C,OPERATING_COEFFS!$A:$A,"UrgencyClass",OPERATING_COEFFS!$B:$B,$AK345))</f>
        <v/>
      </c>
      <c r="AN345" t="str">
        <f>IF($AM345="","",INDEX(TAX_MODES!$B:$B,MATCH($AM345,TAX_MODES!$A:$A,0)))</f>
        <v/>
      </c>
    </row>
    <row r="346" spans="24:40" x14ac:dyDescent="0.3">
      <c r="X346" s="13"/>
      <c r="Y346" s="13" t="str">
        <f>IF($X346="","",SUMIFS(TARIFF_PROFILES!$D:$D,TARIFF_PROFILES!$A:$A,$X346))</f>
        <v/>
      </c>
      <c r="Z346" s="13" t="str">
        <f>IF($X346="","",SUMIFS(TARIFF_PROFILES!$E:$E,TARIFF_PROFILES!$A:$A,$X346))</f>
        <v/>
      </c>
      <c r="AA346" s="13" t="str">
        <f>IF($X346="","",SUMIFS(TARIFF_PROFILES!$F:$F,TARIFF_PROFILES!$A:$A,$X346))</f>
        <v/>
      </c>
      <c r="AB346" s="13" t="str">
        <f>IF($X346="","",SUMIFS(TARIFF_PROFILES!$G:$G,TARIFF_PROFILES!$A:$A,$X346))</f>
        <v/>
      </c>
      <c r="AC346" s="13" t="str">
        <f>IF($X346="","",SUMIFS(TARIFF_PROFILES!$H:$H,TARIFF_PROFILES!$A:$A,$X346))</f>
        <v/>
      </c>
      <c r="AD346" s="13" t="str">
        <f>IF($X346="","",INDEX(TARIFF_PROFILES!$J:$J,MATCH($X346,TARIFF_PROFILES!$A:$A,0)))</f>
        <v/>
      </c>
      <c r="AE346" s="13" t="str">
        <f>IF($X346="","",INDEX(TARIFF_PROFILES!$K:$K,MATCH($X346,TARIFF_PROFILES!$A:$A,0)))</f>
        <v/>
      </c>
      <c r="AH346" t="str">
        <f>IF($AG346="","",SUMIFS(OPERATING_COEFFS!$C:$C,OPERATING_COEFFS!$A:$A,"DistanceClass",OPERATING_COEFFS!$B:$B,$AG346))</f>
        <v/>
      </c>
      <c r="AJ346" t="str">
        <f>IF($AI346="","",SUMIFS(OPERATING_COEFFS!$C:$C,OPERATING_COEFFS!$A:$A,"SeasonClass",OPERATING_COEFFS!$B:$B,$AI346))</f>
        <v/>
      </c>
      <c r="AL346" t="str">
        <f>IF($AK346="","",SUMIFS(OPERATING_COEFFS!$C:$C,OPERATING_COEFFS!$A:$A,"UrgencyClass",OPERATING_COEFFS!$B:$B,$AK346))</f>
        <v/>
      </c>
      <c r="AN346" t="str">
        <f>IF($AM346="","",INDEX(TAX_MODES!$B:$B,MATCH($AM346,TAX_MODES!$A:$A,0)))</f>
        <v/>
      </c>
    </row>
    <row r="347" spans="24:40" x14ac:dyDescent="0.3">
      <c r="X347" s="13"/>
      <c r="Y347" s="13" t="str">
        <f>IF($X347="","",SUMIFS(TARIFF_PROFILES!$D:$D,TARIFF_PROFILES!$A:$A,$X347))</f>
        <v/>
      </c>
      <c r="Z347" s="13" t="str">
        <f>IF($X347="","",SUMIFS(TARIFF_PROFILES!$E:$E,TARIFF_PROFILES!$A:$A,$X347))</f>
        <v/>
      </c>
      <c r="AA347" s="13" t="str">
        <f>IF($X347="","",SUMIFS(TARIFF_PROFILES!$F:$F,TARIFF_PROFILES!$A:$A,$X347))</f>
        <v/>
      </c>
      <c r="AB347" s="13" t="str">
        <f>IF($X347="","",SUMIFS(TARIFF_PROFILES!$G:$G,TARIFF_PROFILES!$A:$A,$X347))</f>
        <v/>
      </c>
      <c r="AC347" s="13" t="str">
        <f>IF($X347="","",SUMIFS(TARIFF_PROFILES!$H:$H,TARIFF_PROFILES!$A:$A,$X347))</f>
        <v/>
      </c>
      <c r="AD347" s="13" t="str">
        <f>IF($X347="","",INDEX(TARIFF_PROFILES!$J:$J,MATCH($X347,TARIFF_PROFILES!$A:$A,0)))</f>
        <v/>
      </c>
      <c r="AE347" s="13" t="str">
        <f>IF($X347="","",INDEX(TARIFF_PROFILES!$K:$K,MATCH($X347,TARIFF_PROFILES!$A:$A,0)))</f>
        <v/>
      </c>
      <c r="AH347" t="str">
        <f>IF($AG347="","",SUMIFS(OPERATING_COEFFS!$C:$C,OPERATING_COEFFS!$A:$A,"DistanceClass",OPERATING_COEFFS!$B:$B,$AG347))</f>
        <v/>
      </c>
      <c r="AJ347" t="str">
        <f>IF($AI347="","",SUMIFS(OPERATING_COEFFS!$C:$C,OPERATING_COEFFS!$A:$A,"SeasonClass",OPERATING_COEFFS!$B:$B,$AI347))</f>
        <v/>
      </c>
      <c r="AL347" t="str">
        <f>IF($AK347="","",SUMIFS(OPERATING_COEFFS!$C:$C,OPERATING_COEFFS!$A:$A,"UrgencyClass",OPERATING_COEFFS!$B:$B,$AK347))</f>
        <v/>
      </c>
      <c r="AN347" t="str">
        <f>IF($AM347="","",INDEX(TAX_MODES!$B:$B,MATCH($AM347,TAX_MODES!$A:$A,0)))</f>
        <v/>
      </c>
    </row>
    <row r="348" spans="24:40" x14ac:dyDescent="0.3">
      <c r="X348" s="13"/>
      <c r="Y348" s="13" t="str">
        <f>IF($X348="","",SUMIFS(TARIFF_PROFILES!$D:$D,TARIFF_PROFILES!$A:$A,$X348))</f>
        <v/>
      </c>
      <c r="Z348" s="13" t="str">
        <f>IF($X348="","",SUMIFS(TARIFF_PROFILES!$E:$E,TARIFF_PROFILES!$A:$A,$X348))</f>
        <v/>
      </c>
      <c r="AA348" s="13" t="str">
        <f>IF($X348="","",SUMIFS(TARIFF_PROFILES!$F:$F,TARIFF_PROFILES!$A:$A,$X348))</f>
        <v/>
      </c>
      <c r="AB348" s="13" t="str">
        <f>IF($X348="","",SUMIFS(TARIFF_PROFILES!$G:$G,TARIFF_PROFILES!$A:$A,$X348))</f>
        <v/>
      </c>
      <c r="AC348" s="13" t="str">
        <f>IF($X348="","",SUMIFS(TARIFF_PROFILES!$H:$H,TARIFF_PROFILES!$A:$A,$X348))</f>
        <v/>
      </c>
      <c r="AD348" s="13" t="str">
        <f>IF($X348="","",INDEX(TARIFF_PROFILES!$J:$J,MATCH($X348,TARIFF_PROFILES!$A:$A,0)))</f>
        <v/>
      </c>
      <c r="AE348" s="13" t="str">
        <f>IF($X348="","",INDEX(TARIFF_PROFILES!$K:$K,MATCH($X348,TARIFF_PROFILES!$A:$A,0)))</f>
        <v/>
      </c>
      <c r="AH348" t="str">
        <f>IF($AG348="","",SUMIFS(OPERATING_COEFFS!$C:$C,OPERATING_COEFFS!$A:$A,"DistanceClass",OPERATING_COEFFS!$B:$B,$AG348))</f>
        <v/>
      </c>
      <c r="AJ348" t="str">
        <f>IF($AI348="","",SUMIFS(OPERATING_COEFFS!$C:$C,OPERATING_COEFFS!$A:$A,"SeasonClass",OPERATING_COEFFS!$B:$B,$AI348))</f>
        <v/>
      </c>
      <c r="AL348" t="str">
        <f>IF($AK348="","",SUMIFS(OPERATING_COEFFS!$C:$C,OPERATING_COEFFS!$A:$A,"UrgencyClass",OPERATING_COEFFS!$B:$B,$AK348))</f>
        <v/>
      </c>
      <c r="AN348" t="str">
        <f>IF($AM348="","",INDEX(TAX_MODES!$B:$B,MATCH($AM348,TAX_MODES!$A:$A,0)))</f>
        <v/>
      </c>
    </row>
    <row r="349" spans="24:40" x14ac:dyDescent="0.3">
      <c r="X349" s="13"/>
      <c r="Y349" s="13" t="str">
        <f>IF($X349="","",SUMIFS(TARIFF_PROFILES!$D:$D,TARIFF_PROFILES!$A:$A,$X349))</f>
        <v/>
      </c>
      <c r="Z349" s="13" t="str">
        <f>IF($X349="","",SUMIFS(TARIFF_PROFILES!$E:$E,TARIFF_PROFILES!$A:$A,$X349))</f>
        <v/>
      </c>
      <c r="AA349" s="13" t="str">
        <f>IF($X349="","",SUMIFS(TARIFF_PROFILES!$F:$F,TARIFF_PROFILES!$A:$A,$X349))</f>
        <v/>
      </c>
      <c r="AB349" s="13" t="str">
        <f>IF($X349="","",SUMIFS(TARIFF_PROFILES!$G:$G,TARIFF_PROFILES!$A:$A,$X349))</f>
        <v/>
      </c>
      <c r="AC349" s="13" t="str">
        <f>IF($X349="","",SUMIFS(TARIFF_PROFILES!$H:$H,TARIFF_PROFILES!$A:$A,$X349))</f>
        <v/>
      </c>
      <c r="AD349" s="13" t="str">
        <f>IF($X349="","",INDEX(TARIFF_PROFILES!$J:$J,MATCH($X349,TARIFF_PROFILES!$A:$A,0)))</f>
        <v/>
      </c>
      <c r="AE349" s="13" t="str">
        <f>IF($X349="","",INDEX(TARIFF_PROFILES!$K:$K,MATCH($X349,TARIFF_PROFILES!$A:$A,0)))</f>
        <v/>
      </c>
      <c r="AH349" t="str">
        <f>IF($AG349="","",SUMIFS(OPERATING_COEFFS!$C:$C,OPERATING_COEFFS!$A:$A,"DistanceClass",OPERATING_COEFFS!$B:$B,$AG349))</f>
        <v/>
      </c>
      <c r="AJ349" t="str">
        <f>IF($AI349="","",SUMIFS(OPERATING_COEFFS!$C:$C,OPERATING_COEFFS!$A:$A,"SeasonClass",OPERATING_COEFFS!$B:$B,$AI349))</f>
        <v/>
      </c>
      <c r="AL349" t="str">
        <f>IF($AK349="","",SUMIFS(OPERATING_COEFFS!$C:$C,OPERATING_COEFFS!$A:$A,"UrgencyClass",OPERATING_COEFFS!$B:$B,$AK349))</f>
        <v/>
      </c>
      <c r="AN349" t="str">
        <f>IF($AM349="","",INDEX(TAX_MODES!$B:$B,MATCH($AM349,TAX_MODES!$A:$A,0)))</f>
        <v/>
      </c>
    </row>
    <row r="350" spans="24:40" x14ac:dyDescent="0.3">
      <c r="X350" s="13"/>
      <c r="Y350" s="13" t="str">
        <f>IF($X350="","",SUMIFS(TARIFF_PROFILES!$D:$D,TARIFF_PROFILES!$A:$A,$X350))</f>
        <v/>
      </c>
      <c r="Z350" s="13" t="str">
        <f>IF($X350="","",SUMIFS(TARIFF_PROFILES!$E:$E,TARIFF_PROFILES!$A:$A,$X350))</f>
        <v/>
      </c>
      <c r="AA350" s="13" t="str">
        <f>IF($X350="","",SUMIFS(TARIFF_PROFILES!$F:$F,TARIFF_PROFILES!$A:$A,$X350))</f>
        <v/>
      </c>
      <c r="AB350" s="13" t="str">
        <f>IF($X350="","",SUMIFS(TARIFF_PROFILES!$G:$G,TARIFF_PROFILES!$A:$A,$X350))</f>
        <v/>
      </c>
      <c r="AC350" s="13" t="str">
        <f>IF($X350="","",SUMIFS(TARIFF_PROFILES!$H:$H,TARIFF_PROFILES!$A:$A,$X350))</f>
        <v/>
      </c>
      <c r="AD350" s="13" t="str">
        <f>IF($X350="","",INDEX(TARIFF_PROFILES!$J:$J,MATCH($X350,TARIFF_PROFILES!$A:$A,0)))</f>
        <v/>
      </c>
      <c r="AE350" s="13" t="str">
        <f>IF($X350="","",INDEX(TARIFF_PROFILES!$K:$K,MATCH($X350,TARIFF_PROFILES!$A:$A,0)))</f>
        <v/>
      </c>
      <c r="AH350" t="str">
        <f>IF($AG350="","",SUMIFS(OPERATING_COEFFS!$C:$C,OPERATING_COEFFS!$A:$A,"DistanceClass",OPERATING_COEFFS!$B:$B,$AG350))</f>
        <v/>
      </c>
      <c r="AJ350" t="str">
        <f>IF($AI350="","",SUMIFS(OPERATING_COEFFS!$C:$C,OPERATING_COEFFS!$A:$A,"SeasonClass",OPERATING_COEFFS!$B:$B,$AI350))</f>
        <v/>
      </c>
      <c r="AL350" t="str">
        <f>IF($AK350="","",SUMIFS(OPERATING_COEFFS!$C:$C,OPERATING_COEFFS!$A:$A,"UrgencyClass",OPERATING_COEFFS!$B:$B,$AK350))</f>
        <v/>
      </c>
      <c r="AN350" t="str">
        <f>IF($AM350="","",INDEX(TAX_MODES!$B:$B,MATCH($AM350,TAX_MODES!$A:$A,0)))</f>
        <v/>
      </c>
    </row>
    <row r="351" spans="24:40" x14ac:dyDescent="0.3">
      <c r="X351" s="13"/>
      <c r="Y351" s="13" t="str">
        <f>IF($X351="","",SUMIFS(TARIFF_PROFILES!$D:$D,TARIFF_PROFILES!$A:$A,$X351))</f>
        <v/>
      </c>
      <c r="Z351" s="13" t="str">
        <f>IF($X351="","",SUMIFS(TARIFF_PROFILES!$E:$E,TARIFF_PROFILES!$A:$A,$X351))</f>
        <v/>
      </c>
      <c r="AA351" s="13" t="str">
        <f>IF($X351="","",SUMIFS(TARIFF_PROFILES!$F:$F,TARIFF_PROFILES!$A:$A,$X351))</f>
        <v/>
      </c>
      <c r="AB351" s="13" t="str">
        <f>IF($X351="","",SUMIFS(TARIFF_PROFILES!$G:$G,TARIFF_PROFILES!$A:$A,$X351))</f>
        <v/>
      </c>
      <c r="AC351" s="13" t="str">
        <f>IF($X351="","",SUMIFS(TARIFF_PROFILES!$H:$H,TARIFF_PROFILES!$A:$A,$X351))</f>
        <v/>
      </c>
      <c r="AD351" s="13" t="str">
        <f>IF($X351="","",INDEX(TARIFF_PROFILES!$J:$J,MATCH($X351,TARIFF_PROFILES!$A:$A,0)))</f>
        <v/>
      </c>
      <c r="AE351" s="13" t="str">
        <f>IF($X351="","",INDEX(TARIFF_PROFILES!$K:$K,MATCH($X351,TARIFF_PROFILES!$A:$A,0)))</f>
        <v/>
      </c>
      <c r="AH351" t="str">
        <f>IF($AG351="","",SUMIFS(OPERATING_COEFFS!$C:$C,OPERATING_COEFFS!$A:$A,"DistanceClass",OPERATING_COEFFS!$B:$B,$AG351))</f>
        <v/>
      </c>
      <c r="AJ351" t="str">
        <f>IF($AI351="","",SUMIFS(OPERATING_COEFFS!$C:$C,OPERATING_COEFFS!$A:$A,"SeasonClass",OPERATING_COEFFS!$B:$B,$AI351))</f>
        <v/>
      </c>
      <c r="AL351" t="str">
        <f>IF($AK351="","",SUMIFS(OPERATING_COEFFS!$C:$C,OPERATING_COEFFS!$A:$A,"UrgencyClass",OPERATING_COEFFS!$B:$B,$AK351))</f>
        <v/>
      </c>
      <c r="AN351" t="str">
        <f>IF($AM351="","",INDEX(TAX_MODES!$B:$B,MATCH($AM351,TAX_MODES!$A:$A,0)))</f>
        <v/>
      </c>
    </row>
    <row r="352" spans="24:40" x14ac:dyDescent="0.3">
      <c r="X352" s="13"/>
      <c r="Y352" s="13" t="str">
        <f>IF($X352="","",SUMIFS(TARIFF_PROFILES!$D:$D,TARIFF_PROFILES!$A:$A,$X352))</f>
        <v/>
      </c>
      <c r="Z352" s="13" t="str">
        <f>IF($X352="","",SUMIFS(TARIFF_PROFILES!$E:$E,TARIFF_PROFILES!$A:$A,$X352))</f>
        <v/>
      </c>
      <c r="AA352" s="13" t="str">
        <f>IF($X352="","",SUMIFS(TARIFF_PROFILES!$F:$F,TARIFF_PROFILES!$A:$A,$X352))</f>
        <v/>
      </c>
      <c r="AB352" s="13" t="str">
        <f>IF($X352="","",SUMIFS(TARIFF_PROFILES!$G:$G,TARIFF_PROFILES!$A:$A,$X352))</f>
        <v/>
      </c>
      <c r="AC352" s="13" t="str">
        <f>IF($X352="","",SUMIFS(TARIFF_PROFILES!$H:$H,TARIFF_PROFILES!$A:$A,$X352))</f>
        <v/>
      </c>
      <c r="AD352" s="13" t="str">
        <f>IF($X352="","",INDEX(TARIFF_PROFILES!$J:$J,MATCH($X352,TARIFF_PROFILES!$A:$A,0)))</f>
        <v/>
      </c>
      <c r="AE352" s="13" t="str">
        <f>IF($X352="","",INDEX(TARIFF_PROFILES!$K:$K,MATCH($X352,TARIFF_PROFILES!$A:$A,0)))</f>
        <v/>
      </c>
      <c r="AH352" t="str">
        <f>IF($AG352="","",SUMIFS(OPERATING_COEFFS!$C:$C,OPERATING_COEFFS!$A:$A,"DistanceClass",OPERATING_COEFFS!$B:$B,$AG352))</f>
        <v/>
      </c>
      <c r="AJ352" t="str">
        <f>IF($AI352="","",SUMIFS(OPERATING_COEFFS!$C:$C,OPERATING_COEFFS!$A:$A,"SeasonClass",OPERATING_COEFFS!$B:$B,$AI352))</f>
        <v/>
      </c>
      <c r="AL352" t="str">
        <f>IF($AK352="","",SUMIFS(OPERATING_COEFFS!$C:$C,OPERATING_COEFFS!$A:$A,"UrgencyClass",OPERATING_COEFFS!$B:$B,$AK352))</f>
        <v/>
      </c>
      <c r="AN352" t="str">
        <f>IF($AM352="","",INDEX(TAX_MODES!$B:$B,MATCH($AM352,TAX_MODES!$A:$A,0)))</f>
        <v/>
      </c>
    </row>
    <row r="353" spans="24:40" x14ac:dyDescent="0.3">
      <c r="X353" s="13"/>
      <c r="Y353" s="13" t="str">
        <f>IF($X353="","",SUMIFS(TARIFF_PROFILES!$D:$D,TARIFF_PROFILES!$A:$A,$X353))</f>
        <v/>
      </c>
      <c r="Z353" s="13" t="str">
        <f>IF($X353="","",SUMIFS(TARIFF_PROFILES!$E:$E,TARIFF_PROFILES!$A:$A,$X353))</f>
        <v/>
      </c>
      <c r="AA353" s="13" t="str">
        <f>IF($X353="","",SUMIFS(TARIFF_PROFILES!$F:$F,TARIFF_PROFILES!$A:$A,$X353))</f>
        <v/>
      </c>
      <c r="AB353" s="13" t="str">
        <f>IF($X353="","",SUMIFS(TARIFF_PROFILES!$G:$G,TARIFF_PROFILES!$A:$A,$X353))</f>
        <v/>
      </c>
      <c r="AC353" s="13" t="str">
        <f>IF($X353="","",SUMIFS(TARIFF_PROFILES!$H:$H,TARIFF_PROFILES!$A:$A,$X353))</f>
        <v/>
      </c>
      <c r="AD353" s="13" t="str">
        <f>IF($X353="","",INDEX(TARIFF_PROFILES!$J:$J,MATCH($X353,TARIFF_PROFILES!$A:$A,0)))</f>
        <v/>
      </c>
      <c r="AE353" s="13" t="str">
        <f>IF($X353="","",INDEX(TARIFF_PROFILES!$K:$K,MATCH($X353,TARIFF_PROFILES!$A:$A,0)))</f>
        <v/>
      </c>
      <c r="AH353" t="str">
        <f>IF($AG353="","",SUMIFS(OPERATING_COEFFS!$C:$C,OPERATING_COEFFS!$A:$A,"DistanceClass",OPERATING_COEFFS!$B:$B,$AG353))</f>
        <v/>
      </c>
      <c r="AJ353" t="str">
        <f>IF($AI353="","",SUMIFS(OPERATING_COEFFS!$C:$C,OPERATING_COEFFS!$A:$A,"SeasonClass",OPERATING_COEFFS!$B:$B,$AI353))</f>
        <v/>
      </c>
      <c r="AL353" t="str">
        <f>IF($AK353="","",SUMIFS(OPERATING_COEFFS!$C:$C,OPERATING_COEFFS!$A:$A,"UrgencyClass",OPERATING_COEFFS!$B:$B,$AK353))</f>
        <v/>
      </c>
      <c r="AN353" t="str">
        <f>IF($AM353="","",INDEX(TAX_MODES!$B:$B,MATCH($AM353,TAX_MODES!$A:$A,0)))</f>
        <v/>
      </c>
    </row>
    <row r="354" spans="24:40" x14ac:dyDescent="0.3">
      <c r="X354" s="13"/>
      <c r="Y354" s="13" t="str">
        <f>IF($X354="","",SUMIFS(TARIFF_PROFILES!$D:$D,TARIFF_PROFILES!$A:$A,$X354))</f>
        <v/>
      </c>
      <c r="Z354" s="13" t="str">
        <f>IF($X354="","",SUMIFS(TARIFF_PROFILES!$E:$E,TARIFF_PROFILES!$A:$A,$X354))</f>
        <v/>
      </c>
      <c r="AA354" s="13" t="str">
        <f>IF($X354="","",SUMIFS(TARIFF_PROFILES!$F:$F,TARIFF_PROFILES!$A:$A,$X354))</f>
        <v/>
      </c>
      <c r="AB354" s="13" t="str">
        <f>IF($X354="","",SUMIFS(TARIFF_PROFILES!$G:$G,TARIFF_PROFILES!$A:$A,$X354))</f>
        <v/>
      </c>
      <c r="AC354" s="13" t="str">
        <f>IF($X354="","",SUMIFS(TARIFF_PROFILES!$H:$H,TARIFF_PROFILES!$A:$A,$X354))</f>
        <v/>
      </c>
      <c r="AD354" s="13" t="str">
        <f>IF($X354="","",INDEX(TARIFF_PROFILES!$J:$J,MATCH($X354,TARIFF_PROFILES!$A:$A,0)))</f>
        <v/>
      </c>
      <c r="AE354" s="13" t="str">
        <f>IF($X354="","",INDEX(TARIFF_PROFILES!$K:$K,MATCH($X354,TARIFF_PROFILES!$A:$A,0)))</f>
        <v/>
      </c>
      <c r="AH354" t="str">
        <f>IF($AG354="","",SUMIFS(OPERATING_COEFFS!$C:$C,OPERATING_COEFFS!$A:$A,"DistanceClass",OPERATING_COEFFS!$B:$B,$AG354))</f>
        <v/>
      </c>
      <c r="AJ354" t="str">
        <f>IF($AI354="","",SUMIFS(OPERATING_COEFFS!$C:$C,OPERATING_COEFFS!$A:$A,"SeasonClass",OPERATING_COEFFS!$B:$B,$AI354))</f>
        <v/>
      </c>
      <c r="AL354" t="str">
        <f>IF($AK354="","",SUMIFS(OPERATING_COEFFS!$C:$C,OPERATING_COEFFS!$A:$A,"UrgencyClass",OPERATING_COEFFS!$B:$B,$AK354))</f>
        <v/>
      </c>
      <c r="AN354" t="str">
        <f>IF($AM354="","",INDEX(TAX_MODES!$B:$B,MATCH($AM354,TAX_MODES!$A:$A,0)))</f>
        <v/>
      </c>
    </row>
    <row r="355" spans="24:40" x14ac:dyDescent="0.3">
      <c r="X355" s="13"/>
      <c r="Y355" s="13" t="str">
        <f>IF($X355="","",SUMIFS(TARIFF_PROFILES!$D:$D,TARIFF_PROFILES!$A:$A,$X355))</f>
        <v/>
      </c>
      <c r="Z355" s="13" t="str">
        <f>IF($X355="","",SUMIFS(TARIFF_PROFILES!$E:$E,TARIFF_PROFILES!$A:$A,$X355))</f>
        <v/>
      </c>
      <c r="AA355" s="13" t="str">
        <f>IF($X355="","",SUMIFS(TARIFF_PROFILES!$F:$F,TARIFF_PROFILES!$A:$A,$X355))</f>
        <v/>
      </c>
      <c r="AB355" s="13" t="str">
        <f>IF($X355="","",SUMIFS(TARIFF_PROFILES!$G:$G,TARIFF_PROFILES!$A:$A,$X355))</f>
        <v/>
      </c>
      <c r="AC355" s="13" t="str">
        <f>IF($X355="","",SUMIFS(TARIFF_PROFILES!$H:$H,TARIFF_PROFILES!$A:$A,$X355))</f>
        <v/>
      </c>
      <c r="AD355" s="13" t="str">
        <f>IF($X355="","",INDEX(TARIFF_PROFILES!$J:$J,MATCH($X355,TARIFF_PROFILES!$A:$A,0)))</f>
        <v/>
      </c>
      <c r="AE355" s="13" t="str">
        <f>IF($X355="","",INDEX(TARIFF_PROFILES!$K:$K,MATCH($X355,TARIFF_PROFILES!$A:$A,0)))</f>
        <v/>
      </c>
      <c r="AH355" t="str">
        <f>IF($AG355="","",SUMIFS(OPERATING_COEFFS!$C:$C,OPERATING_COEFFS!$A:$A,"DistanceClass",OPERATING_COEFFS!$B:$B,$AG355))</f>
        <v/>
      </c>
      <c r="AJ355" t="str">
        <f>IF($AI355="","",SUMIFS(OPERATING_COEFFS!$C:$C,OPERATING_COEFFS!$A:$A,"SeasonClass",OPERATING_COEFFS!$B:$B,$AI355))</f>
        <v/>
      </c>
      <c r="AL355" t="str">
        <f>IF($AK355="","",SUMIFS(OPERATING_COEFFS!$C:$C,OPERATING_COEFFS!$A:$A,"UrgencyClass",OPERATING_COEFFS!$B:$B,$AK355))</f>
        <v/>
      </c>
      <c r="AN355" t="str">
        <f>IF($AM355="","",INDEX(TAX_MODES!$B:$B,MATCH($AM355,TAX_MODES!$A:$A,0)))</f>
        <v/>
      </c>
    </row>
    <row r="356" spans="24:40" x14ac:dyDescent="0.3">
      <c r="X356" s="13"/>
      <c r="Y356" s="13" t="str">
        <f>IF($X356="","",SUMIFS(TARIFF_PROFILES!$D:$D,TARIFF_PROFILES!$A:$A,$X356))</f>
        <v/>
      </c>
      <c r="Z356" s="13" t="str">
        <f>IF($X356="","",SUMIFS(TARIFF_PROFILES!$E:$E,TARIFF_PROFILES!$A:$A,$X356))</f>
        <v/>
      </c>
      <c r="AA356" s="13" t="str">
        <f>IF($X356="","",SUMIFS(TARIFF_PROFILES!$F:$F,TARIFF_PROFILES!$A:$A,$X356))</f>
        <v/>
      </c>
      <c r="AB356" s="13" t="str">
        <f>IF($X356="","",SUMIFS(TARIFF_PROFILES!$G:$G,TARIFF_PROFILES!$A:$A,$X356))</f>
        <v/>
      </c>
      <c r="AC356" s="13" t="str">
        <f>IF($X356="","",SUMIFS(TARIFF_PROFILES!$H:$H,TARIFF_PROFILES!$A:$A,$X356))</f>
        <v/>
      </c>
      <c r="AD356" s="13" t="str">
        <f>IF($X356="","",INDEX(TARIFF_PROFILES!$J:$J,MATCH($X356,TARIFF_PROFILES!$A:$A,0)))</f>
        <v/>
      </c>
      <c r="AE356" s="13" t="str">
        <f>IF($X356="","",INDEX(TARIFF_PROFILES!$K:$K,MATCH($X356,TARIFF_PROFILES!$A:$A,0)))</f>
        <v/>
      </c>
      <c r="AH356" t="str">
        <f>IF($AG356="","",SUMIFS(OPERATING_COEFFS!$C:$C,OPERATING_COEFFS!$A:$A,"DistanceClass",OPERATING_COEFFS!$B:$B,$AG356))</f>
        <v/>
      </c>
      <c r="AJ356" t="str">
        <f>IF($AI356="","",SUMIFS(OPERATING_COEFFS!$C:$C,OPERATING_COEFFS!$A:$A,"SeasonClass",OPERATING_COEFFS!$B:$B,$AI356))</f>
        <v/>
      </c>
      <c r="AL356" t="str">
        <f>IF($AK356="","",SUMIFS(OPERATING_COEFFS!$C:$C,OPERATING_COEFFS!$A:$A,"UrgencyClass",OPERATING_COEFFS!$B:$B,$AK356))</f>
        <v/>
      </c>
      <c r="AN356" t="str">
        <f>IF($AM356="","",INDEX(TAX_MODES!$B:$B,MATCH($AM356,TAX_MODES!$A:$A,0)))</f>
        <v/>
      </c>
    </row>
    <row r="357" spans="24:40" x14ac:dyDescent="0.3">
      <c r="X357" s="13"/>
      <c r="Y357" s="13" t="str">
        <f>IF($X357="","",SUMIFS(TARIFF_PROFILES!$D:$D,TARIFF_PROFILES!$A:$A,$X357))</f>
        <v/>
      </c>
      <c r="Z357" s="13" t="str">
        <f>IF($X357="","",SUMIFS(TARIFF_PROFILES!$E:$E,TARIFF_PROFILES!$A:$A,$X357))</f>
        <v/>
      </c>
      <c r="AA357" s="13" t="str">
        <f>IF($X357="","",SUMIFS(TARIFF_PROFILES!$F:$F,TARIFF_PROFILES!$A:$A,$X357))</f>
        <v/>
      </c>
      <c r="AB357" s="13" t="str">
        <f>IF($X357="","",SUMIFS(TARIFF_PROFILES!$G:$G,TARIFF_PROFILES!$A:$A,$X357))</f>
        <v/>
      </c>
      <c r="AC357" s="13" t="str">
        <f>IF($X357="","",SUMIFS(TARIFF_PROFILES!$H:$H,TARIFF_PROFILES!$A:$A,$X357))</f>
        <v/>
      </c>
      <c r="AD357" s="13" t="str">
        <f>IF($X357="","",INDEX(TARIFF_PROFILES!$J:$J,MATCH($X357,TARIFF_PROFILES!$A:$A,0)))</f>
        <v/>
      </c>
      <c r="AE357" s="13" t="str">
        <f>IF($X357="","",INDEX(TARIFF_PROFILES!$K:$K,MATCH($X357,TARIFF_PROFILES!$A:$A,0)))</f>
        <v/>
      </c>
      <c r="AH357" t="str">
        <f>IF($AG357="","",SUMIFS(OPERATING_COEFFS!$C:$C,OPERATING_COEFFS!$A:$A,"DistanceClass",OPERATING_COEFFS!$B:$B,$AG357))</f>
        <v/>
      </c>
      <c r="AJ357" t="str">
        <f>IF($AI357="","",SUMIFS(OPERATING_COEFFS!$C:$C,OPERATING_COEFFS!$A:$A,"SeasonClass",OPERATING_COEFFS!$B:$B,$AI357))</f>
        <v/>
      </c>
      <c r="AL357" t="str">
        <f>IF($AK357="","",SUMIFS(OPERATING_COEFFS!$C:$C,OPERATING_COEFFS!$A:$A,"UrgencyClass",OPERATING_COEFFS!$B:$B,$AK357))</f>
        <v/>
      </c>
      <c r="AN357" t="str">
        <f>IF($AM357="","",INDEX(TAX_MODES!$B:$B,MATCH($AM357,TAX_MODES!$A:$A,0)))</f>
        <v/>
      </c>
    </row>
    <row r="358" spans="24:40" x14ac:dyDescent="0.3">
      <c r="X358" s="13"/>
      <c r="Y358" s="13" t="str">
        <f>IF($X358="","",SUMIFS(TARIFF_PROFILES!$D:$D,TARIFF_PROFILES!$A:$A,$X358))</f>
        <v/>
      </c>
      <c r="Z358" s="13" t="str">
        <f>IF($X358="","",SUMIFS(TARIFF_PROFILES!$E:$E,TARIFF_PROFILES!$A:$A,$X358))</f>
        <v/>
      </c>
      <c r="AA358" s="13" t="str">
        <f>IF($X358="","",SUMIFS(TARIFF_PROFILES!$F:$F,TARIFF_PROFILES!$A:$A,$X358))</f>
        <v/>
      </c>
      <c r="AB358" s="13" t="str">
        <f>IF($X358="","",SUMIFS(TARIFF_PROFILES!$G:$G,TARIFF_PROFILES!$A:$A,$X358))</f>
        <v/>
      </c>
      <c r="AC358" s="13" t="str">
        <f>IF($X358="","",SUMIFS(TARIFF_PROFILES!$H:$H,TARIFF_PROFILES!$A:$A,$X358))</f>
        <v/>
      </c>
      <c r="AD358" s="13" t="str">
        <f>IF($X358="","",INDEX(TARIFF_PROFILES!$J:$J,MATCH($X358,TARIFF_PROFILES!$A:$A,0)))</f>
        <v/>
      </c>
      <c r="AE358" s="13" t="str">
        <f>IF($X358="","",INDEX(TARIFF_PROFILES!$K:$K,MATCH($X358,TARIFF_PROFILES!$A:$A,0)))</f>
        <v/>
      </c>
      <c r="AH358" t="str">
        <f>IF($AG358="","",SUMIFS(OPERATING_COEFFS!$C:$C,OPERATING_COEFFS!$A:$A,"DistanceClass",OPERATING_COEFFS!$B:$B,$AG358))</f>
        <v/>
      </c>
      <c r="AJ358" t="str">
        <f>IF($AI358="","",SUMIFS(OPERATING_COEFFS!$C:$C,OPERATING_COEFFS!$A:$A,"SeasonClass",OPERATING_COEFFS!$B:$B,$AI358))</f>
        <v/>
      </c>
      <c r="AL358" t="str">
        <f>IF($AK358="","",SUMIFS(OPERATING_COEFFS!$C:$C,OPERATING_COEFFS!$A:$A,"UrgencyClass",OPERATING_COEFFS!$B:$B,$AK358))</f>
        <v/>
      </c>
      <c r="AN358" t="str">
        <f>IF($AM358="","",INDEX(TAX_MODES!$B:$B,MATCH($AM358,TAX_MODES!$A:$A,0)))</f>
        <v/>
      </c>
    </row>
    <row r="359" spans="24:40" x14ac:dyDescent="0.3">
      <c r="X359" s="13"/>
      <c r="Y359" s="13" t="str">
        <f>IF($X359="","",SUMIFS(TARIFF_PROFILES!$D:$D,TARIFF_PROFILES!$A:$A,$X359))</f>
        <v/>
      </c>
      <c r="Z359" s="13" t="str">
        <f>IF($X359="","",SUMIFS(TARIFF_PROFILES!$E:$E,TARIFF_PROFILES!$A:$A,$X359))</f>
        <v/>
      </c>
      <c r="AA359" s="13" t="str">
        <f>IF($X359="","",SUMIFS(TARIFF_PROFILES!$F:$F,TARIFF_PROFILES!$A:$A,$X359))</f>
        <v/>
      </c>
      <c r="AB359" s="13" t="str">
        <f>IF($X359="","",SUMIFS(TARIFF_PROFILES!$G:$G,TARIFF_PROFILES!$A:$A,$X359))</f>
        <v/>
      </c>
      <c r="AC359" s="13" t="str">
        <f>IF($X359="","",SUMIFS(TARIFF_PROFILES!$H:$H,TARIFF_PROFILES!$A:$A,$X359))</f>
        <v/>
      </c>
      <c r="AD359" s="13" t="str">
        <f>IF($X359="","",INDEX(TARIFF_PROFILES!$J:$J,MATCH($X359,TARIFF_PROFILES!$A:$A,0)))</f>
        <v/>
      </c>
      <c r="AE359" s="13" t="str">
        <f>IF($X359="","",INDEX(TARIFF_PROFILES!$K:$K,MATCH($X359,TARIFF_PROFILES!$A:$A,0)))</f>
        <v/>
      </c>
      <c r="AH359" t="str">
        <f>IF($AG359="","",SUMIFS(OPERATING_COEFFS!$C:$C,OPERATING_COEFFS!$A:$A,"DistanceClass",OPERATING_COEFFS!$B:$B,$AG359))</f>
        <v/>
      </c>
      <c r="AJ359" t="str">
        <f>IF($AI359="","",SUMIFS(OPERATING_COEFFS!$C:$C,OPERATING_COEFFS!$A:$A,"SeasonClass",OPERATING_COEFFS!$B:$B,$AI359))</f>
        <v/>
      </c>
      <c r="AL359" t="str">
        <f>IF($AK359="","",SUMIFS(OPERATING_COEFFS!$C:$C,OPERATING_COEFFS!$A:$A,"UrgencyClass",OPERATING_COEFFS!$B:$B,$AK359))</f>
        <v/>
      </c>
      <c r="AN359" t="str">
        <f>IF($AM359="","",INDEX(TAX_MODES!$B:$B,MATCH($AM359,TAX_MODES!$A:$A,0)))</f>
        <v/>
      </c>
    </row>
    <row r="360" spans="24:40" x14ac:dyDescent="0.3">
      <c r="X360" s="13"/>
      <c r="Y360" s="13" t="str">
        <f>IF($X360="","",SUMIFS(TARIFF_PROFILES!$D:$D,TARIFF_PROFILES!$A:$A,$X360))</f>
        <v/>
      </c>
      <c r="Z360" s="13" t="str">
        <f>IF($X360="","",SUMIFS(TARIFF_PROFILES!$E:$E,TARIFF_PROFILES!$A:$A,$X360))</f>
        <v/>
      </c>
      <c r="AA360" s="13" t="str">
        <f>IF($X360="","",SUMIFS(TARIFF_PROFILES!$F:$F,TARIFF_PROFILES!$A:$A,$X360))</f>
        <v/>
      </c>
      <c r="AB360" s="13" t="str">
        <f>IF($X360="","",SUMIFS(TARIFF_PROFILES!$G:$G,TARIFF_PROFILES!$A:$A,$X360))</f>
        <v/>
      </c>
      <c r="AC360" s="13" t="str">
        <f>IF($X360="","",SUMIFS(TARIFF_PROFILES!$H:$H,TARIFF_PROFILES!$A:$A,$X360))</f>
        <v/>
      </c>
      <c r="AD360" s="13" t="str">
        <f>IF($X360="","",INDEX(TARIFF_PROFILES!$J:$J,MATCH($X360,TARIFF_PROFILES!$A:$A,0)))</f>
        <v/>
      </c>
      <c r="AE360" s="13" t="str">
        <f>IF($X360="","",INDEX(TARIFF_PROFILES!$K:$K,MATCH($X360,TARIFF_PROFILES!$A:$A,0)))</f>
        <v/>
      </c>
      <c r="AH360" t="str">
        <f>IF($AG360="","",SUMIFS(OPERATING_COEFFS!$C:$C,OPERATING_COEFFS!$A:$A,"DistanceClass",OPERATING_COEFFS!$B:$B,$AG360))</f>
        <v/>
      </c>
      <c r="AJ360" t="str">
        <f>IF($AI360="","",SUMIFS(OPERATING_COEFFS!$C:$C,OPERATING_COEFFS!$A:$A,"SeasonClass",OPERATING_COEFFS!$B:$B,$AI360))</f>
        <v/>
      </c>
      <c r="AL360" t="str">
        <f>IF($AK360="","",SUMIFS(OPERATING_COEFFS!$C:$C,OPERATING_COEFFS!$A:$A,"UrgencyClass",OPERATING_COEFFS!$B:$B,$AK360))</f>
        <v/>
      </c>
      <c r="AN360" t="str">
        <f>IF($AM360="","",INDEX(TAX_MODES!$B:$B,MATCH($AM360,TAX_MODES!$A:$A,0)))</f>
        <v/>
      </c>
    </row>
    <row r="361" spans="24:40" x14ac:dyDescent="0.3">
      <c r="X361" s="13"/>
      <c r="Y361" s="13" t="str">
        <f>IF($X361="","",SUMIFS(TARIFF_PROFILES!$D:$D,TARIFF_PROFILES!$A:$A,$X361))</f>
        <v/>
      </c>
      <c r="Z361" s="13" t="str">
        <f>IF($X361="","",SUMIFS(TARIFF_PROFILES!$E:$E,TARIFF_PROFILES!$A:$A,$X361))</f>
        <v/>
      </c>
      <c r="AA361" s="13" t="str">
        <f>IF($X361="","",SUMIFS(TARIFF_PROFILES!$F:$F,TARIFF_PROFILES!$A:$A,$X361))</f>
        <v/>
      </c>
      <c r="AB361" s="13" t="str">
        <f>IF($X361="","",SUMIFS(TARIFF_PROFILES!$G:$G,TARIFF_PROFILES!$A:$A,$X361))</f>
        <v/>
      </c>
      <c r="AC361" s="13" t="str">
        <f>IF($X361="","",SUMIFS(TARIFF_PROFILES!$H:$H,TARIFF_PROFILES!$A:$A,$X361))</f>
        <v/>
      </c>
      <c r="AD361" s="13" t="str">
        <f>IF($X361="","",INDEX(TARIFF_PROFILES!$J:$J,MATCH($X361,TARIFF_PROFILES!$A:$A,0)))</f>
        <v/>
      </c>
      <c r="AE361" s="13" t="str">
        <f>IF($X361="","",INDEX(TARIFF_PROFILES!$K:$K,MATCH($X361,TARIFF_PROFILES!$A:$A,0)))</f>
        <v/>
      </c>
      <c r="AH361" t="str">
        <f>IF($AG361="","",SUMIFS(OPERATING_COEFFS!$C:$C,OPERATING_COEFFS!$A:$A,"DistanceClass",OPERATING_COEFFS!$B:$B,$AG361))</f>
        <v/>
      </c>
      <c r="AJ361" t="str">
        <f>IF($AI361="","",SUMIFS(OPERATING_COEFFS!$C:$C,OPERATING_COEFFS!$A:$A,"SeasonClass",OPERATING_COEFFS!$B:$B,$AI361))</f>
        <v/>
      </c>
      <c r="AL361" t="str">
        <f>IF($AK361="","",SUMIFS(OPERATING_COEFFS!$C:$C,OPERATING_COEFFS!$A:$A,"UrgencyClass",OPERATING_COEFFS!$B:$B,$AK361))</f>
        <v/>
      </c>
      <c r="AN361" t="str">
        <f>IF($AM361="","",INDEX(TAX_MODES!$B:$B,MATCH($AM361,TAX_MODES!$A:$A,0)))</f>
        <v/>
      </c>
    </row>
    <row r="362" spans="24:40" x14ac:dyDescent="0.3">
      <c r="X362" s="13"/>
      <c r="Y362" s="13" t="str">
        <f>IF($X362="","",SUMIFS(TARIFF_PROFILES!$D:$D,TARIFF_PROFILES!$A:$A,$X362))</f>
        <v/>
      </c>
      <c r="Z362" s="13" t="str">
        <f>IF($X362="","",SUMIFS(TARIFF_PROFILES!$E:$E,TARIFF_PROFILES!$A:$A,$X362))</f>
        <v/>
      </c>
      <c r="AA362" s="13" t="str">
        <f>IF($X362="","",SUMIFS(TARIFF_PROFILES!$F:$F,TARIFF_PROFILES!$A:$A,$X362))</f>
        <v/>
      </c>
      <c r="AB362" s="13" t="str">
        <f>IF($X362="","",SUMIFS(TARIFF_PROFILES!$G:$G,TARIFF_PROFILES!$A:$A,$X362))</f>
        <v/>
      </c>
      <c r="AC362" s="13" t="str">
        <f>IF($X362="","",SUMIFS(TARIFF_PROFILES!$H:$H,TARIFF_PROFILES!$A:$A,$X362))</f>
        <v/>
      </c>
      <c r="AD362" s="13" t="str">
        <f>IF($X362="","",INDEX(TARIFF_PROFILES!$J:$J,MATCH($X362,TARIFF_PROFILES!$A:$A,0)))</f>
        <v/>
      </c>
      <c r="AE362" s="13" t="str">
        <f>IF($X362="","",INDEX(TARIFF_PROFILES!$K:$K,MATCH($X362,TARIFF_PROFILES!$A:$A,0)))</f>
        <v/>
      </c>
      <c r="AH362" t="str">
        <f>IF($AG362="","",SUMIFS(OPERATING_COEFFS!$C:$C,OPERATING_COEFFS!$A:$A,"DistanceClass",OPERATING_COEFFS!$B:$B,$AG362))</f>
        <v/>
      </c>
      <c r="AJ362" t="str">
        <f>IF($AI362="","",SUMIFS(OPERATING_COEFFS!$C:$C,OPERATING_COEFFS!$A:$A,"SeasonClass",OPERATING_COEFFS!$B:$B,$AI362))</f>
        <v/>
      </c>
      <c r="AL362" t="str">
        <f>IF($AK362="","",SUMIFS(OPERATING_COEFFS!$C:$C,OPERATING_COEFFS!$A:$A,"UrgencyClass",OPERATING_COEFFS!$B:$B,$AK362))</f>
        <v/>
      </c>
      <c r="AN362" t="str">
        <f>IF($AM362="","",INDEX(TAX_MODES!$B:$B,MATCH($AM362,TAX_MODES!$A:$A,0)))</f>
        <v/>
      </c>
    </row>
    <row r="363" spans="24:40" x14ac:dyDescent="0.3">
      <c r="X363" s="13"/>
      <c r="Y363" s="13" t="str">
        <f>IF($X363="","",SUMIFS(TARIFF_PROFILES!$D:$D,TARIFF_PROFILES!$A:$A,$X363))</f>
        <v/>
      </c>
      <c r="Z363" s="13" t="str">
        <f>IF($X363="","",SUMIFS(TARIFF_PROFILES!$E:$E,TARIFF_PROFILES!$A:$A,$X363))</f>
        <v/>
      </c>
      <c r="AA363" s="13" t="str">
        <f>IF($X363="","",SUMIFS(TARIFF_PROFILES!$F:$F,TARIFF_PROFILES!$A:$A,$X363))</f>
        <v/>
      </c>
      <c r="AB363" s="13" t="str">
        <f>IF($X363="","",SUMIFS(TARIFF_PROFILES!$G:$G,TARIFF_PROFILES!$A:$A,$X363))</f>
        <v/>
      </c>
      <c r="AC363" s="13" t="str">
        <f>IF($X363="","",SUMIFS(TARIFF_PROFILES!$H:$H,TARIFF_PROFILES!$A:$A,$X363))</f>
        <v/>
      </c>
      <c r="AD363" s="13" t="str">
        <f>IF($X363="","",INDEX(TARIFF_PROFILES!$J:$J,MATCH($X363,TARIFF_PROFILES!$A:$A,0)))</f>
        <v/>
      </c>
      <c r="AE363" s="13" t="str">
        <f>IF($X363="","",INDEX(TARIFF_PROFILES!$K:$K,MATCH($X363,TARIFF_PROFILES!$A:$A,0)))</f>
        <v/>
      </c>
      <c r="AH363" t="str">
        <f>IF($AG363="","",SUMIFS(OPERATING_COEFFS!$C:$C,OPERATING_COEFFS!$A:$A,"DistanceClass",OPERATING_COEFFS!$B:$B,$AG363))</f>
        <v/>
      </c>
      <c r="AJ363" t="str">
        <f>IF($AI363="","",SUMIFS(OPERATING_COEFFS!$C:$C,OPERATING_COEFFS!$A:$A,"SeasonClass",OPERATING_COEFFS!$B:$B,$AI363))</f>
        <v/>
      </c>
      <c r="AL363" t="str">
        <f>IF($AK363="","",SUMIFS(OPERATING_COEFFS!$C:$C,OPERATING_COEFFS!$A:$A,"UrgencyClass",OPERATING_COEFFS!$B:$B,$AK363))</f>
        <v/>
      </c>
      <c r="AN363" t="str">
        <f>IF($AM363="","",INDEX(TAX_MODES!$B:$B,MATCH($AM363,TAX_MODES!$A:$A,0)))</f>
        <v/>
      </c>
    </row>
    <row r="364" spans="24:40" x14ac:dyDescent="0.3">
      <c r="X364" s="13"/>
      <c r="Y364" s="13" t="str">
        <f>IF($X364="","",SUMIFS(TARIFF_PROFILES!$D:$D,TARIFF_PROFILES!$A:$A,$X364))</f>
        <v/>
      </c>
      <c r="Z364" s="13" t="str">
        <f>IF($X364="","",SUMIFS(TARIFF_PROFILES!$E:$E,TARIFF_PROFILES!$A:$A,$X364))</f>
        <v/>
      </c>
      <c r="AA364" s="13" t="str">
        <f>IF($X364="","",SUMIFS(TARIFF_PROFILES!$F:$F,TARIFF_PROFILES!$A:$A,$X364))</f>
        <v/>
      </c>
      <c r="AB364" s="13" t="str">
        <f>IF($X364="","",SUMIFS(TARIFF_PROFILES!$G:$G,TARIFF_PROFILES!$A:$A,$X364))</f>
        <v/>
      </c>
      <c r="AC364" s="13" t="str">
        <f>IF($X364="","",SUMIFS(TARIFF_PROFILES!$H:$H,TARIFF_PROFILES!$A:$A,$X364))</f>
        <v/>
      </c>
      <c r="AD364" s="13" t="str">
        <f>IF($X364="","",INDEX(TARIFF_PROFILES!$J:$J,MATCH($X364,TARIFF_PROFILES!$A:$A,0)))</f>
        <v/>
      </c>
      <c r="AE364" s="13" t="str">
        <f>IF($X364="","",INDEX(TARIFF_PROFILES!$K:$K,MATCH($X364,TARIFF_PROFILES!$A:$A,0)))</f>
        <v/>
      </c>
      <c r="AH364" t="str">
        <f>IF($AG364="","",SUMIFS(OPERATING_COEFFS!$C:$C,OPERATING_COEFFS!$A:$A,"DistanceClass",OPERATING_COEFFS!$B:$B,$AG364))</f>
        <v/>
      </c>
      <c r="AJ364" t="str">
        <f>IF($AI364="","",SUMIFS(OPERATING_COEFFS!$C:$C,OPERATING_COEFFS!$A:$A,"SeasonClass",OPERATING_COEFFS!$B:$B,$AI364))</f>
        <v/>
      </c>
      <c r="AL364" t="str">
        <f>IF($AK364="","",SUMIFS(OPERATING_COEFFS!$C:$C,OPERATING_COEFFS!$A:$A,"UrgencyClass",OPERATING_COEFFS!$B:$B,$AK364))</f>
        <v/>
      </c>
      <c r="AN364" t="str">
        <f>IF($AM364="","",INDEX(TAX_MODES!$B:$B,MATCH($AM364,TAX_MODES!$A:$A,0)))</f>
        <v/>
      </c>
    </row>
    <row r="365" spans="24:40" x14ac:dyDescent="0.3">
      <c r="X365" s="13"/>
      <c r="Y365" s="13" t="str">
        <f>IF($X365="","",SUMIFS(TARIFF_PROFILES!$D:$D,TARIFF_PROFILES!$A:$A,$X365))</f>
        <v/>
      </c>
      <c r="Z365" s="13" t="str">
        <f>IF($X365="","",SUMIFS(TARIFF_PROFILES!$E:$E,TARIFF_PROFILES!$A:$A,$X365))</f>
        <v/>
      </c>
      <c r="AA365" s="13" t="str">
        <f>IF($X365="","",SUMIFS(TARIFF_PROFILES!$F:$F,TARIFF_PROFILES!$A:$A,$X365))</f>
        <v/>
      </c>
      <c r="AB365" s="13" t="str">
        <f>IF($X365="","",SUMIFS(TARIFF_PROFILES!$G:$G,TARIFF_PROFILES!$A:$A,$X365))</f>
        <v/>
      </c>
      <c r="AC365" s="13" t="str">
        <f>IF($X365="","",SUMIFS(TARIFF_PROFILES!$H:$H,TARIFF_PROFILES!$A:$A,$X365))</f>
        <v/>
      </c>
      <c r="AD365" s="13" t="str">
        <f>IF($X365="","",INDEX(TARIFF_PROFILES!$J:$J,MATCH($X365,TARIFF_PROFILES!$A:$A,0)))</f>
        <v/>
      </c>
      <c r="AE365" s="13" t="str">
        <f>IF($X365="","",INDEX(TARIFF_PROFILES!$K:$K,MATCH($X365,TARIFF_PROFILES!$A:$A,0)))</f>
        <v/>
      </c>
      <c r="AH365" t="str">
        <f>IF($AG365="","",SUMIFS(OPERATING_COEFFS!$C:$C,OPERATING_COEFFS!$A:$A,"DistanceClass",OPERATING_COEFFS!$B:$B,$AG365))</f>
        <v/>
      </c>
      <c r="AJ365" t="str">
        <f>IF($AI365="","",SUMIFS(OPERATING_COEFFS!$C:$C,OPERATING_COEFFS!$A:$A,"SeasonClass",OPERATING_COEFFS!$B:$B,$AI365))</f>
        <v/>
      </c>
      <c r="AL365" t="str">
        <f>IF($AK365="","",SUMIFS(OPERATING_COEFFS!$C:$C,OPERATING_COEFFS!$A:$A,"UrgencyClass",OPERATING_COEFFS!$B:$B,$AK365))</f>
        <v/>
      </c>
      <c r="AN365" t="str">
        <f>IF($AM365="","",INDEX(TAX_MODES!$B:$B,MATCH($AM365,TAX_MODES!$A:$A,0)))</f>
        <v/>
      </c>
    </row>
    <row r="366" spans="24:40" x14ac:dyDescent="0.3">
      <c r="X366" s="13"/>
      <c r="Y366" s="13" t="str">
        <f>IF($X366="","",SUMIFS(TARIFF_PROFILES!$D:$D,TARIFF_PROFILES!$A:$A,$X366))</f>
        <v/>
      </c>
      <c r="Z366" s="13" t="str">
        <f>IF($X366="","",SUMIFS(TARIFF_PROFILES!$E:$E,TARIFF_PROFILES!$A:$A,$X366))</f>
        <v/>
      </c>
      <c r="AA366" s="13" t="str">
        <f>IF($X366="","",SUMIFS(TARIFF_PROFILES!$F:$F,TARIFF_PROFILES!$A:$A,$X366))</f>
        <v/>
      </c>
      <c r="AB366" s="13" t="str">
        <f>IF($X366="","",SUMIFS(TARIFF_PROFILES!$G:$G,TARIFF_PROFILES!$A:$A,$X366))</f>
        <v/>
      </c>
      <c r="AC366" s="13" t="str">
        <f>IF($X366="","",SUMIFS(TARIFF_PROFILES!$H:$H,TARIFF_PROFILES!$A:$A,$X366))</f>
        <v/>
      </c>
      <c r="AD366" s="13" t="str">
        <f>IF($X366="","",INDEX(TARIFF_PROFILES!$J:$J,MATCH($X366,TARIFF_PROFILES!$A:$A,0)))</f>
        <v/>
      </c>
      <c r="AE366" s="13" t="str">
        <f>IF($X366="","",INDEX(TARIFF_PROFILES!$K:$K,MATCH($X366,TARIFF_PROFILES!$A:$A,0)))</f>
        <v/>
      </c>
      <c r="AH366" t="str">
        <f>IF($AG366="","",SUMIFS(OPERATING_COEFFS!$C:$C,OPERATING_COEFFS!$A:$A,"DistanceClass",OPERATING_COEFFS!$B:$B,$AG366))</f>
        <v/>
      </c>
      <c r="AJ366" t="str">
        <f>IF($AI366="","",SUMIFS(OPERATING_COEFFS!$C:$C,OPERATING_COEFFS!$A:$A,"SeasonClass",OPERATING_COEFFS!$B:$B,$AI366))</f>
        <v/>
      </c>
      <c r="AL366" t="str">
        <f>IF($AK366="","",SUMIFS(OPERATING_COEFFS!$C:$C,OPERATING_COEFFS!$A:$A,"UrgencyClass",OPERATING_COEFFS!$B:$B,$AK366))</f>
        <v/>
      </c>
      <c r="AN366" t="str">
        <f>IF($AM366="","",INDEX(TAX_MODES!$B:$B,MATCH($AM366,TAX_MODES!$A:$A,0)))</f>
        <v/>
      </c>
    </row>
    <row r="367" spans="24:40" x14ac:dyDescent="0.3">
      <c r="X367" s="13"/>
      <c r="Y367" s="13" t="str">
        <f>IF($X367="","",SUMIFS(TARIFF_PROFILES!$D:$D,TARIFF_PROFILES!$A:$A,$X367))</f>
        <v/>
      </c>
      <c r="Z367" s="13" t="str">
        <f>IF($X367="","",SUMIFS(TARIFF_PROFILES!$E:$E,TARIFF_PROFILES!$A:$A,$X367))</f>
        <v/>
      </c>
      <c r="AA367" s="13" t="str">
        <f>IF($X367="","",SUMIFS(TARIFF_PROFILES!$F:$F,TARIFF_PROFILES!$A:$A,$X367))</f>
        <v/>
      </c>
      <c r="AB367" s="13" t="str">
        <f>IF($X367="","",SUMIFS(TARIFF_PROFILES!$G:$G,TARIFF_PROFILES!$A:$A,$X367))</f>
        <v/>
      </c>
      <c r="AC367" s="13" t="str">
        <f>IF($X367="","",SUMIFS(TARIFF_PROFILES!$H:$H,TARIFF_PROFILES!$A:$A,$X367))</f>
        <v/>
      </c>
      <c r="AD367" s="13" t="str">
        <f>IF($X367="","",INDEX(TARIFF_PROFILES!$J:$J,MATCH($X367,TARIFF_PROFILES!$A:$A,0)))</f>
        <v/>
      </c>
      <c r="AE367" s="13" t="str">
        <f>IF($X367="","",INDEX(TARIFF_PROFILES!$K:$K,MATCH($X367,TARIFF_PROFILES!$A:$A,0)))</f>
        <v/>
      </c>
      <c r="AH367" t="str">
        <f>IF($AG367="","",SUMIFS(OPERATING_COEFFS!$C:$C,OPERATING_COEFFS!$A:$A,"DistanceClass",OPERATING_COEFFS!$B:$B,$AG367))</f>
        <v/>
      </c>
      <c r="AJ367" t="str">
        <f>IF($AI367="","",SUMIFS(OPERATING_COEFFS!$C:$C,OPERATING_COEFFS!$A:$A,"SeasonClass",OPERATING_COEFFS!$B:$B,$AI367))</f>
        <v/>
      </c>
      <c r="AL367" t="str">
        <f>IF($AK367="","",SUMIFS(OPERATING_COEFFS!$C:$C,OPERATING_COEFFS!$A:$A,"UrgencyClass",OPERATING_COEFFS!$B:$B,$AK367))</f>
        <v/>
      </c>
      <c r="AN367" t="str">
        <f>IF($AM367="","",INDEX(TAX_MODES!$B:$B,MATCH($AM367,TAX_MODES!$A:$A,0)))</f>
        <v/>
      </c>
    </row>
    <row r="368" spans="24:40" x14ac:dyDescent="0.3">
      <c r="X368" s="13"/>
      <c r="Y368" s="13" t="str">
        <f>IF($X368="","",SUMIFS(TARIFF_PROFILES!$D:$D,TARIFF_PROFILES!$A:$A,$X368))</f>
        <v/>
      </c>
      <c r="Z368" s="13" t="str">
        <f>IF($X368="","",SUMIFS(TARIFF_PROFILES!$E:$E,TARIFF_PROFILES!$A:$A,$X368))</f>
        <v/>
      </c>
      <c r="AA368" s="13" t="str">
        <f>IF($X368="","",SUMIFS(TARIFF_PROFILES!$F:$F,TARIFF_PROFILES!$A:$A,$X368))</f>
        <v/>
      </c>
      <c r="AB368" s="13" t="str">
        <f>IF($X368="","",SUMIFS(TARIFF_PROFILES!$G:$G,TARIFF_PROFILES!$A:$A,$X368))</f>
        <v/>
      </c>
      <c r="AC368" s="13" t="str">
        <f>IF($X368="","",SUMIFS(TARIFF_PROFILES!$H:$H,TARIFF_PROFILES!$A:$A,$X368))</f>
        <v/>
      </c>
      <c r="AD368" s="13" t="str">
        <f>IF($X368="","",INDEX(TARIFF_PROFILES!$J:$J,MATCH($X368,TARIFF_PROFILES!$A:$A,0)))</f>
        <v/>
      </c>
      <c r="AE368" s="13" t="str">
        <f>IF($X368="","",INDEX(TARIFF_PROFILES!$K:$K,MATCH($X368,TARIFF_PROFILES!$A:$A,0)))</f>
        <v/>
      </c>
      <c r="AH368" t="str">
        <f>IF($AG368="","",SUMIFS(OPERATING_COEFFS!$C:$C,OPERATING_COEFFS!$A:$A,"DistanceClass",OPERATING_COEFFS!$B:$B,$AG368))</f>
        <v/>
      </c>
      <c r="AJ368" t="str">
        <f>IF($AI368="","",SUMIFS(OPERATING_COEFFS!$C:$C,OPERATING_COEFFS!$A:$A,"SeasonClass",OPERATING_COEFFS!$B:$B,$AI368))</f>
        <v/>
      </c>
      <c r="AL368" t="str">
        <f>IF($AK368="","",SUMIFS(OPERATING_COEFFS!$C:$C,OPERATING_COEFFS!$A:$A,"UrgencyClass",OPERATING_COEFFS!$B:$B,$AK368))</f>
        <v/>
      </c>
      <c r="AN368" t="str">
        <f>IF($AM368="","",INDEX(TAX_MODES!$B:$B,MATCH($AM368,TAX_MODES!$A:$A,0)))</f>
        <v/>
      </c>
    </row>
    <row r="369" spans="24:40" x14ac:dyDescent="0.3">
      <c r="X369" s="13"/>
      <c r="Y369" s="13" t="str">
        <f>IF($X369="","",SUMIFS(TARIFF_PROFILES!$D:$D,TARIFF_PROFILES!$A:$A,$X369))</f>
        <v/>
      </c>
      <c r="Z369" s="13" t="str">
        <f>IF($X369="","",SUMIFS(TARIFF_PROFILES!$E:$E,TARIFF_PROFILES!$A:$A,$X369))</f>
        <v/>
      </c>
      <c r="AA369" s="13" t="str">
        <f>IF($X369="","",SUMIFS(TARIFF_PROFILES!$F:$F,TARIFF_PROFILES!$A:$A,$X369))</f>
        <v/>
      </c>
      <c r="AB369" s="13" t="str">
        <f>IF($X369="","",SUMIFS(TARIFF_PROFILES!$G:$G,TARIFF_PROFILES!$A:$A,$X369))</f>
        <v/>
      </c>
      <c r="AC369" s="13" t="str">
        <f>IF($X369="","",SUMIFS(TARIFF_PROFILES!$H:$H,TARIFF_PROFILES!$A:$A,$X369))</f>
        <v/>
      </c>
      <c r="AD369" s="13" t="str">
        <f>IF($X369="","",INDEX(TARIFF_PROFILES!$J:$J,MATCH($X369,TARIFF_PROFILES!$A:$A,0)))</f>
        <v/>
      </c>
      <c r="AE369" s="13" t="str">
        <f>IF($X369="","",INDEX(TARIFF_PROFILES!$K:$K,MATCH($X369,TARIFF_PROFILES!$A:$A,0)))</f>
        <v/>
      </c>
      <c r="AH369" t="str">
        <f>IF($AG369="","",SUMIFS(OPERATING_COEFFS!$C:$C,OPERATING_COEFFS!$A:$A,"DistanceClass",OPERATING_COEFFS!$B:$B,$AG369))</f>
        <v/>
      </c>
      <c r="AJ369" t="str">
        <f>IF($AI369="","",SUMIFS(OPERATING_COEFFS!$C:$C,OPERATING_COEFFS!$A:$A,"SeasonClass",OPERATING_COEFFS!$B:$B,$AI369))</f>
        <v/>
      </c>
      <c r="AL369" t="str">
        <f>IF($AK369="","",SUMIFS(OPERATING_COEFFS!$C:$C,OPERATING_COEFFS!$A:$A,"UrgencyClass",OPERATING_COEFFS!$B:$B,$AK369))</f>
        <v/>
      </c>
      <c r="AN369" t="str">
        <f>IF($AM369="","",INDEX(TAX_MODES!$B:$B,MATCH($AM369,TAX_MODES!$A:$A,0)))</f>
        <v/>
      </c>
    </row>
    <row r="370" spans="24:40" x14ac:dyDescent="0.3">
      <c r="X370" s="13"/>
      <c r="Y370" s="13" t="str">
        <f>IF($X370="","",SUMIFS(TARIFF_PROFILES!$D:$D,TARIFF_PROFILES!$A:$A,$X370))</f>
        <v/>
      </c>
      <c r="Z370" s="13" t="str">
        <f>IF($X370="","",SUMIFS(TARIFF_PROFILES!$E:$E,TARIFF_PROFILES!$A:$A,$X370))</f>
        <v/>
      </c>
      <c r="AA370" s="13" t="str">
        <f>IF($X370="","",SUMIFS(TARIFF_PROFILES!$F:$F,TARIFF_PROFILES!$A:$A,$X370))</f>
        <v/>
      </c>
      <c r="AB370" s="13" t="str">
        <f>IF($X370="","",SUMIFS(TARIFF_PROFILES!$G:$G,TARIFF_PROFILES!$A:$A,$X370))</f>
        <v/>
      </c>
      <c r="AC370" s="13" t="str">
        <f>IF($X370="","",SUMIFS(TARIFF_PROFILES!$H:$H,TARIFF_PROFILES!$A:$A,$X370))</f>
        <v/>
      </c>
      <c r="AD370" s="13" t="str">
        <f>IF($X370="","",INDEX(TARIFF_PROFILES!$J:$J,MATCH($X370,TARIFF_PROFILES!$A:$A,0)))</f>
        <v/>
      </c>
      <c r="AE370" s="13" t="str">
        <f>IF($X370="","",INDEX(TARIFF_PROFILES!$K:$K,MATCH($X370,TARIFF_PROFILES!$A:$A,0)))</f>
        <v/>
      </c>
      <c r="AH370" t="str">
        <f>IF($AG370="","",SUMIFS(OPERATING_COEFFS!$C:$C,OPERATING_COEFFS!$A:$A,"DistanceClass",OPERATING_COEFFS!$B:$B,$AG370))</f>
        <v/>
      </c>
      <c r="AJ370" t="str">
        <f>IF($AI370="","",SUMIFS(OPERATING_COEFFS!$C:$C,OPERATING_COEFFS!$A:$A,"SeasonClass",OPERATING_COEFFS!$B:$B,$AI370))</f>
        <v/>
      </c>
      <c r="AL370" t="str">
        <f>IF($AK370="","",SUMIFS(OPERATING_COEFFS!$C:$C,OPERATING_COEFFS!$A:$A,"UrgencyClass",OPERATING_COEFFS!$B:$B,$AK370))</f>
        <v/>
      </c>
      <c r="AN370" t="str">
        <f>IF($AM370="","",INDEX(TAX_MODES!$B:$B,MATCH($AM370,TAX_MODES!$A:$A,0)))</f>
        <v/>
      </c>
    </row>
    <row r="371" spans="24:40" x14ac:dyDescent="0.3">
      <c r="X371" s="13"/>
      <c r="Y371" s="13" t="str">
        <f>IF($X371="","",SUMIFS(TARIFF_PROFILES!$D:$D,TARIFF_PROFILES!$A:$A,$X371))</f>
        <v/>
      </c>
      <c r="Z371" s="13" t="str">
        <f>IF($X371="","",SUMIFS(TARIFF_PROFILES!$E:$E,TARIFF_PROFILES!$A:$A,$X371))</f>
        <v/>
      </c>
      <c r="AA371" s="13" t="str">
        <f>IF($X371="","",SUMIFS(TARIFF_PROFILES!$F:$F,TARIFF_PROFILES!$A:$A,$X371))</f>
        <v/>
      </c>
      <c r="AB371" s="13" t="str">
        <f>IF($X371="","",SUMIFS(TARIFF_PROFILES!$G:$G,TARIFF_PROFILES!$A:$A,$X371))</f>
        <v/>
      </c>
      <c r="AC371" s="13" t="str">
        <f>IF($X371="","",SUMIFS(TARIFF_PROFILES!$H:$H,TARIFF_PROFILES!$A:$A,$X371))</f>
        <v/>
      </c>
      <c r="AD371" s="13" t="str">
        <f>IF($X371="","",INDEX(TARIFF_PROFILES!$J:$J,MATCH($X371,TARIFF_PROFILES!$A:$A,0)))</f>
        <v/>
      </c>
      <c r="AE371" s="13" t="str">
        <f>IF($X371="","",INDEX(TARIFF_PROFILES!$K:$K,MATCH($X371,TARIFF_PROFILES!$A:$A,0)))</f>
        <v/>
      </c>
      <c r="AH371" t="str">
        <f>IF($AG371="","",SUMIFS(OPERATING_COEFFS!$C:$C,OPERATING_COEFFS!$A:$A,"DistanceClass",OPERATING_COEFFS!$B:$B,$AG371))</f>
        <v/>
      </c>
      <c r="AJ371" t="str">
        <f>IF($AI371="","",SUMIFS(OPERATING_COEFFS!$C:$C,OPERATING_COEFFS!$A:$A,"SeasonClass",OPERATING_COEFFS!$B:$B,$AI371))</f>
        <v/>
      </c>
      <c r="AL371" t="str">
        <f>IF($AK371="","",SUMIFS(OPERATING_COEFFS!$C:$C,OPERATING_COEFFS!$A:$A,"UrgencyClass",OPERATING_COEFFS!$B:$B,$AK371))</f>
        <v/>
      </c>
      <c r="AN371" t="str">
        <f>IF($AM371="","",INDEX(TAX_MODES!$B:$B,MATCH($AM371,TAX_MODES!$A:$A,0)))</f>
        <v/>
      </c>
    </row>
    <row r="372" spans="24:40" x14ac:dyDescent="0.3">
      <c r="X372" s="13"/>
      <c r="Y372" s="13" t="str">
        <f>IF($X372="","",SUMIFS(TARIFF_PROFILES!$D:$D,TARIFF_PROFILES!$A:$A,$X372))</f>
        <v/>
      </c>
      <c r="Z372" s="13" t="str">
        <f>IF($X372="","",SUMIFS(TARIFF_PROFILES!$E:$E,TARIFF_PROFILES!$A:$A,$X372))</f>
        <v/>
      </c>
      <c r="AA372" s="13" t="str">
        <f>IF($X372="","",SUMIFS(TARIFF_PROFILES!$F:$F,TARIFF_PROFILES!$A:$A,$X372))</f>
        <v/>
      </c>
      <c r="AB372" s="13" t="str">
        <f>IF($X372="","",SUMIFS(TARIFF_PROFILES!$G:$G,TARIFF_PROFILES!$A:$A,$X372))</f>
        <v/>
      </c>
      <c r="AC372" s="13" t="str">
        <f>IF($X372="","",SUMIFS(TARIFF_PROFILES!$H:$H,TARIFF_PROFILES!$A:$A,$X372))</f>
        <v/>
      </c>
      <c r="AD372" s="13" t="str">
        <f>IF($X372="","",INDEX(TARIFF_PROFILES!$J:$J,MATCH($X372,TARIFF_PROFILES!$A:$A,0)))</f>
        <v/>
      </c>
      <c r="AE372" s="13" t="str">
        <f>IF($X372="","",INDEX(TARIFF_PROFILES!$K:$K,MATCH($X372,TARIFF_PROFILES!$A:$A,0)))</f>
        <v/>
      </c>
      <c r="AH372" t="str">
        <f>IF($AG372="","",SUMIFS(OPERATING_COEFFS!$C:$C,OPERATING_COEFFS!$A:$A,"DistanceClass",OPERATING_COEFFS!$B:$B,$AG372))</f>
        <v/>
      </c>
      <c r="AJ372" t="str">
        <f>IF($AI372="","",SUMIFS(OPERATING_COEFFS!$C:$C,OPERATING_COEFFS!$A:$A,"SeasonClass",OPERATING_COEFFS!$B:$B,$AI372))</f>
        <v/>
      </c>
      <c r="AL372" t="str">
        <f>IF($AK372="","",SUMIFS(OPERATING_COEFFS!$C:$C,OPERATING_COEFFS!$A:$A,"UrgencyClass",OPERATING_COEFFS!$B:$B,$AK372))</f>
        <v/>
      </c>
      <c r="AN372" t="str">
        <f>IF($AM372="","",INDEX(TAX_MODES!$B:$B,MATCH($AM372,TAX_MODES!$A:$A,0)))</f>
        <v/>
      </c>
    </row>
    <row r="373" spans="24:40" x14ac:dyDescent="0.3">
      <c r="X373" s="13"/>
      <c r="Y373" s="13" t="str">
        <f>IF($X373="","",SUMIFS(TARIFF_PROFILES!$D:$D,TARIFF_PROFILES!$A:$A,$X373))</f>
        <v/>
      </c>
      <c r="Z373" s="13" t="str">
        <f>IF($X373="","",SUMIFS(TARIFF_PROFILES!$E:$E,TARIFF_PROFILES!$A:$A,$X373))</f>
        <v/>
      </c>
      <c r="AA373" s="13" t="str">
        <f>IF($X373="","",SUMIFS(TARIFF_PROFILES!$F:$F,TARIFF_PROFILES!$A:$A,$X373))</f>
        <v/>
      </c>
      <c r="AB373" s="13" t="str">
        <f>IF($X373="","",SUMIFS(TARIFF_PROFILES!$G:$G,TARIFF_PROFILES!$A:$A,$X373))</f>
        <v/>
      </c>
      <c r="AC373" s="13" t="str">
        <f>IF($X373="","",SUMIFS(TARIFF_PROFILES!$H:$H,TARIFF_PROFILES!$A:$A,$X373))</f>
        <v/>
      </c>
      <c r="AD373" s="13" t="str">
        <f>IF($X373="","",INDEX(TARIFF_PROFILES!$J:$J,MATCH($X373,TARIFF_PROFILES!$A:$A,0)))</f>
        <v/>
      </c>
      <c r="AE373" s="13" t="str">
        <f>IF($X373="","",INDEX(TARIFF_PROFILES!$K:$K,MATCH($X373,TARIFF_PROFILES!$A:$A,0)))</f>
        <v/>
      </c>
      <c r="AH373" t="str">
        <f>IF($AG373="","",SUMIFS(OPERATING_COEFFS!$C:$C,OPERATING_COEFFS!$A:$A,"DistanceClass",OPERATING_COEFFS!$B:$B,$AG373))</f>
        <v/>
      </c>
      <c r="AJ373" t="str">
        <f>IF($AI373="","",SUMIFS(OPERATING_COEFFS!$C:$C,OPERATING_COEFFS!$A:$A,"SeasonClass",OPERATING_COEFFS!$B:$B,$AI373))</f>
        <v/>
      </c>
      <c r="AL373" t="str">
        <f>IF($AK373="","",SUMIFS(OPERATING_COEFFS!$C:$C,OPERATING_COEFFS!$A:$A,"UrgencyClass",OPERATING_COEFFS!$B:$B,$AK373))</f>
        <v/>
      </c>
      <c r="AN373" t="str">
        <f>IF($AM373="","",INDEX(TAX_MODES!$B:$B,MATCH($AM373,TAX_MODES!$A:$A,0)))</f>
        <v/>
      </c>
    </row>
    <row r="374" spans="24:40" x14ac:dyDescent="0.3">
      <c r="X374" s="13"/>
      <c r="Y374" s="13" t="str">
        <f>IF($X374="","",SUMIFS(TARIFF_PROFILES!$D:$D,TARIFF_PROFILES!$A:$A,$X374))</f>
        <v/>
      </c>
      <c r="Z374" s="13" t="str">
        <f>IF($X374="","",SUMIFS(TARIFF_PROFILES!$E:$E,TARIFF_PROFILES!$A:$A,$X374))</f>
        <v/>
      </c>
      <c r="AA374" s="13" t="str">
        <f>IF($X374="","",SUMIFS(TARIFF_PROFILES!$F:$F,TARIFF_PROFILES!$A:$A,$X374))</f>
        <v/>
      </c>
      <c r="AB374" s="13" t="str">
        <f>IF($X374="","",SUMIFS(TARIFF_PROFILES!$G:$G,TARIFF_PROFILES!$A:$A,$X374))</f>
        <v/>
      </c>
      <c r="AC374" s="13" t="str">
        <f>IF($X374="","",SUMIFS(TARIFF_PROFILES!$H:$H,TARIFF_PROFILES!$A:$A,$X374))</f>
        <v/>
      </c>
      <c r="AD374" s="13" t="str">
        <f>IF($X374="","",INDEX(TARIFF_PROFILES!$J:$J,MATCH($X374,TARIFF_PROFILES!$A:$A,0)))</f>
        <v/>
      </c>
      <c r="AE374" s="13" t="str">
        <f>IF($X374="","",INDEX(TARIFF_PROFILES!$K:$K,MATCH($X374,TARIFF_PROFILES!$A:$A,0)))</f>
        <v/>
      </c>
      <c r="AH374" t="str">
        <f>IF($AG374="","",SUMIFS(OPERATING_COEFFS!$C:$C,OPERATING_COEFFS!$A:$A,"DistanceClass",OPERATING_COEFFS!$B:$B,$AG374))</f>
        <v/>
      </c>
      <c r="AJ374" t="str">
        <f>IF($AI374="","",SUMIFS(OPERATING_COEFFS!$C:$C,OPERATING_COEFFS!$A:$A,"SeasonClass",OPERATING_COEFFS!$B:$B,$AI374))</f>
        <v/>
      </c>
      <c r="AL374" t="str">
        <f>IF($AK374="","",SUMIFS(OPERATING_COEFFS!$C:$C,OPERATING_COEFFS!$A:$A,"UrgencyClass",OPERATING_COEFFS!$B:$B,$AK374))</f>
        <v/>
      </c>
      <c r="AN374" t="str">
        <f>IF($AM374="","",INDEX(TAX_MODES!$B:$B,MATCH($AM374,TAX_MODES!$A:$A,0)))</f>
        <v/>
      </c>
    </row>
    <row r="375" spans="24:40" x14ac:dyDescent="0.3">
      <c r="X375" s="13"/>
      <c r="Y375" s="13" t="str">
        <f>IF($X375="","",SUMIFS(TARIFF_PROFILES!$D:$D,TARIFF_PROFILES!$A:$A,$X375))</f>
        <v/>
      </c>
      <c r="Z375" s="13" t="str">
        <f>IF($X375="","",SUMIFS(TARIFF_PROFILES!$E:$E,TARIFF_PROFILES!$A:$A,$X375))</f>
        <v/>
      </c>
      <c r="AA375" s="13" t="str">
        <f>IF($X375="","",SUMIFS(TARIFF_PROFILES!$F:$F,TARIFF_PROFILES!$A:$A,$X375))</f>
        <v/>
      </c>
      <c r="AB375" s="13" t="str">
        <f>IF($X375="","",SUMIFS(TARIFF_PROFILES!$G:$G,TARIFF_PROFILES!$A:$A,$X375))</f>
        <v/>
      </c>
      <c r="AC375" s="13" t="str">
        <f>IF($X375="","",SUMIFS(TARIFF_PROFILES!$H:$H,TARIFF_PROFILES!$A:$A,$X375))</f>
        <v/>
      </c>
      <c r="AD375" s="13" t="str">
        <f>IF($X375="","",INDEX(TARIFF_PROFILES!$J:$J,MATCH($X375,TARIFF_PROFILES!$A:$A,0)))</f>
        <v/>
      </c>
      <c r="AE375" s="13" t="str">
        <f>IF($X375="","",INDEX(TARIFF_PROFILES!$K:$K,MATCH($X375,TARIFF_PROFILES!$A:$A,0)))</f>
        <v/>
      </c>
      <c r="AH375" t="str">
        <f>IF($AG375="","",SUMIFS(OPERATING_COEFFS!$C:$C,OPERATING_COEFFS!$A:$A,"DistanceClass",OPERATING_COEFFS!$B:$B,$AG375))</f>
        <v/>
      </c>
      <c r="AJ375" t="str">
        <f>IF($AI375="","",SUMIFS(OPERATING_COEFFS!$C:$C,OPERATING_COEFFS!$A:$A,"SeasonClass",OPERATING_COEFFS!$B:$B,$AI375))</f>
        <v/>
      </c>
      <c r="AL375" t="str">
        <f>IF($AK375="","",SUMIFS(OPERATING_COEFFS!$C:$C,OPERATING_COEFFS!$A:$A,"UrgencyClass",OPERATING_COEFFS!$B:$B,$AK375))</f>
        <v/>
      </c>
      <c r="AN375" t="str">
        <f>IF($AM375="","",INDEX(TAX_MODES!$B:$B,MATCH($AM375,TAX_MODES!$A:$A,0)))</f>
        <v/>
      </c>
    </row>
    <row r="376" spans="24:40" x14ac:dyDescent="0.3">
      <c r="X376" s="13"/>
      <c r="Y376" s="13" t="str">
        <f>IF($X376="","",SUMIFS(TARIFF_PROFILES!$D:$D,TARIFF_PROFILES!$A:$A,$X376))</f>
        <v/>
      </c>
      <c r="Z376" s="13" t="str">
        <f>IF($X376="","",SUMIFS(TARIFF_PROFILES!$E:$E,TARIFF_PROFILES!$A:$A,$X376))</f>
        <v/>
      </c>
      <c r="AA376" s="13" t="str">
        <f>IF($X376="","",SUMIFS(TARIFF_PROFILES!$F:$F,TARIFF_PROFILES!$A:$A,$X376))</f>
        <v/>
      </c>
      <c r="AB376" s="13" t="str">
        <f>IF($X376="","",SUMIFS(TARIFF_PROFILES!$G:$G,TARIFF_PROFILES!$A:$A,$X376))</f>
        <v/>
      </c>
      <c r="AC376" s="13" t="str">
        <f>IF($X376="","",SUMIFS(TARIFF_PROFILES!$H:$H,TARIFF_PROFILES!$A:$A,$X376))</f>
        <v/>
      </c>
      <c r="AD376" s="13" t="str">
        <f>IF($X376="","",INDEX(TARIFF_PROFILES!$J:$J,MATCH($X376,TARIFF_PROFILES!$A:$A,0)))</f>
        <v/>
      </c>
      <c r="AE376" s="13" t="str">
        <f>IF($X376="","",INDEX(TARIFF_PROFILES!$K:$K,MATCH($X376,TARIFF_PROFILES!$A:$A,0)))</f>
        <v/>
      </c>
      <c r="AH376" t="str">
        <f>IF($AG376="","",SUMIFS(OPERATING_COEFFS!$C:$C,OPERATING_COEFFS!$A:$A,"DistanceClass",OPERATING_COEFFS!$B:$B,$AG376))</f>
        <v/>
      </c>
      <c r="AJ376" t="str">
        <f>IF($AI376="","",SUMIFS(OPERATING_COEFFS!$C:$C,OPERATING_COEFFS!$A:$A,"SeasonClass",OPERATING_COEFFS!$B:$B,$AI376))</f>
        <v/>
      </c>
      <c r="AL376" t="str">
        <f>IF($AK376="","",SUMIFS(OPERATING_COEFFS!$C:$C,OPERATING_COEFFS!$A:$A,"UrgencyClass",OPERATING_COEFFS!$B:$B,$AK376))</f>
        <v/>
      </c>
      <c r="AN376" t="str">
        <f>IF($AM376="","",INDEX(TAX_MODES!$B:$B,MATCH($AM376,TAX_MODES!$A:$A,0)))</f>
        <v/>
      </c>
    </row>
    <row r="377" spans="24:40" x14ac:dyDescent="0.3">
      <c r="X377" s="13"/>
      <c r="Y377" s="13" t="str">
        <f>IF($X377="","",SUMIFS(TARIFF_PROFILES!$D:$D,TARIFF_PROFILES!$A:$A,$X377))</f>
        <v/>
      </c>
      <c r="Z377" s="13" t="str">
        <f>IF($X377="","",SUMIFS(TARIFF_PROFILES!$E:$E,TARIFF_PROFILES!$A:$A,$X377))</f>
        <v/>
      </c>
      <c r="AA377" s="13" t="str">
        <f>IF($X377="","",SUMIFS(TARIFF_PROFILES!$F:$F,TARIFF_PROFILES!$A:$A,$X377))</f>
        <v/>
      </c>
      <c r="AB377" s="13" t="str">
        <f>IF($X377="","",SUMIFS(TARIFF_PROFILES!$G:$G,TARIFF_PROFILES!$A:$A,$X377))</f>
        <v/>
      </c>
      <c r="AC377" s="13" t="str">
        <f>IF($X377="","",SUMIFS(TARIFF_PROFILES!$H:$H,TARIFF_PROFILES!$A:$A,$X377))</f>
        <v/>
      </c>
      <c r="AD377" s="13" t="str">
        <f>IF($X377="","",INDEX(TARIFF_PROFILES!$J:$J,MATCH($X377,TARIFF_PROFILES!$A:$A,0)))</f>
        <v/>
      </c>
      <c r="AE377" s="13" t="str">
        <f>IF($X377="","",INDEX(TARIFF_PROFILES!$K:$K,MATCH($X377,TARIFF_PROFILES!$A:$A,0)))</f>
        <v/>
      </c>
      <c r="AH377" t="str">
        <f>IF($AG377="","",SUMIFS(OPERATING_COEFFS!$C:$C,OPERATING_COEFFS!$A:$A,"DistanceClass",OPERATING_COEFFS!$B:$B,$AG377))</f>
        <v/>
      </c>
      <c r="AJ377" t="str">
        <f>IF($AI377="","",SUMIFS(OPERATING_COEFFS!$C:$C,OPERATING_COEFFS!$A:$A,"SeasonClass",OPERATING_COEFFS!$B:$B,$AI377))</f>
        <v/>
      </c>
      <c r="AL377" t="str">
        <f>IF($AK377="","",SUMIFS(OPERATING_COEFFS!$C:$C,OPERATING_COEFFS!$A:$A,"UrgencyClass",OPERATING_COEFFS!$B:$B,$AK377))</f>
        <v/>
      </c>
      <c r="AN377" t="str">
        <f>IF($AM377="","",INDEX(TAX_MODES!$B:$B,MATCH($AM377,TAX_MODES!$A:$A,0)))</f>
        <v/>
      </c>
    </row>
    <row r="378" spans="24:40" x14ac:dyDescent="0.3">
      <c r="X378" s="13"/>
      <c r="Y378" s="13" t="str">
        <f>IF($X378="","",SUMIFS(TARIFF_PROFILES!$D:$D,TARIFF_PROFILES!$A:$A,$X378))</f>
        <v/>
      </c>
      <c r="Z378" s="13" t="str">
        <f>IF($X378="","",SUMIFS(TARIFF_PROFILES!$E:$E,TARIFF_PROFILES!$A:$A,$X378))</f>
        <v/>
      </c>
      <c r="AA378" s="13" t="str">
        <f>IF($X378="","",SUMIFS(TARIFF_PROFILES!$F:$F,TARIFF_PROFILES!$A:$A,$X378))</f>
        <v/>
      </c>
      <c r="AB378" s="13" t="str">
        <f>IF($X378="","",SUMIFS(TARIFF_PROFILES!$G:$G,TARIFF_PROFILES!$A:$A,$X378))</f>
        <v/>
      </c>
      <c r="AC378" s="13" t="str">
        <f>IF($X378="","",SUMIFS(TARIFF_PROFILES!$H:$H,TARIFF_PROFILES!$A:$A,$X378))</f>
        <v/>
      </c>
      <c r="AD378" s="13" t="str">
        <f>IF($X378="","",INDEX(TARIFF_PROFILES!$J:$J,MATCH($X378,TARIFF_PROFILES!$A:$A,0)))</f>
        <v/>
      </c>
      <c r="AE378" s="13" t="str">
        <f>IF($X378="","",INDEX(TARIFF_PROFILES!$K:$K,MATCH($X378,TARIFF_PROFILES!$A:$A,0)))</f>
        <v/>
      </c>
      <c r="AH378" t="str">
        <f>IF($AG378="","",SUMIFS(OPERATING_COEFFS!$C:$C,OPERATING_COEFFS!$A:$A,"DistanceClass",OPERATING_COEFFS!$B:$B,$AG378))</f>
        <v/>
      </c>
      <c r="AJ378" t="str">
        <f>IF($AI378="","",SUMIFS(OPERATING_COEFFS!$C:$C,OPERATING_COEFFS!$A:$A,"SeasonClass",OPERATING_COEFFS!$B:$B,$AI378))</f>
        <v/>
      </c>
      <c r="AL378" t="str">
        <f>IF($AK378="","",SUMIFS(OPERATING_COEFFS!$C:$C,OPERATING_COEFFS!$A:$A,"UrgencyClass",OPERATING_COEFFS!$B:$B,$AK378))</f>
        <v/>
      </c>
      <c r="AN378" t="str">
        <f>IF($AM378="","",INDEX(TAX_MODES!$B:$B,MATCH($AM378,TAX_MODES!$A:$A,0)))</f>
        <v/>
      </c>
    </row>
    <row r="379" spans="24:40" x14ac:dyDescent="0.3">
      <c r="X379" s="13"/>
      <c r="Y379" s="13" t="str">
        <f>IF($X379="","",SUMIFS(TARIFF_PROFILES!$D:$D,TARIFF_PROFILES!$A:$A,$X379))</f>
        <v/>
      </c>
      <c r="Z379" s="13" t="str">
        <f>IF($X379="","",SUMIFS(TARIFF_PROFILES!$E:$E,TARIFF_PROFILES!$A:$A,$X379))</f>
        <v/>
      </c>
      <c r="AA379" s="13" t="str">
        <f>IF($X379="","",SUMIFS(TARIFF_PROFILES!$F:$F,TARIFF_PROFILES!$A:$A,$X379))</f>
        <v/>
      </c>
      <c r="AB379" s="13" t="str">
        <f>IF($X379="","",SUMIFS(TARIFF_PROFILES!$G:$G,TARIFF_PROFILES!$A:$A,$X379))</f>
        <v/>
      </c>
      <c r="AC379" s="13" t="str">
        <f>IF($X379="","",SUMIFS(TARIFF_PROFILES!$H:$H,TARIFF_PROFILES!$A:$A,$X379))</f>
        <v/>
      </c>
      <c r="AD379" s="13" t="str">
        <f>IF($X379="","",INDEX(TARIFF_PROFILES!$J:$J,MATCH($X379,TARIFF_PROFILES!$A:$A,0)))</f>
        <v/>
      </c>
      <c r="AE379" s="13" t="str">
        <f>IF($X379="","",INDEX(TARIFF_PROFILES!$K:$K,MATCH($X379,TARIFF_PROFILES!$A:$A,0)))</f>
        <v/>
      </c>
      <c r="AH379" t="str">
        <f>IF($AG379="","",SUMIFS(OPERATING_COEFFS!$C:$C,OPERATING_COEFFS!$A:$A,"DistanceClass",OPERATING_COEFFS!$B:$B,$AG379))</f>
        <v/>
      </c>
      <c r="AJ379" t="str">
        <f>IF($AI379="","",SUMIFS(OPERATING_COEFFS!$C:$C,OPERATING_COEFFS!$A:$A,"SeasonClass",OPERATING_COEFFS!$B:$B,$AI379))</f>
        <v/>
      </c>
      <c r="AL379" t="str">
        <f>IF($AK379="","",SUMIFS(OPERATING_COEFFS!$C:$C,OPERATING_COEFFS!$A:$A,"UrgencyClass",OPERATING_COEFFS!$B:$B,$AK379))</f>
        <v/>
      </c>
      <c r="AN379" t="str">
        <f>IF($AM379="","",INDEX(TAX_MODES!$B:$B,MATCH($AM379,TAX_MODES!$A:$A,0)))</f>
        <v/>
      </c>
    </row>
    <row r="380" spans="24:40" x14ac:dyDescent="0.3">
      <c r="X380" s="13"/>
      <c r="Y380" s="13" t="str">
        <f>IF($X380="","",SUMIFS(TARIFF_PROFILES!$D:$D,TARIFF_PROFILES!$A:$A,$X380))</f>
        <v/>
      </c>
      <c r="Z380" s="13" t="str">
        <f>IF($X380="","",SUMIFS(TARIFF_PROFILES!$E:$E,TARIFF_PROFILES!$A:$A,$X380))</f>
        <v/>
      </c>
      <c r="AA380" s="13" t="str">
        <f>IF($X380="","",SUMIFS(TARIFF_PROFILES!$F:$F,TARIFF_PROFILES!$A:$A,$X380))</f>
        <v/>
      </c>
      <c r="AB380" s="13" t="str">
        <f>IF($X380="","",SUMIFS(TARIFF_PROFILES!$G:$G,TARIFF_PROFILES!$A:$A,$X380))</f>
        <v/>
      </c>
      <c r="AC380" s="13" t="str">
        <f>IF($X380="","",SUMIFS(TARIFF_PROFILES!$H:$H,TARIFF_PROFILES!$A:$A,$X380))</f>
        <v/>
      </c>
      <c r="AD380" s="13" t="str">
        <f>IF($X380="","",INDEX(TARIFF_PROFILES!$J:$J,MATCH($X380,TARIFF_PROFILES!$A:$A,0)))</f>
        <v/>
      </c>
      <c r="AE380" s="13" t="str">
        <f>IF($X380="","",INDEX(TARIFF_PROFILES!$K:$K,MATCH($X380,TARIFF_PROFILES!$A:$A,0)))</f>
        <v/>
      </c>
      <c r="AH380" t="str">
        <f>IF($AG380="","",SUMIFS(OPERATING_COEFFS!$C:$C,OPERATING_COEFFS!$A:$A,"DistanceClass",OPERATING_COEFFS!$B:$B,$AG380))</f>
        <v/>
      </c>
      <c r="AJ380" t="str">
        <f>IF($AI380="","",SUMIFS(OPERATING_COEFFS!$C:$C,OPERATING_COEFFS!$A:$A,"SeasonClass",OPERATING_COEFFS!$B:$B,$AI380))</f>
        <v/>
      </c>
      <c r="AL380" t="str">
        <f>IF($AK380="","",SUMIFS(OPERATING_COEFFS!$C:$C,OPERATING_COEFFS!$A:$A,"UrgencyClass",OPERATING_COEFFS!$B:$B,$AK380))</f>
        <v/>
      </c>
      <c r="AN380" t="str">
        <f>IF($AM380="","",INDEX(TAX_MODES!$B:$B,MATCH($AM380,TAX_MODES!$A:$A,0)))</f>
        <v/>
      </c>
    </row>
    <row r="381" spans="24:40" x14ac:dyDescent="0.3">
      <c r="X381" s="13"/>
      <c r="Y381" s="13" t="str">
        <f>IF($X381="","",SUMIFS(TARIFF_PROFILES!$D:$D,TARIFF_PROFILES!$A:$A,$X381))</f>
        <v/>
      </c>
      <c r="Z381" s="13" t="str">
        <f>IF($X381="","",SUMIFS(TARIFF_PROFILES!$E:$E,TARIFF_PROFILES!$A:$A,$X381))</f>
        <v/>
      </c>
      <c r="AA381" s="13" t="str">
        <f>IF($X381="","",SUMIFS(TARIFF_PROFILES!$F:$F,TARIFF_PROFILES!$A:$A,$X381))</f>
        <v/>
      </c>
      <c r="AB381" s="13" t="str">
        <f>IF($X381="","",SUMIFS(TARIFF_PROFILES!$G:$G,TARIFF_PROFILES!$A:$A,$X381))</f>
        <v/>
      </c>
      <c r="AC381" s="13" t="str">
        <f>IF($X381="","",SUMIFS(TARIFF_PROFILES!$H:$H,TARIFF_PROFILES!$A:$A,$X381))</f>
        <v/>
      </c>
      <c r="AD381" s="13" t="str">
        <f>IF($X381="","",INDEX(TARIFF_PROFILES!$J:$J,MATCH($X381,TARIFF_PROFILES!$A:$A,0)))</f>
        <v/>
      </c>
      <c r="AE381" s="13" t="str">
        <f>IF($X381="","",INDEX(TARIFF_PROFILES!$K:$K,MATCH($X381,TARIFF_PROFILES!$A:$A,0)))</f>
        <v/>
      </c>
      <c r="AH381" t="str">
        <f>IF($AG381="","",SUMIFS(OPERATING_COEFFS!$C:$C,OPERATING_COEFFS!$A:$A,"DistanceClass",OPERATING_COEFFS!$B:$B,$AG381))</f>
        <v/>
      </c>
      <c r="AJ381" t="str">
        <f>IF($AI381="","",SUMIFS(OPERATING_COEFFS!$C:$C,OPERATING_COEFFS!$A:$A,"SeasonClass",OPERATING_COEFFS!$B:$B,$AI381))</f>
        <v/>
      </c>
      <c r="AL381" t="str">
        <f>IF($AK381="","",SUMIFS(OPERATING_COEFFS!$C:$C,OPERATING_COEFFS!$A:$A,"UrgencyClass",OPERATING_COEFFS!$B:$B,$AK381))</f>
        <v/>
      </c>
      <c r="AN381" t="str">
        <f>IF($AM381="","",INDEX(TAX_MODES!$B:$B,MATCH($AM381,TAX_MODES!$A:$A,0)))</f>
        <v/>
      </c>
    </row>
    <row r="382" spans="24:40" x14ac:dyDescent="0.3">
      <c r="X382" s="13"/>
      <c r="Y382" s="13" t="str">
        <f>IF($X382="","",SUMIFS(TARIFF_PROFILES!$D:$D,TARIFF_PROFILES!$A:$A,$X382))</f>
        <v/>
      </c>
      <c r="Z382" s="13" t="str">
        <f>IF($X382="","",SUMIFS(TARIFF_PROFILES!$E:$E,TARIFF_PROFILES!$A:$A,$X382))</f>
        <v/>
      </c>
      <c r="AA382" s="13" t="str">
        <f>IF($X382="","",SUMIFS(TARIFF_PROFILES!$F:$F,TARIFF_PROFILES!$A:$A,$X382))</f>
        <v/>
      </c>
      <c r="AB382" s="13" t="str">
        <f>IF($X382="","",SUMIFS(TARIFF_PROFILES!$G:$G,TARIFF_PROFILES!$A:$A,$X382))</f>
        <v/>
      </c>
      <c r="AC382" s="13" t="str">
        <f>IF($X382="","",SUMIFS(TARIFF_PROFILES!$H:$H,TARIFF_PROFILES!$A:$A,$X382))</f>
        <v/>
      </c>
      <c r="AD382" s="13" t="str">
        <f>IF($X382="","",INDEX(TARIFF_PROFILES!$J:$J,MATCH($X382,TARIFF_PROFILES!$A:$A,0)))</f>
        <v/>
      </c>
      <c r="AE382" s="13" t="str">
        <f>IF($X382="","",INDEX(TARIFF_PROFILES!$K:$K,MATCH($X382,TARIFF_PROFILES!$A:$A,0)))</f>
        <v/>
      </c>
      <c r="AH382" t="str">
        <f>IF($AG382="","",SUMIFS(OPERATING_COEFFS!$C:$C,OPERATING_COEFFS!$A:$A,"DistanceClass",OPERATING_COEFFS!$B:$B,$AG382))</f>
        <v/>
      </c>
      <c r="AJ382" t="str">
        <f>IF($AI382="","",SUMIFS(OPERATING_COEFFS!$C:$C,OPERATING_COEFFS!$A:$A,"SeasonClass",OPERATING_COEFFS!$B:$B,$AI382))</f>
        <v/>
      </c>
      <c r="AL382" t="str">
        <f>IF($AK382="","",SUMIFS(OPERATING_COEFFS!$C:$C,OPERATING_COEFFS!$A:$A,"UrgencyClass",OPERATING_COEFFS!$B:$B,$AK382))</f>
        <v/>
      </c>
      <c r="AN382" t="str">
        <f>IF($AM382="","",INDEX(TAX_MODES!$B:$B,MATCH($AM382,TAX_MODES!$A:$A,0)))</f>
        <v/>
      </c>
    </row>
    <row r="383" spans="24:40" x14ac:dyDescent="0.3">
      <c r="X383" s="13"/>
      <c r="Y383" s="13" t="str">
        <f>IF($X383="","",SUMIFS(TARIFF_PROFILES!$D:$D,TARIFF_PROFILES!$A:$A,$X383))</f>
        <v/>
      </c>
      <c r="Z383" s="13" t="str">
        <f>IF($X383="","",SUMIFS(TARIFF_PROFILES!$E:$E,TARIFF_PROFILES!$A:$A,$X383))</f>
        <v/>
      </c>
      <c r="AA383" s="13" t="str">
        <f>IF($X383="","",SUMIFS(TARIFF_PROFILES!$F:$F,TARIFF_PROFILES!$A:$A,$X383))</f>
        <v/>
      </c>
      <c r="AB383" s="13" t="str">
        <f>IF($X383="","",SUMIFS(TARIFF_PROFILES!$G:$G,TARIFF_PROFILES!$A:$A,$X383))</f>
        <v/>
      </c>
      <c r="AC383" s="13" t="str">
        <f>IF($X383="","",SUMIFS(TARIFF_PROFILES!$H:$H,TARIFF_PROFILES!$A:$A,$X383))</f>
        <v/>
      </c>
      <c r="AD383" s="13" t="str">
        <f>IF($X383="","",INDEX(TARIFF_PROFILES!$J:$J,MATCH($X383,TARIFF_PROFILES!$A:$A,0)))</f>
        <v/>
      </c>
      <c r="AE383" s="13" t="str">
        <f>IF($X383="","",INDEX(TARIFF_PROFILES!$K:$K,MATCH($X383,TARIFF_PROFILES!$A:$A,0)))</f>
        <v/>
      </c>
      <c r="AH383" t="str">
        <f>IF($AG383="","",SUMIFS(OPERATING_COEFFS!$C:$C,OPERATING_COEFFS!$A:$A,"DistanceClass",OPERATING_COEFFS!$B:$B,$AG383))</f>
        <v/>
      </c>
      <c r="AJ383" t="str">
        <f>IF($AI383="","",SUMIFS(OPERATING_COEFFS!$C:$C,OPERATING_COEFFS!$A:$A,"SeasonClass",OPERATING_COEFFS!$B:$B,$AI383))</f>
        <v/>
      </c>
      <c r="AL383" t="str">
        <f>IF($AK383="","",SUMIFS(OPERATING_COEFFS!$C:$C,OPERATING_COEFFS!$A:$A,"UrgencyClass",OPERATING_COEFFS!$B:$B,$AK383))</f>
        <v/>
      </c>
      <c r="AN383" t="str">
        <f>IF($AM383="","",INDEX(TAX_MODES!$B:$B,MATCH($AM383,TAX_MODES!$A:$A,0)))</f>
        <v/>
      </c>
    </row>
    <row r="384" spans="24:40" x14ac:dyDescent="0.3">
      <c r="X384" s="13"/>
      <c r="Y384" s="13" t="str">
        <f>IF($X384="","",SUMIFS(TARIFF_PROFILES!$D:$D,TARIFF_PROFILES!$A:$A,$X384))</f>
        <v/>
      </c>
      <c r="Z384" s="13" t="str">
        <f>IF($X384="","",SUMIFS(TARIFF_PROFILES!$E:$E,TARIFF_PROFILES!$A:$A,$X384))</f>
        <v/>
      </c>
      <c r="AA384" s="13" t="str">
        <f>IF($X384="","",SUMIFS(TARIFF_PROFILES!$F:$F,TARIFF_PROFILES!$A:$A,$X384))</f>
        <v/>
      </c>
      <c r="AB384" s="13" t="str">
        <f>IF($X384="","",SUMIFS(TARIFF_PROFILES!$G:$G,TARIFF_PROFILES!$A:$A,$X384))</f>
        <v/>
      </c>
      <c r="AC384" s="13" t="str">
        <f>IF($X384="","",SUMIFS(TARIFF_PROFILES!$H:$H,TARIFF_PROFILES!$A:$A,$X384))</f>
        <v/>
      </c>
      <c r="AD384" s="13" t="str">
        <f>IF($X384="","",INDEX(TARIFF_PROFILES!$J:$J,MATCH($X384,TARIFF_PROFILES!$A:$A,0)))</f>
        <v/>
      </c>
      <c r="AE384" s="13" t="str">
        <f>IF($X384="","",INDEX(TARIFF_PROFILES!$K:$K,MATCH($X384,TARIFF_PROFILES!$A:$A,0)))</f>
        <v/>
      </c>
      <c r="AH384" t="str">
        <f>IF($AG384="","",SUMIFS(OPERATING_COEFFS!$C:$C,OPERATING_COEFFS!$A:$A,"DistanceClass",OPERATING_COEFFS!$B:$B,$AG384))</f>
        <v/>
      </c>
      <c r="AJ384" t="str">
        <f>IF($AI384="","",SUMIFS(OPERATING_COEFFS!$C:$C,OPERATING_COEFFS!$A:$A,"SeasonClass",OPERATING_COEFFS!$B:$B,$AI384))</f>
        <v/>
      </c>
      <c r="AL384" t="str">
        <f>IF($AK384="","",SUMIFS(OPERATING_COEFFS!$C:$C,OPERATING_COEFFS!$A:$A,"UrgencyClass",OPERATING_COEFFS!$B:$B,$AK384))</f>
        <v/>
      </c>
      <c r="AN384" t="str">
        <f>IF($AM384="","",INDEX(TAX_MODES!$B:$B,MATCH($AM384,TAX_MODES!$A:$A,0)))</f>
        <v/>
      </c>
    </row>
    <row r="385" spans="24:40" x14ac:dyDescent="0.3">
      <c r="X385" s="13"/>
      <c r="Y385" s="13" t="str">
        <f>IF($X385="","",SUMIFS(TARIFF_PROFILES!$D:$D,TARIFF_PROFILES!$A:$A,$X385))</f>
        <v/>
      </c>
      <c r="Z385" s="13" t="str">
        <f>IF($X385="","",SUMIFS(TARIFF_PROFILES!$E:$E,TARIFF_PROFILES!$A:$A,$X385))</f>
        <v/>
      </c>
      <c r="AA385" s="13" t="str">
        <f>IF($X385="","",SUMIFS(TARIFF_PROFILES!$F:$F,TARIFF_PROFILES!$A:$A,$X385))</f>
        <v/>
      </c>
      <c r="AB385" s="13" t="str">
        <f>IF($X385="","",SUMIFS(TARIFF_PROFILES!$G:$G,TARIFF_PROFILES!$A:$A,$X385))</f>
        <v/>
      </c>
      <c r="AC385" s="13" t="str">
        <f>IF($X385="","",SUMIFS(TARIFF_PROFILES!$H:$H,TARIFF_PROFILES!$A:$A,$X385))</f>
        <v/>
      </c>
      <c r="AD385" s="13" t="str">
        <f>IF($X385="","",INDEX(TARIFF_PROFILES!$J:$J,MATCH($X385,TARIFF_PROFILES!$A:$A,0)))</f>
        <v/>
      </c>
      <c r="AE385" s="13" t="str">
        <f>IF($X385="","",INDEX(TARIFF_PROFILES!$K:$K,MATCH($X385,TARIFF_PROFILES!$A:$A,0)))</f>
        <v/>
      </c>
      <c r="AH385" t="str">
        <f>IF($AG385="","",SUMIFS(OPERATING_COEFFS!$C:$C,OPERATING_COEFFS!$A:$A,"DistanceClass",OPERATING_COEFFS!$B:$B,$AG385))</f>
        <v/>
      </c>
      <c r="AJ385" t="str">
        <f>IF($AI385="","",SUMIFS(OPERATING_COEFFS!$C:$C,OPERATING_COEFFS!$A:$A,"SeasonClass",OPERATING_COEFFS!$B:$B,$AI385))</f>
        <v/>
      </c>
      <c r="AL385" t="str">
        <f>IF($AK385="","",SUMIFS(OPERATING_COEFFS!$C:$C,OPERATING_COEFFS!$A:$A,"UrgencyClass",OPERATING_COEFFS!$B:$B,$AK385))</f>
        <v/>
      </c>
      <c r="AN385" t="str">
        <f>IF($AM385="","",INDEX(TAX_MODES!$B:$B,MATCH($AM385,TAX_MODES!$A:$A,0)))</f>
        <v/>
      </c>
    </row>
    <row r="386" spans="24:40" x14ac:dyDescent="0.3">
      <c r="X386" s="13"/>
      <c r="Y386" s="13" t="str">
        <f>IF($X386="","",SUMIFS(TARIFF_PROFILES!$D:$D,TARIFF_PROFILES!$A:$A,$X386))</f>
        <v/>
      </c>
      <c r="Z386" s="13" t="str">
        <f>IF($X386="","",SUMIFS(TARIFF_PROFILES!$E:$E,TARIFF_PROFILES!$A:$A,$X386))</f>
        <v/>
      </c>
      <c r="AA386" s="13" t="str">
        <f>IF($X386="","",SUMIFS(TARIFF_PROFILES!$F:$F,TARIFF_PROFILES!$A:$A,$X386))</f>
        <v/>
      </c>
      <c r="AB386" s="13" t="str">
        <f>IF($X386="","",SUMIFS(TARIFF_PROFILES!$G:$G,TARIFF_PROFILES!$A:$A,$X386))</f>
        <v/>
      </c>
      <c r="AC386" s="13" t="str">
        <f>IF($X386="","",SUMIFS(TARIFF_PROFILES!$H:$H,TARIFF_PROFILES!$A:$A,$X386))</f>
        <v/>
      </c>
      <c r="AD386" s="13" t="str">
        <f>IF($X386="","",INDEX(TARIFF_PROFILES!$J:$J,MATCH($X386,TARIFF_PROFILES!$A:$A,0)))</f>
        <v/>
      </c>
      <c r="AE386" s="13" t="str">
        <f>IF($X386="","",INDEX(TARIFF_PROFILES!$K:$K,MATCH($X386,TARIFF_PROFILES!$A:$A,0)))</f>
        <v/>
      </c>
      <c r="AH386" t="str">
        <f>IF($AG386="","",SUMIFS(OPERATING_COEFFS!$C:$C,OPERATING_COEFFS!$A:$A,"DistanceClass",OPERATING_COEFFS!$B:$B,$AG386))</f>
        <v/>
      </c>
      <c r="AJ386" t="str">
        <f>IF($AI386="","",SUMIFS(OPERATING_COEFFS!$C:$C,OPERATING_COEFFS!$A:$A,"SeasonClass",OPERATING_COEFFS!$B:$B,$AI386))</f>
        <v/>
      </c>
      <c r="AL386" t="str">
        <f>IF($AK386="","",SUMIFS(OPERATING_COEFFS!$C:$C,OPERATING_COEFFS!$A:$A,"UrgencyClass",OPERATING_COEFFS!$B:$B,$AK386))</f>
        <v/>
      </c>
      <c r="AN386" t="str">
        <f>IF($AM386="","",INDEX(TAX_MODES!$B:$B,MATCH($AM386,TAX_MODES!$A:$A,0)))</f>
        <v/>
      </c>
    </row>
    <row r="387" spans="24:40" x14ac:dyDescent="0.3">
      <c r="X387" s="13"/>
      <c r="Y387" s="13" t="str">
        <f>IF($X387="","",SUMIFS(TARIFF_PROFILES!$D:$D,TARIFF_PROFILES!$A:$A,$X387))</f>
        <v/>
      </c>
      <c r="Z387" s="13" t="str">
        <f>IF($X387="","",SUMIFS(TARIFF_PROFILES!$E:$E,TARIFF_PROFILES!$A:$A,$X387))</f>
        <v/>
      </c>
      <c r="AA387" s="13" t="str">
        <f>IF($X387="","",SUMIFS(TARIFF_PROFILES!$F:$F,TARIFF_PROFILES!$A:$A,$X387))</f>
        <v/>
      </c>
      <c r="AB387" s="13" t="str">
        <f>IF($X387="","",SUMIFS(TARIFF_PROFILES!$G:$G,TARIFF_PROFILES!$A:$A,$X387))</f>
        <v/>
      </c>
      <c r="AC387" s="13" t="str">
        <f>IF($X387="","",SUMIFS(TARIFF_PROFILES!$H:$H,TARIFF_PROFILES!$A:$A,$X387))</f>
        <v/>
      </c>
      <c r="AD387" s="13" t="str">
        <f>IF($X387="","",INDEX(TARIFF_PROFILES!$J:$J,MATCH($X387,TARIFF_PROFILES!$A:$A,0)))</f>
        <v/>
      </c>
      <c r="AE387" s="13" t="str">
        <f>IF($X387="","",INDEX(TARIFF_PROFILES!$K:$K,MATCH($X387,TARIFF_PROFILES!$A:$A,0)))</f>
        <v/>
      </c>
      <c r="AH387" t="str">
        <f>IF($AG387="","",SUMIFS(OPERATING_COEFFS!$C:$C,OPERATING_COEFFS!$A:$A,"DistanceClass",OPERATING_COEFFS!$B:$B,$AG387))</f>
        <v/>
      </c>
      <c r="AJ387" t="str">
        <f>IF($AI387="","",SUMIFS(OPERATING_COEFFS!$C:$C,OPERATING_COEFFS!$A:$A,"SeasonClass",OPERATING_COEFFS!$B:$B,$AI387))</f>
        <v/>
      </c>
      <c r="AL387" t="str">
        <f>IF($AK387="","",SUMIFS(OPERATING_COEFFS!$C:$C,OPERATING_COEFFS!$A:$A,"UrgencyClass",OPERATING_COEFFS!$B:$B,$AK387))</f>
        <v/>
      </c>
      <c r="AN387" t="str">
        <f>IF($AM387="","",INDEX(TAX_MODES!$B:$B,MATCH($AM387,TAX_MODES!$A:$A,0)))</f>
        <v/>
      </c>
    </row>
    <row r="388" spans="24:40" x14ac:dyDescent="0.3">
      <c r="X388" s="13"/>
      <c r="Y388" s="13" t="str">
        <f>IF($X388="","",SUMIFS(TARIFF_PROFILES!$D:$D,TARIFF_PROFILES!$A:$A,$X388))</f>
        <v/>
      </c>
      <c r="Z388" s="13" t="str">
        <f>IF($X388="","",SUMIFS(TARIFF_PROFILES!$E:$E,TARIFF_PROFILES!$A:$A,$X388))</f>
        <v/>
      </c>
      <c r="AA388" s="13" t="str">
        <f>IF($X388="","",SUMIFS(TARIFF_PROFILES!$F:$F,TARIFF_PROFILES!$A:$A,$X388))</f>
        <v/>
      </c>
      <c r="AB388" s="13" t="str">
        <f>IF($X388="","",SUMIFS(TARIFF_PROFILES!$G:$G,TARIFF_PROFILES!$A:$A,$X388))</f>
        <v/>
      </c>
      <c r="AC388" s="13" t="str">
        <f>IF($X388="","",SUMIFS(TARIFF_PROFILES!$H:$H,TARIFF_PROFILES!$A:$A,$X388))</f>
        <v/>
      </c>
      <c r="AD388" s="13" t="str">
        <f>IF($X388="","",INDEX(TARIFF_PROFILES!$J:$J,MATCH($X388,TARIFF_PROFILES!$A:$A,0)))</f>
        <v/>
      </c>
      <c r="AE388" s="13" t="str">
        <f>IF($X388="","",INDEX(TARIFF_PROFILES!$K:$K,MATCH($X388,TARIFF_PROFILES!$A:$A,0)))</f>
        <v/>
      </c>
      <c r="AH388" t="str">
        <f>IF($AG388="","",SUMIFS(OPERATING_COEFFS!$C:$C,OPERATING_COEFFS!$A:$A,"DistanceClass",OPERATING_COEFFS!$B:$B,$AG388))</f>
        <v/>
      </c>
      <c r="AJ388" t="str">
        <f>IF($AI388="","",SUMIFS(OPERATING_COEFFS!$C:$C,OPERATING_COEFFS!$A:$A,"SeasonClass",OPERATING_COEFFS!$B:$B,$AI388))</f>
        <v/>
      </c>
      <c r="AL388" t="str">
        <f>IF($AK388="","",SUMIFS(OPERATING_COEFFS!$C:$C,OPERATING_COEFFS!$A:$A,"UrgencyClass",OPERATING_COEFFS!$B:$B,$AK388))</f>
        <v/>
      </c>
      <c r="AN388" t="str">
        <f>IF($AM388="","",INDEX(TAX_MODES!$B:$B,MATCH($AM388,TAX_MODES!$A:$A,0)))</f>
        <v/>
      </c>
    </row>
    <row r="389" spans="24:40" x14ac:dyDescent="0.3">
      <c r="X389" s="13"/>
      <c r="Y389" s="13" t="str">
        <f>IF($X389="","",SUMIFS(TARIFF_PROFILES!$D:$D,TARIFF_PROFILES!$A:$A,$X389))</f>
        <v/>
      </c>
      <c r="Z389" s="13" t="str">
        <f>IF($X389="","",SUMIFS(TARIFF_PROFILES!$E:$E,TARIFF_PROFILES!$A:$A,$X389))</f>
        <v/>
      </c>
      <c r="AA389" s="13" t="str">
        <f>IF($X389="","",SUMIFS(TARIFF_PROFILES!$F:$F,TARIFF_PROFILES!$A:$A,$X389))</f>
        <v/>
      </c>
      <c r="AB389" s="13" t="str">
        <f>IF($X389="","",SUMIFS(TARIFF_PROFILES!$G:$G,TARIFF_PROFILES!$A:$A,$X389))</f>
        <v/>
      </c>
      <c r="AC389" s="13" t="str">
        <f>IF($X389="","",SUMIFS(TARIFF_PROFILES!$H:$H,TARIFF_PROFILES!$A:$A,$X389))</f>
        <v/>
      </c>
      <c r="AD389" s="13" t="str">
        <f>IF($X389="","",INDEX(TARIFF_PROFILES!$J:$J,MATCH($X389,TARIFF_PROFILES!$A:$A,0)))</f>
        <v/>
      </c>
      <c r="AE389" s="13" t="str">
        <f>IF($X389="","",INDEX(TARIFF_PROFILES!$K:$K,MATCH($X389,TARIFF_PROFILES!$A:$A,0)))</f>
        <v/>
      </c>
      <c r="AH389" t="str">
        <f>IF($AG389="","",SUMIFS(OPERATING_COEFFS!$C:$C,OPERATING_COEFFS!$A:$A,"DistanceClass",OPERATING_COEFFS!$B:$B,$AG389))</f>
        <v/>
      </c>
      <c r="AJ389" t="str">
        <f>IF($AI389="","",SUMIFS(OPERATING_COEFFS!$C:$C,OPERATING_COEFFS!$A:$A,"SeasonClass",OPERATING_COEFFS!$B:$B,$AI389))</f>
        <v/>
      </c>
      <c r="AL389" t="str">
        <f>IF($AK389="","",SUMIFS(OPERATING_COEFFS!$C:$C,OPERATING_COEFFS!$A:$A,"UrgencyClass",OPERATING_COEFFS!$B:$B,$AK389))</f>
        <v/>
      </c>
      <c r="AN389" t="str">
        <f>IF($AM389="","",INDEX(TAX_MODES!$B:$B,MATCH($AM389,TAX_MODES!$A:$A,0)))</f>
        <v/>
      </c>
    </row>
    <row r="390" spans="24:40" x14ac:dyDescent="0.3">
      <c r="X390" s="13"/>
      <c r="Y390" s="13" t="str">
        <f>IF($X390="","",SUMIFS(TARIFF_PROFILES!$D:$D,TARIFF_PROFILES!$A:$A,$X390))</f>
        <v/>
      </c>
      <c r="Z390" s="13" t="str">
        <f>IF($X390="","",SUMIFS(TARIFF_PROFILES!$E:$E,TARIFF_PROFILES!$A:$A,$X390))</f>
        <v/>
      </c>
      <c r="AA390" s="13" t="str">
        <f>IF($X390="","",SUMIFS(TARIFF_PROFILES!$F:$F,TARIFF_PROFILES!$A:$A,$X390))</f>
        <v/>
      </c>
      <c r="AB390" s="13" t="str">
        <f>IF($X390="","",SUMIFS(TARIFF_PROFILES!$G:$G,TARIFF_PROFILES!$A:$A,$X390))</f>
        <v/>
      </c>
      <c r="AC390" s="13" t="str">
        <f>IF($X390="","",SUMIFS(TARIFF_PROFILES!$H:$H,TARIFF_PROFILES!$A:$A,$X390))</f>
        <v/>
      </c>
      <c r="AD390" s="13" t="str">
        <f>IF($X390="","",INDEX(TARIFF_PROFILES!$J:$J,MATCH($X390,TARIFF_PROFILES!$A:$A,0)))</f>
        <v/>
      </c>
      <c r="AE390" s="13" t="str">
        <f>IF($X390="","",INDEX(TARIFF_PROFILES!$K:$K,MATCH($X390,TARIFF_PROFILES!$A:$A,0)))</f>
        <v/>
      </c>
      <c r="AH390" t="str">
        <f>IF($AG390="","",SUMIFS(OPERATING_COEFFS!$C:$C,OPERATING_COEFFS!$A:$A,"DistanceClass",OPERATING_COEFFS!$B:$B,$AG390))</f>
        <v/>
      </c>
      <c r="AJ390" t="str">
        <f>IF($AI390="","",SUMIFS(OPERATING_COEFFS!$C:$C,OPERATING_COEFFS!$A:$A,"SeasonClass",OPERATING_COEFFS!$B:$B,$AI390))</f>
        <v/>
      </c>
      <c r="AL390" t="str">
        <f>IF($AK390="","",SUMIFS(OPERATING_COEFFS!$C:$C,OPERATING_COEFFS!$A:$A,"UrgencyClass",OPERATING_COEFFS!$B:$B,$AK390))</f>
        <v/>
      </c>
      <c r="AN390" t="str">
        <f>IF($AM390="","",INDEX(TAX_MODES!$B:$B,MATCH($AM390,TAX_MODES!$A:$A,0)))</f>
        <v/>
      </c>
    </row>
    <row r="391" spans="24:40" x14ac:dyDescent="0.3">
      <c r="X391" s="13"/>
      <c r="Y391" s="13" t="str">
        <f>IF($X391="","",SUMIFS(TARIFF_PROFILES!$D:$D,TARIFF_PROFILES!$A:$A,$X391))</f>
        <v/>
      </c>
      <c r="Z391" s="13" t="str">
        <f>IF($X391="","",SUMIFS(TARIFF_PROFILES!$E:$E,TARIFF_PROFILES!$A:$A,$X391))</f>
        <v/>
      </c>
      <c r="AA391" s="13" t="str">
        <f>IF($X391="","",SUMIFS(TARIFF_PROFILES!$F:$F,TARIFF_PROFILES!$A:$A,$X391))</f>
        <v/>
      </c>
      <c r="AB391" s="13" t="str">
        <f>IF($X391="","",SUMIFS(TARIFF_PROFILES!$G:$G,TARIFF_PROFILES!$A:$A,$X391))</f>
        <v/>
      </c>
      <c r="AC391" s="13" t="str">
        <f>IF($X391="","",SUMIFS(TARIFF_PROFILES!$H:$H,TARIFF_PROFILES!$A:$A,$X391))</f>
        <v/>
      </c>
      <c r="AD391" s="13" t="str">
        <f>IF($X391="","",INDEX(TARIFF_PROFILES!$J:$J,MATCH($X391,TARIFF_PROFILES!$A:$A,0)))</f>
        <v/>
      </c>
      <c r="AE391" s="13" t="str">
        <f>IF($X391="","",INDEX(TARIFF_PROFILES!$K:$K,MATCH($X391,TARIFF_PROFILES!$A:$A,0)))</f>
        <v/>
      </c>
      <c r="AH391" t="str">
        <f>IF($AG391="","",SUMIFS(OPERATING_COEFFS!$C:$C,OPERATING_COEFFS!$A:$A,"DistanceClass",OPERATING_COEFFS!$B:$B,$AG391))</f>
        <v/>
      </c>
      <c r="AJ391" t="str">
        <f>IF($AI391="","",SUMIFS(OPERATING_COEFFS!$C:$C,OPERATING_COEFFS!$A:$A,"SeasonClass",OPERATING_COEFFS!$B:$B,$AI391))</f>
        <v/>
      </c>
      <c r="AL391" t="str">
        <f>IF($AK391="","",SUMIFS(OPERATING_COEFFS!$C:$C,OPERATING_COEFFS!$A:$A,"UrgencyClass",OPERATING_COEFFS!$B:$B,$AK391))</f>
        <v/>
      </c>
      <c r="AN391" t="str">
        <f>IF($AM391="","",INDEX(TAX_MODES!$B:$B,MATCH($AM391,TAX_MODES!$A:$A,0)))</f>
        <v/>
      </c>
    </row>
    <row r="392" spans="24:40" x14ac:dyDescent="0.3">
      <c r="X392" s="13"/>
      <c r="Y392" s="13" t="str">
        <f>IF($X392="","",SUMIFS(TARIFF_PROFILES!$D:$D,TARIFF_PROFILES!$A:$A,$X392))</f>
        <v/>
      </c>
      <c r="Z392" s="13" t="str">
        <f>IF($X392="","",SUMIFS(TARIFF_PROFILES!$E:$E,TARIFF_PROFILES!$A:$A,$X392))</f>
        <v/>
      </c>
      <c r="AA392" s="13" t="str">
        <f>IF($X392="","",SUMIFS(TARIFF_PROFILES!$F:$F,TARIFF_PROFILES!$A:$A,$X392))</f>
        <v/>
      </c>
      <c r="AB392" s="13" t="str">
        <f>IF($X392="","",SUMIFS(TARIFF_PROFILES!$G:$G,TARIFF_PROFILES!$A:$A,$X392))</f>
        <v/>
      </c>
      <c r="AC392" s="13" t="str">
        <f>IF($X392="","",SUMIFS(TARIFF_PROFILES!$H:$H,TARIFF_PROFILES!$A:$A,$X392))</f>
        <v/>
      </c>
      <c r="AD392" s="13" t="str">
        <f>IF($X392="","",INDEX(TARIFF_PROFILES!$J:$J,MATCH($X392,TARIFF_PROFILES!$A:$A,0)))</f>
        <v/>
      </c>
      <c r="AE392" s="13" t="str">
        <f>IF($X392="","",INDEX(TARIFF_PROFILES!$K:$K,MATCH($X392,TARIFF_PROFILES!$A:$A,0)))</f>
        <v/>
      </c>
      <c r="AH392" t="str">
        <f>IF($AG392="","",SUMIFS(OPERATING_COEFFS!$C:$C,OPERATING_COEFFS!$A:$A,"DistanceClass",OPERATING_COEFFS!$B:$B,$AG392))</f>
        <v/>
      </c>
      <c r="AJ392" t="str">
        <f>IF($AI392="","",SUMIFS(OPERATING_COEFFS!$C:$C,OPERATING_COEFFS!$A:$A,"SeasonClass",OPERATING_COEFFS!$B:$B,$AI392))</f>
        <v/>
      </c>
      <c r="AL392" t="str">
        <f>IF($AK392="","",SUMIFS(OPERATING_COEFFS!$C:$C,OPERATING_COEFFS!$A:$A,"UrgencyClass",OPERATING_COEFFS!$B:$B,$AK392))</f>
        <v/>
      </c>
      <c r="AN392" t="str">
        <f>IF($AM392="","",INDEX(TAX_MODES!$B:$B,MATCH($AM392,TAX_MODES!$A:$A,0)))</f>
        <v/>
      </c>
    </row>
    <row r="393" spans="24:40" x14ac:dyDescent="0.3">
      <c r="X393" s="13"/>
      <c r="Y393" s="13" t="str">
        <f>IF($X393="","",SUMIFS(TARIFF_PROFILES!$D:$D,TARIFF_PROFILES!$A:$A,$X393))</f>
        <v/>
      </c>
      <c r="Z393" s="13" t="str">
        <f>IF($X393="","",SUMIFS(TARIFF_PROFILES!$E:$E,TARIFF_PROFILES!$A:$A,$X393))</f>
        <v/>
      </c>
      <c r="AA393" s="13" t="str">
        <f>IF($X393="","",SUMIFS(TARIFF_PROFILES!$F:$F,TARIFF_PROFILES!$A:$A,$X393))</f>
        <v/>
      </c>
      <c r="AB393" s="13" t="str">
        <f>IF($X393="","",SUMIFS(TARIFF_PROFILES!$G:$G,TARIFF_PROFILES!$A:$A,$X393))</f>
        <v/>
      </c>
      <c r="AC393" s="13" t="str">
        <f>IF($X393="","",SUMIFS(TARIFF_PROFILES!$H:$H,TARIFF_PROFILES!$A:$A,$X393))</f>
        <v/>
      </c>
      <c r="AD393" s="13" t="str">
        <f>IF($X393="","",INDEX(TARIFF_PROFILES!$J:$J,MATCH($X393,TARIFF_PROFILES!$A:$A,0)))</f>
        <v/>
      </c>
      <c r="AE393" s="13" t="str">
        <f>IF($X393="","",INDEX(TARIFF_PROFILES!$K:$K,MATCH($X393,TARIFF_PROFILES!$A:$A,0)))</f>
        <v/>
      </c>
      <c r="AH393" t="str">
        <f>IF($AG393="","",SUMIFS(OPERATING_COEFFS!$C:$C,OPERATING_COEFFS!$A:$A,"DistanceClass",OPERATING_COEFFS!$B:$B,$AG393))</f>
        <v/>
      </c>
      <c r="AJ393" t="str">
        <f>IF($AI393="","",SUMIFS(OPERATING_COEFFS!$C:$C,OPERATING_COEFFS!$A:$A,"SeasonClass",OPERATING_COEFFS!$B:$B,$AI393))</f>
        <v/>
      </c>
      <c r="AL393" t="str">
        <f>IF($AK393="","",SUMIFS(OPERATING_COEFFS!$C:$C,OPERATING_COEFFS!$A:$A,"UrgencyClass",OPERATING_COEFFS!$B:$B,$AK393))</f>
        <v/>
      </c>
      <c r="AN393" t="str">
        <f>IF($AM393="","",INDEX(TAX_MODES!$B:$B,MATCH($AM393,TAX_MODES!$A:$A,0)))</f>
        <v/>
      </c>
    </row>
    <row r="394" spans="24:40" x14ac:dyDescent="0.3">
      <c r="X394" s="13"/>
      <c r="Y394" s="13" t="str">
        <f>IF($X394="","",SUMIFS(TARIFF_PROFILES!$D:$D,TARIFF_PROFILES!$A:$A,$X394))</f>
        <v/>
      </c>
      <c r="Z394" s="13" t="str">
        <f>IF($X394="","",SUMIFS(TARIFF_PROFILES!$E:$E,TARIFF_PROFILES!$A:$A,$X394))</f>
        <v/>
      </c>
      <c r="AA394" s="13" t="str">
        <f>IF($X394="","",SUMIFS(TARIFF_PROFILES!$F:$F,TARIFF_PROFILES!$A:$A,$X394))</f>
        <v/>
      </c>
      <c r="AB394" s="13" t="str">
        <f>IF($X394="","",SUMIFS(TARIFF_PROFILES!$G:$G,TARIFF_PROFILES!$A:$A,$X394))</f>
        <v/>
      </c>
      <c r="AC394" s="13" t="str">
        <f>IF($X394="","",SUMIFS(TARIFF_PROFILES!$H:$H,TARIFF_PROFILES!$A:$A,$X394))</f>
        <v/>
      </c>
      <c r="AD394" s="13" t="str">
        <f>IF($X394="","",INDEX(TARIFF_PROFILES!$J:$J,MATCH($X394,TARIFF_PROFILES!$A:$A,0)))</f>
        <v/>
      </c>
      <c r="AE394" s="13" t="str">
        <f>IF($X394="","",INDEX(TARIFF_PROFILES!$K:$K,MATCH($X394,TARIFF_PROFILES!$A:$A,0)))</f>
        <v/>
      </c>
      <c r="AH394" t="str">
        <f>IF($AG394="","",SUMIFS(OPERATING_COEFFS!$C:$C,OPERATING_COEFFS!$A:$A,"DistanceClass",OPERATING_COEFFS!$B:$B,$AG394))</f>
        <v/>
      </c>
      <c r="AJ394" t="str">
        <f>IF($AI394="","",SUMIFS(OPERATING_COEFFS!$C:$C,OPERATING_COEFFS!$A:$A,"SeasonClass",OPERATING_COEFFS!$B:$B,$AI394))</f>
        <v/>
      </c>
      <c r="AL394" t="str">
        <f>IF($AK394="","",SUMIFS(OPERATING_COEFFS!$C:$C,OPERATING_COEFFS!$A:$A,"UrgencyClass",OPERATING_COEFFS!$B:$B,$AK394))</f>
        <v/>
      </c>
      <c r="AN394" t="str">
        <f>IF($AM394="","",INDEX(TAX_MODES!$B:$B,MATCH($AM394,TAX_MODES!$A:$A,0)))</f>
        <v/>
      </c>
    </row>
    <row r="395" spans="24:40" x14ac:dyDescent="0.3">
      <c r="X395" s="13"/>
      <c r="Y395" s="13" t="str">
        <f>IF($X395="","",SUMIFS(TARIFF_PROFILES!$D:$D,TARIFF_PROFILES!$A:$A,$X395))</f>
        <v/>
      </c>
      <c r="Z395" s="13" t="str">
        <f>IF($X395="","",SUMIFS(TARIFF_PROFILES!$E:$E,TARIFF_PROFILES!$A:$A,$X395))</f>
        <v/>
      </c>
      <c r="AA395" s="13" t="str">
        <f>IF($X395="","",SUMIFS(TARIFF_PROFILES!$F:$F,TARIFF_PROFILES!$A:$A,$X395))</f>
        <v/>
      </c>
      <c r="AB395" s="13" t="str">
        <f>IF($X395="","",SUMIFS(TARIFF_PROFILES!$G:$G,TARIFF_PROFILES!$A:$A,$X395))</f>
        <v/>
      </c>
      <c r="AC395" s="13" t="str">
        <f>IF($X395="","",SUMIFS(TARIFF_PROFILES!$H:$H,TARIFF_PROFILES!$A:$A,$X395))</f>
        <v/>
      </c>
      <c r="AD395" s="13" t="str">
        <f>IF($X395="","",INDEX(TARIFF_PROFILES!$J:$J,MATCH($X395,TARIFF_PROFILES!$A:$A,0)))</f>
        <v/>
      </c>
      <c r="AE395" s="13" t="str">
        <f>IF($X395="","",INDEX(TARIFF_PROFILES!$K:$K,MATCH($X395,TARIFF_PROFILES!$A:$A,0)))</f>
        <v/>
      </c>
      <c r="AH395" t="str">
        <f>IF($AG395="","",SUMIFS(OPERATING_COEFFS!$C:$C,OPERATING_COEFFS!$A:$A,"DistanceClass",OPERATING_COEFFS!$B:$B,$AG395))</f>
        <v/>
      </c>
      <c r="AJ395" t="str">
        <f>IF($AI395="","",SUMIFS(OPERATING_COEFFS!$C:$C,OPERATING_COEFFS!$A:$A,"SeasonClass",OPERATING_COEFFS!$B:$B,$AI395))</f>
        <v/>
      </c>
      <c r="AL395" t="str">
        <f>IF($AK395="","",SUMIFS(OPERATING_COEFFS!$C:$C,OPERATING_COEFFS!$A:$A,"UrgencyClass",OPERATING_COEFFS!$B:$B,$AK395))</f>
        <v/>
      </c>
      <c r="AN395" t="str">
        <f>IF($AM395="","",INDEX(TAX_MODES!$B:$B,MATCH($AM395,TAX_MODES!$A:$A,0)))</f>
        <v/>
      </c>
    </row>
    <row r="396" spans="24:40" x14ac:dyDescent="0.3">
      <c r="X396" s="13"/>
      <c r="Y396" s="13" t="str">
        <f>IF($X396="","",SUMIFS(TARIFF_PROFILES!$D:$D,TARIFF_PROFILES!$A:$A,$X396))</f>
        <v/>
      </c>
      <c r="Z396" s="13" t="str">
        <f>IF($X396="","",SUMIFS(TARIFF_PROFILES!$E:$E,TARIFF_PROFILES!$A:$A,$X396))</f>
        <v/>
      </c>
      <c r="AA396" s="13" t="str">
        <f>IF($X396="","",SUMIFS(TARIFF_PROFILES!$F:$F,TARIFF_PROFILES!$A:$A,$X396))</f>
        <v/>
      </c>
      <c r="AB396" s="13" t="str">
        <f>IF($X396="","",SUMIFS(TARIFF_PROFILES!$G:$G,TARIFF_PROFILES!$A:$A,$X396))</f>
        <v/>
      </c>
      <c r="AC396" s="13" t="str">
        <f>IF($X396="","",SUMIFS(TARIFF_PROFILES!$H:$H,TARIFF_PROFILES!$A:$A,$X396))</f>
        <v/>
      </c>
      <c r="AD396" s="13" t="str">
        <f>IF($X396="","",INDEX(TARIFF_PROFILES!$J:$J,MATCH($X396,TARIFF_PROFILES!$A:$A,0)))</f>
        <v/>
      </c>
      <c r="AE396" s="13" t="str">
        <f>IF($X396="","",INDEX(TARIFF_PROFILES!$K:$K,MATCH($X396,TARIFF_PROFILES!$A:$A,0)))</f>
        <v/>
      </c>
      <c r="AH396" t="str">
        <f>IF($AG396="","",SUMIFS(OPERATING_COEFFS!$C:$C,OPERATING_COEFFS!$A:$A,"DistanceClass",OPERATING_COEFFS!$B:$B,$AG396))</f>
        <v/>
      </c>
      <c r="AJ396" t="str">
        <f>IF($AI396="","",SUMIFS(OPERATING_COEFFS!$C:$C,OPERATING_COEFFS!$A:$A,"SeasonClass",OPERATING_COEFFS!$B:$B,$AI396))</f>
        <v/>
      </c>
      <c r="AL396" t="str">
        <f>IF($AK396="","",SUMIFS(OPERATING_COEFFS!$C:$C,OPERATING_COEFFS!$A:$A,"UrgencyClass",OPERATING_COEFFS!$B:$B,$AK396))</f>
        <v/>
      </c>
      <c r="AN396" t="str">
        <f>IF($AM396="","",INDEX(TAX_MODES!$B:$B,MATCH($AM396,TAX_MODES!$A:$A,0)))</f>
        <v/>
      </c>
    </row>
    <row r="397" spans="24:40" x14ac:dyDescent="0.3">
      <c r="X397" s="13"/>
      <c r="Y397" s="13" t="str">
        <f>IF($X397="","",SUMIFS(TARIFF_PROFILES!$D:$D,TARIFF_PROFILES!$A:$A,$X397))</f>
        <v/>
      </c>
      <c r="Z397" s="13" t="str">
        <f>IF($X397="","",SUMIFS(TARIFF_PROFILES!$E:$E,TARIFF_PROFILES!$A:$A,$X397))</f>
        <v/>
      </c>
      <c r="AA397" s="13" t="str">
        <f>IF($X397="","",SUMIFS(TARIFF_PROFILES!$F:$F,TARIFF_PROFILES!$A:$A,$X397))</f>
        <v/>
      </c>
      <c r="AB397" s="13" t="str">
        <f>IF($X397="","",SUMIFS(TARIFF_PROFILES!$G:$G,TARIFF_PROFILES!$A:$A,$X397))</f>
        <v/>
      </c>
      <c r="AC397" s="13" t="str">
        <f>IF($X397="","",SUMIFS(TARIFF_PROFILES!$H:$H,TARIFF_PROFILES!$A:$A,$X397))</f>
        <v/>
      </c>
      <c r="AD397" s="13" t="str">
        <f>IF($X397="","",INDEX(TARIFF_PROFILES!$J:$J,MATCH($X397,TARIFF_PROFILES!$A:$A,0)))</f>
        <v/>
      </c>
      <c r="AE397" s="13" t="str">
        <f>IF($X397="","",INDEX(TARIFF_PROFILES!$K:$K,MATCH($X397,TARIFF_PROFILES!$A:$A,0)))</f>
        <v/>
      </c>
      <c r="AH397" t="str">
        <f>IF($AG397="","",SUMIFS(OPERATING_COEFFS!$C:$C,OPERATING_COEFFS!$A:$A,"DistanceClass",OPERATING_COEFFS!$B:$B,$AG397))</f>
        <v/>
      </c>
      <c r="AJ397" t="str">
        <f>IF($AI397="","",SUMIFS(OPERATING_COEFFS!$C:$C,OPERATING_COEFFS!$A:$A,"SeasonClass",OPERATING_COEFFS!$B:$B,$AI397))</f>
        <v/>
      </c>
      <c r="AL397" t="str">
        <f>IF($AK397="","",SUMIFS(OPERATING_COEFFS!$C:$C,OPERATING_COEFFS!$A:$A,"UrgencyClass",OPERATING_COEFFS!$B:$B,$AK397))</f>
        <v/>
      </c>
      <c r="AN397" t="str">
        <f>IF($AM397="","",INDEX(TAX_MODES!$B:$B,MATCH($AM397,TAX_MODES!$A:$A,0)))</f>
        <v/>
      </c>
    </row>
    <row r="398" spans="24:40" x14ac:dyDescent="0.3">
      <c r="X398" s="13"/>
      <c r="Y398" s="13" t="str">
        <f>IF($X398="","",SUMIFS(TARIFF_PROFILES!$D:$D,TARIFF_PROFILES!$A:$A,$X398))</f>
        <v/>
      </c>
      <c r="Z398" s="13" t="str">
        <f>IF($X398="","",SUMIFS(TARIFF_PROFILES!$E:$E,TARIFF_PROFILES!$A:$A,$X398))</f>
        <v/>
      </c>
      <c r="AA398" s="13" t="str">
        <f>IF($X398="","",SUMIFS(TARIFF_PROFILES!$F:$F,TARIFF_PROFILES!$A:$A,$X398))</f>
        <v/>
      </c>
      <c r="AB398" s="13" t="str">
        <f>IF($X398="","",SUMIFS(TARIFF_PROFILES!$G:$G,TARIFF_PROFILES!$A:$A,$X398))</f>
        <v/>
      </c>
      <c r="AC398" s="13" t="str">
        <f>IF($X398="","",SUMIFS(TARIFF_PROFILES!$H:$H,TARIFF_PROFILES!$A:$A,$X398))</f>
        <v/>
      </c>
      <c r="AD398" s="13" t="str">
        <f>IF($X398="","",INDEX(TARIFF_PROFILES!$J:$J,MATCH($X398,TARIFF_PROFILES!$A:$A,0)))</f>
        <v/>
      </c>
      <c r="AE398" s="13" t="str">
        <f>IF($X398="","",INDEX(TARIFF_PROFILES!$K:$K,MATCH($X398,TARIFF_PROFILES!$A:$A,0)))</f>
        <v/>
      </c>
      <c r="AH398" t="str">
        <f>IF($AG398="","",SUMIFS(OPERATING_COEFFS!$C:$C,OPERATING_COEFFS!$A:$A,"DistanceClass",OPERATING_COEFFS!$B:$B,$AG398))</f>
        <v/>
      </c>
      <c r="AJ398" t="str">
        <f>IF($AI398="","",SUMIFS(OPERATING_COEFFS!$C:$C,OPERATING_COEFFS!$A:$A,"SeasonClass",OPERATING_COEFFS!$B:$B,$AI398))</f>
        <v/>
      </c>
      <c r="AL398" t="str">
        <f>IF($AK398="","",SUMIFS(OPERATING_COEFFS!$C:$C,OPERATING_COEFFS!$A:$A,"UrgencyClass",OPERATING_COEFFS!$B:$B,$AK398))</f>
        <v/>
      </c>
      <c r="AN398" t="str">
        <f>IF($AM398="","",INDEX(TAX_MODES!$B:$B,MATCH($AM398,TAX_MODES!$A:$A,0)))</f>
        <v/>
      </c>
    </row>
    <row r="399" spans="24:40" x14ac:dyDescent="0.3">
      <c r="X399" s="13"/>
      <c r="Y399" s="13" t="str">
        <f>IF($X399="","",SUMIFS(TARIFF_PROFILES!$D:$D,TARIFF_PROFILES!$A:$A,$X399))</f>
        <v/>
      </c>
      <c r="Z399" s="13" t="str">
        <f>IF($X399="","",SUMIFS(TARIFF_PROFILES!$E:$E,TARIFF_PROFILES!$A:$A,$X399))</f>
        <v/>
      </c>
      <c r="AA399" s="13" t="str">
        <f>IF($X399="","",SUMIFS(TARIFF_PROFILES!$F:$F,TARIFF_PROFILES!$A:$A,$X399))</f>
        <v/>
      </c>
      <c r="AB399" s="13" t="str">
        <f>IF($X399="","",SUMIFS(TARIFF_PROFILES!$G:$G,TARIFF_PROFILES!$A:$A,$X399))</f>
        <v/>
      </c>
      <c r="AC399" s="13" t="str">
        <f>IF($X399="","",SUMIFS(TARIFF_PROFILES!$H:$H,TARIFF_PROFILES!$A:$A,$X399))</f>
        <v/>
      </c>
      <c r="AD399" s="13" t="str">
        <f>IF($X399="","",INDEX(TARIFF_PROFILES!$J:$J,MATCH($X399,TARIFF_PROFILES!$A:$A,0)))</f>
        <v/>
      </c>
      <c r="AE399" s="13" t="str">
        <f>IF($X399="","",INDEX(TARIFF_PROFILES!$K:$K,MATCH($X399,TARIFF_PROFILES!$A:$A,0)))</f>
        <v/>
      </c>
      <c r="AH399" t="str">
        <f>IF($AG399="","",SUMIFS(OPERATING_COEFFS!$C:$C,OPERATING_COEFFS!$A:$A,"DistanceClass",OPERATING_COEFFS!$B:$B,$AG399))</f>
        <v/>
      </c>
      <c r="AJ399" t="str">
        <f>IF($AI399="","",SUMIFS(OPERATING_COEFFS!$C:$C,OPERATING_COEFFS!$A:$A,"SeasonClass",OPERATING_COEFFS!$B:$B,$AI399))</f>
        <v/>
      </c>
      <c r="AL399" t="str">
        <f>IF($AK399="","",SUMIFS(OPERATING_COEFFS!$C:$C,OPERATING_COEFFS!$A:$A,"UrgencyClass",OPERATING_COEFFS!$B:$B,$AK399))</f>
        <v/>
      </c>
      <c r="AN399" t="str">
        <f>IF($AM399="","",INDEX(TAX_MODES!$B:$B,MATCH($AM399,TAX_MODES!$A:$A,0)))</f>
        <v/>
      </c>
    </row>
    <row r="400" spans="24:40" x14ac:dyDescent="0.3">
      <c r="X400" s="13"/>
      <c r="Y400" s="13" t="str">
        <f>IF($X400="","",SUMIFS(TARIFF_PROFILES!$D:$D,TARIFF_PROFILES!$A:$A,$X400))</f>
        <v/>
      </c>
      <c r="Z400" s="13" t="str">
        <f>IF($X400="","",SUMIFS(TARIFF_PROFILES!$E:$E,TARIFF_PROFILES!$A:$A,$X400))</f>
        <v/>
      </c>
      <c r="AA400" s="13" t="str">
        <f>IF($X400="","",SUMIFS(TARIFF_PROFILES!$F:$F,TARIFF_PROFILES!$A:$A,$X400))</f>
        <v/>
      </c>
      <c r="AB400" s="13" t="str">
        <f>IF($X400="","",SUMIFS(TARIFF_PROFILES!$G:$G,TARIFF_PROFILES!$A:$A,$X400))</f>
        <v/>
      </c>
      <c r="AC400" s="13" t="str">
        <f>IF($X400="","",SUMIFS(TARIFF_PROFILES!$H:$H,TARIFF_PROFILES!$A:$A,$X400))</f>
        <v/>
      </c>
      <c r="AD400" s="13" t="str">
        <f>IF($X400="","",INDEX(TARIFF_PROFILES!$J:$J,MATCH($X400,TARIFF_PROFILES!$A:$A,0)))</f>
        <v/>
      </c>
      <c r="AE400" s="13" t="str">
        <f>IF($X400="","",INDEX(TARIFF_PROFILES!$K:$K,MATCH($X400,TARIFF_PROFILES!$A:$A,0)))</f>
        <v/>
      </c>
      <c r="AH400" t="str">
        <f>IF($AG400="","",SUMIFS(OPERATING_COEFFS!$C:$C,OPERATING_COEFFS!$A:$A,"DistanceClass",OPERATING_COEFFS!$B:$B,$AG400))</f>
        <v/>
      </c>
      <c r="AJ400" t="str">
        <f>IF($AI400="","",SUMIFS(OPERATING_COEFFS!$C:$C,OPERATING_COEFFS!$A:$A,"SeasonClass",OPERATING_COEFFS!$B:$B,$AI400))</f>
        <v/>
      </c>
      <c r="AL400" t="str">
        <f>IF($AK400="","",SUMIFS(OPERATING_COEFFS!$C:$C,OPERATING_COEFFS!$A:$A,"UrgencyClass",OPERATING_COEFFS!$B:$B,$AK400))</f>
        <v/>
      </c>
      <c r="AN400" t="str">
        <f>IF($AM400="","",INDEX(TAX_MODES!$B:$B,MATCH($AM400,TAX_MODES!$A:$A,0)))</f>
        <v/>
      </c>
    </row>
    <row r="401" spans="24:40" x14ac:dyDescent="0.3">
      <c r="X401" s="13"/>
      <c r="Y401" s="13" t="str">
        <f>IF($X401="","",SUMIFS(TARIFF_PROFILES!$D:$D,TARIFF_PROFILES!$A:$A,$X401))</f>
        <v/>
      </c>
      <c r="Z401" s="13" t="str">
        <f>IF($X401="","",SUMIFS(TARIFF_PROFILES!$E:$E,TARIFF_PROFILES!$A:$A,$X401))</f>
        <v/>
      </c>
      <c r="AA401" s="13" t="str">
        <f>IF($X401="","",SUMIFS(TARIFF_PROFILES!$F:$F,TARIFF_PROFILES!$A:$A,$X401))</f>
        <v/>
      </c>
      <c r="AB401" s="13" t="str">
        <f>IF($X401="","",SUMIFS(TARIFF_PROFILES!$G:$G,TARIFF_PROFILES!$A:$A,$X401))</f>
        <v/>
      </c>
      <c r="AC401" s="13" t="str">
        <f>IF($X401="","",SUMIFS(TARIFF_PROFILES!$H:$H,TARIFF_PROFILES!$A:$A,$X401))</f>
        <v/>
      </c>
      <c r="AD401" s="13" t="str">
        <f>IF($X401="","",INDEX(TARIFF_PROFILES!$J:$J,MATCH($X401,TARIFF_PROFILES!$A:$A,0)))</f>
        <v/>
      </c>
      <c r="AE401" s="13" t="str">
        <f>IF($X401="","",INDEX(TARIFF_PROFILES!$K:$K,MATCH($X401,TARIFF_PROFILES!$A:$A,0)))</f>
        <v/>
      </c>
      <c r="AH401" t="str">
        <f>IF($AG401="","",SUMIFS(OPERATING_COEFFS!$C:$C,OPERATING_COEFFS!$A:$A,"DistanceClass",OPERATING_COEFFS!$B:$B,$AG401))</f>
        <v/>
      </c>
      <c r="AJ401" t="str">
        <f>IF($AI401="","",SUMIFS(OPERATING_COEFFS!$C:$C,OPERATING_COEFFS!$A:$A,"SeasonClass",OPERATING_COEFFS!$B:$B,$AI401))</f>
        <v/>
      </c>
      <c r="AL401" t="str">
        <f>IF($AK401="","",SUMIFS(OPERATING_COEFFS!$C:$C,OPERATING_COEFFS!$A:$A,"UrgencyClass",OPERATING_COEFFS!$B:$B,$AK401))</f>
        <v/>
      </c>
      <c r="AN401" t="str">
        <f>IF($AM401="","",INDEX(TAX_MODES!$B:$B,MATCH($AM401,TAX_MODES!$A:$A,0)))</f>
        <v/>
      </c>
    </row>
    <row r="402" spans="24:40" x14ac:dyDescent="0.3">
      <c r="X402" s="13"/>
      <c r="Y402" s="13" t="str">
        <f>IF($X402="","",SUMIFS(TARIFF_PROFILES!$D:$D,TARIFF_PROFILES!$A:$A,$X402))</f>
        <v/>
      </c>
      <c r="Z402" s="13" t="str">
        <f>IF($X402="","",SUMIFS(TARIFF_PROFILES!$E:$E,TARIFF_PROFILES!$A:$A,$X402))</f>
        <v/>
      </c>
      <c r="AA402" s="13" t="str">
        <f>IF($X402="","",SUMIFS(TARIFF_PROFILES!$F:$F,TARIFF_PROFILES!$A:$A,$X402))</f>
        <v/>
      </c>
      <c r="AB402" s="13" t="str">
        <f>IF($X402="","",SUMIFS(TARIFF_PROFILES!$G:$G,TARIFF_PROFILES!$A:$A,$X402))</f>
        <v/>
      </c>
      <c r="AC402" s="13" t="str">
        <f>IF($X402="","",SUMIFS(TARIFF_PROFILES!$H:$H,TARIFF_PROFILES!$A:$A,$X402))</f>
        <v/>
      </c>
      <c r="AD402" s="13" t="str">
        <f>IF($X402="","",INDEX(TARIFF_PROFILES!$J:$J,MATCH($X402,TARIFF_PROFILES!$A:$A,0)))</f>
        <v/>
      </c>
      <c r="AE402" s="13" t="str">
        <f>IF($X402="","",INDEX(TARIFF_PROFILES!$K:$K,MATCH($X402,TARIFF_PROFILES!$A:$A,0)))</f>
        <v/>
      </c>
      <c r="AH402" t="str">
        <f>IF($AG402="","",SUMIFS(OPERATING_COEFFS!$C:$C,OPERATING_COEFFS!$A:$A,"DistanceClass",OPERATING_COEFFS!$B:$B,$AG402))</f>
        <v/>
      </c>
      <c r="AJ402" t="str">
        <f>IF($AI402="","",SUMIFS(OPERATING_COEFFS!$C:$C,OPERATING_COEFFS!$A:$A,"SeasonClass",OPERATING_COEFFS!$B:$B,$AI402))</f>
        <v/>
      </c>
      <c r="AL402" t="str">
        <f>IF($AK402="","",SUMIFS(OPERATING_COEFFS!$C:$C,OPERATING_COEFFS!$A:$A,"UrgencyClass",OPERATING_COEFFS!$B:$B,$AK402))</f>
        <v/>
      </c>
      <c r="AN402" t="str">
        <f>IF($AM402="","",INDEX(TAX_MODES!$B:$B,MATCH($AM402,TAX_MODES!$A:$A,0)))</f>
        <v/>
      </c>
    </row>
    <row r="403" spans="24:40" x14ac:dyDescent="0.3">
      <c r="X403" s="13"/>
      <c r="Y403" s="13" t="str">
        <f>IF($X403="","",SUMIFS(TARIFF_PROFILES!$D:$D,TARIFF_PROFILES!$A:$A,$X403))</f>
        <v/>
      </c>
      <c r="Z403" s="13" t="str">
        <f>IF($X403="","",SUMIFS(TARIFF_PROFILES!$E:$E,TARIFF_PROFILES!$A:$A,$X403))</f>
        <v/>
      </c>
      <c r="AA403" s="13" t="str">
        <f>IF($X403="","",SUMIFS(TARIFF_PROFILES!$F:$F,TARIFF_PROFILES!$A:$A,$X403))</f>
        <v/>
      </c>
      <c r="AB403" s="13" t="str">
        <f>IF($X403="","",SUMIFS(TARIFF_PROFILES!$G:$G,TARIFF_PROFILES!$A:$A,$X403))</f>
        <v/>
      </c>
      <c r="AC403" s="13" t="str">
        <f>IF($X403="","",SUMIFS(TARIFF_PROFILES!$H:$H,TARIFF_PROFILES!$A:$A,$X403))</f>
        <v/>
      </c>
      <c r="AD403" s="13" t="str">
        <f>IF($X403="","",INDEX(TARIFF_PROFILES!$J:$J,MATCH($X403,TARIFF_PROFILES!$A:$A,0)))</f>
        <v/>
      </c>
      <c r="AE403" s="13" t="str">
        <f>IF($X403="","",INDEX(TARIFF_PROFILES!$K:$K,MATCH($X403,TARIFF_PROFILES!$A:$A,0)))</f>
        <v/>
      </c>
      <c r="AH403" t="str">
        <f>IF($AG403="","",SUMIFS(OPERATING_COEFFS!$C:$C,OPERATING_COEFFS!$A:$A,"DistanceClass",OPERATING_COEFFS!$B:$B,$AG403))</f>
        <v/>
      </c>
      <c r="AJ403" t="str">
        <f>IF($AI403="","",SUMIFS(OPERATING_COEFFS!$C:$C,OPERATING_COEFFS!$A:$A,"SeasonClass",OPERATING_COEFFS!$B:$B,$AI403))</f>
        <v/>
      </c>
      <c r="AL403" t="str">
        <f>IF($AK403="","",SUMIFS(OPERATING_COEFFS!$C:$C,OPERATING_COEFFS!$A:$A,"UrgencyClass",OPERATING_COEFFS!$B:$B,$AK403))</f>
        <v/>
      </c>
      <c r="AN403" t="str">
        <f>IF($AM403="","",INDEX(TAX_MODES!$B:$B,MATCH($AM403,TAX_MODES!$A:$A,0)))</f>
        <v/>
      </c>
    </row>
    <row r="404" spans="24:40" x14ac:dyDescent="0.3">
      <c r="X404" s="13"/>
      <c r="Y404" s="13" t="str">
        <f>IF($X404="","",SUMIFS(TARIFF_PROFILES!$D:$D,TARIFF_PROFILES!$A:$A,$X404))</f>
        <v/>
      </c>
      <c r="Z404" s="13" t="str">
        <f>IF($X404="","",SUMIFS(TARIFF_PROFILES!$E:$E,TARIFF_PROFILES!$A:$A,$X404))</f>
        <v/>
      </c>
      <c r="AA404" s="13" t="str">
        <f>IF($X404="","",SUMIFS(TARIFF_PROFILES!$F:$F,TARIFF_PROFILES!$A:$A,$X404))</f>
        <v/>
      </c>
      <c r="AB404" s="13" t="str">
        <f>IF($X404="","",SUMIFS(TARIFF_PROFILES!$G:$G,TARIFF_PROFILES!$A:$A,$X404))</f>
        <v/>
      </c>
      <c r="AC404" s="13" t="str">
        <f>IF($X404="","",SUMIFS(TARIFF_PROFILES!$H:$H,TARIFF_PROFILES!$A:$A,$X404))</f>
        <v/>
      </c>
      <c r="AD404" s="13" t="str">
        <f>IF($X404="","",INDEX(TARIFF_PROFILES!$J:$J,MATCH($X404,TARIFF_PROFILES!$A:$A,0)))</f>
        <v/>
      </c>
      <c r="AE404" s="13" t="str">
        <f>IF($X404="","",INDEX(TARIFF_PROFILES!$K:$K,MATCH($X404,TARIFF_PROFILES!$A:$A,0)))</f>
        <v/>
      </c>
      <c r="AH404" t="str">
        <f>IF($AG404="","",SUMIFS(OPERATING_COEFFS!$C:$C,OPERATING_COEFFS!$A:$A,"DistanceClass",OPERATING_COEFFS!$B:$B,$AG404))</f>
        <v/>
      </c>
      <c r="AJ404" t="str">
        <f>IF($AI404="","",SUMIFS(OPERATING_COEFFS!$C:$C,OPERATING_COEFFS!$A:$A,"SeasonClass",OPERATING_COEFFS!$B:$B,$AI404))</f>
        <v/>
      </c>
      <c r="AL404" t="str">
        <f>IF($AK404="","",SUMIFS(OPERATING_COEFFS!$C:$C,OPERATING_COEFFS!$A:$A,"UrgencyClass",OPERATING_COEFFS!$B:$B,$AK404))</f>
        <v/>
      </c>
      <c r="AN404" t="str">
        <f>IF($AM404="","",INDEX(TAX_MODES!$B:$B,MATCH($AM404,TAX_MODES!$A:$A,0)))</f>
        <v/>
      </c>
    </row>
    <row r="405" spans="24:40" x14ac:dyDescent="0.3">
      <c r="X405" s="13"/>
      <c r="Y405" s="13" t="str">
        <f>IF($X405="","",SUMIFS(TARIFF_PROFILES!$D:$D,TARIFF_PROFILES!$A:$A,$X405))</f>
        <v/>
      </c>
      <c r="Z405" s="13" t="str">
        <f>IF($X405="","",SUMIFS(TARIFF_PROFILES!$E:$E,TARIFF_PROFILES!$A:$A,$X405))</f>
        <v/>
      </c>
      <c r="AA405" s="13" t="str">
        <f>IF($X405="","",SUMIFS(TARIFF_PROFILES!$F:$F,TARIFF_PROFILES!$A:$A,$X405))</f>
        <v/>
      </c>
      <c r="AB405" s="13" t="str">
        <f>IF($X405="","",SUMIFS(TARIFF_PROFILES!$G:$G,TARIFF_PROFILES!$A:$A,$X405))</f>
        <v/>
      </c>
      <c r="AC405" s="13" t="str">
        <f>IF($X405="","",SUMIFS(TARIFF_PROFILES!$H:$H,TARIFF_PROFILES!$A:$A,$X405))</f>
        <v/>
      </c>
      <c r="AD405" s="13" t="str">
        <f>IF($X405="","",INDEX(TARIFF_PROFILES!$J:$J,MATCH($X405,TARIFF_PROFILES!$A:$A,0)))</f>
        <v/>
      </c>
      <c r="AE405" s="13" t="str">
        <f>IF($X405="","",INDEX(TARIFF_PROFILES!$K:$K,MATCH($X405,TARIFF_PROFILES!$A:$A,0)))</f>
        <v/>
      </c>
      <c r="AH405" t="str">
        <f>IF($AG405="","",SUMIFS(OPERATING_COEFFS!$C:$C,OPERATING_COEFFS!$A:$A,"DistanceClass",OPERATING_COEFFS!$B:$B,$AG405))</f>
        <v/>
      </c>
      <c r="AJ405" t="str">
        <f>IF($AI405="","",SUMIFS(OPERATING_COEFFS!$C:$C,OPERATING_COEFFS!$A:$A,"SeasonClass",OPERATING_COEFFS!$B:$B,$AI405))</f>
        <v/>
      </c>
      <c r="AL405" t="str">
        <f>IF($AK405="","",SUMIFS(OPERATING_COEFFS!$C:$C,OPERATING_COEFFS!$A:$A,"UrgencyClass",OPERATING_COEFFS!$B:$B,$AK405))</f>
        <v/>
      </c>
      <c r="AN405" t="str">
        <f>IF($AM405="","",INDEX(TAX_MODES!$B:$B,MATCH($AM405,TAX_MODES!$A:$A,0)))</f>
        <v/>
      </c>
    </row>
    <row r="406" spans="24:40" x14ac:dyDescent="0.3">
      <c r="X406" s="13"/>
      <c r="Y406" s="13" t="str">
        <f>IF($X406="","",SUMIFS(TARIFF_PROFILES!$D:$D,TARIFF_PROFILES!$A:$A,$X406))</f>
        <v/>
      </c>
      <c r="Z406" s="13" t="str">
        <f>IF($X406="","",SUMIFS(TARIFF_PROFILES!$E:$E,TARIFF_PROFILES!$A:$A,$X406))</f>
        <v/>
      </c>
      <c r="AA406" s="13" t="str">
        <f>IF($X406="","",SUMIFS(TARIFF_PROFILES!$F:$F,TARIFF_PROFILES!$A:$A,$X406))</f>
        <v/>
      </c>
      <c r="AB406" s="13" t="str">
        <f>IF($X406="","",SUMIFS(TARIFF_PROFILES!$G:$G,TARIFF_PROFILES!$A:$A,$X406))</f>
        <v/>
      </c>
      <c r="AC406" s="13" t="str">
        <f>IF($X406="","",SUMIFS(TARIFF_PROFILES!$H:$H,TARIFF_PROFILES!$A:$A,$X406))</f>
        <v/>
      </c>
      <c r="AD406" s="13" t="str">
        <f>IF($X406="","",INDEX(TARIFF_PROFILES!$J:$J,MATCH($X406,TARIFF_PROFILES!$A:$A,0)))</f>
        <v/>
      </c>
      <c r="AE406" s="13" t="str">
        <f>IF($X406="","",INDEX(TARIFF_PROFILES!$K:$K,MATCH($X406,TARIFF_PROFILES!$A:$A,0)))</f>
        <v/>
      </c>
      <c r="AH406" t="str">
        <f>IF($AG406="","",SUMIFS(OPERATING_COEFFS!$C:$C,OPERATING_COEFFS!$A:$A,"DistanceClass",OPERATING_COEFFS!$B:$B,$AG406))</f>
        <v/>
      </c>
      <c r="AJ406" t="str">
        <f>IF($AI406="","",SUMIFS(OPERATING_COEFFS!$C:$C,OPERATING_COEFFS!$A:$A,"SeasonClass",OPERATING_COEFFS!$B:$B,$AI406))</f>
        <v/>
      </c>
      <c r="AL406" t="str">
        <f>IF($AK406="","",SUMIFS(OPERATING_COEFFS!$C:$C,OPERATING_COEFFS!$A:$A,"UrgencyClass",OPERATING_COEFFS!$B:$B,$AK406))</f>
        <v/>
      </c>
      <c r="AN406" t="str">
        <f>IF($AM406="","",INDEX(TAX_MODES!$B:$B,MATCH($AM406,TAX_MODES!$A:$A,0)))</f>
        <v/>
      </c>
    </row>
    <row r="407" spans="24:40" x14ac:dyDescent="0.3">
      <c r="X407" s="13"/>
      <c r="Y407" s="13" t="str">
        <f>IF($X407="","",SUMIFS(TARIFF_PROFILES!$D:$D,TARIFF_PROFILES!$A:$A,$X407))</f>
        <v/>
      </c>
      <c r="Z407" s="13" t="str">
        <f>IF($X407="","",SUMIFS(TARIFF_PROFILES!$E:$E,TARIFF_PROFILES!$A:$A,$X407))</f>
        <v/>
      </c>
      <c r="AA407" s="13" t="str">
        <f>IF($X407="","",SUMIFS(TARIFF_PROFILES!$F:$F,TARIFF_PROFILES!$A:$A,$X407))</f>
        <v/>
      </c>
      <c r="AB407" s="13" t="str">
        <f>IF($X407="","",SUMIFS(TARIFF_PROFILES!$G:$G,TARIFF_PROFILES!$A:$A,$X407))</f>
        <v/>
      </c>
      <c r="AC407" s="13" t="str">
        <f>IF($X407="","",SUMIFS(TARIFF_PROFILES!$H:$H,TARIFF_PROFILES!$A:$A,$X407))</f>
        <v/>
      </c>
      <c r="AD407" s="13" t="str">
        <f>IF($X407="","",INDEX(TARIFF_PROFILES!$J:$J,MATCH($X407,TARIFF_PROFILES!$A:$A,0)))</f>
        <v/>
      </c>
      <c r="AE407" s="13" t="str">
        <f>IF($X407="","",INDEX(TARIFF_PROFILES!$K:$K,MATCH($X407,TARIFF_PROFILES!$A:$A,0)))</f>
        <v/>
      </c>
      <c r="AH407" t="str">
        <f>IF($AG407="","",SUMIFS(OPERATING_COEFFS!$C:$C,OPERATING_COEFFS!$A:$A,"DistanceClass",OPERATING_COEFFS!$B:$B,$AG407))</f>
        <v/>
      </c>
      <c r="AJ407" t="str">
        <f>IF($AI407="","",SUMIFS(OPERATING_COEFFS!$C:$C,OPERATING_COEFFS!$A:$A,"SeasonClass",OPERATING_COEFFS!$B:$B,$AI407))</f>
        <v/>
      </c>
      <c r="AL407" t="str">
        <f>IF($AK407="","",SUMIFS(OPERATING_COEFFS!$C:$C,OPERATING_COEFFS!$A:$A,"UrgencyClass",OPERATING_COEFFS!$B:$B,$AK407))</f>
        <v/>
      </c>
      <c r="AN407" t="str">
        <f>IF($AM407="","",INDEX(TAX_MODES!$B:$B,MATCH($AM407,TAX_MODES!$A:$A,0)))</f>
        <v/>
      </c>
    </row>
    <row r="408" spans="24:40" x14ac:dyDescent="0.3">
      <c r="X408" s="13"/>
      <c r="Y408" s="13" t="str">
        <f>IF($X408="","",SUMIFS(TARIFF_PROFILES!$D:$D,TARIFF_PROFILES!$A:$A,$X408))</f>
        <v/>
      </c>
      <c r="Z408" s="13" t="str">
        <f>IF($X408="","",SUMIFS(TARIFF_PROFILES!$E:$E,TARIFF_PROFILES!$A:$A,$X408))</f>
        <v/>
      </c>
      <c r="AA408" s="13" t="str">
        <f>IF($X408="","",SUMIFS(TARIFF_PROFILES!$F:$F,TARIFF_PROFILES!$A:$A,$X408))</f>
        <v/>
      </c>
      <c r="AB408" s="13" t="str">
        <f>IF($X408="","",SUMIFS(TARIFF_PROFILES!$G:$G,TARIFF_PROFILES!$A:$A,$X408))</f>
        <v/>
      </c>
      <c r="AC408" s="13" t="str">
        <f>IF($X408="","",SUMIFS(TARIFF_PROFILES!$H:$H,TARIFF_PROFILES!$A:$A,$X408))</f>
        <v/>
      </c>
      <c r="AD408" s="13" t="str">
        <f>IF($X408="","",INDEX(TARIFF_PROFILES!$J:$J,MATCH($X408,TARIFF_PROFILES!$A:$A,0)))</f>
        <v/>
      </c>
      <c r="AE408" s="13" t="str">
        <f>IF($X408="","",INDEX(TARIFF_PROFILES!$K:$K,MATCH($X408,TARIFF_PROFILES!$A:$A,0)))</f>
        <v/>
      </c>
      <c r="AH408" t="str">
        <f>IF($AG408="","",SUMIFS(OPERATING_COEFFS!$C:$C,OPERATING_COEFFS!$A:$A,"DistanceClass",OPERATING_COEFFS!$B:$B,$AG408))</f>
        <v/>
      </c>
      <c r="AJ408" t="str">
        <f>IF($AI408="","",SUMIFS(OPERATING_COEFFS!$C:$C,OPERATING_COEFFS!$A:$A,"SeasonClass",OPERATING_COEFFS!$B:$B,$AI408))</f>
        <v/>
      </c>
      <c r="AL408" t="str">
        <f>IF($AK408="","",SUMIFS(OPERATING_COEFFS!$C:$C,OPERATING_COEFFS!$A:$A,"UrgencyClass",OPERATING_COEFFS!$B:$B,$AK408))</f>
        <v/>
      </c>
      <c r="AN408" t="str">
        <f>IF($AM408="","",INDEX(TAX_MODES!$B:$B,MATCH($AM408,TAX_MODES!$A:$A,0)))</f>
        <v/>
      </c>
    </row>
    <row r="409" spans="24:40" x14ac:dyDescent="0.3">
      <c r="X409" s="13"/>
      <c r="Y409" s="13" t="str">
        <f>IF($X409="","",SUMIFS(TARIFF_PROFILES!$D:$D,TARIFF_PROFILES!$A:$A,$X409))</f>
        <v/>
      </c>
      <c r="Z409" s="13" t="str">
        <f>IF($X409="","",SUMIFS(TARIFF_PROFILES!$E:$E,TARIFF_PROFILES!$A:$A,$X409))</f>
        <v/>
      </c>
      <c r="AA409" s="13" t="str">
        <f>IF($X409="","",SUMIFS(TARIFF_PROFILES!$F:$F,TARIFF_PROFILES!$A:$A,$X409))</f>
        <v/>
      </c>
      <c r="AB409" s="13" t="str">
        <f>IF($X409="","",SUMIFS(TARIFF_PROFILES!$G:$G,TARIFF_PROFILES!$A:$A,$X409))</f>
        <v/>
      </c>
      <c r="AC409" s="13" t="str">
        <f>IF($X409="","",SUMIFS(TARIFF_PROFILES!$H:$H,TARIFF_PROFILES!$A:$A,$X409))</f>
        <v/>
      </c>
      <c r="AD409" s="13" t="str">
        <f>IF($X409="","",INDEX(TARIFF_PROFILES!$J:$J,MATCH($X409,TARIFF_PROFILES!$A:$A,0)))</f>
        <v/>
      </c>
      <c r="AE409" s="13" t="str">
        <f>IF($X409="","",INDEX(TARIFF_PROFILES!$K:$K,MATCH($X409,TARIFF_PROFILES!$A:$A,0)))</f>
        <v/>
      </c>
      <c r="AH409" t="str">
        <f>IF($AG409="","",SUMIFS(OPERATING_COEFFS!$C:$C,OPERATING_COEFFS!$A:$A,"DistanceClass",OPERATING_COEFFS!$B:$B,$AG409))</f>
        <v/>
      </c>
      <c r="AJ409" t="str">
        <f>IF($AI409="","",SUMIFS(OPERATING_COEFFS!$C:$C,OPERATING_COEFFS!$A:$A,"SeasonClass",OPERATING_COEFFS!$B:$B,$AI409))</f>
        <v/>
      </c>
      <c r="AL409" t="str">
        <f>IF($AK409="","",SUMIFS(OPERATING_COEFFS!$C:$C,OPERATING_COEFFS!$A:$A,"UrgencyClass",OPERATING_COEFFS!$B:$B,$AK409))</f>
        <v/>
      </c>
      <c r="AN409" t="str">
        <f>IF($AM409="","",INDEX(TAX_MODES!$B:$B,MATCH($AM409,TAX_MODES!$A:$A,0)))</f>
        <v/>
      </c>
    </row>
    <row r="410" spans="24:40" x14ac:dyDescent="0.3">
      <c r="X410" s="13"/>
      <c r="Y410" s="13" t="str">
        <f>IF($X410="","",SUMIFS(TARIFF_PROFILES!$D:$D,TARIFF_PROFILES!$A:$A,$X410))</f>
        <v/>
      </c>
      <c r="Z410" s="13" t="str">
        <f>IF($X410="","",SUMIFS(TARIFF_PROFILES!$E:$E,TARIFF_PROFILES!$A:$A,$X410))</f>
        <v/>
      </c>
      <c r="AA410" s="13" t="str">
        <f>IF($X410="","",SUMIFS(TARIFF_PROFILES!$F:$F,TARIFF_PROFILES!$A:$A,$X410))</f>
        <v/>
      </c>
      <c r="AB410" s="13" t="str">
        <f>IF($X410="","",SUMIFS(TARIFF_PROFILES!$G:$G,TARIFF_PROFILES!$A:$A,$X410))</f>
        <v/>
      </c>
      <c r="AC410" s="13" t="str">
        <f>IF($X410="","",SUMIFS(TARIFF_PROFILES!$H:$H,TARIFF_PROFILES!$A:$A,$X410))</f>
        <v/>
      </c>
      <c r="AD410" s="13" t="str">
        <f>IF($X410="","",INDEX(TARIFF_PROFILES!$J:$J,MATCH($X410,TARIFF_PROFILES!$A:$A,0)))</f>
        <v/>
      </c>
      <c r="AE410" s="13" t="str">
        <f>IF($X410="","",INDEX(TARIFF_PROFILES!$K:$K,MATCH($X410,TARIFF_PROFILES!$A:$A,0)))</f>
        <v/>
      </c>
      <c r="AH410" t="str">
        <f>IF($AG410="","",SUMIFS(OPERATING_COEFFS!$C:$C,OPERATING_COEFFS!$A:$A,"DistanceClass",OPERATING_COEFFS!$B:$B,$AG410))</f>
        <v/>
      </c>
      <c r="AJ410" t="str">
        <f>IF($AI410="","",SUMIFS(OPERATING_COEFFS!$C:$C,OPERATING_COEFFS!$A:$A,"SeasonClass",OPERATING_COEFFS!$B:$B,$AI410))</f>
        <v/>
      </c>
      <c r="AL410" t="str">
        <f>IF($AK410="","",SUMIFS(OPERATING_COEFFS!$C:$C,OPERATING_COEFFS!$A:$A,"UrgencyClass",OPERATING_COEFFS!$B:$B,$AK410))</f>
        <v/>
      </c>
      <c r="AN410" t="str">
        <f>IF($AM410="","",INDEX(TAX_MODES!$B:$B,MATCH($AM410,TAX_MODES!$A:$A,0)))</f>
        <v/>
      </c>
    </row>
    <row r="411" spans="24:40" x14ac:dyDescent="0.3">
      <c r="X411" s="13"/>
      <c r="Y411" s="13" t="str">
        <f>IF($X411="","",SUMIFS(TARIFF_PROFILES!$D:$D,TARIFF_PROFILES!$A:$A,$X411))</f>
        <v/>
      </c>
      <c r="Z411" s="13" t="str">
        <f>IF($X411="","",SUMIFS(TARIFF_PROFILES!$E:$E,TARIFF_PROFILES!$A:$A,$X411))</f>
        <v/>
      </c>
      <c r="AA411" s="13" t="str">
        <f>IF($X411="","",SUMIFS(TARIFF_PROFILES!$F:$F,TARIFF_PROFILES!$A:$A,$X411))</f>
        <v/>
      </c>
      <c r="AB411" s="13" t="str">
        <f>IF($X411="","",SUMIFS(TARIFF_PROFILES!$G:$G,TARIFF_PROFILES!$A:$A,$X411))</f>
        <v/>
      </c>
      <c r="AC411" s="13" t="str">
        <f>IF($X411="","",SUMIFS(TARIFF_PROFILES!$H:$H,TARIFF_PROFILES!$A:$A,$X411))</f>
        <v/>
      </c>
      <c r="AD411" s="13" t="str">
        <f>IF($X411="","",INDEX(TARIFF_PROFILES!$J:$J,MATCH($X411,TARIFF_PROFILES!$A:$A,0)))</f>
        <v/>
      </c>
      <c r="AE411" s="13" t="str">
        <f>IF($X411="","",INDEX(TARIFF_PROFILES!$K:$K,MATCH($X411,TARIFF_PROFILES!$A:$A,0)))</f>
        <v/>
      </c>
      <c r="AH411" t="str">
        <f>IF($AG411="","",SUMIFS(OPERATING_COEFFS!$C:$C,OPERATING_COEFFS!$A:$A,"DistanceClass",OPERATING_COEFFS!$B:$B,$AG411))</f>
        <v/>
      </c>
      <c r="AJ411" t="str">
        <f>IF($AI411="","",SUMIFS(OPERATING_COEFFS!$C:$C,OPERATING_COEFFS!$A:$A,"SeasonClass",OPERATING_COEFFS!$B:$B,$AI411))</f>
        <v/>
      </c>
      <c r="AL411" t="str">
        <f>IF($AK411="","",SUMIFS(OPERATING_COEFFS!$C:$C,OPERATING_COEFFS!$A:$A,"UrgencyClass",OPERATING_COEFFS!$B:$B,$AK411))</f>
        <v/>
      </c>
      <c r="AN411" t="str">
        <f>IF($AM411="","",INDEX(TAX_MODES!$B:$B,MATCH($AM411,TAX_MODES!$A:$A,0)))</f>
        <v/>
      </c>
    </row>
    <row r="412" spans="24:40" x14ac:dyDescent="0.3">
      <c r="X412" s="13"/>
      <c r="Y412" s="13" t="str">
        <f>IF($X412="","",SUMIFS(TARIFF_PROFILES!$D:$D,TARIFF_PROFILES!$A:$A,$X412))</f>
        <v/>
      </c>
      <c r="Z412" s="13" t="str">
        <f>IF($X412="","",SUMIFS(TARIFF_PROFILES!$E:$E,TARIFF_PROFILES!$A:$A,$X412))</f>
        <v/>
      </c>
      <c r="AA412" s="13" t="str">
        <f>IF($X412="","",SUMIFS(TARIFF_PROFILES!$F:$F,TARIFF_PROFILES!$A:$A,$X412))</f>
        <v/>
      </c>
      <c r="AB412" s="13" t="str">
        <f>IF($X412="","",SUMIFS(TARIFF_PROFILES!$G:$G,TARIFF_PROFILES!$A:$A,$X412))</f>
        <v/>
      </c>
      <c r="AC412" s="13" t="str">
        <f>IF($X412="","",SUMIFS(TARIFF_PROFILES!$H:$H,TARIFF_PROFILES!$A:$A,$X412))</f>
        <v/>
      </c>
      <c r="AD412" s="13" t="str">
        <f>IF($X412="","",INDEX(TARIFF_PROFILES!$J:$J,MATCH($X412,TARIFF_PROFILES!$A:$A,0)))</f>
        <v/>
      </c>
      <c r="AE412" s="13" t="str">
        <f>IF($X412="","",INDEX(TARIFF_PROFILES!$K:$K,MATCH($X412,TARIFF_PROFILES!$A:$A,0)))</f>
        <v/>
      </c>
      <c r="AH412" t="str">
        <f>IF($AG412="","",SUMIFS(OPERATING_COEFFS!$C:$C,OPERATING_COEFFS!$A:$A,"DistanceClass",OPERATING_COEFFS!$B:$B,$AG412))</f>
        <v/>
      </c>
      <c r="AJ412" t="str">
        <f>IF($AI412="","",SUMIFS(OPERATING_COEFFS!$C:$C,OPERATING_COEFFS!$A:$A,"SeasonClass",OPERATING_COEFFS!$B:$B,$AI412))</f>
        <v/>
      </c>
      <c r="AL412" t="str">
        <f>IF($AK412="","",SUMIFS(OPERATING_COEFFS!$C:$C,OPERATING_COEFFS!$A:$A,"UrgencyClass",OPERATING_COEFFS!$B:$B,$AK412))</f>
        <v/>
      </c>
      <c r="AN412" t="str">
        <f>IF($AM412="","",INDEX(TAX_MODES!$B:$B,MATCH($AM412,TAX_MODES!$A:$A,0)))</f>
        <v/>
      </c>
    </row>
    <row r="413" spans="24:40" x14ac:dyDescent="0.3">
      <c r="X413" s="13"/>
      <c r="Y413" s="13" t="str">
        <f>IF($X413="","",SUMIFS(TARIFF_PROFILES!$D:$D,TARIFF_PROFILES!$A:$A,$X413))</f>
        <v/>
      </c>
      <c r="Z413" s="13" t="str">
        <f>IF($X413="","",SUMIFS(TARIFF_PROFILES!$E:$E,TARIFF_PROFILES!$A:$A,$X413))</f>
        <v/>
      </c>
      <c r="AA413" s="13" t="str">
        <f>IF($X413="","",SUMIFS(TARIFF_PROFILES!$F:$F,TARIFF_PROFILES!$A:$A,$X413))</f>
        <v/>
      </c>
      <c r="AB413" s="13" t="str">
        <f>IF($X413="","",SUMIFS(TARIFF_PROFILES!$G:$G,TARIFF_PROFILES!$A:$A,$X413))</f>
        <v/>
      </c>
      <c r="AC413" s="13" t="str">
        <f>IF($X413="","",SUMIFS(TARIFF_PROFILES!$H:$H,TARIFF_PROFILES!$A:$A,$X413))</f>
        <v/>
      </c>
      <c r="AD413" s="13" t="str">
        <f>IF($X413="","",INDEX(TARIFF_PROFILES!$J:$J,MATCH($X413,TARIFF_PROFILES!$A:$A,0)))</f>
        <v/>
      </c>
      <c r="AE413" s="13" t="str">
        <f>IF($X413="","",INDEX(TARIFF_PROFILES!$K:$K,MATCH($X413,TARIFF_PROFILES!$A:$A,0)))</f>
        <v/>
      </c>
      <c r="AH413" t="str">
        <f>IF($AG413="","",SUMIFS(OPERATING_COEFFS!$C:$C,OPERATING_COEFFS!$A:$A,"DistanceClass",OPERATING_COEFFS!$B:$B,$AG413))</f>
        <v/>
      </c>
      <c r="AJ413" t="str">
        <f>IF($AI413="","",SUMIFS(OPERATING_COEFFS!$C:$C,OPERATING_COEFFS!$A:$A,"SeasonClass",OPERATING_COEFFS!$B:$B,$AI413))</f>
        <v/>
      </c>
      <c r="AL413" t="str">
        <f>IF($AK413="","",SUMIFS(OPERATING_COEFFS!$C:$C,OPERATING_COEFFS!$A:$A,"UrgencyClass",OPERATING_COEFFS!$B:$B,$AK413))</f>
        <v/>
      </c>
      <c r="AN413" t="str">
        <f>IF($AM413="","",INDEX(TAX_MODES!$B:$B,MATCH($AM413,TAX_MODES!$A:$A,0)))</f>
        <v/>
      </c>
    </row>
    <row r="414" spans="24:40" x14ac:dyDescent="0.3">
      <c r="X414" s="13"/>
      <c r="Y414" s="13" t="str">
        <f>IF($X414="","",SUMIFS(TARIFF_PROFILES!$D:$D,TARIFF_PROFILES!$A:$A,$X414))</f>
        <v/>
      </c>
      <c r="Z414" s="13" t="str">
        <f>IF($X414="","",SUMIFS(TARIFF_PROFILES!$E:$E,TARIFF_PROFILES!$A:$A,$X414))</f>
        <v/>
      </c>
      <c r="AA414" s="13" t="str">
        <f>IF($X414="","",SUMIFS(TARIFF_PROFILES!$F:$F,TARIFF_PROFILES!$A:$A,$X414))</f>
        <v/>
      </c>
      <c r="AB414" s="13" t="str">
        <f>IF($X414="","",SUMIFS(TARIFF_PROFILES!$G:$G,TARIFF_PROFILES!$A:$A,$X414))</f>
        <v/>
      </c>
      <c r="AC414" s="13" t="str">
        <f>IF($X414="","",SUMIFS(TARIFF_PROFILES!$H:$H,TARIFF_PROFILES!$A:$A,$X414))</f>
        <v/>
      </c>
      <c r="AD414" s="13" t="str">
        <f>IF($X414="","",INDEX(TARIFF_PROFILES!$J:$J,MATCH($X414,TARIFF_PROFILES!$A:$A,0)))</f>
        <v/>
      </c>
      <c r="AE414" s="13" t="str">
        <f>IF($X414="","",INDEX(TARIFF_PROFILES!$K:$K,MATCH($X414,TARIFF_PROFILES!$A:$A,0)))</f>
        <v/>
      </c>
      <c r="AH414" t="str">
        <f>IF($AG414="","",SUMIFS(OPERATING_COEFFS!$C:$C,OPERATING_COEFFS!$A:$A,"DistanceClass",OPERATING_COEFFS!$B:$B,$AG414))</f>
        <v/>
      </c>
      <c r="AJ414" t="str">
        <f>IF($AI414="","",SUMIFS(OPERATING_COEFFS!$C:$C,OPERATING_COEFFS!$A:$A,"SeasonClass",OPERATING_COEFFS!$B:$B,$AI414))</f>
        <v/>
      </c>
      <c r="AL414" t="str">
        <f>IF($AK414="","",SUMIFS(OPERATING_COEFFS!$C:$C,OPERATING_COEFFS!$A:$A,"UrgencyClass",OPERATING_COEFFS!$B:$B,$AK414))</f>
        <v/>
      </c>
      <c r="AN414" t="str">
        <f>IF($AM414="","",INDEX(TAX_MODES!$B:$B,MATCH($AM414,TAX_MODES!$A:$A,0)))</f>
        <v/>
      </c>
    </row>
    <row r="415" spans="24:40" x14ac:dyDescent="0.3">
      <c r="X415" s="13"/>
      <c r="Y415" s="13" t="str">
        <f>IF($X415="","",SUMIFS(TARIFF_PROFILES!$D:$D,TARIFF_PROFILES!$A:$A,$X415))</f>
        <v/>
      </c>
      <c r="Z415" s="13" t="str">
        <f>IF($X415="","",SUMIFS(TARIFF_PROFILES!$E:$E,TARIFF_PROFILES!$A:$A,$X415))</f>
        <v/>
      </c>
      <c r="AA415" s="13" t="str">
        <f>IF($X415="","",SUMIFS(TARIFF_PROFILES!$F:$F,TARIFF_PROFILES!$A:$A,$X415))</f>
        <v/>
      </c>
      <c r="AB415" s="13" t="str">
        <f>IF($X415="","",SUMIFS(TARIFF_PROFILES!$G:$G,TARIFF_PROFILES!$A:$A,$X415))</f>
        <v/>
      </c>
      <c r="AC415" s="13" t="str">
        <f>IF($X415="","",SUMIFS(TARIFF_PROFILES!$H:$H,TARIFF_PROFILES!$A:$A,$X415))</f>
        <v/>
      </c>
      <c r="AD415" s="13" t="str">
        <f>IF($X415="","",INDEX(TARIFF_PROFILES!$J:$J,MATCH($X415,TARIFF_PROFILES!$A:$A,0)))</f>
        <v/>
      </c>
      <c r="AE415" s="13" t="str">
        <f>IF($X415="","",INDEX(TARIFF_PROFILES!$K:$K,MATCH($X415,TARIFF_PROFILES!$A:$A,0)))</f>
        <v/>
      </c>
      <c r="AH415" t="str">
        <f>IF($AG415="","",SUMIFS(OPERATING_COEFFS!$C:$C,OPERATING_COEFFS!$A:$A,"DistanceClass",OPERATING_COEFFS!$B:$B,$AG415))</f>
        <v/>
      </c>
      <c r="AJ415" t="str">
        <f>IF($AI415="","",SUMIFS(OPERATING_COEFFS!$C:$C,OPERATING_COEFFS!$A:$A,"SeasonClass",OPERATING_COEFFS!$B:$B,$AI415))</f>
        <v/>
      </c>
      <c r="AL415" t="str">
        <f>IF($AK415="","",SUMIFS(OPERATING_COEFFS!$C:$C,OPERATING_COEFFS!$A:$A,"UrgencyClass",OPERATING_COEFFS!$B:$B,$AK415))</f>
        <v/>
      </c>
      <c r="AN415" t="str">
        <f>IF($AM415="","",INDEX(TAX_MODES!$B:$B,MATCH($AM415,TAX_MODES!$A:$A,0)))</f>
        <v/>
      </c>
    </row>
    <row r="416" spans="24:40" x14ac:dyDescent="0.3">
      <c r="X416" s="13"/>
      <c r="Y416" s="13" t="str">
        <f>IF($X416="","",SUMIFS(TARIFF_PROFILES!$D:$D,TARIFF_PROFILES!$A:$A,$X416))</f>
        <v/>
      </c>
      <c r="Z416" s="13" t="str">
        <f>IF($X416="","",SUMIFS(TARIFF_PROFILES!$E:$E,TARIFF_PROFILES!$A:$A,$X416))</f>
        <v/>
      </c>
      <c r="AA416" s="13" t="str">
        <f>IF($X416="","",SUMIFS(TARIFF_PROFILES!$F:$F,TARIFF_PROFILES!$A:$A,$X416))</f>
        <v/>
      </c>
      <c r="AB416" s="13" t="str">
        <f>IF($X416="","",SUMIFS(TARIFF_PROFILES!$G:$G,TARIFF_PROFILES!$A:$A,$X416))</f>
        <v/>
      </c>
      <c r="AC416" s="13" t="str">
        <f>IF($X416="","",SUMIFS(TARIFF_PROFILES!$H:$H,TARIFF_PROFILES!$A:$A,$X416))</f>
        <v/>
      </c>
      <c r="AD416" s="13" t="str">
        <f>IF($X416="","",INDEX(TARIFF_PROFILES!$J:$J,MATCH($X416,TARIFF_PROFILES!$A:$A,0)))</f>
        <v/>
      </c>
      <c r="AE416" s="13" t="str">
        <f>IF($X416="","",INDEX(TARIFF_PROFILES!$K:$K,MATCH($X416,TARIFF_PROFILES!$A:$A,0)))</f>
        <v/>
      </c>
      <c r="AH416" t="str">
        <f>IF($AG416="","",SUMIFS(OPERATING_COEFFS!$C:$C,OPERATING_COEFFS!$A:$A,"DistanceClass",OPERATING_COEFFS!$B:$B,$AG416))</f>
        <v/>
      </c>
      <c r="AJ416" t="str">
        <f>IF($AI416="","",SUMIFS(OPERATING_COEFFS!$C:$C,OPERATING_COEFFS!$A:$A,"SeasonClass",OPERATING_COEFFS!$B:$B,$AI416))</f>
        <v/>
      </c>
      <c r="AL416" t="str">
        <f>IF($AK416="","",SUMIFS(OPERATING_COEFFS!$C:$C,OPERATING_COEFFS!$A:$A,"UrgencyClass",OPERATING_COEFFS!$B:$B,$AK416))</f>
        <v/>
      </c>
      <c r="AN416" t="str">
        <f>IF($AM416="","",INDEX(TAX_MODES!$B:$B,MATCH($AM416,TAX_MODES!$A:$A,0)))</f>
        <v/>
      </c>
    </row>
    <row r="417" spans="24:40" x14ac:dyDescent="0.3">
      <c r="X417" s="13"/>
      <c r="Y417" s="13" t="str">
        <f>IF($X417="","",SUMIFS(TARIFF_PROFILES!$D:$D,TARIFF_PROFILES!$A:$A,$X417))</f>
        <v/>
      </c>
      <c r="Z417" s="13" t="str">
        <f>IF($X417="","",SUMIFS(TARIFF_PROFILES!$E:$E,TARIFF_PROFILES!$A:$A,$X417))</f>
        <v/>
      </c>
      <c r="AA417" s="13" t="str">
        <f>IF($X417="","",SUMIFS(TARIFF_PROFILES!$F:$F,TARIFF_PROFILES!$A:$A,$X417))</f>
        <v/>
      </c>
      <c r="AB417" s="13" t="str">
        <f>IF($X417="","",SUMIFS(TARIFF_PROFILES!$G:$G,TARIFF_PROFILES!$A:$A,$X417))</f>
        <v/>
      </c>
      <c r="AC417" s="13" t="str">
        <f>IF($X417="","",SUMIFS(TARIFF_PROFILES!$H:$H,TARIFF_PROFILES!$A:$A,$X417))</f>
        <v/>
      </c>
      <c r="AD417" s="13" t="str">
        <f>IF($X417="","",INDEX(TARIFF_PROFILES!$J:$J,MATCH($X417,TARIFF_PROFILES!$A:$A,0)))</f>
        <v/>
      </c>
      <c r="AE417" s="13" t="str">
        <f>IF($X417="","",INDEX(TARIFF_PROFILES!$K:$K,MATCH($X417,TARIFF_PROFILES!$A:$A,0)))</f>
        <v/>
      </c>
      <c r="AH417" t="str">
        <f>IF($AG417="","",SUMIFS(OPERATING_COEFFS!$C:$C,OPERATING_COEFFS!$A:$A,"DistanceClass",OPERATING_COEFFS!$B:$B,$AG417))</f>
        <v/>
      </c>
      <c r="AJ417" t="str">
        <f>IF($AI417="","",SUMIFS(OPERATING_COEFFS!$C:$C,OPERATING_COEFFS!$A:$A,"SeasonClass",OPERATING_COEFFS!$B:$B,$AI417))</f>
        <v/>
      </c>
      <c r="AL417" t="str">
        <f>IF($AK417="","",SUMIFS(OPERATING_COEFFS!$C:$C,OPERATING_COEFFS!$A:$A,"UrgencyClass",OPERATING_COEFFS!$B:$B,$AK417))</f>
        <v/>
      </c>
      <c r="AN417" t="str">
        <f>IF($AM417="","",INDEX(TAX_MODES!$B:$B,MATCH($AM417,TAX_MODES!$A:$A,0)))</f>
        <v/>
      </c>
    </row>
    <row r="418" spans="24:40" x14ac:dyDescent="0.3">
      <c r="X418" s="13"/>
      <c r="Y418" s="13" t="str">
        <f>IF($X418="","",SUMIFS(TARIFF_PROFILES!$D:$D,TARIFF_PROFILES!$A:$A,$X418))</f>
        <v/>
      </c>
      <c r="Z418" s="13" t="str">
        <f>IF($X418="","",SUMIFS(TARIFF_PROFILES!$E:$E,TARIFF_PROFILES!$A:$A,$X418))</f>
        <v/>
      </c>
      <c r="AA418" s="13" t="str">
        <f>IF($X418="","",SUMIFS(TARIFF_PROFILES!$F:$F,TARIFF_PROFILES!$A:$A,$X418))</f>
        <v/>
      </c>
      <c r="AB418" s="13" t="str">
        <f>IF($X418="","",SUMIFS(TARIFF_PROFILES!$G:$G,TARIFF_PROFILES!$A:$A,$X418))</f>
        <v/>
      </c>
      <c r="AC418" s="13" t="str">
        <f>IF($X418="","",SUMIFS(TARIFF_PROFILES!$H:$H,TARIFF_PROFILES!$A:$A,$X418))</f>
        <v/>
      </c>
      <c r="AD418" s="13" t="str">
        <f>IF($X418="","",INDEX(TARIFF_PROFILES!$J:$J,MATCH($X418,TARIFF_PROFILES!$A:$A,0)))</f>
        <v/>
      </c>
      <c r="AE418" s="13" t="str">
        <f>IF($X418="","",INDEX(TARIFF_PROFILES!$K:$K,MATCH($X418,TARIFF_PROFILES!$A:$A,0)))</f>
        <v/>
      </c>
      <c r="AH418" t="str">
        <f>IF($AG418="","",SUMIFS(OPERATING_COEFFS!$C:$C,OPERATING_COEFFS!$A:$A,"DistanceClass",OPERATING_COEFFS!$B:$B,$AG418))</f>
        <v/>
      </c>
      <c r="AJ418" t="str">
        <f>IF($AI418="","",SUMIFS(OPERATING_COEFFS!$C:$C,OPERATING_COEFFS!$A:$A,"SeasonClass",OPERATING_COEFFS!$B:$B,$AI418))</f>
        <v/>
      </c>
      <c r="AL418" t="str">
        <f>IF($AK418="","",SUMIFS(OPERATING_COEFFS!$C:$C,OPERATING_COEFFS!$A:$A,"UrgencyClass",OPERATING_COEFFS!$B:$B,$AK418))</f>
        <v/>
      </c>
      <c r="AN418" t="str">
        <f>IF($AM418="","",INDEX(TAX_MODES!$B:$B,MATCH($AM418,TAX_MODES!$A:$A,0)))</f>
        <v/>
      </c>
    </row>
    <row r="419" spans="24:40" x14ac:dyDescent="0.3">
      <c r="X419" s="13"/>
      <c r="Y419" s="13" t="str">
        <f>IF($X419="","",SUMIFS(TARIFF_PROFILES!$D:$D,TARIFF_PROFILES!$A:$A,$X419))</f>
        <v/>
      </c>
      <c r="Z419" s="13" t="str">
        <f>IF($X419="","",SUMIFS(TARIFF_PROFILES!$E:$E,TARIFF_PROFILES!$A:$A,$X419))</f>
        <v/>
      </c>
      <c r="AA419" s="13" t="str">
        <f>IF($X419="","",SUMIFS(TARIFF_PROFILES!$F:$F,TARIFF_PROFILES!$A:$A,$X419))</f>
        <v/>
      </c>
      <c r="AB419" s="13" t="str">
        <f>IF($X419="","",SUMIFS(TARIFF_PROFILES!$G:$G,TARIFF_PROFILES!$A:$A,$X419))</f>
        <v/>
      </c>
      <c r="AC419" s="13" t="str">
        <f>IF($X419="","",SUMIFS(TARIFF_PROFILES!$H:$H,TARIFF_PROFILES!$A:$A,$X419))</f>
        <v/>
      </c>
      <c r="AD419" s="13" t="str">
        <f>IF($X419="","",INDEX(TARIFF_PROFILES!$J:$J,MATCH($X419,TARIFF_PROFILES!$A:$A,0)))</f>
        <v/>
      </c>
      <c r="AE419" s="13" t="str">
        <f>IF($X419="","",INDEX(TARIFF_PROFILES!$K:$K,MATCH($X419,TARIFF_PROFILES!$A:$A,0)))</f>
        <v/>
      </c>
      <c r="AH419" t="str">
        <f>IF($AG419="","",SUMIFS(OPERATING_COEFFS!$C:$C,OPERATING_COEFFS!$A:$A,"DistanceClass",OPERATING_COEFFS!$B:$B,$AG419))</f>
        <v/>
      </c>
      <c r="AJ419" t="str">
        <f>IF($AI419="","",SUMIFS(OPERATING_COEFFS!$C:$C,OPERATING_COEFFS!$A:$A,"SeasonClass",OPERATING_COEFFS!$B:$B,$AI419))</f>
        <v/>
      </c>
      <c r="AL419" t="str">
        <f>IF($AK419="","",SUMIFS(OPERATING_COEFFS!$C:$C,OPERATING_COEFFS!$A:$A,"UrgencyClass",OPERATING_COEFFS!$B:$B,$AK419))</f>
        <v/>
      </c>
      <c r="AN419" t="str">
        <f>IF($AM419="","",INDEX(TAX_MODES!$B:$B,MATCH($AM419,TAX_MODES!$A:$A,0)))</f>
        <v/>
      </c>
    </row>
    <row r="420" spans="24:40" x14ac:dyDescent="0.3">
      <c r="X420" s="13"/>
      <c r="Y420" s="13" t="str">
        <f>IF($X420="","",SUMIFS(TARIFF_PROFILES!$D:$D,TARIFF_PROFILES!$A:$A,$X420))</f>
        <v/>
      </c>
      <c r="Z420" s="13" t="str">
        <f>IF($X420="","",SUMIFS(TARIFF_PROFILES!$E:$E,TARIFF_PROFILES!$A:$A,$X420))</f>
        <v/>
      </c>
      <c r="AA420" s="13" t="str">
        <f>IF($X420="","",SUMIFS(TARIFF_PROFILES!$F:$F,TARIFF_PROFILES!$A:$A,$X420))</f>
        <v/>
      </c>
      <c r="AB420" s="13" t="str">
        <f>IF($X420="","",SUMIFS(TARIFF_PROFILES!$G:$G,TARIFF_PROFILES!$A:$A,$X420))</f>
        <v/>
      </c>
      <c r="AC420" s="13" t="str">
        <f>IF($X420="","",SUMIFS(TARIFF_PROFILES!$H:$H,TARIFF_PROFILES!$A:$A,$X420))</f>
        <v/>
      </c>
      <c r="AD420" s="13" t="str">
        <f>IF($X420="","",INDEX(TARIFF_PROFILES!$J:$J,MATCH($X420,TARIFF_PROFILES!$A:$A,0)))</f>
        <v/>
      </c>
      <c r="AE420" s="13" t="str">
        <f>IF($X420="","",INDEX(TARIFF_PROFILES!$K:$K,MATCH($X420,TARIFF_PROFILES!$A:$A,0)))</f>
        <v/>
      </c>
      <c r="AH420" t="str">
        <f>IF($AG420="","",SUMIFS(OPERATING_COEFFS!$C:$C,OPERATING_COEFFS!$A:$A,"DistanceClass",OPERATING_COEFFS!$B:$B,$AG420))</f>
        <v/>
      </c>
      <c r="AJ420" t="str">
        <f>IF($AI420="","",SUMIFS(OPERATING_COEFFS!$C:$C,OPERATING_COEFFS!$A:$A,"SeasonClass",OPERATING_COEFFS!$B:$B,$AI420))</f>
        <v/>
      </c>
      <c r="AL420" t="str">
        <f>IF($AK420="","",SUMIFS(OPERATING_COEFFS!$C:$C,OPERATING_COEFFS!$A:$A,"UrgencyClass",OPERATING_COEFFS!$B:$B,$AK420))</f>
        <v/>
      </c>
      <c r="AN420" t="str">
        <f>IF($AM420="","",INDEX(TAX_MODES!$B:$B,MATCH($AM420,TAX_MODES!$A:$A,0)))</f>
        <v/>
      </c>
    </row>
    <row r="421" spans="24:40" x14ac:dyDescent="0.3">
      <c r="X421" s="13"/>
      <c r="Y421" s="13" t="str">
        <f>IF($X421="","",SUMIFS(TARIFF_PROFILES!$D:$D,TARIFF_PROFILES!$A:$A,$X421))</f>
        <v/>
      </c>
      <c r="Z421" s="13" t="str">
        <f>IF($X421="","",SUMIFS(TARIFF_PROFILES!$E:$E,TARIFF_PROFILES!$A:$A,$X421))</f>
        <v/>
      </c>
      <c r="AA421" s="13" t="str">
        <f>IF($X421="","",SUMIFS(TARIFF_PROFILES!$F:$F,TARIFF_PROFILES!$A:$A,$X421))</f>
        <v/>
      </c>
      <c r="AB421" s="13" t="str">
        <f>IF($X421="","",SUMIFS(TARIFF_PROFILES!$G:$G,TARIFF_PROFILES!$A:$A,$X421))</f>
        <v/>
      </c>
      <c r="AC421" s="13" t="str">
        <f>IF($X421="","",SUMIFS(TARIFF_PROFILES!$H:$H,TARIFF_PROFILES!$A:$A,$X421))</f>
        <v/>
      </c>
      <c r="AD421" s="13" t="str">
        <f>IF($X421="","",INDEX(TARIFF_PROFILES!$J:$J,MATCH($X421,TARIFF_PROFILES!$A:$A,0)))</f>
        <v/>
      </c>
      <c r="AE421" s="13" t="str">
        <f>IF($X421="","",INDEX(TARIFF_PROFILES!$K:$K,MATCH($X421,TARIFF_PROFILES!$A:$A,0)))</f>
        <v/>
      </c>
      <c r="AH421" t="str">
        <f>IF($AG421="","",SUMIFS(OPERATING_COEFFS!$C:$C,OPERATING_COEFFS!$A:$A,"DistanceClass",OPERATING_COEFFS!$B:$B,$AG421))</f>
        <v/>
      </c>
      <c r="AJ421" t="str">
        <f>IF($AI421="","",SUMIFS(OPERATING_COEFFS!$C:$C,OPERATING_COEFFS!$A:$A,"SeasonClass",OPERATING_COEFFS!$B:$B,$AI421))</f>
        <v/>
      </c>
      <c r="AL421" t="str">
        <f>IF($AK421="","",SUMIFS(OPERATING_COEFFS!$C:$C,OPERATING_COEFFS!$A:$A,"UrgencyClass",OPERATING_COEFFS!$B:$B,$AK421))</f>
        <v/>
      </c>
      <c r="AN421" t="str">
        <f>IF($AM421="","",INDEX(TAX_MODES!$B:$B,MATCH($AM421,TAX_MODES!$A:$A,0)))</f>
        <v/>
      </c>
    </row>
    <row r="422" spans="24:40" x14ac:dyDescent="0.3">
      <c r="X422" s="13"/>
      <c r="Y422" s="13" t="str">
        <f>IF($X422="","",SUMIFS(TARIFF_PROFILES!$D:$D,TARIFF_PROFILES!$A:$A,$X422))</f>
        <v/>
      </c>
      <c r="Z422" s="13" t="str">
        <f>IF($X422="","",SUMIFS(TARIFF_PROFILES!$E:$E,TARIFF_PROFILES!$A:$A,$X422))</f>
        <v/>
      </c>
      <c r="AA422" s="13" t="str">
        <f>IF($X422="","",SUMIFS(TARIFF_PROFILES!$F:$F,TARIFF_PROFILES!$A:$A,$X422))</f>
        <v/>
      </c>
      <c r="AB422" s="13" t="str">
        <f>IF($X422="","",SUMIFS(TARIFF_PROFILES!$G:$G,TARIFF_PROFILES!$A:$A,$X422))</f>
        <v/>
      </c>
      <c r="AC422" s="13" t="str">
        <f>IF($X422="","",SUMIFS(TARIFF_PROFILES!$H:$H,TARIFF_PROFILES!$A:$A,$X422))</f>
        <v/>
      </c>
      <c r="AD422" s="13" t="str">
        <f>IF($X422="","",INDEX(TARIFF_PROFILES!$J:$J,MATCH($X422,TARIFF_PROFILES!$A:$A,0)))</f>
        <v/>
      </c>
      <c r="AE422" s="13" t="str">
        <f>IF($X422="","",INDEX(TARIFF_PROFILES!$K:$K,MATCH($X422,TARIFF_PROFILES!$A:$A,0)))</f>
        <v/>
      </c>
      <c r="AH422" t="str">
        <f>IF($AG422="","",SUMIFS(OPERATING_COEFFS!$C:$C,OPERATING_COEFFS!$A:$A,"DistanceClass",OPERATING_COEFFS!$B:$B,$AG422))</f>
        <v/>
      </c>
      <c r="AJ422" t="str">
        <f>IF($AI422="","",SUMIFS(OPERATING_COEFFS!$C:$C,OPERATING_COEFFS!$A:$A,"SeasonClass",OPERATING_COEFFS!$B:$B,$AI422))</f>
        <v/>
      </c>
      <c r="AL422" t="str">
        <f>IF($AK422="","",SUMIFS(OPERATING_COEFFS!$C:$C,OPERATING_COEFFS!$A:$A,"UrgencyClass",OPERATING_COEFFS!$B:$B,$AK422))</f>
        <v/>
      </c>
      <c r="AN422" t="str">
        <f>IF($AM422="","",INDEX(TAX_MODES!$B:$B,MATCH($AM422,TAX_MODES!$A:$A,0)))</f>
        <v/>
      </c>
    </row>
    <row r="423" spans="24:40" x14ac:dyDescent="0.3">
      <c r="X423" s="13"/>
      <c r="Y423" s="13" t="str">
        <f>IF($X423="","",SUMIFS(TARIFF_PROFILES!$D:$D,TARIFF_PROFILES!$A:$A,$X423))</f>
        <v/>
      </c>
      <c r="Z423" s="13" t="str">
        <f>IF($X423="","",SUMIFS(TARIFF_PROFILES!$E:$E,TARIFF_PROFILES!$A:$A,$X423))</f>
        <v/>
      </c>
      <c r="AA423" s="13" t="str">
        <f>IF($X423="","",SUMIFS(TARIFF_PROFILES!$F:$F,TARIFF_PROFILES!$A:$A,$X423))</f>
        <v/>
      </c>
      <c r="AB423" s="13" t="str">
        <f>IF($X423="","",SUMIFS(TARIFF_PROFILES!$G:$G,TARIFF_PROFILES!$A:$A,$X423))</f>
        <v/>
      </c>
      <c r="AC423" s="13" t="str">
        <f>IF($X423="","",SUMIFS(TARIFF_PROFILES!$H:$H,TARIFF_PROFILES!$A:$A,$X423))</f>
        <v/>
      </c>
      <c r="AD423" s="13" t="str">
        <f>IF($X423="","",INDEX(TARIFF_PROFILES!$J:$J,MATCH($X423,TARIFF_PROFILES!$A:$A,0)))</f>
        <v/>
      </c>
      <c r="AE423" s="13" t="str">
        <f>IF($X423="","",INDEX(TARIFF_PROFILES!$K:$K,MATCH($X423,TARIFF_PROFILES!$A:$A,0)))</f>
        <v/>
      </c>
      <c r="AH423" t="str">
        <f>IF($AG423="","",SUMIFS(OPERATING_COEFFS!$C:$C,OPERATING_COEFFS!$A:$A,"DistanceClass",OPERATING_COEFFS!$B:$B,$AG423))</f>
        <v/>
      </c>
      <c r="AJ423" t="str">
        <f>IF($AI423="","",SUMIFS(OPERATING_COEFFS!$C:$C,OPERATING_COEFFS!$A:$A,"SeasonClass",OPERATING_COEFFS!$B:$B,$AI423))</f>
        <v/>
      </c>
      <c r="AL423" t="str">
        <f>IF($AK423="","",SUMIFS(OPERATING_COEFFS!$C:$C,OPERATING_COEFFS!$A:$A,"UrgencyClass",OPERATING_COEFFS!$B:$B,$AK423))</f>
        <v/>
      </c>
      <c r="AN423" t="str">
        <f>IF($AM423="","",INDEX(TAX_MODES!$B:$B,MATCH($AM423,TAX_MODES!$A:$A,0)))</f>
        <v/>
      </c>
    </row>
    <row r="424" spans="24:40" x14ac:dyDescent="0.3">
      <c r="X424" s="13"/>
      <c r="Y424" s="13" t="str">
        <f>IF($X424="","",SUMIFS(TARIFF_PROFILES!$D:$D,TARIFF_PROFILES!$A:$A,$X424))</f>
        <v/>
      </c>
      <c r="Z424" s="13" t="str">
        <f>IF($X424="","",SUMIFS(TARIFF_PROFILES!$E:$E,TARIFF_PROFILES!$A:$A,$X424))</f>
        <v/>
      </c>
      <c r="AA424" s="13" t="str">
        <f>IF($X424="","",SUMIFS(TARIFF_PROFILES!$F:$F,TARIFF_PROFILES!$A:$A,$X424))</f>
        <v/>
      </c>
      <c r="AB424" s="13" t="str">
        <f>IF($X424="","",SUMIFS(TARIFF_PROFILES!$G:$G,TARIFF_PROFILES!$A:$A,$X424))</f>
        <v/>
      </c>
      <c r="AC424" s="13" t="str">
        <f>IF($X424="","",SUMIFS(TARIFF_PROFILES!$H:$H,TARIFF_PROFILES!$A:$A,$X424))</f>
        <v/>
      </c>
      <c r="AD424" s="13" t="str">
        <f>IF($X424="","",INDEX(TARIFF_PROFILES!$J:$J,MATCH($X424,TARIFF_PROFILES!$A:$A,0)))</f>
        <v/>
      </c>
      <c r="AE424" s="13" t="str">
        <f>IF($X424="","",INDEX(TARIFF_PROFILES!$K:$K,MATCH($X424,TARIFF_PROFILES!$A:$A,0)))</f>
        <v/>
      </c>
      <c r="AH424" t="str">
        <f>IF($AG424="","",SUMIFS(OPERATING_COEFFS!$C:$C,OPERATING_COEFFS!$A:$A,"DistanceClass",OPERATING_COEFFS!$B:$B,$AG424))</f>
        <v/>
      </c>
      <c r="AJ424" t="str">
        <f>IF($AI424="","",SUMIFS(OPERATING_COEFFS!$C:$C,OPERATING_COEFFS!$A:$A,"SeasonClass",OPERATING_COEFFS!$B:$B,$AI424))</f>
        <v/>
      </c>
      <c r="AL424" t="str">
        <f>IF($AK424="","",SUMIFS(OPERATING_COEFFS!$C:$C,OPERATING_COEFFS!$A:$A,"UrgencyClass",OPERATING_COEFFS!$B:$B,$AK424))</f>
        <v/>
      </c>
      <c r="AN424" t="str">
        <f>IF($AM424="","",INDEX(TAX_MODES!$B:$B,MATCH($AM424,TAX_MODES!$A:$A,0)))</f>
        <v/>
      </c>
    </row>
    <row r="425" spans="24:40" x14ac:dyDescent="0.3">
      <c r="X425" s="13"/>
      <c r="Y425" s="13" t="str">
        <f>IF($X425="","",SUMIFS(TARIFF_PROFILES!$D:$D,TARIFF_PROFILES!$A:$A,$X425))</f>
        <v/>
      </c>
      <c r="Z425" s="13" t="str">
        <f>IF($X425="","",SUMIFS(TARIFF_PROFILES!$E:$E,TARIFF_PROFILES!$A:$A,$X425))</f>
        <v/>
      </c>
      <c r="AA425" s="13" t="str">
        <f>IF($X425="","",SUMIFS(TARIFF_PROFILES!$F:$F,TARIFF_PROFILES!$A:$A,$X425))</f>
        <v/>
      </c>
      <c r="AB425" s="13" t="str">
        <f>IF($X425="","",SUMIFS(TARIFF_PROFILES!$G:$G,TARIFF_PROFILES!$A:$A,$X425))</f>
        <v/>
      </c>
      <c r="AC425" s="13" t="str">
        <f>IF($X425="","",SUMIFS(TARIFF_PROFILES!$H:$H,TARIFF_PROFILES!$A:$A,$X425))</f>
        <v/>
      </c>
      <c r="AD425" s="13" t="str">
        <f>IF($X425="","",INDEX(TARIFF_PROFILES!$J:$J,MATCH($X425,TARIFF_PROFILES!$A:$A,0)))</f>
        <v/>
      </c>
      <c r="AE425" s="13" t="str">
        <f>IF($X425="","",INDEX(TARIFF_PROFILES!$K:$K,MATCH($X425,TARIFF_PROFILES!$A:$A,0)))</f>
        <v/>
      </c>
      <c r="AH425" t="str">
        <f>IF($AG425="","",SUMIFS(OPERATING_COEFFS!$C:$C,OPERATING_COEFFS!$A:$A,"DistanceClass",OPERATING_COEFFS!$B:$B,$AG425))</f>
        <v/>
      </c>
      <c r="AJ425" t="str">
        <f>IF($AI425="","",SUMIFS(OPERATING_COEFFS!$C:$C,OPERATING_COEFFS!$A:$A,"SeasonClass",OPERATING_COEFFS!$B:$B,$AI425))</f>
        <v/>
      </c>
      <c r="AL425" t="str">
        <f>IF($AK425="","",SUMIFS(OPERATING_COEFFS!$C:$C,OPERATING_COEFFS!$A:$A,"UrgencyClass",OPERATING_COEFFS!$B:$B,$AK425))</f>
        <v/>
      </c>
      <c r="AN425" t="str">
        <f>IF($AM425="","",INDEX(TAX_MODES!$B:$B,MATCH($AM425,TAX_MODES!$A:$A,0)))</f>
        <v/>
      </c>
    </row>
    <row r="426" spans="24:40" x14ac:dyDescent="0.3">
      <c r="X426" s="13"/>
      <c r="Y426" s="13" t="str">
        <f>IF($X426="","",SUMIFS(TARIFF_PROFILES!$D:$D,TARIFF_PROFILES!$A:$A,$X426))</f>
        <v/>
      </c>
      <c r="Z426" s="13" t="str">
        <f>IF($X426="","",SUMIFS(TARIFF_PROFILES!$E:$E,TARIFF_PROFILES!$A:$A,$X426))</f>
        <v/>
      </c>
      <c r="AA426" s="13" t="str">
        <f>IF($X426="","",SUMIFS(TARIFF_PROFILES!$F:$F,TARIFF_PROFILES!$A:$A,$X426))</f>
        <v/>
      </c>
      <c r="AB426" s="13" t="str">
        <f>IF($X426="","",SUMIFS(TARIFF_PROFILES!$G:$G,TARIFF_PROFILES!$A:$A,$X426))</f>
        <v/>
      </c>
      <c r="AC426" s="13" t="str">
        <f>IF($X426="","",SUMIFS(TARIFF_PROFILES!$H:$H,TARIFF_PROFILES!$A:$A,$X426))</f>
        <v/>
      </c>
      <c r="AD426" s="13" t="str">
        <f>IF($X426="","",INDEX(TARIFF_PROFILES!$J:$J,MATCH($X426,TARIFF_PROFILES!$A:$A,0)))</f>
        <v/>
      </c>
      <c r="AE426" s="13" t="str">
        <f>IF($X426="","",INDEX(TARIFF_PROFILES!$K:$K,MATCH($X426,TARIFF_PROFILES!$A:$A,0)))</f>
        <v/>
      </c>
      <c r="AH426" t="str">
        <f>IF($AG426="","",SUMIFS(OPERATING_COEFFS!$C:$C,OPERATING_COEFFS!$A:$A,"DistanceClass",OPERATING_COEFFS!$B:$B,$AG426))</f>
        <v/>
      </c>
      <c r="AJ426" t="str">
        <f>IF($AI426="","",SUMIFS(OPERATING_COEFFS!$C:$C,OPERATING_COEFFS!$A:$A,"SeasonClass",OPERATING_COEFFS!$B:$B,$AI426))</f>
        <v/>
      </c>
      <c r="AL426" t="str">
        <f>IF($AK426="","",SUMIFS(OPERATING_COEFFS!$C:$C,OPERATING_COEFFS!$A:$A,"UrgencyClass",OPERATING_COEFFS!$B:$B,$AK426))</f>
        <v/>
      </c>
      <c r="AN426" t="str">
        <f>IF($AM426="","",INDEX(TAX_MODES!$B:$B,MATCH($AM426,TAX_MODES!$A:$A,0)))</f>
        <v/>
      </c>
    </row>
    <row r="427" spans="24:40" x14ac:dyDescent="0.3">
      <c r="X427" s="13"/>
      <c r="Y427" s="13" t="str">
        <f>IF($X427="","",SUMIFS(TARIFF_PROFILES!$D:$D,TARIFF_PROFILES!$A:$A,$X427))</f>
        <v/>
      </c>
      <c r="Z427" s="13" t="str">
        <f>IF($X427="","",SUMIFS(TARIFF_PROFILES!$E:$E,TARIFF_PROFILES!$A:$A,$X427))</f>
        <v/>
      </c>
      <c r="AA427" s="13" t="str">
        <f>IF($X427="","",SUMIFS(TARIFF_PROFILES!$F:$F,TARIFF_PROFILES!$A:$A,$X427))</f>
        <v/>
      </c>
      <c r="AB427" s="13" t="str">
        <f>IF($X427="","",SUMIFS(TARIFF_PROFILES!$G:$G,TARIFF_PROFILES!$A:$A,$X427))</f>
        <v/>
      </c>
      <c r="AC427" s="13" t="str">
        <f>IF($X427="","",SUMIFS(TARIFF_PROFILES!$H:$H,TARIFF_PROFILES!$A:$A,$X427))</f>
        <v/>
      </c>
      <c r="AD427" s="13" t="str">
        <f>IF($X427="","",INDEX(TARIFF_PROFILES!$J:$J,MATCH($X427,TARIFF_PROFILES!$A:$A,0)))</f>
        <v/>
      </c>
      <c r="AE427" s="13" t="str">
        <f>IF($X427="","",INDEX(TARIFF_PROFILES!$K:$K,MATCH($X427,TARIFF_PROFILES!$A:$A,0)))</f>
        <v/>
      </c>
      <c r="AH427" t="str">
        <f>IF($AG427="","",SUMIFS(OPERATING_COEFFS!$C:$C,OPERATING_COEFFS!$A:$A,"DistanceClass",OPERATING_COEFFS!$B:$B,$AG427))</f>
        <v/>
      </c>
      <c r="AJ427" t="str">
        <f>IF($AI427="","",SUMIFS(OPERATING_COEFFS!$C:$C,OPERATING_COEFFS!$A:$A,"SeasonClass",OPERATING_COEFFS!$B:$B,$AI427))</f>
        <v/>
      </c>
      <c r="AL427" t="str">
        <f>IF($AK427="","",SUMIFS(OPERATING_COEFFS!$C:$C,OPERATING_COEFFS!$A:$A,"UrgencyClass",OPERATING_COEFFS!$B:$B,$AK427))</f>
        <v/>
      </c>
      <c r="AN427" t="str">
        <f>IF($AM427="","",INDEX(TAX_MODES!$B:$B,MATCH($AM427,TAX_MODES!$A:$A,0)))</f>
        <v/>
      </c>
    </row>
    <row r="428" spans="24:40" x14ac:dyDescent="0.3">
      <c r="X428" s="13"/>
      <c r="Y428" s="13" t="str">
        <f>IF($X428="","",SUMIFS(TARIFF_PROFILES!$D:$D,TARIFF_PROFILES!$A:$A,$X428))</f>
        <v/>
      </c>
      <c r="Z428" s="13" t="str">
        <f>IF($X428="","",SUMIFS(TARIFF_PROFILES!$E:$E,TARIFF_PROFILES!$A:$A,$X428))</f>
        <v/>
      </c>
      <c r="AA428" s="13" t="str">
        <f>IF($X428="","",SUMIFS(TARIFF_PROFILES!$F:$F,TARIFF_PROFILES!$A:$A,$X428))</f>
        <v/>
      </c>
      <c r="AB428" s="13" t="str">
        <f>IF($X428="","",SUMIFS(TARIFF_PROFILES!$G:$G,TARIFF_PROFILES!$A:$A,$X428))</f>
        <v/>
      </c>
      <c r="AC428" s="13" t="str">
        <f>IF($X428="","",SUMIFS(TARIFF_PROFILES!$H:$H,TARIFF_PROFILES!$A:$A,$X428))</f>
        <v/>
      </c>
      <c r="AD428" s="13" t="str">
        <f>IF($X428="","",INDEX(TARIFF_PROFILES!$J:$J,MATCH($X428,TARIFF_PROFILES!$A:$A,0)))</f>
        <v/>
      </c>
      <c r="AE428" s="13" t="str">
        <f>IF($X428="","",INDEX(TARIFF_PROFILES!$K:$K,MATCH($X428,TARIFF_PROFILES!$A:$A,0)))</f>
        <v/>
      </c>
      <c r="AH428" t="str">
        <f>IF($AG428="","",SUMIFS(OPERATING_COEFFS!$C:$C,OPERATING_COEFFS!$A:$A,"DistanceClass",OPERATING_COEFFS!$B:$B,$AG428))</f>
        <v/>
      </c>
      <c r="AJ428" t="str">
        <f>IF($AI428="","",SUMIFS(OPERATING_COEFFS!$C:$C,OPERATING_COEFFS!$A:$A,"SeasonClass",OPERATING_COEFFS!$B:$B,$AI428))</f>
        <v/>
      </c>
      <c r="AL428" t="str">
        <f>IF($AK428="","",SUMIFS(OPERATING_COEFFS!$C:$C,OPERATING_COEFFS!$A:$A,"UrgencyClass",OPERATING_COEFFS!$B:$B,$AK428))</f>
        <v/>
      </c>
      <c r="AN428" t="str">
        <f>IF($AM428="","",INDEX(TAX_MODES!$B:$B,MATCH($AM428,TAX_MODES!$A:$A,0)))</f>
        <v/>
      </c>
    </row>
    <row r="429" spans="24:40" x14ac:dyDescent="0.3">
      <c r="X429" s="13"/>
      <c r="Y429" s="13" t="str">
        <f>IF($X429="","",SUMIFS(TARIFF_PROFILES!$D:$D,TARIFF_PROFILES!$A:$A,$X429))</f>
        <v/>
      </c>
      <c r="Z429" s="13" t="str">
        <f>IF($X429="","",SUMIFS(TARIFF_PROFILES!$E:$E,TARIFF_PROFILES!$A:$A,$X429))</f>
        <v/>
      </c>
      <c r="AA429" s="13" t="str">
        <f>IF($X429="","",SUMIFS(TARIFF_PROFILES!$F:$F,TARIFF_PROFILES!$A:$A,$X429))</f>
        <v/>
      </c>
      <c r="AB429" s="13" t="str">
        <f>IF($X429="","",SUMIFS(TARIFF_PROFILES!$G:$G,TARIFF_PROFILES!$A:$A,$X429))</f>
        <v/>
      </c>
      <c r="AC429" s="13" t="str">
        <f>IF($X429="","",SUMIFS(TARIFF_PROFILES!$H:$H,TARIFF_PROFILES!$A:$A,$X429))</f>
        <v/>
      </c>
      <c r="AD429" s="13" t="str">
        <f>IF($X429="","",INDEX(TARIFF_PROFILES!$J:$J,MATCH($X429,TARIFF_PROFILES!$A:$A,0)))</f>
        <v/>
      </c>
      <c r="AE429" s="13" t="str">
        <f>IF($X429="","",INDEX(TARIFF_PROFILES!$K:$K,MATCH($X429,TARIFF_PROFILES!$A:$A,0)))</f>
        <v/>
      </c>
      <c r="AH429" t="str">
        <f>IF($AG429="","",SUMIFS(OPERATING_COEFFS!$C:$C,OPERATING_COEFFS!$A:$A,"DistanceClass",OPERATING_COEFFS!$B:$B,$AG429))</f>
        <v/>
      </c>
      <c r="AJ429" t="str">
        <f>IF($AI429="","",SUMIFS(OPERATING_COEFFS!$C:$C,OPERATING_COEFFS!$A:$A,"SeasonClass",OPERATING_COEFFS!$B:$B,$AI429))</f>
        <v/>
      </c>
      <c r="AL429" t="str">
        <f>IF($AK429="","",SUMIFS(OPERATING_COEFFS!$C:$C,OPERATING_COEFFS!$A:$A,"UrgencyClass",OPERATING_COEFFS!$B:$B,$AK429))</f>
        <v/>
      </c>
      <c r="AN429" t="str">
        <f>IF($AM429="","",INDEX(TAX_MODES!$B:$B,MATCH($AM429,TAX_MODES!$A:$A,0)))</f>
        <v/>
      </c>
    </row>
    <row r="430" spans="24:40" x14ac:dyDescent="0.3">
      <c r="X430" s="13"/>
      <c r="Y430" s="13" t="str">
        <f>IF($X430="","",SUMIFS(TARIFF_PROFILES!$D:$D,TARIFF_PROFILES!$A:$A,$X430))</f>
        <v/>
      </c>
      <c r="Z430" s="13" t="str">
        <f>IF($X430="","",SUMIFS(TARIFF_PROFILES!$E:$E,TARIFF_PROFILES!$A:$A,$X430))</f>
        <v/>
      </c>
      <c r="AA430" s="13" t="str">
        <f>IF($X430="","",SUMIFS(TARIFF_PROFILES!$F:$F,TARIFF_PROFILES!$A:$A,$X430))</f>
        <v/>
      </c>
      <c r="AB430" s="13" t="str">
        <f>IF($X430="","",SUMIFS(TARIFF_PROFILES!$G:$G,TARIFF_PROFILES!$A:$A,$X430))</f>
        <v/>
      </c>
      <c r="AC430" s="13" t="str">
        <f>IF($X430="","",SUMIFS(TARIFF_PROFILES!$H:$H,TARIFF_PROFILES!$A:$A,$X430))</f>
        <v/>
      </c>
      <c r="AD430" s="13" t="str">
        <f>IF($X430="","",INDEX(TARIFF_PROFILES!$J:$J,MATCH($X430,TARIFF_PROFILES!$A:$A,0)))</f>
        <v/>
      </c>
      <c r="AE430" s="13" t="str">
        <f>IF($X430="","",INDEX(TARIFF_PROFILES!$K:$K,MATCH($X430,TARIFF_PROFILES!$A:$A,0)))</f>
        <v/>
      </c>
      <c r="AH430" t="str">
        <f>IF($AG430="","",SUMIFS(OPERATING_COEFFS!$C:$C,OPERATING_COEFFS!$A:$A,"DistanceClass",OPERATING_COEFFS!$B:$B,$AG430))</f>
        <v/>
      </c>
      <c r="AJ430" t="str">
        <f>IF($AI430="","",SUMIFS(OPERATING_COEFFS!$C:$C,OPERATING_COEFFS!$A:$A,"SeasonClass",OPERATING_COEFFS!$B:$B,$AI430))</f>
        <v/>
      </c>
      <c r="AL430" t="str">
        <f>IF($AK430="","",SUMIFS(OPERATING_COEFFS!$C:$C,OPERATING_COEFFS!$A:$A,"UrgencyClass",OPERATING_COEFFS!$B:$B,$AK430))</f>
        <v/>
      </c>
      <c r="AN430" t="str">
        <f>IF($AM430="","",INDEX(TAX_MODES!$B:$B,MATCH($AM430,TAX_MODES!$A:$A,0)))</f>
        <v/>
      </c>
    </row>
    <row r="431" spans="24:40" x14ac:dyDescent="0.3">
      <c r="X431" s="13"/>
      <c r="Y431" s="13" t="str">
        <f>IF($X431="","",SUMIFS(TARIFF_PROFILES!$D:$D,TARIFF_PROFILES!$A:$A,$X431))</f>
        <v/>
      </c>
      <c r="Z431" s="13" t="str">
        <f>IF($X431="","",SUMIFS(TARIFF_PROFILES!$E:$E,TARIFF_PROFILES!$A:$A,$X431))</f>
        <v/>
      </c>
      <c r="AA431" s="13" t="str">
        <f>IF($X431="","",SUMIFS(TARIFF_PROFILES!$F:$F,TARIFF_PROFILES!$A:$A,$X431))</f>
        <v/>
      </c>
      <c r="AB431" s="13" t="str">
        <f>IF($X431="","",SUMIFS(TARIFF_PROFILES!$G:$G,TARIFF_PROFILES!$A:$A,$X431))</f>
        <v/>
      </c>
      <c r="AC431" s="13" t="str">
        <f>IF($X431="","",SUMIFS(TARIFF_PROFILES!$H:$H,TARIFF_PROFILES!$A:$A,$X431))</f>
        <v/>
      </c>
      <c r="AD431" s="13" t="str">
        <f>IF($X431="","",INDEX(TARIFF_PROFILES!$J:$J,MATCH($X431,TARIFF_PROFILES!$A:$A,0)))</f>
        <v/>
      </c>
      <c r="AE431" s="13" t="str">
        <f>IF($X431="","",INDEX(TARIFF_PROFILES!$K:$K,MATCH($X431,TARIFF_PROFILES!$A:$A,0)))</f>
        <v/>
      </c>
      <c r="AH431" t="str">
        <f>IF($AG431="","",SUMIFS(OPERATING_COEFFS!$C:$C,OPERATING_COEFFS!$A:$A,"DistanceClass",OPERATING_COEFFS!$B:$B,$AG431))</f>
        <v/>
      </c>
      <c r="AJ431" t="str">
        <f>IF($AI431="","",SUMIFS(OPERATING_COEFFS!$C:$C,OPERATING_COEFFS!$A:$A,"SeasonClass",OPERATING_COEFFS!$B:$B,$AI431))</f>
        <v/>
      </c>
      <c r="AL431" t="str">
        <f>IF($AK431="","",SUMIFS(OPERATING_COEFFS!$C:$C,OPERATING_COEFFS!$A:$A,"UrgencyClass",OPERATING_COEFFS!$B:$B,$AK431))</f>
        <v/>
      </c>
      <c r="AN431" t="str">
        <f>IF($AM431="","",INDEX(TAX_MODES!$B:$B,MATCH($AM431,TAX_MODES!$A:$A,0)))</f>
        <v/>
      </c>
    </row>
    <row r="432" spans="24:40" x14ac:dyDescent="0.3">
      <c r="X432" s="13"/>
      <c r="Y432" s="13" t="str">
        <f>IF($X432="","",SUMIFS(TARIFF_PROFILES!$D:$D,TARIFF_PROFILES!$A:$A,$X432))</f>
        <v/>
      </c>
      <c r="Z432" s="13" t="str">
        <f>IF($X432="","",SUMIFS(TARIFF_PROFILES!$E:$E,TARIFF_PROFILES!$A:$A,$X432))</f>
        <v/>
      </c>
      <c r="AA432" s="13" t="str">
        <f>IF($X432="","",SUMIFS(TARIFF_PROFILES!$F:$F,TARIFF_PROFILES!$A:$A,$X432))</f>
        <v/>
      </c>
      <c r="AB432" s="13" t="str">
        <f>IF($X432="","",SUMIFS(TARIFF_PROFILES!$G:$G,TARIFF_PROFILES!$A:$A,$X432))</f>
        <v/>
      </c>
      <c r="AC432" s="13" t="str">
        <f>IF($X432="","",SUMIFS(TARIFF_PROFILES!$H:$H,TARIFF_PROFILES!$A:$A,$X432))</f>
        <v/>
      </c>
      <c r="AD432" s="13" t="str">
        <f>IF($X432="","",INDEX(TARIFF_PROFILES!$J:$J,MATCH($X432,TARIFF_PROFILES!$A:$A,0)))</f>
        <v/>
      </c>
      <c r="AE432" s="13" t="str">
        <f>IF($X432="","",INDEX(TARIFF_PROFILES!$K:$K,MATCH($X432,TARIFF_PROFILES!$A:$A,0)))</f>
        <v/>
      </c>
      <c r="AH432" t="str">
        <f>IF($AG432="","",SUMIFS(OPERATING_COEFFS!$C:$C,OPERATING_COEFFS!$A:$A,"DistanceClass",OPERATING_COEFFS!$B:$B,$AG432))</f>
        <v/>
      </c>
      <c r="AJ432" t="str">
        <f>IF($AI432="","",SUMIFS(OPERATING_COEFFS!$C:$C,OPERATING_COEFFS!$A:$A,"SeasonClass",OPERATING_COEFFS!$B:$B,$AI432))</f>
        <v/>
      </c>
      <c r="AL432" t="str">
        <f>IF($AK432="","",SUMIFS(OPERATING_COEFFS!$C:$C,OPERATING_COEFFS!$A:$A,"UrgencyClass",OPERATING_COEFFS!$B:$B,$AK432))</f>
        <v/>
      </c>
      <c r="AN432" t="str">
        <f>IF($AM432="","",INDEX(TAX_MODES!$B:$B,MATCH($AM432,TAX_MODES!$A:$A,0)))</f>
        <v/>
      </c>
    </row>
    <row r="433" spans="24:40" x14ac:dyDescent="0.3">
      <c r="X433" s="13"/>
      <c r="Y433" s="13" t="str">
        <f>IF($X433="","",SUMIFS(TARIFF_PROFILES!$D:$D,TARIFF_PROFILES!$A:$A,$X433))</f>
        <v/>
      </c>
      <c r="Z433" s="13" t="str">
        <f>IF($X433="","",SUMIFS(TARIFF_PROFILES!$E:$E,TARIFF_PROFILES!$A:$A,$X433))</f>
        <v/>
      </c>
      <c r="AA433" s="13" t="str">
        <f>IF($X433="","",SUMIFS(TARIFF_PROFILES!$F:$F,TARIFF_PROFILES!$A:$A,$X433))</f>
        <v/>
      </c>
      <c r="AB433" s="13" t="str">
        <f>IF($X433="","",SUMIFS(TARIFF_PROFILES!$G:$G,TARIFF_PROFILES!$A:$A,$X433))</f>
        <v/>
      </c>
      <c r="AC433" s="13" t="str">
        <f>IF($X433="","",SUMIFS(TARIFF_PROFILES!$H:$H,TARIFF_PROFILES!$A:$A,$X433))</f>
        <v/>
      </c>
      <c r="AD433" s="13" t="str">
        <f>IF($X433="","",INDEX(TARIFF_PROFILES!$J:$J,MATCH($X433,TARIFF_PROFILES!$A:$A,0)))</f>
        <v/>
      </c>
      <c r="AE433" s="13" t="str">
        <f>IF($X433="","",INDEX(TARIFF_PROFILES!$K:$K,MATCH($X433,TARIFF_PROFILES!$A:$A,0)))</f>
        <v/>
      </c>
      <c r="AH433" t="str">
        <f>IF($AG433="","",SUMIFS(OPERATING_COEFFS!$C:$C,OPERATING_COEFFS!$A:$A,"DistanceClass",OPERATING_COEFFS!$B:$B,$AG433))</f>
        <v/>
      </c>
      <c r="AJ433" t="str">
        <f>IF($AI433="","",SUMIFS(OPERATING_COEFFS!$C:$C,OPERATING_COEFFS!$A:$A,"SeasonClass",OPERATING_COEFFS!$B:$B,$AI433))</f>
        <v/>
      </c>
      <c r="AL433" t="str">
        <f>IF($AK433="","",SUMIFS(OPERATING_COEFFS!$C:$C,OPERATING_COEFFS!$A:$A,"UrgencyClass",OPERATING_COEFFS!$B:$B,$AK433))</f>
        <v/>
      </c>
      <c r="AN433" t="str">
        <f>IF($AM433="","",INDEX(TAX_MODES!$B:$B,MATCH($AM433,TAX_MODES!$A:$A,0)))</f>
        <v/>
      </c>
    </row>
    <row r="434" spans="24:40" x14ac:dyDescent="0.3">
      <c r="X434" s="13"/>
      <c r="Y434" s="13" t="str">
        <f>IF($X434="","",SUMIFS(TARIFF_PROFILES!$D:$D,TARIFF_PROFILES!$A:$A,$X434))</f>
        <v/>
      </c>
      <c r="Z434" s="13" t="str">
        <f>IF($X434="","",SUMIFS(TARIFF_PROFILES!$E:$E,TARIFF_PROFILES!$A:$A,$X434))</f>
        <v/>
      </c>
      <c r="AA434" s="13" t="str">
        <f>IF($X434="","",SUMIFS(TARIFF_PROFILES!$F:$F,TARIFF_PROFILES!$A:$A,$X434))</f>
        <v/>
      </c>
      <c r="AB434" s="13" t="str">
        <f>IF($X434="","",SUMIFS(TARIFF_PROFILES!$G:$G,TARIFF_PROFILES!$A:$A,$X434))</f>
        <v/>
      </c>
      <c r="AC434" s="13" t="str">
        <f>IF($X434="","",SUMIFS(TARIFF_PROFILES!$H:$H,TARIFF_PROFILES!$A:$A,$X434))</f>
        <v/>
      </c>
      <c r="AD434" s="13" t="str">
        <f>IF($X434="","",INDEX(TARIFF_PROFILES!$J:$J,MATCH($X434,TARIFF_PROFILES!$A:$A,0)))</f>
        <v/>
      </c>
      <c r="AE434" s="13" t="str">
        <f>IF($X434="","",INDEX(TARIFF_PROFILES!$K:$K,MATCH($X434,TARIFF_PROFILES!$A:$A,0)))</f>
        <v/>
      </c>
      <c r="AH434" t="str">
        <f>IF($AG434="","",SUMIFS(OPERATING_COEFFS!$C:$C,OPERATING_COEFFS!$A:$A,"DistanceClass",OPERATING_COEFFS!$B:$B,$AG434))</f>
        <v/>
      </c>
      <c r="AJ434" t="str">
        <f>IF($AI434="","",SUMIFS(OPERATING_COEFFS!$C:$C,OPERATING_COEFFS!$A:$A,"SeasonClass",OPERATING_COEFFS!$B:$B,$AI434))</f>
        <v/>
      </c>
      <c r="AL434" t="str">
        <f>IF($AK434="","",SUMIFS(OPERATING_COEFFS!$C:$C,OPERATING_COEFFS!$A:$A,"UrgencyClass",OPERATING_COEFFS!$B:$B,$AK434))</f>
        <v/>
      </c>
      <c r="AN434" t="str">
        <f>IF($AM434="","",INDEX(TAX_MODES!$B:$B,MATCH($AM434,TAX_MODES!$A:$A,0)))</f>
        <v/>
      </c>
    </row>
    <row r="435" spans="24:40" x14ac:dyDescent="0.3">
      <c r="X435" s="13"/>
      <c r="Y435" s="13" t="str">
        <f>IF($X435="","",SUMIFS(TARIFF_PROFILES!$D:$D,TARIFF_PROFILES!$A:$A,$X435))</f>
        <v/>
      </c>
      <c r="Z435" s="13" t="str">
        <f>IF($X435="","",SUMIFS(TARIFF_PROFILES!$E:$E,TARIFF_PROFILES!$A:$A,$X435))</f>
        <v/>
      </c>
      <c r="AA435" s="13" t="str">
        <f>IF($X435="","",SUMIFS(TARIFF_PROFILES!$F:$F,TARIFF_PROFILES!$A:$A,$X435))</f>
        <v/>
      </c>
      <c r="AB435" s="13" t="str">
        <f>IF($X435="","",SUMIFS(TARIFF_PROFILES!$G:$G,TARIFF_PROFILES!$A:$A,$X435))</f>
        <v/>
      </c>
      <c r="AC435" s="13" t="str">
        <f>IF($X435="","",SUMIFS(TARIFF_PROFILES!$H:$H,TARIFF_PROFILES!$A:$A,$X435))</f>
        <v/>
      </c>
      <c r="AD435" s="13" t="str">
        <f>IF($X435="","",INDEX(TARIFF_PROFILES!$J:$J,MATCH($X435,TARIFF_PROFILES!$A:$A,0)))</f>
        <v/>
      </c>
      <c r="AE435" s="13" t="str">
        <f>IF($X435="","",INDEX(TARIFF_PROFILES!$K:$K,MATCH($X435,TARIFF_PROFILES!$A:$A,0)))</f>
        <v/>
      </c>
      <c r="AH435" t="str">
        <f>IF($AG435="","",SUMIFS(OPERATING_COEFFS!$C:$C,OPERATING_COEFFS!$A:$A,"DistanceClass",OPERATING_COEFFS!$B:$B,$AG435))</f>
        <v/>
      </c>
      <c r="AJ435" t="str">
        <f>IF($AI435="","",SUMIFS(OPERATING_COEFFS!$C:$C,OPERATING_COEFFS!$A:$A,"SeasonClass",OPERATING_COEFFS!$B:$B,$AI435))</f>
        <v/>
      </c>
      <c r="AL435" t="str">
        <f>IF($AK435="","",SUMIFS(OPERATING_COEFFS!$C:$C,OPERATING_COEFFS!$A:$A,"UrgencyClass",OPERATING_COEFFS!$B:$B,$AK435))</f>
        <v/>
      </c>
      <c r="AN435" t="str">
        <f>IF($AM435="","",INDEX(TAX_MODES!$B:$B,MATCH($AM435,TAX_MODES!$A:$A,0)))</f>
        <v/>
      </c>
    </row>
    <row r="436" spans="24:40" x14ac:dyDescent="0.3">
      <c r="X436" s="13"/>
      <c r="Y436" s="13" t="str">
        <f>IF($X436="","",SUMIFS(TARIFF_PROFILES!$D:$D,TARIFF_PROFILES!$A:$A,$X436))</f>
        <v/>
      </c>
      <c r="Z436" s="13" t="str">
        <f>IF($X436="","",SUMIFS(TARIFF_PROFILES!$E:$E,TARIFF_PROFILES!$A:$A,$X436))</f>
        <v/>
      </c>
      <c r="AA436" s="13" t="str">
        <f>IF($X436="","",SUMIFS(TARIFF_PROFILES!$F:$F,TARIFF_PROFILES!$A:$A,$X436))</f>
        <v/>
      </c>
      <c r="AB436" s="13" t="str">
        <f>IF($X436="","",SUMIFS(TARIFF_PROFILES!$G:$G,TARIFF_PROFILES!$A:$A,$X436))</f>
        <v/>
      </c>
      <c r="AC436" s="13" t="str">
        <f>IF($X436="","",SUMIFS(TARIFF_PROFILES!$H:$H,TARIFF_PROFILES!$A:$A,$X436))</f>
        <v/>
      </c>
      <c r="AD436" s="13" t="str">
        <f>IF($X436="","",INDEX(TARIFF_PROFILES!$J:$J,MATCH($X436,TARIFF_PROFILES!$A:$A,0)))</f>
        <v/>
      </c>
      <c r="AE436" s="13" t="str">
        <f>IF($X436="","",INDEX(TARIFF_PROFILES!$K:$K,MATCH($X436,TARIFF_PROFILES!$A:$A,0)))</f>
        <v/>
      </c>
      <c r="AH436" t="str">
        <f>IF($AG436="","",SUMIFS(OPERATING_COEFFS!$C:$C,OPERATING_COEFFS!$A:$A,"DistanceClass",OPERATING_COEFFS!$B:$B,$AG436))</f>
        <v/>
      </c>
      <c r="AJ436" t="str">
        <f>IF($AI436="","",SUMIFS(OPERATING_COEFFS!$C:$C,OPERATING_COEFFS!$A:$A,"SeasonClass",OPERATING_COEFFS!$B:$B,$AI436))</f>
        <v/>
      </c>
      <c r="AL436" t="str">
        <f>IF($AK436="","",SUMIFS(OPERATING_COEFFS!$C:$C,OPERATING_COEFFS!$A:$A,"UrgencyClass",OPERATING_COEFFS!$B:$B,$AK436))</f>
        <v/>
      </c>
      <c r="AN436" t="str">
        <f>IF($AM436="","",INDEX(TAX_MODES!$B:$B,MATCH($AM436,TAX_MODES!$A:$A,0)))</f>
        <v/>
      </c>
    </row>
    <row r="437" spans="24:40" x14ac:dyDescent="0.3">
      <c r="X437" s="13"/>
      <c r="Y437" s="13" t="str">
        <f>IF($X437="","",SUMIFS(TARIFF_PROFILES!$D:$D,TARIFF_PROFILES!$A:$A,$X437))</f>
        <v/>
      </c>
      <c r="Z437" s="13" t="str">
        <f>IF($X437="","",SUMIFS(TARIFF_PROFILES!$E:$E,TARIFF_PROFILES!$A:$A,$X437))</f>
        <v/>
      </c>
      <c r="AA437" s="13" t="str">
        <f>IF($X437="","",SUMIFS(TARIFF_PROFILES!$F:$F,TARIFF_PROFILES!$A:$A,$X437))</f>
        <v/>
      </c>
      <c r="AB437" s="13" t="str">
        <f>IF($X437="","",SUMIFS(TARIFF_PROFILES!$G:$G,TARIFF_PROFILES!$A:$A,$X437))</f>
        <v/>
      </c>
      <c r="AC437" s="13" t="str">
        <f>IF($X437="","",SUMIFS(TARIFF_PROFILES!$H:$H,TARIFF_PROFILES!$A:$A,$X437))</f>
        <v/>
      </c>
      <c r="AD437" s="13" t="str">
        <f>IF($X437="","",INDEX(TARIFF_PROFILES!$J:$J,MATCH($X437,TARIFF_PROFILES!$A:$A,0)))</f>
        <v/>
      </c>
      <c r="AE437" s="13" t="str">
        <f>IF($X437="","",INDEX(TARIFF_PROFILES!$K:$K,MATCH($X437,TARIFF_PROFILES!$A:$A,0)))</f>
        <v/>
      </c>
      <c r="AH437" t="str">
        <f>IF($AG437="","",SUMIFS(OPERATING_COEFFS!$C:$C,OPERATING_COEFFS!$A:$A,"DistanceClass",OPERATING_COEFFS!$B:$B,$AG437))</f>
        <v/>
      </c>
      <c r="AJ437" t="str">
        <f>IF($AI437="","",SUMIFS(OPERATING_COEFFS!$C:$C,OPERATING_COEFFS!$A:$A,"SeasonClass",OPERATING_COEFFS!$B:$B,$AI437))</f>
        <v/>
      </c>
      <c r="AL437" t="str">
        <f>IF($AK437="","",SUMIFS(OPERATING_COEFFS!$C:$C,OPERATING_COEFFS!$A:$A,"UrgencyClass",OPERATING_COEFFS!$B:$B,$AK437))</f>
        <v/>
      </c>
      <c r="AN437" t="str">
        <f>IF($AM437="","",INDEX(TAX_MODES!$B:$B,MATCH($AM437,TAX_MODES!$A:$A,0)))</f>
        <v/>
      </c>
    </row>
    <row r="438" spans="24:40" x14ac:dyDescent="0.3">
      <c r="X438" s="13"/>
      <c r="Y438" s="13" t="str">
        <f>IF($X438="","",SUMIFS(TARIFF_PROFILES!$D:$D,TARIFF_PROFILES!$A:$A,$X438))</f>
        <v/>
      </c>
      <c r="Z438" s="13" t="str">
        <f>IF($X438="","",SUMIFS(TARIFF_PROFILES!$E:$E,TARIFF_PROFILES!$A:$A,$X438))</f>
        <v/>
      </c>
      <c r="AA438" s="13" t="str">
        <f>IF($X438="","",SUMIFS(TARIFF_PROFILES!$F:$F,TARIFF_PROFILES!$A:$A,$X438))</f>
        <v/>
      </c>
      <c r="AB438" s="13" t="str">
        <f>IF($X438="","",SUMIFS(TARIFF_PROFILES!$G:$G,TARIFF_PROFILES!$A:$A,$X438))</f>
        <v/>
      </c>
      <c r="AC438" s="13" t="str">
        <f>IF($X438="","",SUMIFS(TARIFF_PROFILES!$H:$H,TARIFF_PROFILES!$A:$A,$X438))</f>
        <v/>
      </c>
      <c r="AD438" s="13" t="str">
        <f>IF($X438="","",INDEX(TARIFF_PROFILES!$J:$J,MATCH($X438,TARIFF_PROFILES!$A:$A,0)))</f>
        <v/>
      </c>
      <c r="AE438" s="13" t="str">
        <f>IF($X438="","",INDEX(TARIFF_PROFILES!$K:$K,MATCH($X438,TARIFF_PROFILES!$A:$A,0)))</f>
        <v/>
      </c>
      <c r="AH438" t="str">
        <f>IF($AG438="","",SUMIFS(OPERATING_COEFFS!$C:$C,OPERATING_COEFFS!$A:$A,"DistanceClass",OPERATING_COEFFS!$B:$B,$AG438))</f>
        <v/>
      </c>
      <c r="AJ438" t="str">
        <f>IF($AI438="","",SUMIFS(OPERATING_COEFFS!$C:$C,OPERATING_COEFFS!$A:$A,"SeasonClass",OPERATING_COEFFS!$B:$B,$AI438))</f>
        <v/>
      </c>
      <c r="AL438" t="str">
        <f>IF($AK438="","",SUMIFS(OPERATING_COEFFS!$C:$C,OPERATING_COEFFS!$A:$A,"UrgencyClass",OPERATING_COEFFS!$B:$B,$AK438))</f>
        <v/>
      </c>
      <c r="AN438" t="str">
        <f>IF($AM438="","",INDEX(TAX_MODES!$B:$B,MATCH($AM438,TAX_MODES!$A:$A,0)))</f>
        <v/>
      </c>
    </row>
    <row r="439" spans="24:40" x14ac:dyDescent="0.3">
      <c r="X439" s="13"/>
      <c r="Y439" s="13" t="str">
        <f>IF($X439="","",SUMIFS(TARIFF_PROFILES!$D:$D,TARIFF_PROFILES!$A:$A,$X439))</f>
        <v/>
      </c>
      <c r="Z439" s="13" t="str">
        <f>IF($X439="","",SUMIFS(TARIFF_PROFILES!$E:$E,TARIFF_PROFILES!$A:$A,$X439))</f>
        <v/>
      </c>
      <c r="AA439" s="13" t="str">
        <f>IF($X439="","",SUMIFS(TARIFF_PROFILES!$F:$F,TARIFF_PROFILES!$A:$A,$X439))</f>
        <v/>
      </c>
      <c r="AB439" s="13" t="str">
        <f>IF($X439="","",SUMIFS(TARIFF_PROFILES!$G:$G,TARIFF_PROFILES!$A:$A,$X439))</f>
        <v/>
      </c>
      <c r="AC439" s="13" t="str">
        <f>IF($X439="","",SUMIFS(TARIFF_PROFILES!$H:$H,TARIFF_PROFILES!$A:$A,$X439))</f>
        <v/>
      </c>
      <c r="AD439" s="13" t="str">
        <f>IF($X439="","",INDEX(TARIFF_PROFILES!$J:$J,MATCH($X439,TARIFF_PROFILES!$A:$A,0)))</f>
        <v/>
      </c>
      <c r="AE439" s="13" t="str">
        <f>IF($X439="","",INDEX(TARIFF_PROFILES!$K:$K,MATCH($X439,TARIFF_PROFILES!$A:$A,0)))</f>
        <v/>
      </c>
      <c r="AH439" t="str">
        <f>IF($AG439="","",SUMIFS(OPERATING_COEFFS!$C:$C,OPERATING_COEFFS!$A:$A,"DistanceClass",OPERATING_COEFFS!$B:$B,$AG439))</f>
        <v/>
      </c>
      <c r="AJ439" t="str">
        <f>IF($AI439="","",SUMIFS(OPERATING_COEFFS!$C:$C,OPERATING_COEFFS!$A:$A,"SeasonClass",OPERATING_COEFFS!$B:$B,$AI439))</f>
        <v/>
      </c>
      <c r="AL439" t="str">
        <f>IF($AK439="","",SUMIFS(OPERATING_COEFFS!$C:$C,OPERATING_COEFFS!$A:$A,"UrgencyClass",OPERATING_COEFFS!$B:$B,$AK439))</f>
        <v/>
      </c>
      <c r="AN439" t="str">
        <f>IF($AM439="","",INDEX(TAX_MODES!$B:$B,MATCH($AM439,TAX_MODES!$A:$A,0)))</f>
        <v/>
      </c>
    </row>
    <row r="440" spans="24:40" x14ac:dyDescent="0.3">
      <c r="X440" s="13"/>
      <c r="Y440" s="13" t="str">
        <f>IF($X440="","",SUMIFS(TARIFF_PROFILES!$D:$D,TARIFF_PROFILES!$A:$A,$X440))</f>
        <v/>
      </c>
      <c r="Z440" s="13" t="str">
        <f>IF($X440="","",SUMIFS(TARIFF_PROFILES!$E:$E,TARIFF_PROFILES!$A:$A,$X440))</f>
        <v/>
      </c>
      <c r="AA440" s="13" t="str">
        <f>IF($X440="","",SUMIFS(TARIFF_PROFILES!$F:$F,TARIFF_PROFILES!$A:$A,$X440))</f>
        <v/>
      </c>
      <c r="AB440" s="13" t="str">
        <f>IF($X440="","",SUMIFS(TARIFF_PROFILES!$G:$G,TARIFF_PROFILES!$A:$A,$X440))</f>
        <v/>
      </c>
      <c r="AC440" s="13" t="str">
        <f>IF($X440="","",SUMIFS(TARIFF_PROFILES!$H:$H,TARIFF_PROFILES!$A:$A,$X440))</f>
        <v/>
      </c>
      <c r="AD440" s="13" t="str">
        <f>IF($X440="","",INDEX(TARIFF_PROFILES!$J:$J,MATCH($X440,TARIFF_PROFILES!$A:$A,0)))</f>
        <v/>
      </c>
      <c r="AE440" s="13" t="str">
        <f>IF($X440="","",INDEX(TARIFF_PROFILES!$K:$K,MATCH($X440,TARIFF_PROFILES!$A:$A,0)))</f>
        <v/>
      </c>
      <c r="AH440" t="str">
        <f>IF($AG440="","",SUMIFS(OPERATING_COEFFS!$C:$C,OPERATING_COEFFS!$A:$A,"DistanceClass",OPERATING_COEFFS!$B:$B,$AG440))</f>
        <v/>
      </c>
      <c r="AJ440" t="str">
        <f>IF($AI440="","",SUMIFS(OPERATING_COEFFS!$C:$C,OPERATING_COEFFS!$A:$A,"SeasonClass",OPERATING_COEFFS!$B:$B,$AI440))</f>
        <v/>
      </c>
      <c r="AL440" t="str">
        <f>IF($AK440="","",SUMIFS(OPERATING_COEFFS!$C:$C,OPERATING_COEFFS!$A:$A,"UrgencyClass",OPERATING_COEFFS!$B:$B,$AK440))</f>
        <v/>
      </c>
      <c r="AN440" t="str">
        <f>IF($AM440="","",INDEX(TAX_MODES!$B:$B,MATCH($AM440,TAX_MODES!$A:$A,0)))</f>
        <v/>
      </c>
    </row>
    <row r="441" spans="24:40" x14ac:dyDescent="0.3">
      <c r="X441" s="13"/>
      <c r="Y441" s="13" t="str">
        <f>IF($X441="","",SUMIFS(TARIFF_PROFILES!$D:$D,TARIFF_PROFILES!$A:$A,$X441))</f>
        <v/>
      </c>
      <c r="Z441" s="13" t="str">
        <f>IF($X441="","",SUMIFS(TARIFF_PROFILES!$E:$E,TARIFF_PROFILES!$A:$A,$X441))</f>
        <v/>
      </c>
      <c r="AA441" s="13" t="str">
        <f>IF($X441="","",SUMIFS(TARIFF_PROFILES!$F:$F,TARIFF_PROFILES!$A:$A,$X441))</f>
        <v/>
      </c>
      <c r="AB441" s="13" t="str">
        <f>IF($X441="","",SUMIFS(TARIFF_PROFILES!$G:$G,TARIFF_PROFILES!$A:$A,$X441))</f>
        <v/>
      </c>
      <c r="AC441" s="13" t="str">
        <f>IF($X441="","",SUMIFS(TARIFF_PROFILES!$H:$H,TARIFF_PROFILES!$A:$A,$X441))</f>
        <v/>
      </c>
      <c r="AD441" s="13" t="str">
        <f>IF($X441="","",INDEX(TARIFF_PROFILES!$J:$J,MATCH($X441,TARIFF_PROFILES!$A:$A,0)))</f>
        <v/>
      </c>
      <c r="AE441" s="13" t="str">
        <f>IF($X441="","",INDEX(TARIFF_PROFILES!$K:$K,MATCH($X441,TARIFF_PROFILES!$A:$A,0)))</f>
        <v/>
      </c>
      <c r="AH441" t="str">
        <f>IF($AG441="","",SUMIFS(OPERATING_COEFFS!$C:$C,OPERATING_COEFFS!$A:$A,"DistanceClass",OPERATING_COEFFS!$B:$B,$AG441))</f>
        <v/>
      </c>
      <c r="AJ441" t="str">
        <f>IF($AI441="","",SUMIFS(OPERATING_COEFFS!$C:$C,OPERATING_COEFFS!$A:$A,"SeasonClass",OPERATING_COEFFS!$B:$B,$AI441))</f>
        <v/>
      </c>
      <c r="AL441" t="str">
        <f>IF($AK441="","",SUMIFS(OPERATING_COEFFS!$C:$C,OPERATING_COEFFS!$A:$A,"UrgencyClass",OPERATING_COEFFS!$B:$B,$AK441))</f>
        <v/>
      </c>
      <c r="AN441" t="str">
        <f>IF($AM441="","",INDEX(TAX_MODES!$B:$B,MATCH($AM441,TAX_MODES!$A:$A,0)))</f>
        <v/>
      </c>
    </row>
    <row r="442" spans="24:40" x14ac:dyDescent="0.3">
      <c r="X442" s="13"/>
      <c r="Y442" s="13" t="str">
        <f>IF($X442="","",SUMIFS(TARIFF_PROFILES!$D:$D,TARIFF_PROFILES!$A:$A,$X442))</f>
        <v/>
      </c>
      <c r="Z442" s="13" t="str">
        <f>IF($X442="","",SUMIFS(TARIFF_PROFILES!$E:$E,TARIFF_PROFILES!$A:$A,$X442))</f>
        <v/>
      </c>
      <c r="AA442" s="13" t="str">
        <f>IF($X442="","",SUMIFS(TARIFF_PROFILES!$F:$F,TARIFF_PROFILES!$A:$A,$X442))</f>
        <v/>
      </c>
      <c r="AB442" s="13" t="str">
        <f>IF($X442="","",SUMIFS(TARIFF_PROFILES!$G:$G,TARIFF_PROFILES!$A:$A,$X442))</f>
        <v/>
      </c>
      <c r="AC442" s="13" t="str">
        <f>IF($X442="","",SUMIFS(TARIFF_PROFILES!$H:$H,TARIFF_PROFILES!$A:$A,$X442))</f>
        <v/>
      </c>
      <c r="AD442" s="13" t="str">
        <f>IF($X442="","",INDEX(TARIFF_PROFILES!$J:$J,MATCH($X442,TARIFF_PROFILES!$A:$A,0)))</f>
        <v/>
      </c>
      <c r="AE442" s="13" t="str">
        <f>IF($X442="","",INDEX(TARIFF_PROFILES!$K:$K,MATCH($X442,TARIFF_PROFILES!$A:$A,0)))</f>
        <v/>
      </c>
      <c r="AH442" t="str">
        <f>IF($AG442="","",SUMIFS(OPERATING_COEFFS!$C:$C,OPERATING_COEFFS!$A:$A,"DistanceClass",OPERATING_COEFFS!$B:$B,$AG442))</f>
        <v/>
      </c>
      <c r="AJ442" t="str">
        <f>IF($AI442="","",SUMIFS(OPERATING_COEFFS!$C:$C,OPERATING_COEFFS!$A:$A,"SeasonClass",OPERATING_COEFFS!$B:$B,$AI442))</f>
        <v/>
      </c>
      <c r="AL442" t="str">
        <f>IF($AK442="","",SUMIFS(OPERATING_COEFFS!$C:$C,OPERATING_COEFFS!$A:$A,"UrgencyClass",OPERATING_COEFFS!$B:$B,$AK442))</f>
        <v/>
      </c>
      <c r="AN442" t="str">
        <f>IF($AM442="","",INDEX(TAX_MODES!$B:$B,MATCH($AM442,TAX_MODES!$A:$A,0)))</f>
        <v/>
      </c>
    </row>
    <row r="443" spans="24:40" x14ac:dyDescent="0.3">
      <c r="X443" s="13"/>
      <c r="Y443" s="13" t="str">
        <f>IF($X443="","",SUMIFS(TARIFF_PROFILES!$D:$D,TARIFF_PROFILES!$A:$A,$X443))</f>
        <v/>
      </c>
      <c r="Z443" s="13" t="str">
        <f>IF($X443="","",SUMIFS(TARIFF_PROFILES!$E:$E,TARIFF_PROFILES!$A:$A,$X443))</f>
        <v/>
      </c>
      <c r="AA443" s="13" t="str">
        <f>IF($X443="","",SUMIFS(TARIFF_PROFILES!$F:$F,TARIFF_PROFILES!$A:$A,$X443))</f>
        <v/>
      </c>
      <c r="AB443" s="13" t="str">
        <f>IF($X443="","",SUMIFS(TARIFF_PROFILES!$G:$G,TARIFF_PROFILES!$A:$A,$X443))</f>
        <v/>
      </c>
      <c r="AC443" s="13" t="str">
        <f>IF($X443="","",SUMIFS(TARIFF_PROFILES!$H:$H,TARIFF_PROFILES!$A:$A,$X443))</f>
        <v/>
      </c>
      <c r="AD443" s="13" t="str">
        <f>IF($X443="","",INDEX(TARIFF_PROFILES!$J:$J,MATCH($X443,TARIFF_PROFILES!$A:$A,0)))</f>
        <v/>
      </c>
      <c r="AE443" s="13" t="str">
        <f>IF($X443="","",INDEX(TARIFF_PROFILES!$K:$K,MATCH($X443,TARIFF_PROFILES!$A:$A,0)))</f>
        <v/>
      </c>
      <c r="AH443" t="str">
        <f>IF($AG443="","",SUMIFS(OPERATING_COEFFS!$C:$C,OPERATING_COEFFS!$A:$A,"DistanceClass",OPERATING_COEFFS!$B:$B,$AG443))</f>
        <v/>
      </c>
      <c r="AJ443" t="str">
        <f>IF($AI443="","",SUMIFS(OPERATING_COEFFS!$C:$C,OPERATING_COEFFS!$A:$A,"SeasonClass",OPERATING_COEFFS!$B:$B,$AI443))</f>
        <v/>
      </c>
      <c r="AL443" t="str">
        <f>IF($AK443="","",SUMIFS(OPERATING_COEFFS!$C:$C,OPERATING_COEFFS!$A:$A,"UrgencyClass",OPERATING_COEFFS!$B:$B,$AK443))</f>
        <v/>
      </c>
      <c r="AN443" t="str">
        <f>IF($AM443="","",INDEX(TAX_MODES!$B:$B,MATCH($AM443,TAX_MODES!$A:$A,0)))</f>
        <v/>
      </c>
    </row>
    <row r="444" spans="24:40" x14ac:dyDescent="0.3">
      <c r="X444" s="13"/>
      <c r="Y444" s="13" t="str">
        <f>IF($X444="","",SUMIFS(TARIFF_PROFILES!$D:$D,TARIFF_PROFILES!$A:$A,$X444))</f>
        <v/>
      </c>
      <c r="Z444" s="13" t="str">
        <f>IF($X444="","",SUMIFS(TARIFF_PROFILES!$E:$E,TARIFF_PROFILES!$A:$A,$X444))</f>
        <v/>
      </c>
      <c r="AA444" s="13" t="str">
        <f>IF($X444="","",SUMIFS(TARIFF_PROFILES!$F:$F,TARIFF_PROFILES!$A:$A,$X444))</f>
        <v/>
      </c>
      <c r="AB444" s="13" t="str">
        <f>IF($X444="","",SUMIFS(TARIFF_PROFILES!$G:$G,TARIFF_PROFILES!$A:$A,$X444))</f>
        <v/>
      </c>
      <c r="AC444" s="13" t="str">
        <f>IF($X444="","",SUMIFS(TARIFF_PROFILES!$H:$H,TARIFF_PROFILES!$A:$A,$X444))</f>
        <v/>
      </c>
      <c r="AD444" s="13" t="str">
        <f>IF($X444="","",INDEX(TARIFF_PROFILES!$J:$J,MATCH($X444,TARIFF_PROFILES!$A:$A,0)))</f>
        <v/>
      </c>
      <c r="AE444" s="13" t="str">
        <f>IF($X444="","",INDEX(TARIFF_PROFILES!$K:$K,MATCH($X444,TARIFF_PROFILES!$A:$A,0)))</f>
        <v/>
      </c>
      <c r="AH444" t="str">
        <f>IF($AG444="","",SUMIFS(OPERATING_COEFFS!$C:$C,OPERATING_COEFFS!$A:$A,"DistanceClass",OPERATING_COEFFS!$B:$B,$AG444))</f>
        <v/>
      </c>
      <c r="AJ444" t="str">
        <f>IF($AI444="","",SUMIFS(OPERATING_COEFFS!$C:$C,OPERATING_COEFFS!$A:$A,"SeasonClass",OPERATING_COEFFS!$B:$B,$AI444))</f>
        <v/>
      </c>
      <c r="AL444" t="str">
        <f>IF($AK444="","",SUMIFS(OPERATING_COEFFS!$C:$C,OPERATING_COEFFS!$A:$A,"UrgencyClass",OPERATING_COEFFS!$B:$B,$AK444))</f>
        <v/>
      </c>
      <c r="AN444" t="str">
        <f>IF($AM444="","",INDEX(TAX_MODES!$B:$B,MATCH($AM444,TAX_MODES!$A:$A,0)))</f>
        <v/>
      </c>
    </row>
    <row r="445" spans="24:40" x14ac:dyDescent="0.3">
      <c r="X445" s="13"/>
      <c r="Y445" s="13" t="str">
        <f>IF($X445="","",SUMIFS(TARIFF_PROFILES!$D:$D,TARIFF_PROFILES!$A:$A,$X445))</f>
        <v/>
      </c>
      <c r="Z445" s="13" t="str">
        <f>IF($X445="","",SUMIFS(TARIFF_PROFILES!$E:$E,TARIFF_PROFILES!$A:$A,$X445))</f>
        <v/>
      </c>
      <c r="AA445" s="13" t="str">
        <f>IF($X445="","",SUMIFS(TARIFF_PROFILES!$F:$F,TARIFF_PROFILES!$A:$A,$X445))</f>
        <v/>
      </c>
      <c r="AB445" s="13" t="str">
        <f>IF($X445="","",SUMIFS(TARIFF_PROFILES!$G:$G,TARIFF_PROFILES!$A:$A,$X445))</f>
        <v/>
      </c>
      <c r="AC445" s="13" t="str">
        <f>IF($X445="","",SUMIFS(TARIFF_PROFILES!$H:$H,TARIFF_PROFILES!$A:$A,$X445))</f>
        <v/>
      </c>
      <c r="AD445" s="13" t="str">
        <f>IF($X445="","",INDEX(TARIFF_PROFILES!$J:$J,MATCH($X445,TARIFF_PROFILES!$A:$A,0)))</f>
        <v/>
      </c>
      <c r="AE445" s="13" t="str">
        <f>IF($X445="","",INDEX(TARIFF_PROFILES!$K:$K,MATCH($X445,TARIFF_PROFILES!$A:$A,0)))</f>
        <v/>
      </c>
      <c r="AH445" t="str">
        <f>IF($AG445="","",SUMIFS(OPERATING_COEFFS!$C:$C,OPERATING_COEFFS!$A:$A,"DistanceClass",OPERATING_COEFFS!$B:$B,$AG445))</f>
        <v/>
      </c>
      <c r="AJ445" t="str">
        <f>IF($AI445="","",SUMIFS(OPERATING_COEFFS!$C:$C,OPERATING_COEFFS!$A:$A,"SeasonClass",OPERATING_COEFFS!$B:$B,$AI445))</f>
        <v/>
      </c>
      <c r="AL445" t="str">
        <f>IF($AK445="","",SUMIFS(OPERATING_COEFFS!$C:$C,OPERATING_COEFFS!$A:$A,"UrgencyClass",OPERATING_COEFFS!$B:$B,$AK445))</f>
        <v/>
      </c>
      <c r="AN445" t="str">
        <f>IF($AM445="","",INDEX(TAX_MODES!$B:$B,MATCH($AM445,TAX_MODES!$A:$A,0)))</f>
        <v/>
      </c>
    </row>
    <row r="446" spans="24:40" x14ac:dyDescent="0.3">
      <c r="X446" s="13"/>
      <c r="Y446" s="13" t="str">
        <f>IF($X446="","",SUMIFS(TARIFF_PROFILES!$D:$D,TARIFF_PROFILES!$A:$A,$X446))</f>
        <v/>
      </c>
      <c r="Z446" s="13" t="str">
        <f>IF($X446="","",SUMIFS(TARIFF_PROFILES!$E:$E,TARIFF_PROFILES!$A:$A,$X446))</f>
        <v/>
      </c>
      <c r="AA446" s="13" t="str">
        <f>IF($X446="","",SUMIFS(TARIFF_PROFILES!$F:$F,TARIFF_PROFILES!$A:$A,$X446))</f>
        <v/>
      </c>
      <c r="AB446" s="13" t="str">
        <f>IF($X446="","",SUMIFS(TARIFF_PROFILES!$G:$G,TARIFF_PROFILES!$A:$A,$X446))</f>
        <v/>
      </c>
      <c r="AC446" s="13" t="str">
        <f>IF($X446="","",SUMIFS(TARIFF_PROFILES!$H:$H,TARIFF_PROFILES!$A:$A,$X446))</f>
        <v/>
      </c>
      <c r="AD446" s="13" t="str">
        <f>IF($X446="","",INDEX(TARIFF_PROFILES!$J:$J,MATCH($X446,TARIFF_PROFILES!$A:$A,0)))</f>
        <v/>
      </c>
      <c r="AE446" s="13" t="str">
        <f>IF($X446="","",INDEX(TARIFF_PROFILES!$K:$K,MATCH($X446,TARIFF_PROFILES!$A:$A,0)))</f>
        <v/>
      </c>
      <c r="AH446" t="str">
        <f>IF($AG446="","",SUMIFS(OPERATING_COEFFS!$C:$C,OPERATING_COEFFS!$A:$A,"DistanceClass",OPERATING_COEFFS!$B:$B,$AG446))</f>
        <v/>
      </c>
      <c r="AJ446" t="str">
        <f>IF($AI446="","",SUMIFS(OPERATING_COEFFS!$C:$C,OPERATING_COEFFS!$A:$A,"SeasonClass",OPERATING_COEFFS!$B:$B,$AI446))</f>
        <v/>
      </c>
      <c r="AL446" t="str">
        <f>IF($AK446="","",SUMIFS(OPERATING_COEFFS!$C:$C,OPERATING_COEFFS!$A:$A,"UrgencyClass",OPERATING_COEFFS!$B:$B,$AK446))</f>
        <v/>
      </c>
      <c r="AN446" t="str">
        <f>IF($AM446="","",INDEX(TAX_MODES!$B:$B,MATCH($AM446,TAX_MODES!$A:$A,0)))</f>
        <v/>
      </c>
    </row>
    <row r="447" spans="24:40" x14ac:dyDescent="0.3">
      <c r="X447" s="13"/>
      <c r="Y447" s="13" t="str">
        <f>IF($X447="","",SUMIFS(TARIFF_PROFILES!$D:$D,TARIFF_PROFILES!$A:$A,$X447))</f>
        <v/>
      </c>
      <c r="Z447" s="13" t="str">
        <f>IF($X447="","",SUMIFS(TARIFF_PROFILES!$E:$E,TARIFF_PROFILES!$A:$A,$X447))</f>
        <v/>
      </c>
      <c r="AA447" s="13" t="str">
        <f>IF($X447="","",SUMIFS(TARIFF_PROFILES!$F:$F,TARIFF_PROFILES!$A:$A,$X447))</f>
        <v/>
      </c>
      <c r="AB447" s="13" t="str">
        <f>IF($X447="","",SUMIFS(TARIFF_PROFILES!$G:$G,TARIFF_PROFILES!$A:$A,$X447))</f>
        <v/>
      </c>
      <c r="AC447" s="13" t="str">
        <f>IF($X447="","",SUMIFS(TARIFF_PROFILES!$H:$H,TARIFF_PROFILES!$A:$A,$X447))</f>
        <v/>
      </c>
      <c r="AD447" s="13" t="str">
        <f>IF($X447="","",INDEX(TARIFF_PROFILES!$J:$J,MATCH($X447,TARIFF_PROFILES!$A:$A,0)))</f>
        <v/>
      </c>
      <c r="AE447" s="13" t="str">
        <f>IF($X447="","",INDEX(TARIFF_PROFILES!$K:$K,MATCH($X447,TARIFF_PROFILES!$A:$A,0)))</f>
        <v/>
      </c>
      <c r="AH447" t="str">
        <f>IF($AG447="","",SUMIFS(OPERATING_COEFFS!$C:$C,OPERATING_COEFFS!$A:$A,"DistanceClass",OPERATING_COEFFS!$B:$B,$AG447))</f>
        <v/>
      </c>
      <c r="AJ447" t="str">
        <f>IF($AI447="","",SUMIFS(OPERATING_COEFFS!$C:$C,OPERATING_COEFFS!$A:$A,"SeasonClass",OPERATING_COEFFS!$B:$B,$AI447))</f>
        <v/>
      </c>
      <c r="AL447" t="str">
        <f>IF($AK447="","",SUMIFS(OPERATING_COEFFS!$C:$C,OPERATING_COEFFS!$A:$A,"UrgencyClass",OPERATING_COEFFS!$B:$B,$AK447))</f>
        <v/>
      </c>
      <c r="AN447" t="str">
        <f>IF($AM447="","",INDEX(TAX_MODES!$B:$B,MATCH($AM447,TAX_MODES!$A:$A,0)))</f>
        <v/>
      </c>
    </row>
    <row r="448" spans="24:40" x14ac:dyDescent="0.3">
      <c r="X448" s="13"/>
      <c r="Y448" s="13" t="str">
        <f>IF($X448="","",SUMIFS(TARIFF_PROFILES!$D:$D,TARIFF_PROFILES!$A:$A,$X448))</f>
        <v/>
      </c>
      <c r="Z448" s="13" t="str">
        <f>IF($X448="","",SUMIFS(TARIFF_PROFILES!$E:$E,TARIFF_PROFILES!$A:$A,$X448))</f>
        <v/>
      </c>
      <c r="AA448" s="13" t="str">
        <f>IF($X448="","",SUMIFS(TARIFF_PROFILES!$F:$F,TARIFF_PROFILES!$A:$A,$X448))</f>
        <v/>
      </c>
      <c r="AB448" s="13" t="str">
        <f>IF($X448="","",SUMIFS(TARIFF_PROFILES!$G:$G,TARIFF_PROFILES!$A:$A,$X448))</f>
        <v/>
      </c>
      <c r="AC448" s="13" t="str">
        <f>IF($X448="","",SUMIFS(TARIFF_PROFILES!$H:$H,TARIFF_PROFILES!$A:$A,$X448))</f>
        <v/>
      </c>
      <c r="AD448" s="13" t="str">
        <f>IF($X448="","",INDEX(TARIFF_PROFILES!$J:$J,MATCH($X448,TARIFF_PROFILES!$A:$A,0)))</f>
        <v/>
      </c>
      <c r="AE448" s="13" t="str">
        <f>IF($X448="","",INDEX(TARIFF_PROFILES!$K:$K,MATCH($X448,TARIFF_PROFILES!$A:$A,0)))</f>
        <v/>
      </c>
      <c r="AH448" t="str">
        <f>IF($AG448="","",SUMIFS(OPERATING_COEFFS!$C:$C,OPERATING_COEFFS!$A:$A,"DistanceClass",OPERATING_COEFFS!$B:$B,$AG448))</f>
        <v/>
      </c>
      <c r="AJ448" t="str">
        <f>IF($AI448="","",SUMIFS(OPERATING_COEFFS!$C:$C,OPERATING_COEFFS!$A:$A,"SeasonClass",OPERATING_COEFFS!$B:$B,$AI448))</f>
        <v/>
      </c>
      <c r="AL448" t="str">
        <f>IF($AK448="","",SUMIFS(OPERATING_COEFFS!$C:$C,OPERATING_COEFFS!$A:$A,"UrgencyClass",OPERATING_COEFFS!$B:$B,$AK448))</f>
        <v/>
      </c>
      <c r="AN448" t="str">
        <f>IF($AM448="","",INDEX(TAX_MODES!$B:$B,MATCH($AM448,TAX_MODES!$A:$A,0)))</f>
        <v/>
      </c>
    </row>
    <row r="449" spans="24:40" x14ac:dyDescent="0.3">
      <c r="X449" s="13"/>
      <c r="Y449" s="13" t="str">
        <f>IF($X449="","",SUMIFS(TARIFF_PROFILES!$D:$D,TARIFF_PROFILES!$A:$A,$X449))</f>
        <v/>
      </c>
      <c r="Z449" s="13" t="str">
        <f>IF($X449="","",SUMIFS(TARIFF_PROFILES!$E:$E,TARIFF_PROFILES!$A:$A,$X449))</f>
        <v/>
      </c>
      <c r="AA449" s="13" t="str">
        <f>IF($X449="","",SUMIFS(TARIFF_PROFILES!$F:$F,TARIFF_PROFILES!$A:$A,$X449))</f>
        <v/>
      </c>
      <c r="AB449" s="13" t="str">
        <f>IF($X449="","",SUMIFS(TARIFF_PROFILES!$G:$G,TARIFF_PROFILES!$A:$A,$X449))</f>
        <v/>
      </c>
      <c r="AC449" s="13" t="str">
        <f>IF($X449="","",SUMIFS(TARIFF_PROFILES!$H:$H,TARIFF_PROFILES!$A:$A,$X449))</f>
        <v/>
      </c>
      <c r="AD449" s="13" t="str">
        <f>IF($X449="","",INDEX(TARIFF_PROFILES!$J:$J,MATCH($X449,TARIFF_PROFILES!$A:$A,0)))</f>
        <v/>
      </c>
      <c r="AE449" s="13" t="str">
        <f>IF($X449="","",INDEX(TARIFF_PROFILES!$K:$K,MATCH($X449,TARIFF_PROFILES!$A:$A,0)))</f>
        <v/>
      </c>
      <c r="AH449" t="str">
        <f>IF($AG449="","",SUMIFS(OPERATING_COEFFS!$C:$C,OPERATING_COEFFS!$A:$A,"DistanceClass",OPERATING_COEFFS!$B:$B,$AG449))</f>
        <v/>
      </c>
      <c r="AJ449" t="str">
        <f>IF($AI449="","",SUMIFS(OPERATING_COEFFS!$C:$C,OPERATING_COEFFS!$A:$A,"SeasonClass",OPERATING_COEFFS!$B:$B,$AI449))</f>
        <v/>
      </c>
      <c r="AL449" t="str">
        <f>IF($AK449="","",SUMIFS(OPERATING_COEFFS!$C:$C,OPERATING_COEFFS!$A:$A,"UrgencyClass",OPERATING_COEFFS!$B:$B,$AK449))</f>
        <v/>
      </c>
      <c r="AN449" t="str">
        <f>IF($AM449="","",INDEX(TAX_MODES!$B:$B,MATCH($AM449,TAX_MODES!$A:$A,0)))</f>
        <v/>
      </c>
    </row>
    <row r="450" spans="24:40" x14ac:dyDescent="0.3">
      <c r="X450" s="13"/>
      <c r="Y450" s="13" t="str">
        <f>IF($X450="","",SUMIFS(TARIFF_PROFILES!$D:$D,TARIFF_PROFILES!$A:$A,$X450))</f>
        <v/>
      </c>
      <c r="Z450" s="13" t="str">
        <f>IF($X450="","",SUMIFS(TARIFF_PROFILES!$E:$E,TARIFF_PROFILES!$A:$A,$X450))</f>
        <v/>
      </c>
      <c r="AA450" s="13" t="str">
        <f>IF($X450="","",SUMIFS(TARIFF_PROFILES!$F:$F,TARIFF_PROFILES!$A:$A,$X450))</f>
        <v/>
      </c>
      <c r="AB450" s="13" t="str">
        <f>IF($X450="","",SUMIFS(TARIFF_PROFILES!$G:$G,TARIFF_PROFILES!$A:$A,$X450))</f>
        <v/>
      </c>
      <c r="AC450" s="13" t="str">
        <f>IF($X450="","",SUMIFS(TARIFF_PROFILES!$H:$H,TARIFF_PROFILES!$A:$A,$X450))</f>
        <v/>
      </c>
      <c r="AD450" s="13" t="str">
        <f>IF($X450="","",INDEX(TARIFF_PROFILES!$J:$J,MATCH($X450,TARIFF_PROFILES!$A:$A,0)))</f>
        <v/>
      </c>
      <c r="AE450" s="13" t="str">
        <f>IF($X450="","",INDEX(TARIFF_PROFILES!$K:$K,MATCH($X450,TARIFF_PROFILES!$A:$A,0)))</f>
        <v/>
      </c>
      <c r="AH450" t="str">
        <f>IF($AG450="","",SUMIFS(OPERATING_COEFFS!$C:$C,OPERATING_COEFFS!$A:$A,"DistanceClass",OPERATING_COEFFS!$B:$B,$AG450))</f>
        <v/>
      </c>
      <c r="AJ450" t="str">
        <f>IF($AI450="","",SUMIFS(OPERATING_COEFFS!$C:$C,OPERATING_COEFFS!$A:$A,"SeasonClass",OPERATING_COEFFS!$B:$B,$AI450))</f>
        <v/>
      </c>
      <c r="AL450" t="str">
        <f>IF($AK450="","",SUMIFS(OPERATING_COEFFS!$C:$C,OPERATING_COEFFS!$A:$A,"UrgencyClass",OPERATING_COEFFS!$B:$B,$AK450))</f>
        <v/>
      </c>
      <c r="AN450" t="str">
        <f>IF($AM450="","",INDEX(TAX_MODES!$B:$B,MATCH($AM450,TAX_MODES!$A:$A,0)))</f>
        <v/>
      </c>
    </row>
    <row r="451" spans="24:40" x14ac:dyDescent="0.3">
      <c r="X451" s="13"/>
      <c r="Y451" s="13" t="str">
        <f>IF($X451="","",SUMIFS(TARIFF_PROFILES!$D:$D,TARIFF_PROFILES!$A:$A,$X451))</f>
        <v/>
      </c>
      <c r="Z451" s="13" t="str">
        <f>IF($X451="","",SUMIFS(TARIFF_PROFILES!$E:$E,TARIFF_PROFILES!$A:$A,$X451))</f>
        <v/>
      </c>
      <c r="AA451" s="13" t="str">
        <f>IF($X451="","",SUMIFS(TARIFF_PROFILES!$F:$F,TARIFF_PROFILES!$A:$A,$X451))</f>
        <v/>
      </c>
      <c r="AB451" s="13" t="str">
        <f>IF($X451="","",SUMIFS(TARIFF_PROFILES!$G:$G,TARIFF_PROFILES!$A:$A,$X451))</f>
        <v/>
      </c>
      <c r="AC451" s="13" t="str">
        <f>IF($X451="","",SUMIFS(TARIFF_PROFILES!$H:$H,TARIFF_PROFILES!$A:$A,$X451))</f>
        <v/>
      </c>
      <c r="AD451" s="13" t="str">
        <f>IF($X451="","",INDEX(TARIFF_PROFILES!$J:$J,MATCH($X451,TARIFF_PROFILES!$A:$A,0)))</f>
        <v/>
      </c>
      <c r="AE451" s="13" t="str">
        <f>IF($X451="","",INDEX(TARIFF_PROFILES!$K:$K,MATCH($X451,TARIFF_PROFILES!$A:$A,0)))</f>
        <v/>
      </c>
      <c r="AH451" t="str">
        <f>IF($AG451="","",SUMIFS(OPERATING_COEFFS!$C:$C,OPERATING_COEFFS!$A:$A,"DistanceClass",OPERATING_COEFFS!$B:$B,$AG451))</f>
        <v/>
      </c>
      <c r="AJ451" t="str">
        <f>IF($AI451="","",SUMIFS(OPERATING_COEFFS!$C:$C,OPERATING_COEFFS!$A:$A,"SeasonClass",OPERATING_COEFFS!$B:$B,$AI451))</f>
        <v/>
      </c>
      <c r="AL451" t="str">
        <f>IF($AK451="","",SUMIFS(OPERATING_COEFFS!$C:$C,OPERATING_COEFFS!$A:$A,"UrgencyClass",OPERATING_COEFFS!$B:$B,$AK451))</f>
        <v/>
      </c>
      <c r="AN451" t="str">
        <f>IF($AM451="","",INDEX(TAX_MODES!$B:$B,MATCH($AM451,TAX_MODES!$A:$A,0)))</f>
        <v/>
      </c>
    </row>
    <row r="452" spans="24:40" x14ac:dyDescent="0.3">
      <c r="X452" s="13"/>
      <c r="Y452" s="13" t="str">
        <f>IF($X452="","",SUMIFS(TARIFF_PROFILES!$D:$D,TARIFF_PROFILES!$A:$A,$X452))</f>
        <v/>
      </c>
      <c r="Z452" s="13" t="str">
        <f>IF($X452="","",SUMIFS(TARIFF_PROFILES!$E:$E,TARIFF_PROFILES!$A:$A,$X452))</f>
        <v/>
      </c>
      <c r="AA452" s="13" t="str">
        <f>IF($X452="","",SUMIFS(TARIFF_PROFILES!$F:$F,TARIFF_PROFILES!$A:$A,$X452))</f>
        <v/>
      </c>
      <c r="AB452" s="13" t="str">
        <f>IF($X452="","",SUMIFS(TARIFF_PROFILES!$G:$G,TARIFF_PROFILES!$A:$A,$X452))</f>
        <v/>
      </c>
      <c r="AC452" s="13" t="str">
        <f>IF($X452="","",SUMIFS(TARIFF_PROFILES!$H:$H,TARIFF_PROFILES!$A:$A,$X452))</f>
        <v/>
      </c>
      <c r="AD452" s="13" t="str">
        <f>IF($X452="","",INDEX(TARIFF_PROFILES!$J:$J,MATCH($X452,TARIFF_PROFILES!$A:$A,0)))</f>
        <v/>
      </c>
      <c r="AE452" s="13" t="str">
        <f>IF($X452="","",INDEX(TARIFF_PROFILES!$K:$K,MATCH($X452,TARIFF_PROFILES!$A:$A,0)))</f>
        <v/>
      </c>
      <c r="AH452" t="str">
        <f>IF($AG452="","",SUMIFS(OPERATING_COEFFS!$C:$C,OPERATING_COEFFS!$A:$A,"DistanceClass",OPERATING_COEFFS!$B:$B,$AG452))</f>
        <v/>
      </c>
      <c r="AJ452" t="str">
        <f>IF($AI452="","",SUMIFS(OPERATING_COEFFS!$C:$C,OPERATING_COEFFS!$A:$A,"SeasonClass",OPERATING_COEFFS!$B:$B,$AI452))</f>
        <v/>
      </c>
      <c r="AL452" t="str">
        <f>IF($AK452="","",SUMIFS(OPERATING_COEFFS!$C:$C,OPERATING_COEFFS!$A:$A,"UrgencyClass",OPERATING_COEFFS!$B:$B,$AK452))</f>
        <v/>
      </c>
      <c r="AN452" t="str">
        <f>IF($AM452="","",INDEX(TAX_MODES!$B:$B,MATCH($AM452,TAX_MODES!$A:$A,0)))</f>
        <v/>
      </c>
    </row>
    <row r="453" spans="24:40" x14ac:dyDescent="0.3">
      <c r="X453" s="13"/>
      <c r="Y453" s="13" t="str">
        <f>IF($X453="","",SUMIFS(TARIFF_PROFILES!$D:$D,TARIFF_PROFILES!$A:$A,$X453))</f>
        <v/>
      </c>
      <c r="Z453" s="13" t="str">
        <f>IF($X453="","",SUMIFS(TARIFF_PROFILES!$E:$E,TARIFF_PROFILES!$A:$A,$X453))</f>
        <v/>
      </c>
      <c r="AA453" s="13" t="str">
        <f>IF($X453="","",SUMIFS(TARIFF_PROFILES!$F:$F,TARIFF_PROFILES!$A:$A,$X453))</f>
        <v/>
      </c>
      <c r="AB453" s="13" t="str">
        <f>IF($X453="","",SUMIFS(TARIFF_PROFILES!$G:$G,TARIFF_PROFILES!$A:$A,$X453))</f>
        <v/>
      </c>
      <c r="AC453" s="13" t="str">
        <f>IF($X453="","",SUMIFS(TARIFF_PROFILES!$H:$H,TARIFF_PROFILES!$A:$A,$X453))</f>
        <v/>
      </c>
      <c r="AD453" s="13" t="str">
        <f>IF($X453="","",INDEX(TARIFF_PROFILES!$J:$J,MATCH($X453,TARIFF_PROFILES!$A:$A,0)))</f>
        <v/>
      </c>
      <c r="AE453" s="13" t="str">
        <f>IF($X453="","",INDEX(TARIFF_PROFILES!$K:$K,MATCH($X453,TARIFF_PROFILES!$A:$A,0)))</f>
        <v/>
      </c>
      <c r="AH453" t="str">
        <f>IF($AG453="","",SUMIFS(OPERATING_COEFFS!$C:$C,OPERATING_COEFFS!$A:$A,"DistanceClass",OPERATING_COEFFS!$B:$B,$AG453))</f>
        <v/>
      </c>
      <c r="AJ453" t="str">
        <f>IF($AI453="","",SUMIFS(OPERATING_COEFFS!$C:$C,OPERATING_COEFFS!$A:$A,"SeasonClass",OPERATING_COEFFS!$B:$B,$AI453))</f>
        <v/>
      </c>
      <c r="AL453" t="str">
        <f>IF($AK453="","",SUMIFS(OPERATING_COEFFS!$C:$C,OPERATING_COEFFS!$A:$A,"UrgencyClass",OPERATING_COEFFS!$B:$B,$AK453))</f>
        <v/>
      </c>
      <c r="AN453" t="str">
        <f>IF($AM453="","",INDEX(TAX_MODES!$B:$B,MATCH($AM453,TAX_MODES!$A:$A,0)))</f>
        <v/>
      </c>
    </row>
    <row r="454" spans="24:40" x14ac:dyDescent="0.3">
      <c r="X454" s="13"/>
      <c r="Y454" s="13" t="str">
        <f>IF($X454="","",SUMIFS(TARIFF_PROFILES!$D:$D,TARIFF_PROFILES!$A:$A,$X454))</f>
        <v/>
      </c>
      <c r="Z454" s="13" t="str">
        <f>IF($X454="","",SUMIFS(TARIFF_PROFILES!$E:$E,TARIFF_PROFILES!$A:$A,$X454))</f>
        <v/>
      </c>
      <c r="AA454" s="13" t="str">
        <f>IF($X454="","",SUMIFS(TARIFF_PROFILES!$F:$F,TARIFF_PROFILES!$A:$A,$X454))</f>
        <v/>
      </c>
      <c r="AB454" s="13" t="str">
        <f>IF($X454="","",SUMIFS(TARIFF_PROFILES!$G:$G,TARIFF_PROFILES!$A:$A,$X454))</f>
        <v/>
      </c>
      <c r="AC454" s="13" t="str">
        <f>IF($X454="","",SUMIFS(TARIFF_PROFILES!$H:$H,TARIFF_PROFILES!$A:$A,$X454))</f>
        <v/>
      </c>
      <c r="AD454" s="13" t="str">
        <f>IF($X454="","",INDEX(TARIFF_PROFILES!$J:$J,MATCH($X454,TARIFF_PROFILES!$A:$A,0)))</f>
        <v/>
      </c>
      <c r="AE454" s="13" t="str">
        <f>IF($X454="","",INDEX(TARIFF_PROFILES!$K:$K,MATCH($X454,TARIFF_PROFILES!$A:$A,0)))</f>
        <v/>
      </c>
      <c r="AH454" t="str">
        <f>IF($AG454="","",SUMIFS(OPERATING_COEFFS!$C:$C,OPERATING_COEFFS!$A:$A,"DistanceClass",OPERATING_COEFFS!$B:$B,$AG454))</f>
        <v/>
      </c>
      <c r="AJ454" t="str">
        <f>IF($AI454="","",SUMIFS(OPERATING_COEFFS!$C:$C,OPERATING_COEFFS!$A:$A,"SeasonClass",OPERATING_COEFFS!$B:$B,$AI454))</f>
        <v/>
      </c>
      <c r="AL454" t="str">
        <f>IF($AK454="","",SUMIFS(OPERATING_COEFFS!$C:$C,OPERATING_COEFFS!$A:$A,"UrgencyClass",OPERATING_COEFFS!$B:$B,$AK454))</f>
        <v/>
      </c>
      <c r="AN454" t="str">
        <f>IF($AM454="","",INDEX(TAX_MODES!$B:$B,MATCH($AM454,TAX_MODES!$A:$A,0)))</f>
        <v/>
      </c>
    </row>
    <row r="455" spans="24:40" x14ac:dyDescent="0.3">
      <c r="X455" s="13"/>
      <c r="Y455" s="13" t="str">
        <f>IF($X455="","",SUMIFS(TARIFF_PROFILES!$D:$D,TARIFF_PROFILES!$A:$A,$X455))</f>
        <v/>
      </c>
      <c r="Z455" s="13" t="str">
        <f>IF($X455="","",SUMIFS(TARIFF_PROFILES!$E:$E,TARIFF_PROFILES!$A:$A,$X455))</f>
        <v/>
      </c>
      <c r="AA455" s="13" t="str">
        <f>IF($X455="","",SUMIFS(TARIFF_PROFILES!$F:$F,TARIFF_PROFILES!$A:$A,$X455))</f>
        <v/>
      </c>
      <c r="AB455" s="13" t="str">
        <f>IF($X455="","",SUMIFS(TARIFF_PROFILES!$G:$G,TARIFF_PROFILES!$A:$A,$X455))</f>
        <v/>
      </c>
      <c r="AC455" s="13" t="str">
        <f>IF($X455="","",SUMIFS(TARIFF_PROFILES!$H:$H,TARIFF_PROFILES!$A:$A,$X455))</f>
        <v/>
      </c>
      <c r="AD455" s="13" t="str">
        <f>IF($X455="","",INDEX(TARIFF_PROFILES!$J:$J,MATCH($X455,TARIFF_PROFILES!$A:$A,0)))</f>
        <v/>
      </c>
      <c r="AE455" s="13" t="str">
        <f>IF($X455="","",INDEX(TARIFF_PROFILES!$K:$K,MATCH($X455,TARIFF_PROFILES!$A:$A,0)))</f>
        <v/>
      </c>
      <c r="AH455" t="str">
        <f>IF($AG455="","",SUMIFS(OPERATING_COEFFS!$C:$C,OPERATING_COEFFS!$A:$A,"DistanceClass",OPERATING_COEFFS!$B:$B,$AG455))</f>
        <v/>
      </c>
      <c r="AJ455" t="str">
        <f>IF($AI455="","",SUMIFS(OPERATING_COEFFS!$C:$C,OPERATING_COEFFS!$A:$A,"SeasonClass",OPERATING_COEFFS!$B:$B,$AI455))</f>
        <v/>
      </c>
      <c r="AL455" t="str">
        <f>IF($AK455="","",SUMIFS(OPERATING_COEFFS!$C:$C,OPERATING_COEFFS!$A:$A,"UrgencyClass",OPERATING_COEFFS!$B:$B,$AK455))</f>
        <v/>
      </c>
      <c r="AN455" t="str">
        <f>IF($AM455="","",INDEX(TAX_MODES!$B:$B,MATCH($AM455,TAX_MODES!$A:$A,0)))</f>
        <v/>
      </c>
    </row>
    <row r="456" spans="24:40" x14ac:dyDescent="0.3">
      <c r="X456" s="13"/>
      <c r="Y456" s="13" t="str">
        <f>IF($X456="","",SUMIFS(TARIFF_PROFILES!$D:$D,TARIFF_PROFILES!$A:$A,$X456))</f>
        <v/>
      </c>
      <c r="Z456" s="13" t="str">
        <f>IF($X456="","",SUMIFS(TARIFF_PROFILES!$E:$E,TARIFF_PROFILES!$A:$A,$X456))</f>
        <v/>
      </c>
      <c r="AA456" s="13" t="str">
        <f>IF($X456="","",SUMIFS(TARIFF_PROFILES!$F:$F,TARIFF_PROFILES!$A:$A,$X456))</f>
        <v/>
      </c>
      <c r="AB456" s="13" t="str">
        <f>IF($X456="","",SUMIFS(TARIFF_PROFILES!$G:$G,TARIFF_PROFILES!$A:$A,$X456))</f>
        <v/>
      </c>
      <c r="AC456" s="13" t="str">
        <f>IF($X456="","",SUMIFS(TARIFF_PROFILES!$H:$H,TARIFF_PROFILES!$A:$A,$X456))</f>
        <v/>
      </c>
      <c r="AD456" s="13" t="str">
        <f>IF($X456="","",INDEX(TARIFF_PROFILES!$J:$J,MATCH($X456,TARIFF_PROFILES!$A:$A,0)))</f>
        <v/>
      </c>
      <c r="AE456" s="13" t="str">
        <f>IF($X456="","",INDEX(TARIFF_PROFILES!$K:$K,MATCH($X456,TARIFF_PROFILES!$A:$A,0)))</f>
        <v/>
      </c>
      <c r="AH456" t="str">
        <f>IF($AG456="","",SUMIFS(OPERATING_COEFFS!$C:$C,OPERATING_COEFFS!$A:$A,"DistanceClass",OPERATING_COEFFS!$B:$B,$AG456))</f>
        <v/>
      </c>
      <c r="AJ456" t="str">
        <f>IF($AI456="","",SUMIFS(OPERATING_COEFFS!$C:$C,OPERATING_COEFFS!$A:$A,"SeasonClass",OPERATING_COEFFS!$B:$B,$AI456))</f>
        <v/>
      </c>
      <c r="AL456" t="str">
        <f>IF($AK456="","",SUMIFS(OPERATING_COEFFS!$C:$C,OPERATING_COEFFS!$A:$A,"UrgencyClass",OPERATING_COEFFS!$B:$B,$AK456))</f>
        <v/>
      </c>
      <c r="AN456" t="str">
        <f>IF($AM456="","",INDEX(TAX_MODES!$B:$B,MATCH($AM456,TAX_MODES!$A:$A,0)))</f>
        <v/>
      </c>
    </row>
    <row r="457" spans="24:40" x14ac:dyDescent="0.3">
      <c r="X457" s="13"/>
      <c r="Y457" s="13" t="str">
        <f>IF($X457="","",SUMIFS(TARIFF_PROFILES!$D:$D,TARIFF_PROFILES!$A:$A,$X457))</f>
        <v/>
      </c>
      <c r="Z457" s="13" t="str">
        <f>IF($X457="","",SUMIFS(TARIFF_PROFILES!$E:$E,TARIFF_PROFILES!$A:$A,$X457))</f>
        <v/>
      </c>
      <c r="AA457" s="13" t="str">
        <f>IF($X457="","",SUMIFS(TARIFF_PROFILES!$F:$F,TARIFF_PROFILES!$A:$A,$X457))</f>
        <v/>
      </c>
      <c r="AB457" s="13" t="str">
        <f>IF($X457="","",SUMIFS(TARIFF_PROFILES!$G:$G,TARIFF_PROFILES!$A:$A,$X457))</f>
        <v/>
      </c>
      <c r="AC457" s="13" t="str">
        <f>IF($X457="","",SUMIFS(TARIFF_PROFILES!$H:$H,TARIFF_PROFILES!$A:$A,$X457))</f>
        <v/>
      </c>
      <c r="AD457" s="13" t="str">
        <f>IF($X457="","",INDEX(TARIFF_PROFILES!$J:$J,MATCH($X457,TARIFF_PROFILES!$A:$A,0)))</f>
        <v/>
      </c>
      <c r="AE457" s="13" t="str">
        <f>IF($X457="","",INDEX(TARIFF_PROFILES!$K:$K,MATCH($X457,TARIFF_PROFILES!$A:$A,0)))</f>
        <v/>
      </c>
      <c r="AH457" t="str">
        <f>IF($AG457="","",SUMIFS(OPERATING_COEFFS!$C:$C,OPERATING_COEFFS!$A:$A,"DistanceClass",OPERATING_COEFFS!$B:$B,$AG457))</f>
        <v/>
      </c>
      <c r="AJ457" t="str">
        <f>IF($AI457="","",SUMIFS(OPERATING_COEFFS!$C:$C,OPERATING_COEFFS!$A:$A,"SeasonClass",OPERATING_COEFFS!$B:$B,$AI457))</f>
        <v/>
      </c>
      <c r="AL457" t="str">
        <f>IF($AK457="","",SUMIFS(OPERATING_COEFFS!$C:$C,OPERATING_COEFFS!$A:$A,"UrgencyClass",OPERATING_COEFFS!$B:$B,$AK457))</f>
        <v/>
      </c>
      <c r="AN457" t="str">
        <f>IF($AM457="","",INDEX(TAX_MODES!$B:$B,MATCH($AM457,TAX_MODES!$A:$A,0)))</f>
        <v/>
      </c>
    </row>
    <row r="458" spans="24:40" x14ac:dyDescent="0.3">
      <c r="X458" s="13"/>
      <c r="Y458" s="13" t="str">
        <f>IF($X458="","",SUMIFS(TARIFF_PROFILES!$D:$D,TARIFF_PROFILES!$A:$A,$X458))</f>
        <v/>
      </c>
      <c r="Z458" s="13" t="str">
        <f>IF($X458="","",SUMIFS(TARIFF_PROFILES!$E:$E,TARIFF_PROFILES!$A:$A,$X458))</f>
        <v/>
      </c>
      <c r="AA458" s="13" t="str">
        <f>IF($X458="","",SUMIFS(TARIFF_PROFILES!$F:$F,TARIFF_PROFILES!$A:$A,$X458))</f>
        <v/>
      </c>
      <c r="AB458" s="13" t="str">
        <f>IF($X458="","",SUMIFS(TARIFF_PROFILES!$G:$G,TARIFF_PROFILES!$A:$A,$X458))</f>
        <v/>
      </c>
      <c r="AC458" s="13" t="str">
        <f>IF($X458="","",SUMIFS(TARIFF_PROFILES!$H:$H,TARIFF_PROFILES!$A:$A,$X458))</f>
        <v/>
      </c>
      <c r="AD458" s="13" t="str">
        <f>IF($X458="","",INDEX(TARIFF_PROFILES!$J:$J,MATCH($X458,TARIFF_PROFILES!$A:$A,0)))</f>
        <v/>
      </c>
      <c r="AE458" s="13" t="str">
        <f>IF($X458="","",INDEX(TARIFF_PROFILES!$K:$K,MATCH($X458,TARIFF_PROFILES!$A:$A,0)))</f>
        <v/>
      </c>
      <c r="AH458" t="str">
        <f>IF($AG458="","",SUMIFS(OPERATING_COEFFS!$C:$C,OPERATING_COEFFS!$A:$A,"DistanceClass",OPERATING_COEFFS!$B:$B,$AG458))</f>
        <v/>
      </c>
      <c r="AJ458" t="str">
        <f>IF($AI458="","",SUMIFS(OPERATING_COEFFS!$C:$C,OPERATING_COEFFS!$A:$A,"SeasonClass",OPERATING_COEFFS!$B:$B,$AI458))</f>
        <v/>
      </c>
      <c r="AL458" t="str">
        <f>IF($AK458="","",SUMIFS(OPERATING_COEFFS!$C:$C,OPERATING_COEFFS!$A:$A,"UrgencyClass",OPERATING_COEFFS!$B:$B,$AK458))</f>
        <v/>
      </c>
      <c r="AN458" t="str">
        <f>IF($AM458="","",INDEX(TAX_MODES!$B:$B,MATCH($AM458,TAX_MODES!$A:$A,0)))</f>
        <v/>
      </c>
    </row>
    <row r="459" spans="24:40" x14ac:dyDescent="0.3">
      <c r="X459" s="13"/>
      <c r="Y459" s="13" t="str">
        <f>IF($X459="","",SUMIFS(TARIFF_PROFILES!$D:$D,TARIFF_PROFILES!$A:$A,$X459))</f>
        <v/>
      </c>
      <c r="Z459" s="13" t="str">
        <f>IF($X459="","",SUMIFS(TARIFF_PROFILES!$E:$E,TARIFF_PROFILES!$A:$A,$X459))</f>
        <v/>
      </c>
      <c r="AA459" s="13" t="str">
        <f>IF($X459="","",SUMIFS(TARIFF_PROFILES!$F:$F,TARIFF_PROFILES!$A:$A,$X459))</f>
        <v/>
      </c>
      <c r="AB459" s="13" t="str">
        <f>IF($X459="","",SUMIFS(TARIFF_PROFILES!$G:$G,TARIFF_PROFILES!$A:$A,$X459))</f>
        <v/>
      </c>
      <c r="AC459" s="13" t="str">
        <f>IF($X459="","",SUMIFS(TARIFF_PROFILES!$H:$H,TARIFF_PROFILES!$A:$A,$X459))</f>
        <v/>
      </c>
      <c r="AD459" s="13" t="str">
        <f>IF($X459="","",INDEX(TARIFF_PROFILES!$J:$J,MATCH($X459,TARIFF_PROFILES!$A:$A,0)))</f>
        <v/>
      </c>
      <c r="AE459" s="13" t="str">
        <f>IF($X459="","",INDEX(TARIFF_PROFILES!$K:$K,MATCH($X459,TARIFF_PROFILES!$A:$A,0)))</f>
        <v/>
      </c>
      <c r="AH459" t="str">
        <f>IF($AG459="","",SUMIFS(OPERATING_COEFFS!$C:$C,OPERATING_COEFFS!$A:$A,"DistanceClass",OPERATING_COEFFS!$B:$B,$AG459))</f>
        <v/>
      </c>
      <c r="AJ459" t="str">
        <f>IF($AI459="","",SUMIFS(OPERATING_COEFFS!$C:$C,OPERATING_COEFFS!$A:$A,"SeasonClass",OPERATING_COEFFS!$B:$B,$AI459))</f>
        <v/>
      </c>
      <c r="AL459" t="str">
        <f>IF($AK459="","",SUMIFS(OPERATING_COEFFS!$C:$C,OPERATING_COEFFS!$A:$A,"UrgencyClass",OPERATING_COEFFS!$B:$B,$AK459))</f>
        <v/>
      </c>
      <c r="AN459" t="str">
        <f>IF($AM459="","",INDEX(TAX_MODES!$B:$B,MATCH($AM459,TAX_MODES!$A:$A,0)))</f>
        <v/>
      </c>
    </row>
    <row r="460" spans="24:40" x14ac:dyDescent="0.3">
      <c r="X460" s="13"/>
      <c r="Y460" s="13" t="str">
        <f>IF($X460="","",SUMIFS(TARIFF_PROFILES!$D:$D,TARIFF_PROFILES!$A:$A,$X460))</f>
        <v/>
      </c>
      <c r="Z460" s="13" t="str">
        <f>IF($X460="","",SUMIFS(TARIFF_PROFILES!$E:$E,TARIFF_PROFILES!$A:$A,$X460))</f>
        <v/>
      </c>
      <c r="AA460" s="13" t="str">
        <f>IF($X460="","",SUMIFS(TARIFF_PROFILES!$F:$F,TARIFF_PROFILES!$A:$A,$X460))</f>
        <v/>
      </c>
      <c r="AB460" s="13" t="str">
        <f>IF($X460="","",SUMIFS(TARIFF_PROFILES!$G:$G,TARIFF_PROFILES!$A:$A,$X460))</f>
        <v/>
      </c>
      <c r="AC460" s="13" t="str">
        <f>IF($X460="","",SUMIFS(TARIFF_PROFILES!$H:$H,TARIFF_PROFILES!$A:$A,$X460))</f>
        <v/>
      </c>
      <c r="AD460" s="13" t="str">
        <f>IF($X460="","",INDEX(TARIFF_PROFILES!$J:$J,MATCH($X460,TARIFF_PROFILES!$A:$A,0)))</f>
        <v/>
      </c>
      <c r="AE460" s="13" t="str">
        <f>IF($X460="","",INDEX(TARIFF_PROFILES!$K:$K,MATCH($X460,TARIFF_PROFILES!$A:$A,0)))</f>
        <v/>
      </c>
      <c r="AH460" t="str">
        <f>IF($AG460="","",SUMIFS(OPERATING_COEFFS!$C:$C,OPERATING_COEFFS!$A:$A,"DistanceClass",OPERATING_COEFFS!$B:$B,$AG460))</f>
        <v/>
      </c>
      <c r="AJ460" t="str">
        <f>IF($AI460="","",SUMIFS(OPERATING_COEFFS!$C:$C,OPERATING_COEFFS!$A:$A,"SeasonClass",OPERATING_COEFFS!$B:$B,$AI460))</f>
        <v/>
      </c>
      <c r="AL460" t="str">
        <f>IF($AK460="","",SUMIFS(OPERATING_COEFFS!$C:$C,OPERATING_COEFFS!$A:$A,"UrgencyClass",OPERATING_COEFFS!$B:$B,$AK460))</f>
        <v/>
      </c>
      <c r="AN460" t="str">
        <f>IF($AM460="","",INDEX(TAX_MODES!$B:$B,MATCH($AM460,TAX_MODES!$A:$A,0)))</f>
        <v/>
      </c>
    </row>
    <row r="461" spans="24:40" x14ac:dyDescent="0.3">
      <c r="X461" s="13"/>
      <c r="Y461" s="13" t="str">
        <f>IF($X461="","",SUMIFS(TARIFF_PROFILES!$D:$D,TARIFF_PROFILES!$A:$A,$X461))</f>
        <v/>
      </c>
      <c r="Z461" s="13" t="str">
        <f>IF($X461="","",SUMIFS(TARIFF_PROFILES!$E:$E,TARIFF_PROFILES!$A:$A,$X461))</f>
        <v/>
      </c>
      <c r="AA461" s="13" t="str">
        <f>IF($X461="","",SUMIFS(TARIFF_PROFILES!$F:$F,TARIFF_PROFILES!$A:$A,$X461))</f>
        <v/>
      </c>
      <c r="AB461" s="13" t="str">
        <f>IF($X461="","",SUMIFS(TARIFF_PROFILES!$G:$G,TARIFF_PROFILES!$A:$A,$X461))</f>
        <v/>
      </c>
      <c r="AC461" s="13" t="str">
        <f>IF($X461="","",SUMIFS(TARIFF_PROFILES!$H:$H,TARIFF_PROFILES!$A:$A,$X461))</f>
        <v/>
      </c>
      <c r="AD461" s="13" t="str">
        <f>IF($X461="","",INDEX(TARIFF_PROFILES!$J:$J,MATCH($X461,TARIFF_PROFILES!$A:$A,0)))</f>
        <v/>
      </c>
      <c r="AE461" s="13" t="str">
        <f>IF($X461="","",INDEX(TARIFF_PROFILES!$K:$K,MATCH($X461,TARIFF_PROFILES!$A:$A,0)))</f>
        <v/>
      </c>
      <c r="AH461" t="str">
        <f>IF($AG461="","",SUMIFS(OPERATING_COEFFS!$C:$C,OPERATING_COEFFS!$A:$A,"DistanceClass",OPERATING_COEFFS!$B:$B,$AG461))</f>
        <v/>
      </c>
      <c r="AJ461" t="str">
        <f>IF($AI461="","",SUMIFS(OPERATING_COEFFS!$C:$C,OPERATING_COEFFS!$A:$A,"SeasonClass",OPERATING_COEFFS!$B:$B,$AI461))</f>
        <v/>
      </c>
      <c r="AL461" t="str">
        <f>IF($AK461="","",SUMIFS(OPERATING_COEFFS!$C:$C,OPERATING_COEFFS!$A:$A,"UrgencyClass",OPERATING_COEFFS!$B:$B,$AK461))</f>
        <v/>
      </c>
      <c r="AN461" t="str">
        <f>IF($AM461="","",INDEX(TAX_MODES!$B:$B,MATCH($AM461,TAX_MODES!$A:$A,0)))</f>
        <v/>
      </c>
    </row>
    <row r="462" spans="24:40" x14ac:dyDescent="0.3">
      <c r="X462" s="13"/>
      <c r="Y462" s="13" t="str">
        <f>IF($X462="","",SUMIFS(TARIFF_PROFILES!$D:$D,TARIFF_PROFILES!$A:$A,$X462))</f>
        <v/>
      </c>
      <c r="Z462" s="13" t="str">
        <f>IF($X462="","",SUMIFS(TARIFF_PROFILES!$E:$E,TARIFF_PROFILES!$A:$A,$X462))</f>
        <v/>
      </c>
      <c r="AA462" s="13" t="str">
        <f>IF($X462="","",SUMIFS(TARIFF_PROFILES!$F:$F,TARIFF_PROFILES!$A:$A,$X462))</f>
        <v/>
      </c>
      <c r="AB462" s="13" t="str">
        <f>IF($X462="","",SUMIFS(TARIFF_PROFILES!$G:$G,TARIFF_PROFILES!$A:$A,$X462))</f>
        <v/>
      </c>
      <c r="AC462" s="13" t="str">
        <f>IF($X462="","",SUMIFS(TARIFF_PROFILES!$H:$H,TARIFF_PROFILES!$A:$A,$X462))</f>
        <v/>
      </c>
      <c r="AD462" s="13" t="str">
        <f>IF($X462="","",INDEX(TARIFF_PROFILES!$J:$J,MATCH($X462,TARIFF_PROFILES!$A:$A,0)))</f>
        <v/>
      </c>
      <c r="AE462" s="13" t="str">
        <f>IF($X462="","",INDEX(TARIFF_PROFILES!$K:$K,MATCH($X462,TARIFF_PROFILES!$A:$A,0)))</f>
        <v/>
      </c>
      <c r="AH462" t="str">
        <f>IF($AG462="","",SUMIFS(OPERATING_COEFFS!$C:$C,OPERATING_COEFFS!$A:$A,"DistanceClass",OPERATING_COEFFS!$B:$B,$AG462))</f>
        <v/>
      </c>
      <c r="AJ462" t="str">
        <f>IF($AI462="","",SUMIFS(OPERATING_COEFFS!$C:$C,OPERATING_COEFFS!$A:$A,"SeasonClass",OPERATING_COEFFS!$B:$B,$AI462))</f>
        <v/>
      </c>
      <c r="AL462" t="str">
        <f>IF($AK462="","",SUMIFS(OPERATING_COEFFS!$C:$C,OPERATING_COEFFS!$A:$A,"UrgencyClass",OPERATING_COEFFS!$B:$B,$AK462))</f>
        <v/>
      </c>
      <c r="AN462" t="str">
        <f>IF($AM462="","",INDEX(TAX_MODES!$B:$B,MATCH($AM462,TAX_MODES!$A:$A,0)))</f>
        <v/>
      </c>
    </row>
    <row r="463" spans="24:40" x14ac:dyDescent="0.3">
      <c r="X463" s="13"/>
      <c r="Y463" s="13" t="str">
        <f>IF($X463="","",SUMIFS(TARIFF_PROFILES!$D:$D,TARIFF_PROFILES!$A:$A,$X463))</f>
        <v/>
      </c>
      <c r="Z463" s="13" t="str">
        <f>IF($X463="","",SUMIFS(TARIFF_PROFILES!$E:$E,TARIFF_PROFILES!$A:$A,$X463))</f>
        <v/>
      </c>
      <c r="AA463" s="13" t="str">
        <f>IF($X463="","",SUMIFS(TARIFF_PROFILES!$F:$F,TARIFF_PROFILES!$A:$A,$X463))</f>
        <v/>
      </c>
      <c r="AB463" s="13" t="str">
        <f>IF($X463="","",SUMIFS(TARIFF_PROFILES!$G:$G,TARIFF_PROFILES!$A:$A,$X463))</f>
        <v/>
      </c>
      <c r="AC463" s="13" t="str">
        <f>IF($X463="","",SUMIFS(TARIFF_PROFILES!$H:$H,TARIFF_PROFILES!$A:$A,$X463))</f>
        <v/>
      </c>
      <c r="AD463" s="13" t="str">
        <f>IF($X463="","",INDEX(TARIFF_PROFILES!$J:$J,MATCH($X463,TARIFF_PROFILES!$A:$A,0)))</f>
        <v/>
      </c>
      <c r="AE463" s="13" t="str">
        <f>IF($X463="","",INDEX(TARIFF_PROFILES!$K:$K,MATCH($X463,TARIFF_PROFILES!$A:$A,0)))</f>
        <v/>
      </c>
      <c r="AH463" t="str">
        <f>IF($AG463="","",SUMIFS(OPERATING_COEFFS!$C:$C,OPERATING_COEFFS!$A:$A,"DistanceClass",OPERATING_COEFFS!$B:$B,$AG463))</f>
        <v/>
      </c>
      <c r="AJ463" t="str">
        <f>IF($AI463="","",SUMIFS(OPERATING_COEFFS!$C:$C,OPERATING_COEFFS!$A:$A,"SeasonClass",OPERATING_COEFFS!$B:$B,$AI463))</f>
        <v/>
      </c>
      <c r="AL463" t="str">
        <f>IF($AK463="","",SUMIFS(OPERATING_COEFFS!$C:$C,OPERATING_COEFFS!$A:$A,"UrgencyClass",OPERATING_COEFFS!$B:$B,$AK463))</f>
        <v/>
      </c>
      <c r="AN463" t="str">
        <f>IF($AM463="","",INDEX(TAX_MODES!$B:$B,MATCH($AM463,TAX_MODES!$A:$A,0)))</f>
        <v/>
      </c>
    </row>
    <row r="464" spans="24:40" x14ac:dyDescent="0.3">
      <c r="X464" s="13"/>
      <c r="Y464" s="13" t="str">
        <f>IF($X464="","",SUMIFS(TARIFF_PROFILES!$D:$D,TARIFF_PROFILES!$A:$A,$X464))</f>
        <v/>
      </c>
      <c r="Z464" s="13" t="str">
        <f>IF($X464="","",SUMIFS(TARIFF_PROFILES!$E:$E,TARIFF_PROFILES!$A:$A,$X464))</f>
        <v/>
      </c>
      <c r="AA464" s="13" t="str">
        <f>IF($X464="","",SUMIFS(TARIFF_PROFILES!$F:$F,TARIFF_PROFILES!$A:$A,$X464))</f>
        <v/>
      </c>
      <c r="AB464" s="13" t="str">
        <f>IF($X464="","",SUMIFS(TARIFF_PROFILES!$G:$G,TARIFF_PROFILES!$A:$A,$X464))</f>
        <v/>
      </c>
      <c r="AC464" s="13" t="str">
        <f>IF($X464="","",SUMIFS(TARIFF_PROFILES!$H:$H,TARIFF_PROFILES!$A:$A,$X464))</f>
        <v/>
      </c>
      <c r="AD464" s="13" t="str">
        <f>IF($X464="","",INDEX(TARIFF_PROFILES!$J:$J,MATCH($X464,TARIFF_PROFILES!$A:$A,0)))</f>
        <v/>
      </c>
      <c r="AE464" s="13" t="str">
        <f>IF($X464="","",INDEX(TARIFF_PROFILES!$K:$K,MATCH($X464,TARIFF_PROFILES!$A:$A,0)))</f>
        <v/>
      </c>
      <c r="AH464" t="str">
        <f>IF($AG464="","",SUMIFS(OPERATING_COEFFS!$C:$C,OPERATING_COEFFS!$A:$A,"DistanceClass",OPERATING_COEFFS!$B:$B,$AG464))</f>
        <v/>
      </c>
      <c r="AJ464" t="str">
        <f>IF($AI464="","",SUMIFS(OPERATING_COEFFS!$C:$C,OPERATING_COEFFS!$A:$A,"SeasonClass",OPERATING_COEFFS!$B:$B,$AI464))</f>
        <v/>
      </c>
      <c r="AL464" t="str">
        <f>IF($AK464="","",SUMIFS(OPERATING_COEFFS!$C:$C,OPERATING_COEFFS!$A:$A,"UrgencyClass",OPERATING_COEFFS!$B:$B,$AK464))</f>
        <v/>
      </c>
      <c r="AN464" t="str">
        <f>IF($AM464="","",INDEX(TAX_MODES!$B:$B,MATCH($AM464,TAX_MODES!$A:$A,0)))</f>
        <v/>
      </c>
    </row>
    <row r="465" spans="24:40" x14ac:dyDescent="0.3">
      <c r="X465" s="13"/>
      <c r="Y465" s="13" t="str">
        <f>IF($X465="","",SUMIFS(TARIFF_PROFILES!$D:$D,TARIFF_PROFILES!$A:$A,$X465))</f>
        <v/>
      </c>
      <c r="Z465" s="13" t="str">
        <f>IF($X465="","",SUMIFS(TARIFF_PROFILES!$E:$E,TARIFF_PROFILES!$A:$A,$X465))</f>
        <v/>
      </c>
      <c r="AA465" s="13" t="str">
        <f>IF($X465="","",SUMIFS(TARIFF_PROFILES!$F:$F,TARIFF_PROFILES!$A:$A,$X465))</f>
        <v/>
      </c>
      <c r="AB465" s="13" t="str">
        <f>IF($X465="","",SUMIFS(TARIFF_PROFILES!$G:$G,TARIFF_PROFILES!$A:$A,$X465))</f>
        <v/>
      </c>
      <c r="AC465" s="13" t="str">
        <f>IF($X465="","",SUMIFS(TARIFF_PROFILES!$H:$H,TARIFF_PROFILES!$A:$A,$X465))</f>
        <v/>
      </c>
      <c r="AD465" s="13" t="str">
        <f>IF($X465="","",INDEX(TARIFF_PROFILES!$J:$J,MATCH($X465,TARIFF_PROFILES!$A:$A,0)))</f>
        <v/>
      </c>
      <c r="AE465" s="13" t="str">
        <f>IF($X465="","",INDEX(TARIFF_PROFILES!$K:$K,MATCH($X465,TARIFF_PROFILES!$A:$A,0)))</f>
        <v/>
      </c>
      <c r="AH465" t="str">
        <f>IF($AG465="","",SUMIFS(OPERATING_COEFFS!$C:$C,OPERATING_COEFFS!$A:$A,"DistanceClass",OPERATING_COEFFS!$B:$B,$AG465))</f>
        <v/>
      </c>
      <c r="AJ465" t="str">
        <f>IF($AI465="","",SUMIFS(OPERATING_COEFFS!$C:$C,OPERATING_COEFFS!$A:$A,"SeasonClass",OPERATING_COEFFS!$B:$B,$AI465))</f>
        <v/>
      </c>
      <c r="AL465" t="str">
        <f>IF($AK465="","",SUMIFS(OPERATING_COEFFS!$C:$C,OPERATING_COEFFS!$A:$A,"UrgencyClass",OPERATING_COEFFS!$B:$B,$AK465))</f>
        <v/>
      </c>
      <c r="AN465" t="str">
        <f>IF($AM465="","",INDEX(TAX_MODES!$B:$B,MATCH($AM465,TAX_MODES!$A:$A,0)))</f>
        <v/>
      </c>
    </row>
    <row r="466" spans="24:40" x14ac:dyDescent="0.3">
      <c r="X466" s="13"/>
      <c r="Y466" s="13" t="str">
        <f>IF($X466="","",SUMIFS(TARIFF_PROFILES!$D:$D,TARIFF_PROFILES!$A:$A,$X466))</f>
        <v/>
      </c>
      <c r="Z466" s="13" t="str">
        <f>IF($X466="","",SUMIFS(TARIFF_PROFILES!$E:$E,TARIFF_PROFILES!$A:$A,$X466))</f>
        <v/>
      </c>
      <c r="AA466" s="13" t="str">
        <f>IF($X466="","",SUMIFS(TARIFF_PROFILES!$F:$F,TARIFF_PROFILES!$A:$A,$X466))</f>
        <v/>
      </c>
      <c r="AB466" s="13" t="str">
        <f>IF($X466="","",SUMIFS(TARIFF_PROFILES!$G:$G,TARIFF_PROFILES!$A:$A,$X466))</f>
        <v/>
      </c>
      <c r="AC466" s="13" t="str">
        <f>IF($X466="","",SUMIFS(TARIFF_PROFILES!$H:$H,TARIFF_PROFILES!$A:$A,$X466))</f>
        <v/>
      </c>
      <c r="AD466" s="13" t="str">
        <f>IF($X466="","",INDEX(TARIFF_PROFILES!$J:$J,MATCH($X466,TARIFF_PROFILES!$A:$A,0)))</f>
        <v/>
      </c>
      <c r="AE466" s="13" t="str">
        <f>IF($X466="","",INDEX(TARIFF_PROFILES!$K:$K,MATCH($X466,TARIFF_PROFILES!$A:$A,0)))</f>
        <v/>
      </c>
      <c r="AH466" t="str">
        <f>IF($AG466="","",SUMIFS(OPERATING_COEFFS!$C:$C,OPERATING_COEFFS!$A:$A,"DistanceClass",OPERATING_COEFFS!$B:$B,$AG466))</f>
        <v/>
      </c>
      <c r="AJ466" t="str">
        <f>IF($AI466="","",SUMIFS(OPERATING_COEFFS!$C:$C,OPERATING_COEFFS!$A:$A,"SeasonClass",OPERATING_COEFFS!$B:$B,$AI466))</f>
        <v/>
      </c>
      <c r="AL466" t="str">
        <f>IF($AK466="","",SUMIFS(OPERATING_COEFFS!$C:$C,OPERATING_COEFFS!$A:$A,"UrgencyClass",OPERATING_COEFFS!$B:$B,$AK466))</f>
        <v/>
      </c>
      <c r="AN466" t="str">
        <f>IF($AM466="","",INDEX(TAX_MODES!$B:$B,MATCH($AM466,TAX_MODES!$A:$A,0)))</f>
        <v/>
      </c>
    </row>
    <row r="467" spans="24:40" x14ac:dyDescent="0.3">
      <c r="X467" s="13"/>
      <c r="Y467" s="13" t="str">
        <f>IF($X467="","",SUMIFS(TARIFF_PROFILES!$D:$D,TARIFF_PROFILES!$A:$A,$X467))</f>
        <v/>
      </c>
      <c r="Z467" s="13" t="str">
        <f>IF($X467="","",SUMIFS(TARIFF_PROFILES!$E:$E,TARIFF_PROFILES!$A:$A,$X467))</f>
        <v/>
      </c>
      <c r="AA467" s="13" t="str">
        <f>IF($X467="","",SUMIFS(TARIFF_PROFILES!$F:$F,TARIFF_PROFILES!$A:$A,$X467))</f>
        <v/>
      </c>
      <c r="AB467" s="13" t="str">
        <f>IF($X467="","",SUMIFS(TARIFF_PROFILES!$G:$G,TARIFF_PROFILES!$A:$A,$X467))</f>
        <v/>
      </c>
      <c r="AC467" s="13" t="str">
        <f>IF($X467="","",SUMIFS(TARIFF_PROFILES!$H:$H,TARIFF_PROFILES!$A:$A,$X467))</f>
        <v/>
      </c>
      <c r="AD467" s="13" t="str">
        <f>IF($X467="","",INDEX(TARIFF_PROFILES!$J:$J,MATCH($X467,TARIFF_PROFILES!$A:$A,0)))</f>
        <v/>
      </c>
      <c r="AE467" s="13" t="str">
        <f>IF($X467="","",INDEX(TARIFF_PROFILES!$K:$K,MATCH($X467,TARIFF_PROFILES!$A:$A,0)))</f>
        <v/>
      </c>
      <c r="AH467" t="str">
        <f>IF($AG467="","",SUMIFS(OPERATING_COEFFS!$C:$C,OPERATING_COEFFS!$A:$A,"DistanceClass",OPERATING_COEFFS!$B:$B,$AG467))</f>
        <v/>
      </c>
      <c r="AJ467" t="str">
        <f>IF($AI467="","",SUMIFS(OPERATING_COEFFS!$C:$C,OPERATING_COEFFS!$A:$A,"SeasonClass",OPERATING_COEFFS!$B:$B,$AI467))</f>
        <v/>
      </c>
      <c r="AL467" t="str">
        <f>IF($AK467="","",SUMIFS(OPERATING_COEFFS!$C:$C,OPERATING_COEFFS!$A:$A,"UrgencyClass",OPERATING_COEFFS!$B:$B,$AK467))</f>
        <v/>
      </c>
      <c r="AN467" t="str">
        <f>IF($AM467="","",INDEX(TAX_MODES!$B:$B,MATCH($AM467,TAX_MODES!$A:$A,0)))</f>
        <v/>
      </c>
    </row>
    <row r="468" spans="24:40" x14ac:dyDescent="0.3">
      <c r="X468" s="13"/>
      <c r="Y468" s="13" t="str">
        <f>IF($X468="","",SUMIFS(TARIFF_PROFILES!$D:$D,TARIFF_PROFILES!$A:$A,$X468))</f>
        <v/>
      </c>
      <c r="Z468" s="13" t="str">
        <f>IF($X468="","",SUMIFS(TARIFF_PROFILES!$E:$E,TARIFF_PROFILES!$A:$A,$X468))</f>
        <v/>
      </c>
      <c r="AA468" s="13" t="str">
        <f>IF($X468="","",SUMIFS(TARIFF_PROFILES!$F:$F,TARIFF_PROFILES!$A:$A,$X468))</f>
        <v/>
      </c>
      <c r="AB468" s="13" t="str">
        <f>IF($X468="","",SUMIFS(TARIFF_PROFILES!$G:$G,TARIFF_PROFILES!$A:$A,$X468))</f>
        <v/>
      </c>
      <c r="AC468" s="13" t="str">
        <f>IF($X468="","",SUMIFS(TARIFF_PROFILES!$H:$H,TARIFF_PROFILES!$A:$A,$X468))</f>
        <v/>
      </c>
      <c r="AD468" s="13" t="str">
        <f>IF($X468="","",INDEX(TARIFF_PROFILES!$J:$J,MATCH($X468,TARIFF_PROFILES!$A:$A,0)))</f>
        <v/>
      </c>
      <c r="AE468" s="13" t="str">
        <f>IF($X468="","",INDEX(TARIFF_PROFILES!$K:$K,MATCH($X468,TARIFF_PROFILES!$A:$A,0)))</f>
        <v/>
      </c>
      <c r="AH468" t="str">
        <f>IF($AG468="","",SUMIFS(OPERATING_COEFFS!$C:$C,OPERATING_COEFFS!$A:$A,"DistanceClass",OPERATING_COEFFS!$B:$B,$AG468))</f>
        <v/>
      </c>
      <c r="AJ468" t="str">
        <f>IF($AI468="","",SUMIFS(OPERATING_COEFFS!$C:$C,OPERATING_COEFFS!$A:$A,"SeasonClass",OPERATING_COEFFS!$B:$B,$AI468))</f>
        <v/>
      </c>
      <c r="AL468" t="str">
        <f>IF($AK468="","",SUMIFS(OPERATING_COEFFS!$C:$C,OPERATING_COEFFS!$A:$A,"UrgencyClass",OPERATING_COEFFS!$B:$B,$AK468))</f>
        <v/>
      </c>
      <c r="AN468" t="str">
        <f>IF($AM468="","",INDEX(TAX_MODES!$B:$B,MATCH($AM468,TAX_MODES!$A:$A,0)))</f>
        <v/>
      </c>
    </row>
    <row r="469" spans="24:40" x14ac:dyDescent="0.3">
      <c r="X469" s="13"/>
      <c r="Y469" s="13" t="str">
        <f>IF($X469="","",SUMIFS(TARIFF_PROFILES!$D:$D,TARIFF_PROFILES!$A:$A,$X469))</f>
        <v/>
      </c>
      <c r="Z469" s="13" t="str">
        <f>IF($X469="","",SUMIFS(TARIFF_PROFILES!$E:$E,TARIFF_PROFILES!$A:$A,$X469))</f>
        <v/>
      </c>
      <c r="AA469" s="13" t="str">
        <f>IF($X469="","",SUMIFS(TARIFF_PROFILES!$F:$F,TARIFF_PROFILES!$A:$A,$X469))</f>
        <v/>
      </c>
      <c r="AB469" s="13" t="str">
        <f>IF($X469="","",SUMIFS(TARIFF_PROFILES!$G:$G,TARIFF_PROFILES!$A:$A,$X469))</f>
        <v/>
      </c>
      <c r="AC469" s="13" t="str">
        <f>IF($X469="","",SUMIFS(TARIFF_PROFILES!$H:$H,TARIFF_PROFILES!$A:$A,$X469))</f>
        <v/>
      </c>
      <c r="AD469" s="13" t="str">
        <f>IF($X469="","",INDEX(TARIFF_PROFILES!$J:$J,MATCH($X469,TARIFF_PROFILES!$A:$A,0)))</f>
        <v/>
      </c>
      <c r="AE469" s="13" t="str">
        <f>IF($X469="","",INDEX(TARIFF_PROFILES!$K:$K,MATCH($X469,TARIFF_PROFILES!$A:$A,0)))</f>
        <v/>
      </c>
      <c r="AH469" t="str">
        <f>IF($AG469="","",SUMIFS(OPERATING_COEFFS!$C:$C,OPERATING_COEFFS!$A:$A,"DistanceClass",OPERATING_COEFFS!$B:$B,$AG469))</f>
        <v/>
      </c>
      <c r="AJ469" t="str">
        <f>IF($AI469="","",SUMIFS(OPERATING_COEFFS!$C:$C,OPERATING_COEFFS!$A:$A,"SeasonClass",OPERATING_COEFFS!$B:$B,$AI469))</f>
        <v/>
      </c>
      <c r="AL469" t="str">
        <f>IF($AK469="","",SUMIFS(OPERATING_COEFFS!$C:$C,OPERATING_COEFFS!$A:$A,"UrgencyClass",OPERATING_COEFFS!$B:$B,$AK469))</f>
        <v/>
      </c>
      <c r="AN469" t="str">
        <f>IF($AM469="","",INDEX(TAX_MODES!$B:$B,MATCH($AM469,TAX_MODES!$A:$A,0)))</f>
        <v/>
      </c>
    </row>
    <row r="470" spans="24:40" x14ac:dyDescent="0.3">
      <c r="X470" s="13"/>
      <c r="Y470" s="13" t="str">
        <f>IF($X470="","",SUMIFS(TARIFF_PROFILES!$D:$D,TARIFF_PROFILES!$A:$A,$X470))</f>
        <v/>
      </c>
      <c r="Z470" s="13" t="str">
        <f>IF($X470="","",SUMIFS(TARIFF_PROFILES!$E:$E,TARIFF_PROFILES!$A:$A,$X470))</f>
        <v/>
      </c>
      <c r="AA470" s="13" t="str">
        <f>IF($X470="","",SUMIFS(TARIFF_PROFILES!$F:$F,TARIFF_PROFILES!$A:$A,$X470))</f>
        <v/>
      </c>
      <c r="AB470" s="13" t="str">
        <f>IF($X470="","",SUMIFS(TARIFF_PROFILES!$G:$G,TARIFF_PROFILES!$A:$A,$X470))</f>
        <v/>
      </c>
      <c r="AC470" s="13" t="str">
        <f>IF($X470="","",SUMIFS(TARIFF_PROFILES!$H:$H,TARIFF_PROFILES!$A:$A,$X470))</f>
        <v/>
      </c>
      <c r="AD470" s="13" t="str">
        <f>IF($X470="","",INDEX(TARIFF_PROFILES!$J:$J,MATCH($X470,TARIFF_PROFILES!$A:$A,0)))</f>
        <v/>
      </c>
      <c r="AE470" s="13" t="str">
        <f>IF($X470="","",INDEX(TARIFF_PROFILES!$K:$K,MATCH($X470,TARIFF_PROFILES!$A:$A,0)))</f>
        <v/>
      </c>
      <c r="AH470" t="str">
        <f>IF($AG470="","",SUMIFS(OPERATING_COEFFS!$C:$C,OPERATING_COEFFS!$A:$A,"DistanceClass",OPERATING_COEFFS!$B:$B,$AG470))</f>
        <v/>
      </c>
      <c r="AJ470" t="str">
        <f>IF($AI470="","",SUMIFS(OPERATING_COEFFS!$C:$C,OPERATING_COEFFS!$A:$A,"SeasonClass",OPERATING_COEFFS!$B:$B,$AI470))</f>
        <v/>
      </c>
      <c r="AL470" t="str">
        <f>IF($AK470="","",SUMIFS(OPERATING_COEFFS!$C:$C,OPERATING_COEFFS!$A:$A,"UrgencyClass",OPERATING_COEFFS!$B:$B,$AK470))</f>
        <v/>
      </c>
      <c r="AN470" t="str">
        <f>IF($AM470="","",INDEX(TAX_MODES!$B:$B,MATCH($AM470,TAX_MODES!$A:$A,0)))</f>
        <v/>
      </c>
    </row>
    <row r="471" spans="24:40" x14ac:dyDescent="0.3">
      <c r="X471" s="13"/>
      <c r="Y471" s="13" t="str">
        <f>IF($X471="","",SUMIFS(TARIFF_PROFILES!$D:$D,TARIFF_PROFILES!$A:$A,$X471))</f>
        <v/>
      </c>
      <c r="Z471" s="13" t="str">
        <f>IF($X471="","",SUMIFS(TARIFF_PROFILES!$E:$E,TARIFF_PROFILES!$A:$A,$X471))</f>
        <v/>
      </c>
      <c r="AA471" s="13" t="str">
        <f>IF($X471="","",SUMIFS(TARIFF_PROFILES!$F:$F,TARIFF_PROFILES!$A:$A,$X471))</f>
        <v/>
      </c>
      <c r="AB471" s="13" t="str">
        <f>IF($X471="","",SUMIFS(TARIFF_PROFILES!$G:$G,TARIFF_PROFILES!$A:$A,$X471))</f>
        <v/>
      </c>
      <c r="AC471" s="13" t="str">
        <f>IF($X471="","",SUMIFS(TARIFF_PROFILES!$H:$H,TARIFF_PROFILES!$A:$A,$X471))</f>
        <v/>
      </c>
      <c r="AD471" s="13" t="str">
        <f>IF($X471="","",INDEX(TARIFF_PROFILES!$J:$J,MATCH($X471,TARIFF_PROFILES!$A:$A,0)))</f>
        <v/>
      </c>
      <c r="AE471" s="13" t="str">
        <f>IF($X471="","",INDEX(TARIFF_PROFILES!$K:$K,MATCH($X471,TARIFF_PROFILES!$A:$A,0)))</f>
        <v/>
      </c>
      <c r="AH471" t="str">
        <f>IF($AG471="","",SUMIFS(OPERATING_COEFFS!$C:$C,OPERATING_COEFFS!$A:$A,"DistanceClass",OPERATING_COEFFS!$B:$B,$AG471))</f>
        <v/>
      </c>
      <c r="AJ471" t="str">
        <f>IF($AI471="","",SUMIFS(OPERATING_COEFFS!$C:$C,OPERATING_COEFFS!$A:$A,"SeasonClass",OPERATING_COEFFS!$B:$B,$AI471))</f>
        <v/>
      </c>
      <c r="AL471" t="str">
        <f>IF($AK471="","",SUMIFS(OPERATING_COEFFS!$C:$C,OPERATING_COEFFS!$A:$A,"UrgencyClass",OPERATING_COEFFS!$B:$B,$AK471))</f>
        <v/>
      </c>
      <c r="AN471" t="str">
        <f>IF($AM471="","",INDEX(TAX_MODES!$B:$B,MATCH($AM471,TAX_MODES!$A:$A,0)))</f>
        <v/>
      </c>
    </row>
    <row r="472" spans="24:40" x14ac:dyDescent="0.3">
      <c r="X472" s="13"/>
      <c r="Y472" s="13" t="str">
        <f>IF($X472="","",SUMIFS(TARIFF_PROFILES!$D:$D,TARIFF_PROFILES!$A:$A,$X472))</f>
        <v/>
      </c>
      <c r="Z472" s="13" t="str">
        <f>IF($X472="","",SUMIFS(TARIFF_PROFILES!$E:$E,TARIFF_PROFILES!$A:$A,$X472))</f>
        <v/>
      </c>
      <c r="AA472" s="13" t="str">
        <f>IF($X472="","",SUMIFS(TARIFF_PROFILES!$F:$F,TARIFF_PROFILES!$A:$A,$X472))</f>
        <v/>
      </c>
      <c r="AB472" s="13" t="str">
        <f>IF($X472="","",SUMIFS(TARIFF_PROFILES!$G:$G,TARIFF_PROFILES!$A:$A,$X472))</f>
        <v/>
      </c>
      <c r="AC472" s="13" t="str">
        <f>IF($X472="","",SUMIFS(TARIFF_PROFILES!$H:$H,TARIFF_PROFILES!$A:$A,$X472))</f>
        <v/>
      </c>
      <c r="AD472" s="13" t="str">
        <f>IF($X472="","",INDEX(TARIFF_PROFILES!$J:$J,MATCH($X472,TARIFF_PROFILES!$A:$A,0)))</f>
        <v/>
      </c>
      <c r="AE472" s="13" t="str">
        <f>IF($X472="","",INDEX(TARIFF_PROFILES!$K:$K,MATCH($X472,TARIFF_PROFILES!$A:$A,0)))</f>
        <v/>
      </c>
      <c r="AH472" t="str">
        <f>IF($AG472="","",SUMIFS(OPERATING_COEFFS!$C:$C,OPERATING_COEFFS!$A:$A,"DistanceClass",OPERATING_COEFFS!$B:$B,$AG472))</f>
        <v/>
      </c>
      <c r="AJ472" t="str">
        <f>IF($AI472="","",SUMIFS(OPERATING_COEFFS!$C:$C,OPERATING_COEFFS!$A:$A,"SeasonClass",OPERATING_COEFFS!$B:$B,$AI472))</f>
        <v/>
      </c>
      <c r="AL472" t="str">
        <f>IF($AK472="","",SUMIFS(OPERATING_COEFFS!$C:$C,OPERATING_COEFFS!$A:$A,"UrgencyClass",OPERATING_COEFFS!$B:$B,$AK472))</f>
        <v/>
      </c>
      <c r="AN472" t="str">
        <f>IF($AM472="","",INDEX(TAX_MODES!$B:$B,MATCH($AM472,TAX_MODES!$A:$A,0)))</f>
        <v/>
      </c>
    </row>
    <row r="473" spans="24:40" x14ac:dyDescent="0.3">
      <c r="X473" s="13"/>
      <c r="Y473" s="13" t="str">
        <f>IF($X473="","",SUMIFS(TARIFF_PROFILES!$D:$D,TARIFF_PROFILES!$A:$A,$X473))</f>
        <v/>
      </c>
      <c r="Z473" s="13" t="str">
        <f>IF($X473="","",SUMIFS(TARIFF_PROFILES!$E:$E,TARIFF_PROFILES!$A:$A,$X473))</f>
        <v/>
      </c>
      <c r="AA473" s="13" t="str">
        <f>IF($X473="","",SUMIFS(TARIFF_PROFILES!$F:$F,TARIFF_PROFILES!$A:$A,$X473))</f>
        <v/>
      </c>
      <c r="AB473" s="13" t="str">
        <f>IF($X473="","",SUMIFS(TARIFF_PROFILES!$G:$G,TARIFF_PROFILES!$A:$A,$X473))</f>
        <v/>
      </c>
      <c r="AC473" s="13" t="str">
        <f>IF($X473="","",SUMIFS(TARIFF_PROFILES!$H:$H,TARIFF_PROFILES!$A:$A,$X473))</f>
        <v/>
      </c>
      <c r="AD473" s="13" t="str">
        <f>IF($X473="","",INDEX(TARIFF_PROFILES!$J:$J,MATCH($X473,TARIFF_PROFILES!$A:$A,0)))</f>
        <v/>
      </c>
      <c r="AE473" s="13" t="str">
        <f>IF($X473="","",INDEX(TARIFF_PROFILES!$K:$K,MATCH($X473,TARIFF_PROFILES!$A:$A,0)))</f>
        <v/>
      </c>
      <c r="AH473" t="str">
        <f>IF($AG473="","",SUMIFS(OPERATING_COEFFS!$C:$C,OPERATING_COEFFS!$A:$A,"DistanceClass",OPERATING_COEFFS!$B:$B,$AG473))</f>
        <v/>
      </c>
      <c r="AJ473" t="str">
        <f>IF($AI473="","",SUMIFS(OPERATING_COEFFS!$C:$C,OPERATING_COEFFS!$A:$A,"SeasonClass",OPERATING_COEFFS!$B:$B,$AI473))</f>
        <v/>
      </c>
      <c r="AL473" t="str">
        <f>IF($AK473="","",SUMIFS(OPERATING_COEFFS!$C:$C,OPERATING_COEFFS!$A:$A,"UrgencyClass",OPERATING_COEFFS!$B:$B,$AK473))</f>
        <v/>
      </c>
      <c r="AN473" t="str">
        <f>IF($AM473="","",INDEX(TAX_MODES!$B:$B,MATCH($AM473,TAX_MODES!$A:$A,0)))</f>
        <v/>
      </c>
    </row>
    <row r="474" spans="24:40" x14ac:dyDescent="0.3">
      <c r="X474" s="13"/>
      <c r="Y474" s="13" t="str">
        <f>IF($X474="","",SUMIFS(TARIFF_PROFILES!$D:$D,TARIFF_PROFILES!$A:$A,$X474))</f>
        <v/>
      </c>
      <c r="Z474" s="13" t="str">
        <f>IF($X474="","",SUMIFS(TARIFF_PROFILES!$E:$E,TARIFF_PROFILES!$A:$A,$X474))</f>
        <v/>
      </c>
      <c r="AA474" s="13" t="str">
        <f>IF($X474="","",SUMIFS(TARIFF_PROFILES!$F:$F,TARIFF_PROFILES!$A:$A,$X474))</f>
        <v/>
      </c>
      <c r="AB474" s="13" t="str">
        <f>IF($X474="","",SUMIFS(TARIFF_PROFILES!$G:$G,TARIFF_PROFILES!$A:$A,$X474))</f>
        <v/>
      </c>
      <c r="AC474" s="13" t="str">
        <f>IF($X474="","",SUMIFS(TARIFF_PROFILES!$H:$H,TARIFF_PROFILES!$A:$A,$X474))</f>
        <v/>
      </c>
      <c r="AD474" s="13" t="str">
        <f>IF($X474="","",INDEX(TARIFF_PROFILES!$J:$J,MATCH($X474,TARIFF_PROFILES!$A:$A,0)))</f>
        <v/>
      </c>
      <c r="AE474" s="13" t="str">
        <f>IF($X474="","",INDEX(TARIFF_PROFILES!$K:$K,MATCH($X474,TARIFF_PROFILES!$A:$A,0)))</f>
        <v/>
      </c>
      <c r="AH474" t="str">
        <f>IF($AG474="","",SUMIFS(OPERATING_COEFFS!$C:$C,OPERATING_COEFFS!$A:$A,"DistanceClass",OPERATING_COEFFS!$B:$B,$AG474))</f>
        <v/>
      </c>
      <c r="AJ474" t="str">
        <f>IF($AI474="","",SUMIFS(OPERATING_COEFFS!$C:$C,OPERATING_COEFFS!$A:$A,"SeasonClass",OPERATING_COEFFS!$B:$B,$AI474))</f>
        <v/>
      </c>
      <c r="AL474" t="str">
        <f>IF($AK474="","",SUMIFS(OPERATING_COEFFS!$C:$C,OPERATING_COEFFS!$A:$A,"UrgencyClass",OPERATING_COEFFS!$B:$B,$AK474))</f>
        <v/>
      </c>
      <c r="AN474" t="str">
        <f>IF($AM474="","",INDEX(TAX_MODES!$B:$B,MATCH($AM474,TAX_MODES!$A:$A,0)))</f>
        <v/>
      </c>
    </row>
    <row r="475" spans="24:40" x14ac:dyDescent="0.3">
      <c r="X475" s="13"/>
      <c r="Y475" s="13" t="str">
        <f>IF($X475="","",SUMIFS(TARIFF_PROFILES!$D:$D,TARIFF_PROFILES!$A:$A,$X475))</f>
        <v/>
      </c>
      <c r="Z475" s="13" t="str">
        <f>IF($X475="","",SUMIFS(TARIFF_PROFILES!$E:$E,TARIFF_PROFILES!$A:$A,$X475))</f>
        <v/>
      </c>
      <c r="AA475" s="13" t="str">
        <f>IF($X475="","",SUMIFS(TARIFF_PROFILES!$F:$F,TARIFF_PROFILES!$A:$A,$X475))</f>
        <v/>
      </c>
      <c r="AB475" s="13" t="str">
        <f>IF($X475="","",SUMIFS(TARIFF_PROFILES!$G:$G,TARIFF_PROFILES!$A:$A,$X475))</f>
        <v/>
      </c>
      <c r="AC475" s="13" t="str">
        <f>IF($X475="","",SUMIFS(TARIFF_PROFILES!$H:$H,TARIFF_PROFILES!$A:$A,$X475))</f>
        <v/>
      </c>
      <c r="AD475" s="13" t="str">
        <f>IF($X475="","",INDEX(TARIFF_PROFILES!$J:$J,MATCH($X475,TARIFF_PROFILES!$A:$A,0)))</f>
        <v/>
      </c>
      <c r="AE475" s="13" t="str">
        <f>IF($X475="","",INDEX(TARIFF_PROFILES!$K:$K,MATCH($X475,TARIFF_PROFILES!$A:$A,0)))</f>
        <v/>
      </c>
      <c r="AH475" t="str">
        <f>IF($AG475="","",SUMIFS(OPERATING_COEFFS!$C:$C,OPERATING_COEFFS!$A:$A,"DistanceClass",OPERATING_COEFFS!$B:$B,$AG475))</f>
        <v/>
      </c>
      <c r="AJ475" t="str">
        <f>IF($AI475="","",SUMIFS(OPERATING_COEFFS!$C:$C,OPERATING_COEFFS!$A:$A,"SeasonClass",OPERATING_COEFFS!$B:$B,$AI475))</f>
        <v/>
      </c>
      <c r="AL475" t="str">
        <f>IF($AK475="","",SUMIFS(OPERATING_COEFFS!$C:$C,OPERATING_COEFFS!$A:$A,"UrgencyClass",OPERATING_COEFFS!$B:$B,$AK475))</f>
        <v/>
      </c>
      <c r="AN475" t="str">
        <f>IF($AM475="","",INDEX(TAX_MODES!$B:$B,MATCH($AM475,TAX_MODES!$A:$A,0)))</f>
        <v/>
      </c>
    </row>
    <row r="476" spans="24:40" x14ac:dyDescent="0.3">
      <c r="X476" s="13"/>
      <c r="Y476" s="13" t="str">
        <f>IF($X476="","",SUMIFS(TARIFF_PROFILES!$D:$D,TARIFF_PROFILES!$A:$A,$X476))</f>
        <v/>
      </c>
      <c r="Z476" s="13" t="str">
        <f>IF($X476="","",SUMIFS(TARIFF_PROFILES!$E:$E,TARIFF_PROFILES!$A:$A,$X476))</f>
        <v/>
      </c>
      <c r="AA476" s="13" t="str">
        <f>IF($X476="","",SUMIFS(TARIFF_PROFILES!$F:$F,TARIFF_PROFILES!$A:$A,$X476))</f>
        <v/>
      </c>
      <c r="AB476" s="13" t="str">
        <f>IF($X476="","",SUMIFS(TARIFF_PROFILES!$G:$G,TARIFF_PROFILES!$A:$A,$X476))</f>
        <v/>
      </c>
      <c r="AC476" s="13" t="str">
        <f>IF($X476="","",SUMIFS(TARIFF_PROFILES!$H:$H,TARIFF_PROFILES!$A:$A,$X476))</f>
        <v/>
      </c>
      <c r="AD476" s="13" t="str">
        <f>IF($X476="","",INDEX(TARIFF_PROFILES!$J:$J,MATCH($X476,TARIFF_PROFILES!$A:$A,0)))</f>
        <v/>
      </c>
      <c r="AE476" s="13" t="str">
        <f>IF($X476="","",INDEX(TARIFF_PROFILES!$K:$K,MATCH($X476,TARIFF_PROFILES!$A:$A,0)))</f>
        <v/>
      </c>
      <c r="AH476" t="str">
        <f>IF($AG476="","",SUMIFS(OPERATING_COEFFS!$C:$C,OPERATING_COEFFS!$A:$A,"DistanceClass",OPERATING_COEFFS!$B:$B,$AG476))</f>
        <v/>
      </c>
      <c r="AJ476" t="str">
        <f>IF($AI476="","",SUMIFS(OPERATING_COEFFS!$C:$C,OPERATING_COEFFS!$A:$A,"SeasonClass",OPERATING_COEFFS!$B:$B,$AI476))</f>
        <v/>
      </c>
      <c r="AL476" t="str">
        <f>IF($AK476="","",SUMIFS(OPERATING_COEFFS!$C:$C,OPERATING_COEFFS!$A:$A,"UrgencyClass",OPERATING_COEFFS!$B:$B,$AK476))</f>
        <v/>
      </c>
      <c r="AN476" t="str">
        <f>IF($AM476="","",INDEX(TAX_MODES!$B:$B,MATCH($AM476,TAX_MODES!$A:$A,0)))</f>
        <v/>
      </c>
    </row>
    <row r="477" spans="24:40" x14ac:dyDescent="0.3">
      <c r="X477" s="13"/>
      <c r="Y477" s="13" t="str">
        <f>IF($X477="","",SUMIFS(TARIFF_PROFILES!$D:$D,TARIFF_PROFILES!$A:$A,$X477))</f>
        <v/>
      </c>
      <c r="Z477" s="13" t="str">
        <f>IF($X477="","",SUMIFS(TARIFF_PROFILES!$E:$E,TARIFF_PROFILES!$A:$A,$X477))</f>
        <v/>
      </c>
      <c r="AA477" s="13" t="str">
        <f>IF($X477="","",SUMIFS(TARIFF_PROFILES!$F:$F,TARIFF_PROFILES!$A:$A,$X477))</f>
        <v/>
      </c>
      <c r="AB477" s="13" t="str">
        <f>IF($X477="","",SUMIFS(TARIFF_PROFILES!$G:$G,TARIFF_PROFILES!$A:$A,$X477))</f>
        <v/>
      </c>
      <c r="AC477" s="13" t="str">
        <f>IF($X477="","",SUMIFS(TARIFF_PROFILES!$H:$H,TARIFF_PROFILES!$A:$A,$X477))</f>
        <v/>
      </c>
      <c r="AD477" s="13" t="str">
        <f>IF($X477="","",INDEX(TARIFF_PROFILES!$J:$J,MATCH($X477,TARIFF_PROFILES!$A:$A,0)))</f>
        <v/>
      </c>
      <c r="AE477" s="13" t="str">
        <f>IF($X477="","",INDEX(TARIFF_PROFILES!$K:$K,MATCH($X477,TARIFF_PROFILES!$A:$A,0)))</f>
        <v/>
      </c>
      <c r="AH477" t="str">
        <f>IF($AG477="","",SUMIFS(OPERATING_COEFFS!$C:$C,OPERATING_COEFFS!$A:$A,"DistanceClass",OPERATING_COEFFS!$B:$B,$AG477))</f>
        <v/>
      </c>
      <c r="AJ477" t="str">
        <f>IF($AI477="","",SUMIFS(OPERATING_COEFFS!$C:$C,OPERATING_COEFFS!$A:$A,"SeasonClass",OPERATING_COEFFS!$B:$B,$AI477))</f>
        <v/>
      </c>
      <c r="AL477" t="str">
        <f>IF($AK477="","",SUMIFS(OPERATING_COEFFS!$C:$C,OPERATING_COEFFS!$A:$A,"UrgencyClass",OPERATING_COEFFS!$B:$B,$AK477))</f>
        <v/>
      </c>
      <c r="AN477" t="str">
        <f>IF($AM477="","",INDEX(TAX_MODES!$B:$B,MATCH($AM477,TAX_MODES!$A:$A,0)))</f>
        <v/>
      </c>
    </row>
    <row r="478" spans="24:40" x14ac:dyDescent="0.3">
      <c r="X478" s="13"/>
      <c r="Y478" s="13" t="str">
        <f>IF($X478="","",SUMIFS(TARIFF_PROFILES!$D:$D,TARIFF_PROFILES!$A:$A,$X478))</f>
        <v/>
      </c>
      <c r="Z478" s="13" t="str">
        <f>IF($X478="","",SUMIFS(TARIFF_PROFILES!$E:$E,TARIFF_PROFILES!$A:$A,$X478))</f>
        <v/>
      </c>
      <c r="AA478" s="13" t="str">
        <f>IF($X478="","",SUMIFS(TARIFF_PROFILES!$F:$F,TARIFF_PROFILES!$A:$A,$X478))</f>
        <v/>
      </c>
      <c r="AB478" s="13" t="str">
        <f>IF($X478="","",SUMIFS(TARIFF_PROFILES!$G:$G,TARIFF_PROFILES!$A:$A,$X478))</f>
        <v/>
      </c>
      <c r="AC478" s="13" t="str">
        <f>IF($X478="","",SUMIFS(TARIFF_PROFILES!$H:$H,TARIFF_PROFILES!$A:$A,$X478))</f>
        <v/>
      </c>
      <c r="AD478" s="13" t="str">
        <f>IF($X478="","",INDEX(TARIFF_PROFILES!$J:$J,MATCH($X478,TARIFF_PROFILES!$A:$A,0)))</f>
        <v/>
      </c>
      <c r="AE478" s="13" t="str">
        <f>IF($X478="","",INDEX(TARIFF_PROFILES!$K:$K,MATCH($X478,TARIFF_PROFILES!$A:$A,0)))</f>
        <v/>
      </c>
      <c r="AH478" t="str">
        <f>IF($AG478="","",SUMIFS(OPERATING_COEFFS!$C:$C,OPERATING_COEFFS!$A:$A,"DistanceClass",OPERATING_COEFFS!$B:$B,$AG478))</f>
        <v/>
      </c>
      <c r="AJ478" t="str">
        <f>IF($AI478="","",SUMIFS(OPERATING_COEFFS!$C:$C,OPERATING_COEFFS!$A:$A,"SeasonClass",OPERATING_COEFFS!$B:$B,$AI478))</f>
        <v/>
      </c>
      <c r="AL478" t="str">
        <f>IF($AK478="","",SUMIFS(OPERATING_COEFFS!$C:$C,OPERATING_COEFFS!$A:$A,"UrgencyClass",OPERATING_COEFFS!$B:$B,$AK478))</f>
        <v/>
      </c>
      <c r="AN478" t="str">
        <f>IF($AM478="","",INDEX(TAX_MODES!$B:$B,MATCH($AM478,TAX_MODES!$A:$A,0)))</f>
        <v/>
      </c>
    </row>
    <row r="479" spans="24:40" x14ac:dyDescent="0.3">
      <c r="X479" s="13"/>
      <c r="Y479" s="13" t="str">
        <f>IF($X479="","",SUMIFS(TARIFF_PROFILES!$D:$D,TARIFF_PROFILES!$A:$A,$X479))</f>
        <v/>
      </c>
      <c r="Z479" s="13" t="str">
        <f>IF($X479="","",SUMIFS(TARIFF_PROFILES!$E:$E,TARIFF_PROFILES!$A:$A,$X479))</f>
        <v/>
      </c>
      <c r="AA479" s="13" t="str">
        <f>IF($X479="","",SUMIFS(TARIFF_PROFILES!$F:$F,TARIFF_PROFILES!$A:$A,$X479))</f>
        <v/>
      </c>
      <c r="AB479" s="13" t="str">
        <f>IF($X479="","",SUMIFS(TARIFF_PROFILES!$G:$G,TARIFF_PROFILES!$A:$A,$X479))</f>
        <v/>
      </c>
      <c r="AC479" s="13" t="str">
        <f>IF($X479="","",SUMIFS(TARIFF_PROFILES!$H:$H,TARIFF_PROFILES!$A:$A,$X479))</f>
        <v/>
      </c>
      <c r="AD479" s="13" t="str">
        <f>IF($X479="","",INDEX(TARIFF_PROFILES!$J:$J,MATCH($X479,TARIFF_PROFILES!$A:$A,0)))</f>
        <v/>
      </c>
      <c r="AE479" s="13" t="str">
        <f>IF($X479="","",INDEX(TARIFF_PROFILES!$K:$K,MATCH($X479,TARIFF_PROFILES!$A:$A,0)))</f>
        <v/>
      </c>
      <c r="AH479" t="str">
        <f>IF($AG479="","",SUMIFS(OPERATING_COEFFS!$C:$C,OPERATING_COEFFS!$A:$A,"DistanceClass",OPERATING_COEFFS!$B:$B,$AG479))</f>
        <v/>
      </c>
      <c r="AJ479" t="str">
        <f>IF($AI479="","",SUMIFS(OPERATING_COEFFS!$C:$C,OPERATING_COEFFS!$A:$A,"SeasonClass",OPERATING_COEFFS!$B:$B,$AI479))</f>
        <v/>
      </c>
      <c r="AL479" t="str">
        <f>IF($AK479="","",SUMIFS(OPERATING_COEFFS!$C:$C,OPERATING_COEFFS!$A:$A,"UrgencyClass",OPERATING_COEFFS!$B:$B,$AK479))</f>
        <v/>
      </c>
      <c r="AN479" t="str">
        <f>IF($AM479="","",INDEX(TAX_MODES!$B:$B,MATCH($AM479,TAX_MODES!$A:$A,0)))</f>
        <v/>
      </c>
    </row>
    <row r="480" spans="24:40" x14ac:dyDescent="0.3">
      <c r="X480" s="13"/>
      <c r="Y480" s="13" t="str">
        <f>IF($X480="","",SUMIFS(TARIFF_PROFILES!$D:$D,TARIFF_PROFILES!$A:$A,$X480))</f>
        <v/>
      </c>
      <c r="Z480" s="13" t="str">
        <f>IF($X480="","",SUMIFS(TARIFF_PROFILES!$E:$E,TARIFF_PROFILES!$A:$A,$X480))</f>
        <v/>
      </c>
      <c r="AA480" s="13" t="str">
        <f>IF($X480="","",SUMIFS(TARIFF_PROFILES!$F:$F,TARIFF_PROFILES!$A:$A,$X480))</f>
        <v/>
      </c>
      <c r="AB480" s="13" t="str">
        <f>IF($X480="","",SUMIFS(TARIFF_PROFILES!$G:$G,TARIFF_PROFILES!$A:$A,$X480))</f>
        <v/>
      </c>
      <c r="AC480" s="13" t="str">
        <f>IF($X480="","",SUMIFS(TARIFF_PROFILES!$H:$H,TARIFF_PROFILES!$A:$A,$X480))</f>
        <v/>
      </c>
      <c r="AD480" s="13" t="str">
        <f>IF($X480="","",INDEX(TARIFF_PROFILES!$J:$J,MATCH($X480,TARIFF_PROFILES!$A:$A,0)))</f>
        <v/>
      </c>
      <c r="AE480" s="13" t="str">
        <f>IF($X480="","",INDEX(TARIFF_PROFILES!$K:$K,MATCH($X480,TARIFF_PROFILES!$A:$A,0)))</f>
        <v/>
      </c>
      <c r="AH480" t="str">
        <f>IF($AG480="","",SUMIFS(OPERATING_COEFFS!$C:$C,OPERATING_COEFFS!$A:$A,"DistanceClass",OPERATING_COEFFS!$B:$B,$AG480))</f>
        <v/>
      </c>
      <c r="AJ480" t="str">
        <f>IF($AI480="","",SUMIFS(OPERATING_COEFFS!$C:$C,OPERATING_COEFFS!$A:$A,"SeasonClass",OPERATING_COEFFS!$B:$B,$AI480))</f>
        <v/>
      </c>
      <c r="AL480" t="str">
        <f>IF($AK480="","",SUMIFS(OPERATING_COEFFS!$C:$C,OPERATING_COEFFS!$A:$A,"UrgencyClass",OPERATING_COEFFS!$B:$B,$AK480))</f>
        <v/>
      </c>
      <c r="AN480" t="str">
        <f>IF($AM480="","",INDEX(TAX_MODES!$B:$B,MATCH($AM480,TAX_MODES!$A:$A,0)))</f>
        <v/>
      </c>
    </row>
    <row r="481" spans="24:40" x14ac:dyDescent="0.3">
      <c r="X481" s="13"/>
      <c r="Y481" s="13" t="str">
        <f>IF($X481="","",SUMIFS(TARIFF_PROFILES!$D:$D,TARIFF_PROFILES!$A:$A,$X481))</f>
        <v/>
      </c>
      <c r="Z481" s="13" t="str">
        <f>IF($X481="","",SUMIFS(TARIFF_PROFILES!$E:$E,TARIFF_PROFILES!$A:$A,$X481))</f>
        <v/>
      </c>
      <c r="AA481" s="13" t="str">
        <f>IF($X481="","",SUMIFS(TARIFF_PROFILES!$F:$F,TARIFF_PROFILES!$A:$A,$X481))</f>
        <v/>
      </c>
      <c r="AB481" s="13" t="str">
        <f>IF($X481="","",SUMIFS(TARIFF_PROFILES!$G:$G,TARIFF_PROFILES!$A:$A,$X481))</f>
        <v/>
      </c>
      <c r="AC481" s="13" t="str">
        <f>IF($X481="","",SUMIFS(TARIFF_PROFILES!$H:$H,TARIFF_PROFILES!$A:$A,$X481))</f>
        <v/>
      </c>
      <c r="AD481" s="13" t="str">
        <f>IF($X481="","",INDEX(TARIFF_PROFILES!$J:$J,MATCH($X481,TARIFF_PROFILES!$A:$A,0)))</f>
        <v/>
      </c>
      <c r="AE481" s="13" t="str">
        <f>IF($X481="","",INDEX(TARIFF_PROFILES!$K:$K,MATCH($X481,TARIFF_PROFILES!$A:$A,0)))</f>
        <v/>
      </c>
      <c r="AH481" t="str">
        <f>IF($AG481="","",SUMIFS(OPERATING_COEFFS!$C:$C,OPERATING_COEFFS!$A:$A,"DistanceClass",OPERATING_COEFFS!$B:$B,$AG481))</f>
        <v/>
      </c>
      <c r="AJ481" t="str">
        <f>IF($AI481="","",SUMIFS(OPERATING_COEFFS!$C:$C,OPERATING_COEFFS!$A:$A,"SeasonClass",OPERATING_COEFFS!$B:$B,$AI481))</f>
        <v/>
      </c>
      <c r="AL481" t="str">
        <f>IF($AK481="","",SUMIFS(OPERATING_COEFFS!$C:$C,OPERATING_COEFFS!$A:$A,"UrgencyClass",OPERATING_COEFFS!$B:$B,$AK481))</f>
        <v/>
      </c>
      <c r="AN481" t="str">
        <f>IF($AM481="","",INDEX(TAX_MODES!$B:$B,MATCH($AM481,TAX_MODES!$A:$A,0)))</f>
        <v/>
      </c>
    </row>
    <row r="482" spans="24:40" x14ac:dyDescent="0.3">
      <c r="X482" s="13"/>
      <c r="Y482" s="13" t="str">
        <f>IF($X482="","",SUMIFS(TARIFF_PROFILES!$D:$D,TARIFF_PROFILES!$A:$A,$X482))</f>
        <v/>
      </c>
      <c r="Z482" s="13" t="str">
        <f>IF($X482="","",SUMIFS(TARIFF_PROFILES!$E:$E,TARIFF_PROFILES!$A:$A,$X482))</f>
        <v/>
      </c>
      <c r="AA482" s="13" t="str">
        <f>IF($X482="","",SUMIFS(TARIFF_PROFILES!$F:$F,TARIFF_PROFILES!$A:$A,$X482))</f>
        <v/>
      </c>
      <c r="AB482" s="13" t="str">
        <f>IF($X482="","",SUMIFS(TARIFF_PROFILES!$G:$G,TARIFF_PROFILES!$A:$A,$X482))</f>
        <v/>
      </c>
      <c r="AC482" s="13" t="str">
        <f>IF($X482="","",SUMIFS(TARIFF_PROFILES!$H:$H,TARIFF_PROFILES!$A:$A,$X482))</f>
        <v/>
      </c>
      <c r="AD482" s="13" t="str">
        <f>IF($X482="","",INDEX(TARIFF_PROFILES!$J:$J,MATCH($X482,TARIFF_PROFILES!$A:$A,0)))</f>
        <v/>
      </c>
      <c r="AE482" s="13" t="str">
        <f>IF($X482="","",INDEX(TARIFF_PROFILES!$K:$K,MATCH($X482,TARIFF_PROFILES!$A:$A,0)))</f>
        <v/>
      </c>
      <c r="AH482" t="str">
        <f>IF($AG482="","",SUMIFS(OPERATING_COEFFS!$C:$C,OPERATING_COEFFS!$A:$A,"DistanceClass",OPERATING_COEFFS!$B:$B,$AG482))</f>
        <v/>
      </c>
      <c r="AJ482" t="str">
        <f>IF($AI482="","",SUMIFS(OPERATING_COEFFS!$C:$C,OPERATING_COEFFS!$A:$A,"SeasonClass",OPERATING_COEFFS!$B:$B,$AI482))</f>
        <v/>
      </c>
      <c r="AL482" t="str">
        <f>IF($AK482="","",SUMIFS(OPERATING_COEFFS!$C:$C,OPERATING_COEFFS!$A:$A,"UrgencyClass",OPERATING_COEFFS!$B:$B,$AK482))</f>
        <v/>
      </c>
      <c r="AN482" t="str">
        <f>IF($AM482="","",INDEX(TAX_MODES!$B:$B,MATCH($AM482,TAX_MODES!$A:$A,0)))</f>
        <v/>
      </c>
    </row>
    <row r="483" spans="24:40" x14ac:dyDescent="0.3">
      <c r="X483" s="13"/>
      <c r="Y483" s="13" t="str">
        <f>IF($X483="","",SUMIFS(TARIFF_PROFILES!$D:$D,TARIFF_PROFILES!$A:$A,$X483))</f>
        <v/>
      </c>
      <c r="Z483" s="13" t="str">
        <f>IF($X483="","",SUMIFS(TARIFF_PROFILES!$E:$E,TARIFF_PROFILES!$A:$A,$X483))</f>
        <v/>
      </c>
      <c r="AA483" s="13" t="str">
        <f>IF($X483="","",SUMIFS(TARIFF_PROFILES!$F:$F,TARIFF_PROFILES!$A:$A,$X483))</f>
        <v/>
      </c>
      <c r="AB483" s="13" t="str">
        <f>IF($X483="","",SUMIFS(TARIFF_PROFILES!$G:$G,TARIFF_PROFILES!$A:$A,$X483))</f>
        <v/>
      </c>
      <c r="AC483" s="13" t="str">
        <f>IF($X483="","",SUMIFS(TARIFF_PROFILES!$H:$H,TARIFF_PROFILES!$A:$A,$X483))</f>
        <v/>
      </c>
      <c r="AD483" s="13" t="str">
        <f>IF($X483="","",INDEX(TARIFF_PROFILES!$J:$J,MATCH($X483,TARIFF_PROFILES!$A:$A,0)))</f>
        <v/>
      </c>
      <c r="AE483" s="13" t="str">
        <f>IF($X483="","",INDEX(TARIFF_PROFILES!$K:$K,MATCH($X483,TARIFF_PROFILES!$A:$A,0)))</f>
        <v/>
      </c>
      <c r="AH483" t="str">
        <f>IF($AG483="","",SUMIFS(OPERATING_COEFFS!$C:$C,OPERATING_COEFFS!$A:$A,"DistanceClass",OPERATING_COEFFS!$B:$B,$AG483))</f>
        <v/>
      </c>
      <c r="AJ483" t="str">
        <f>IF($AI483="","",SUMIFS(OPERATING_COEFFS!$C:$C,OPERATING_COEFFS!$A:$A,"SeasonClass",OPERATING_COEFFS!$B:$B,$AI483))</f>
        <v/>
      </c>
      <c r="AL483" t="str">
        <f>IF($AK483="","",SUMIFS(OPERATING_COEFFS!$C:$C,OPERATING_COEFFS!$A:$A,"UrgencyClass",OPERATING_COEFFS!$B:$B,$AK483))</f>
        <v/>
      </c>
      <c r="AN483" t="str">
        <f>IF($AM483="","",INDEX(TAX_MODES!$B:$B,MATCH($AM483,TAX_MODES!$A:$A,0)))</f>
        <v/>
      </c>
    </row>
    <row r="484" spans="24:40" x14ac:dyDescent="0.3">
      <c r="X484" s="13"/>
      <c r="Y484" s="13" t="str">
        <f>IF($X484="","",SUMIFS(TARIFF_PROFILES!$D:$D,TARIFF_PROFILES!$A:$A,$X484))</f>
        <v/>
      </c>
      <c r="Z484" s="13" t="str">
        <f>IF($X484="","",SUMIFS(TARIFF_PROFILES!$E:$E,TARIFF_PROFILES!$A:$A,$X484))</f>
        <v/>
      </c>
      <c r="AA484" s="13" t="str">
        <f>IF($X484="","",SUMIFS(TARIFF_PROFILES!$F:$F,TARIFF_PROFILES!$A:$A,$X484))</f>
        <v/>
      </c>
      <c r="AB484" s="13" t="str">
        <f>IF($X484="","",SUMIFS(TARIFF_PROFILES!$G:$G,TARIFF_PROFILES!$A:$A,$X484))</f>
        <v/>
      </c>
      <c r="AC484" s="13" t="str">
        <f>IF($X484="","",SUMIFS(TARIFF_PROFILES!$H:$H,TARIFF_PROFILES!$A:$A,$X484))</f>
        <v/>
      </c>
      <c r="AD484" s="13" t="str">
        <f>IF($X484="","",INDEX(TARIFF_PROFILES!$J:$J,MATCH($X484,TARIFF_PROFILES!$A:$A,0)))</f>
        <v/>
      </c>
      <c r="AE484" s="13" t="str">
        <f>IF($X484="","",INDEX(TARIFF_PROFILES!$K:$K,MATCH($X484,TARIFF_PROFILES!$A:$A,0)))</f>
        <v/>
      </c>
      <c r="AH484" t="str">
        <f>IF($AG484="","",SUMIFS(OPERATING_COEFFS!$C:$C,OPERATING_COEFFS!$A:$A,"DistanceClass",OPERATING_COEFFS!$B:$B,$AG484))</f>
        <v/>
      </c>
      <c r="AJ484" t="str">
        <f>IF($AI484="","",SUMIFS(OPERATING_COEFFS!$C:$C,OPERATING_COEFFS!$A:$A,"SeasonClass",OPERATING_COEFFS!$B:$B,$AI484))</f>
        <v/>
      </c>
      <c r="AL484" t="str">
        <f>IF($AK484="","",SUMIFS(OPERATING_COEFFS!$C:$C,OPERATING_COEFFS!$A:$A,"UrgencyClass",OPERATING_COEFFS!$B:$B,$AK484))</f>
        <v/>
      </c>
      <c r="AN484" t="str">
        <f>IF($AM484="","",INDEX(TAX_MODES!$B:$B,MATCH($AM484,TAX_MODES!$A:$A,0)))</f>
        <v/>
      </c>
    </row>
    <row r="485" spans="24:40" x14ac:dyDescent="0.3">
      <c r="X485" s="13"/>
      <c r="Y485" s="13" t="str">
        <f>IF($X485="","",SUMIFS(TARIFF_PROFILES!$D:$D,TARIFF_PROFILES!$A:$A,$X485))</f>
        <v/>
      </c>
      <c r="Z485" s="13" t="str">
        <f>IF($X485="","",SUMIFS(TARIFF_PROFILES!$E:$E,TARIFF_PROFILES!$A:$A,$X485))</f>
        <v/>
      </c>
      <c r="AA485" s="13" t="str">
        <f>IF($X485="","",SUMIFS(TARIFF_PROFILES!$F:$F,TARIFF_PROFILES!$A:$A,$X485))</f>
        <v/>
      </c>
      <c r="AB485" s="13" t="str">
        <f>IF($X485="","",SUMIFS(TARIFF_PROFILES!$G:$G,TARIFF_PROFILES!$A:$A,$X485))</f>
        <v/>
      </c>
      <c r="AC485" s="13" t="str">
        <f>IF($X485="","",SUMIFS(TARIFF_PROFILES!$H:$H,TARIFF_PROFILES!$A:$A,$X485))</f>
        <v/>
      </c>
      <c r="AD485" s="13" t="str">
        <f>IF($X485="","",INDEX(TARIFF_PROFILES!$J:$J,MATCH($X485,TARIFF_PROFILES!$A:$A,0)))</f>
        <v/>
      </c>
      <c r="AE485" s="13" t="str">
        <f>IF($X485="","",INDEX(TARIFF_PROFILES!$K:$K,MATCH($X485,TARIFF_PROFILES!$A:$A,0)))</f>
        <v/>
      </c>
      <c r="AH485" t="str">
        <f>IF($AG485="","",SUMIFS(OPERATING_COEFFS!$C:$C,OPERATING_COEFFS!$A:$A,"DistanceClass",OPERATING_COEFFS!$B:$B,$AG485))</f>
        <v/>
      </c>
      <c r="AJ485" t="str">
        <f>IF($AI485="","",SUMIFS(OPERATING_COEFFS!$C:$C,OPERATING_COEFFS!$A:$A,"SeasonClass",OPERATING_COEFFS!$B:$B,$AI485))</f>
        <v/>
      </c>
      <c r="AL485" t="str">
        <f>IF($AK485="","",SUMIFS(OPERATING_COEFFS!$C:$C,OPERATING_COEFFS!$A:$A,"UrgencyClass",OPERATING_COEFFS!$B:$B,$AK485))</f>
        <v/>
      </c>
      <c r="AN485" t="str">
        <f>IF($AM485="","",INDEX(TAX_MODES!$B:$B,MATCH($AM485,TAX_MODES!$A:$A,0)))</f>
        <v/>
      </c>
    </row>
    <row r="486" spans="24:40" x14ac:dyDescent="0.3">
      <c r="X486" s="13"/>
      <c r="Y486" s="13" t="str">
        <f>IF($X486="","",SUMIFS(TARIFF_PROFILES!$D:$D,TARIFF_PROFILES!$A:$A,$X486))</f>
        <v/>
      </c>
      <c r="Z486" s="13" t="str">
        <f>IF($X486="","",SUMIFS(TARIFF_PROFILES!$E:$E,TARIFF_PROFILES!$A:$A,$X486))</f>
        <v/>
      </c>
      <c r="AA486" s="13" t="str">
        <f>IF($X486="","",SUMIFS(TARIFF_PROFILES!$F:$F,TARIFF_PROFILES!$A:$A,$X486))</f>
        <v/>
      </c>
      <c r="AB486" s="13" t="str">
        <f>IF($X486="","",SUMIFS(TARIFF_PROFILES!$G:$G,TARIFF_PROFILES!$A:$A,$X486))</f>
        <v/>
      </c>
      <c r="AC486" s="13" t="str">
        <f>IF($X486="","",SUMIFS(TARIFF_PROFILES!$H:$H,TARIFF_PROFILES!$A:$A,$X486))</f>
        <v/>
      </c>
      <c r="AD486" s="13" t="str">
        <f>IF($X486="","",INDEX(TARIFF_PROFILES!$J:$J,MATCH($X486,TARIFF_PROFILES!$A:$A,0)))</f>
        <v/>
      </c>
      <c r="AE486" s="13" t="str">
        <f>IF($X486="","",INDEX(TARIFF_PROFILES!$K:$K,MATCH($X486,TARIFF_PROFILES!$A:$A,0)))</f>
        <v/>
      </c>
      <c r="AH486" t="str">
        <f>IF($AG486="","",SUMIFS(OPERATING_COEFFS!$C:$C,OPERATING_COEFFS!$A:$A,"DistanceClass",OPERATING_COEFFS!$B:$B,$AG486))</f>
        <v/>
      </c>
      <c r="AJ486" t="str">
        <f>IF($AI486="","",SUMIFS(OPERATING_COEFFS!$C:$C,OPERATING_COEFFS!$A:$A,"SeasonClass",OPERATING_COEFFS!$B:$B,$AI486))</f>
        <v/>
      </c>
      <c r="AL486" t="str">
        <f>IF($AK486="","",SUMIFS(OPERATING_COEFFS!$C:$C,OPERATING_COEFFS!$A:$A,"UrgencyClass",OPERATING_COEFFS!$B:$B,$AK486))</f>
        <v/>
      </c>
      <c r="AN486" t="str">
        <f>IF($AM486="","",INDEX(TAX_MODES!$B:$B,MATCH($AM486,TAX_MODES!$A:$A,0)))</f>
        <v/>
      </c>
    </row>
    <row r="487" spans="24:40" x14ac:dyDescent="0.3">
      <c r="X487" s="13"/>
      <c r="Y487" s="13" t="str">
        <f>IF($X487="","",SUMIFS(TARIFF_PROFILES!$D:$D,TARIFF_PROFILES!$A:$A,$X487))</f>
        <v/>
      </c>
      <c r="Z487" s="13" t="str">
        <f>IF($X487="","",SUMIFS(TARIFF_PROFILES!$E:$E,TARIFF_PROFILES!$A:$A,$X487))</f>
        <v/>
      </c>
      <c r="AA487" s="13" t="str">
        <f>IF($X487="","",SUMIFS(TARIFF_PROFILES!$F:$F,TARIFF_PROFILES!$A:$A,$X487))</f>
        <v/>
      </c>
      <c r="AB487" s="13" t="str">
        <f>IF($X487="","",SUMIFS(TARIFF_PROFILES!$G:$G,TARIFF_PROFILES!$A:$A,$X487))</f>
        <v/>
      </c>
      <c r="AC487" s="13" t="str">
        <f>IF($X487="","",SUMIFS(TARIFF_PROFILES!$H:$H,TARIFF_PROFILES!$A:$A,$X487))</f>
        <v/>
      </c>
      <c r="AD487" s="13" t="str">
        <f>IF($X487="","",INDEX(TARIFF_PROFILES!$J:$J,MATCH($X487,TARIFF_PROFILES!$A:$A,0)))</f>
        <v/>
      </c>
      <c r="AE487" s="13" t="str">
        <f>IF($X487="","",INDEX(TARIFF_PROFILES!$K:$K,MATCH($X487,TARIFF_PROFILES!$A:$A,0)))</f>
        <v/>
      </c>
      <c r="AH487" t="str">
        <f>IF($AG487="","",SUMIFS(OPERATING_COEFFS!$C:$C,OPERATING_COEFFS!$A:$A,"DistanceClass",OPERATING_COEFFS!$B:$B,$AG487))</f>
        <v/>
      </c>
      <c r="AJ487" t="str">
        <f>IF($AI487="","",SUMIFS(OPERATING_COEFFS!$C:$C,OPERATING_COEFFS!$A:$A,"SeasonClass",OPERATING_COEFFS!$B:$B,$AI487))</f>
        <v/>
      </c>
      <c r="AL487" t="str">
        <f>IF($AK487="","",SUMIFS(OPERATING_COEFFS!$C:$C,OPERATING_COEFFS!$A:$A,"UrgencyClass",OPERATING_COEFFS!$B:$B,$AK487))</f>
        <v/>
      </c>
      <c r="AN487" t="str">
        <f>IF($AM487="","",INDEX(TAX_MODES!$B:$B,MATCH($AM487,TAX_MODES!$A:$A,0)))</f>
        <v/>
      </c>
    </row>
    <row r="488" spans="24:40" x14ac:dyDescent="0.3">
      <c r="X488" s="13"/>
      <c r="Y488" s="13" t="str">
        <f>IF($X488="","",SUMIFS(TARIFF_PROFILES!$D:$D,TARIFF_PROFILES!$A:$A,$X488))</f>
        <v/>
      </c>
      <c r="Z488" s="13" t="str">
        <f>IF($X488="","",SUMIFS(TARIFF_PROFILES!$E:$E,TARIFF_PROFILES!$A:$A,$X488))</f>
        <v/>
      </c>
      <c r="AA488" s="13" t="str">
        <f>IF($X488="","",SUMIFS(TARIFF_PROFILES!$F:$F,TARIFF_PROFILES!$A:$A,$X488))</f>
        <v/>
      </c>
      <c r="AB488" s="13" t="str">
        <f>IF($X488="","",SUMIFS(TARIFF_PROFILES!$G:$G,TARIFF_PROFILES!$A:$A,$X488))</f>
        <v/>
      </c>
      <c r="AC488" s="13" t="str">
        <f>IF($X488="","",SUMIFS(TARIFF_PROFILES!$H:$H,TARIFF_PROFILES!$A:$A,$X488))</f>
        <v/>
      </c>
      <c r="AD488" s="13" t="str">
        <f>IF($X488="","",INDEX(TARIFF_PROFILES!$J:$J,MATCH($X488,TARIFF_PROFILES!$A:$A,0)))</f>
        <v/>
      </c>
      <c r="AE488" s="13" t="str">
        <f>IF($X488="","",INDEX(TARIFF_PROFILES!$K:$K,MATCH($X488,TARIFF_PROFILES!$A:$A,0)))</f>
        <v/>
      </c>
      <c r="AH488" t="str">
        <f>IF($AG488="","",SUMIFS(OPERATING_COEFFS!$C:$C,OPERATING_COEFFS!$A:$A,"DistanceClass",OPERATING_COEFFS!$B:$B,$AG488))</f>
        <v/>
      </c>
      <c r="AJ488" t="str">
        <f>IF($AI488="","",SUMIFS(OPERATING_COEFFS!$C:$C,OPERATING_COEFFS!$A:$A,"SeasonClass",OPERATING_COEFFS!$B:$B,$AI488))</f>
        <v/>
      </c>
      <c r="AL488" t="str">
        <f>IF($AK488="","",SUMIFS(OPERATING_COEFFS!$C:$C,OPERATING_COEFFS!$A:$A,"UrgencyClass",OPERATING_COEFFS!$B:$B,$AK488))</f>
        <v/>
      </c>
      <c r="AN488" t="str">
        <f>IF($AM488="","",INDEX(TAX_MODES!$B:$B,MATCH($AM488,TAX_MODES!$A:$A,0)))</f>
        <v/>
      </c>
    </row>
    <row r="489" spans="24:40" x14ac:dyDescent="0.3">
      <c r="X489" s="13"/>
      <c r="Y489" s="13" t="str">
        <f>IF($X489="","",SUMIFS(TARIFF_PROFILES!$D:$D,TARIFF_PROFILES!$A:$A,$X489))</f>
        <v/>
      </c>
      <c r="Z489" s="13" t="str">
        <f>IF($X489="","",SUMIFS(TARIFF_PROFILES!$E:$E,TARIFF_PROFILES!$A:$A,$X489))</f>
        <v/>
      </c>
      <c r="AA489" s="13" t="str">
        <f>IF($X489="","",SUMIFS(TARIFF_PROFILES!$F:$F,TARIFF_PROFILES!$A:$A,$X489))</f>
        <v/>
      </c>
      <c r="AB489" s="13" t="str">
        <f>IF($X489="","",SUMIFS(TARIFF_PROFILES!$G:$G,TARIFF_PROFILES!$A:$A,$X489))</f>
        <v/>
      </c>
      <c r="AC489" s="13" t="str">
        <f>IF($X489="","",SUMIFS(TARIFF_PROFILES!$H:$H,TARIFF_PROFILES!$A:$A,$X489))</f>
        <v/>
      </c>
      <c r="AD489" s="13" t="str">
        <f>IF($X489="","",INDEX(TARIFF_PROFILES!$J:$J,MATCH($X489,TARIFF_PROFILES!$A:$A,0)))</f>
        <v/>
      </c>
      <c r="AE489" s="13" t="str">
        <f>IF($X489="","",INDEX(TARIFF_PROFILES!$K:$K,MATCH($X489,TARIFF_PROFILES!$A:$A,0)))</f>
        <v/>
      </c>
      <c r="AH489" t="str">
        <f>IF($AG489="","",SUMIFS(OPERATING_COEFFS!$C:$C,OPERATING_COEFFS!$A:$A,"DistanceClass",OPERATING_COEFFS!$B:$B,$AG489))</f>
        <v/>
      </c>
      <c r="AJ489" t="str">
        <f>IF($AI489="","",SUMIFS(OPERATING_COEFFS!$C:$C,OPERATING_COEFFS!$A:$A,"SeasonClass",OPERATING_COEFFS!$B:$B,$AI489))</f>
        <v/>
      </c>
      <c r="AL489" t="str">
        <f>IF($AK489="","",SUMIFS(OPERATING_COEFFS!$C:$C,OPERATING_COEFFS!$A:$A,"UrgencyClass",OPERATING_COEFFS!$B:$B,$AK489))</f>
        <v/>
      </c>
      <c r="AN489" t="str">
        <f>IF($AM489="","",INDEX(TAX_MODES!$B:$B,MATCH($AM489,TAX_MODES!$A:$A,0)))</f>
        <v/>
      </c>
    </row>
    <row r="490" spans="24:40" x14ac:dyDescent="0.3">
      <c r="X490" s="13"/>
      <c r="Y490" s="13" t="str">
        <f>IF($X490="","",SUMIFS(TARIFF_PROFILES!$D:$D,TARIFF_PROFILES!$A:$A,$X490))</f>
        <v/>
      </c>
      <c r="Z490" s="13" t="str">
        <f>IF($X490="","",SUMIFS(TARIFF_PROFILES!$E:$E,TARIFF_PROFILES!$A:$A,$X490))</f>
        <v/>
      </c>
      <c r="AA490" s="13" t="str">
        <f>IF($X490="","",SUMIFS(TARIFF_PROFILES!$F:$F,TARIFF_PROFILES!$A:$A,$X490))</f>
        <v/>
      </c>
      <c r="AB490" s="13" t="str">
        <f>IF($X490="","",SUMIFS(TARIFF_PROFILES!$G:$G,TARIFF_PROFILES!$A:$A,$X490))</f>
        <v/>
      </c>
      <c r="AC490" s="13" t="str">
        <f>IF($X490="","",SUMIFS(TARIFF_PROFILES!$H:$H,TARIFF_PROFILES!$A:$A,$X490))</f>
        <v/>
      </c>
      <c r="AD490" s="13" t="str">
        <f>IF($X490="","",INDEX(TARIFF_PROFILES!$J:$J,MATCH($X490,TARIFF_PROFILES!$A:$A,0)))</f>
        <v/>
      </c>
      <c r="AE490" s="13" t="str">
        <f>IF($X490="","",INDEX(TARIFF_PROFILES!$K:$K,MATCH($X490,TARIFF_PROFILES!$A:$A,0)))</f>
        <v/>
      </c>
      <c r="AH490" t="str">
        <f>IF($AG490="","",SUMIFS(OPERATING_COEFFS!$C:$C,OPERATING_COEFFS!$A:$A,"DistanceClass",OPERATING_COEFFS!$B:$B,$AG490))</f>
        <v/>
      </c>
      <c r="AJ490" t="str">
        <f>IF($AI490="","",SUMIFS(OPERATING_COEFFS!$C:$C,OPERATING_COEFFS!$A:$A,"SeasonClass",OPERATING_COEFFS!$B:$B,$AI490))</f>
        <v/>
      </c>
      <c r="AL490" t="str">
        <f>IF($AK490="","",SUMIFS(OPERATING_COEFFS!$C:$C,OPERATING_COEFFS!$A:$A,"UrgencyClass",OPERATING_COEFFS!$B:$B,$AK490))</f>
        <v/>
      </c>
      <c r="AN490" t="str">
        <f>IF($AM490="","",INDEX(TAX_MODES!$B:$B,MATCH($AM490,TAX_MODES!$A:$A,0)))</f>
        <v/>
      </c>
    </row>
    <row r="491" spans="24:40" x14ac:dyDescent="0.3">
      <c r="X491" s="13"/>
      <c r="Y491" s="13" t="str">
        <f>IF($X491="","",SUMIFS(TARIFF_PROFILES!$D:$D,TARIFF_PROFILES!$A:$A,$X491))</f>
        <v/>
      </c>
      <c r="Z491" s="13" t="str">
        <f>IF($X491="","",SUMIFS(TARIFF_PROFILES!$E:$E,TARIFF_PROFILES!$A:$A,$X491))</f>
        <v/>
      </c>
      <c r="AA491" s="13" t="str">
        <f>IF($X491="","",SUMIFS(TARIFF_PROFILES!$F:$F,TARIFF_PROFILES!$A:$A,$X491))</f>
        <v/>
      </c>
      <c r="AB491" s="13" t="str">
        <f>IF($X491="","",SUMIFS(TARIFF_PROFILES!$G:$G,TARIFF_PROFILES!$A:$A,$X491))</f>
        <v/>
      </c>
      <c r="AC491" s="13" t="str">
        <f>IF($X491="","",SUMIFS(TARIFF_PROFILES!$H:$H,TARIFF_PROFILES!$A:$A,$X491))</f>
        <v/>
      </c>
      <c r="AD491" s="13" t="str">
        <f>IF($X491="","",INDEX(TARIFF_PROFILES!$J:$J,MATCH($X491,TARIFF_PROFILES!$A:$A,0)))</f>
        <v/>
      </c>
      <c r="AE491" s="13" t="str">
        <f>IF($X491="","",INDEX(TARIFF_PROFILES!$K:$K,MATCH($X491,TARIFF_PROFILES!$A:$A,0)))</f>
        <v/>
      </c>
      <c r="AH491" t="str">
        <f>IF($AG491="","",SUMIFS(OPERATING_COEFFS!$C:$C,OPERATING_COEFFS!$A:$A,"DistanceClass",OPERATING_COEFFS!$B:$B,$AG491))</f>
        <v/>
      </c>
      <c r="AJ491" t="str">
        <f>IF($AI491="","",SUMIFS(OPERATING_COEFFS!$C:$C,OPERATING_COEFFS!$A:$A,"SeasonClass",OPERATING_COEFFS!$B:$B,$AI491))</f>
        <v/>
      </c>
      <c r="AL491" t="str">
        <f>IF($AK491="","",SUMIFS(OPERATING_COEFFS!$C:$C,OPERATING_COEFFS!$A:$A,"UrgencyClass",OPERATING_COEFFS!$B:$B,$AK491))</f>
        <v/>
      </c>
      <c r="AN491" t="str">
        <f>IF($AM491="","",INDEX(TAX_MODES!$B:$B,MATCH($AM491,TAX_MODES!$A:$A,0)))</f>
        <v/>
      </c>
    </row>
    <row r="492" spans="24:40" x14ac:dyDescent="0.3">
      <c r="X492" s="13"/>
      <c r="Y492" s="13" t="str">
        <f>IF($X492="","",SUMIFS(TARIFF_PROFILES!$D:$D,TARIFF_PROFILES!$A:$A,$X492))</f>
        <v/>
      </c>
      <c r="Z492" s="13" t="str">
        <f>IF($X492="","",SUMIFS(TARIFF_PROFILES!$E:$E,TARIFF_PROFILES!$A:$A,$X492))</f>
        <v/>
      </c>
      <c r="AA492" s="13" t="str">
        <f>IF($X492="","",SUMIFS(TARIFF_PROFILES!$F:$F,TARIFF_PROFILES!$A:$A,$X492))</f>
        <v/>
      </c>
      <c r="AB492" s="13" t="str">
        <f>IF($X492="","",SUMIFS(TARIFF_PROFILES!$G:$G,TARIFF_PROFILES!$A:$A,$X492))</f>
        <v/>
      </c>
      <c r="AC492" s="13" t="str">
        <f>IF($X492="","",SUMIFS(TARIFF_PROFILES!$H:$H,TARIFF_PROFILES!$A:$A,$X492))</f>
        <v/>
      </c>
      <c r="AD492" s="13" t="str">
        <f>IF($X492="","",INDEX(TARIFF_PROFILES!$J:$J,MATCH($X492,TARIFF_PROFILES!$A:$A,0)))</f>
        <v/>
      </c>
      <c r="AE492" s="13" t="str">
        <f>IF($X492="","",INDEX(TARIFF_PROFILES!$K:$K,MATCH($X492,TARIFF_PROFILES!$A:$A,0)))</f>
        <v/>
      </c>
      <c r="AH492" t="str">
        <f>IF($AG492="","",SUMIFS(OPERATING_COEFFS!$C:$C,OPERATING_COEFFS!$A:$A,"DistanceClass",OPERATING_COEFFS!$B:$B,$AG492))</f>
        <v/>
      </c>
      <c r="AJ492" t="str">
        <f>IF($AI492="","",SUMIFS(OPERATING_COEFFS!$C:$C,OPERATING_COEFFS!$A:$A,"SeasonClass",OPERATING_COEFFS!$B:$B,$AI492))</f>
        <v/>
      </c>
      <c r="AL492" t="str">
        <f>IF($AK492="","",SUMIFS(OPERATING_COEFFS!$C:$C,OPERATING_COEFFS!$A:$A,"UrgencyClass",OPERATING_COEFFS!$B:$B,$AK492))</f>
        <v/>
      </c>
      <c r="AN492" t="str">
        <f>IF($AM492="","",INDEX(TAX_MODES!$B:$B,MATCH($AM492,TAX_MODES!$A:$A,0)))</f>
        <v/>
      </c>
    </row>
    <row r="493" spans="24:40" x14ac:dyDescent="0.3">
      <c r="X493" s="13"/>
      <c r="Y493" s="13" t="str">
        <f>IF($X493="","",SUMIFS(TARIFF_PROFILES!$D:$D,TARIFF_PROFILES!$A:$A,$X493))</f>
        <v/>
      </c>
      <c r="Z493" s="13" t="str">
        <f>IF($X493="","",SUMIFS(TARIFF_PROFILES!$E:$E,TARIFF_PROFILES!$A:$A,$X493))</f>
        <v/>
      </c>
      <c r="AA493" s="13" t="str">
        <f>IF($X493="","",SUMIFS(TARIFF_PROFILES!$F:$F,TARIFF_PROFILES!$A:$A,$X493))</f>
        <v/>
      </c>
      <c r="AB493" s="13" t="str">
        <f>IF($X493="","",SUMIFS(TARIFF_PROFILES!$G:$G,TARIFF_PROFILES!$A:$A,$X493))</f>
        <v/>
      </c>
      <c r="AC493" s="13" t="str">
        <f>IF($X493="","",SUMIFS(TARIFF_PROFILES!$H:$H,TARIFF_PROFILES!$A:$A,$X493))</f>
        <v/>
      </c>
      <c r="AD493" s="13" t="str">
        <f>IF($X493="","",INDEX(TARIFF_PROFILES!$J:$J,MATCH($X493,TARIFF_PROFILES!$A:$A,0)))</f>
        <v/>
      </c>
      <c r="AE493" s="13" t="str">
        <f>IF($X493="","",INDEX(TARIFF_PROFILES!$K:$K,MATCH($X493,TARIFF_PROFILES!$A:$A,0)))</f>
        <v/>
      </c>
      <c r="AH493" t="str">
        <f>IF($AG493="","",SUMIFS(OPERATING_COEFFS!$C:$C,OPERATING_COEFFS!$A:$A,"DistanceClass",OPERATING_COEFFS!$B:$B,$AG493))</f>
        <v/>
      </c>
      <c r="AJ493" t="str">
        <f>IF($AI493="","",SUMIFS(OPERATING_COEFFS!$C:$C,OPERATING_COEFFS!$A:$A,"SeasonClass",OPERATING_COEFFS!$B:$B,$AI493))</f>
        <v/>
      </c>
      <c r="AL493" t="str">
        <f>IF($AK493="","",SUMIFS(OPERATING_COEFFS!$C:$C,OPERATING_COEFFS!$A:$A,"UrgencyClass",OPERATING_COEFFS!$B:$B,$AK493))</f>
        <v/>
      </c>
      <c r="AN493" t="str">
        <f>IF($AM493="","",INDEX(TAX_MODES!$B:$B,MATCH($AM493,TAX_MODES!$A:$A,0)))</f>
        <v/>
      </c>
    </row>
    <row r="494" spans="24:40" x14ac:dyDescent="0.3">
      <c r="X494" s="13"/>
      <c r="Y494" s="13" t="str">
        <f>IF($X494="","",SUMIFS(TARIFF_PROFILES!$D:$D,TARIFF_PROFILES!$A:$A,$X494))</f>
        <v/>
      </c>
      <c r="Z494" s="13" t="str">
        <f>IF($X494="","",SUMIFS(TARIFF_PROFILES!$E:$E,TARIFF_PROFILES!$A:$A,$X494))</f>
        <v/>
      </c>
      <c r="AA494" s="13" t="str">
        <f>IF($X494="","",SUMIFS(TARIFF_PROFILES!$F:$F,TARIFF_PROFILES!$A:$A,$X494))</f>
        <v/>
      </c>
      <c r="AB494" s="13" t="str">
        <f>IF($X494="","",SUMIFS(TARIFF_PROFILES!$G:$G,TARIFF_PROFILES!$A:$A,$X494))</f>
        <v/>
      </c>
      <c r="AC494" s="13" t="str">
        <f>IF($X494="","",SUMIFS(TARIFF_PROFILES!$H:$H,TARIFF_PROFILES!$A:$A,$X494))</f>
        <v/>
      </c>
      <c r="AD494" s="13" t="str">
        <f>IF($X494="","",INDEX(TARIFF_PROFILES!$J:$J,MATCH($X494,TARIFF_PROFILES!$A:$A,0)))</f>
        <v/>
      </c>
      <c r="AE494" s="13" t="str">
        <f>IF($X494="","",INDEX(TARIFF_PROFILES!$K:$K,MATCH($X494,TARIFF_PROFILES!$A:$A,0)))</f>
        <v/>
      </c>
      <c r="AH494" t="str">
        <f>IF($AG494="","",SUMIFS(OPERATING_COEFFS!$C:$C,OPERATING_COEFFS!$A:$A,"DistanceClass",OPERATING_COEFFS!$B:$B,$AG494))</f>
        <v/>
      </c>
      <c r="AJ494" t="str">
        <f>IF($AI494="","",SUMIFS(OPERATING_COEFFS!$C:$C,OPERATING_COEFFS!$A:$A,"SeasonClass",OPERATING_COEFFS!$B:$B,$AI494))</f>
        <v/>
      </c>
      <c r="AL494" t="str">
        <f>IF($AK494="","",SUMIFS(OPERATING_COEFFS!$C:$C,OPERATING_COEFFS!$A:$A,"UrgencyClass",OPERATING_COEFFS!$B:$B,$AK494))</f>
        <v/>
      </c>
      <c r="AN494" t="str">
        <f>IF($AM494="","",INDEX(TAX_MODES!$B:$B,MATCH($AM494,TAX_MODES!$A:$A,0)))</f>
        <v/>
      </c>
    </row>
    <row r="495" spans="24:40" x14ac:dyDescent="0.3">
      <c r="X495" s="13"/>
      <c r="Y495" s="13" t="str">
        <f>IF($X495="","",SUMIFS(TARIFF_PROFILES!$D:$D,TARIFF_PROFILES!$A:$A,$X495))</f>
        <v/>
      </c>
      <c r="Z495" s="13" t="str">
        <f>IF($X495="","",SUMIFS(TARIFF_PROFILES!$E:$E,TARIFF_PROFILES!$A:$A,$X495))</f>
        <v/>
      </c>
      <c r="AA495" s="13" t="str">
        <f>IF($X495="","",SUMIFS(TARIFF_PROFILES!$F:$F,TARIFF_PROFILES!$A:$A,$X495))</f>
        <v/>
      </c>
      <c r="AB495" s="13" t="str">
        <f>IF($X495="","",SUMIFS(TARIFF_PROFILES!$G:$G,TARIFF_PROFILES!$A:$A,$X495))</f>
        <v/>
      </c>
      <c r="AC495" s="13" t="str">
        <f>IF($X495="","",SUMIFS(TARIFF_PROFILES!$H:$H,TARIFF_PROFILES!$A:$A,$X495))</f>
        <v/>
      </c>
      <c r="AD495" s="13" t="str">
        <f>IF($X495="","",INDEX(TARIFF_PROFILES!$J:$J,MATCH($X495,TARIFF_PROFILES!$A:$A,0)))</f>
        <v/>
      </c>
      <c r="AE495" s="13" t="str">
        <f>IF($X495="","",INDEX(TARIFF_PROFILES!$K:$K,MATCH($X495,TARIFF_PROFILES!$A:$A,0)))</f>
        <v/>
      </c>
      <c r="AH495" t="str">
        <f>IF($AG495="","",SUMIFS(OPERATING_COEFFS!$C:$C,OPERATING_COEFFS!$A:$A,"DistanceClass",OPERATING_COEFFS!$B:$B,$AG495))</f>
        <v/>
      </c>
      <c r="AJ495" t="str">
        <f>IF($AI495="","",SUMIFS(OPERATING_COEFFS!$C:$C,OPERATING_COEFFS!$A:$A,"SeasonClass",OPERATING_COEFFS!$B:$B,$AI495))</f>
        <v/>
      </c>
      <c r="AL495" t="str">
        <f>IF($AK495="","",SUMIFS(OPERATING_COEFFS!$C:$C,OPERATING_COEFFS!$A:$A,"UrgencyClass",OPERATING_COEFFS!$B:$B,$AK495))</f>
        <v/>
      </c>
      <c r="AN495" t="str">
        <f>IF($AM495="","",INDEX(TAX_MODES!$B:$B,MATCH($AM495,TAX_MODES!$A:$A,0)))</f>
        <v/>
      </c>
    </row>
    <row r="496" spans="24:40" x14ac:dyDescent="0.3">
      <c r="X496" s="13"/>
      <c r="Y496" s="13" t="str">
        <f>IF($X496="","",SUMIFS(TARIFF_PROFILES!$D:$D,TARIFF_PROFILES!$A:$A,$X496))</f>
        <v/>
      </c>
      <c r="Z496" s="13" t="str">
        <f>IF($X496="","",SUMIFS(TARIFF_PROFILES!$E:$E,TARIFF_PROFILES!$A:$A,$X496))</f>
        <v/>
      </c>
      <c r="AA496" s="13" t="str">
        <f>IF($X496="","",SUMIFS(TARIFF_PROFILES!$F:$F,TARIFF_PROFILES!$A:$A,$X496))</f>
        <v/>
      </c>
      <c r="AB496" s="13" t="str">
        <f>IF($X496="","",SUMIFS(TARIFF_PROFILES!$G:$G,TARIFF_PROFILES!$A:$A,$X496))</f>
        <v/>
      </c>
      <c r="AC496" s="13" t="str">
        <f>IF($X496="","",SUMIFS(TARIFF_PROFILES!$H:$H,TARIFF_PROFILES!$A:$A,$X496))</f>
        <v/>
      </c>
      <c r="AD496" s="13" t="str">
        <f>IF($X496="","",INDEX(TARIFF_PROFILES!$J:$J,MATCH($X496,TARIFF_PROFILES!$A:$A,0)))</f>
        <v/>
      </c>
      <c r="AE496" s="13" t="str">
        <f>IF($X496="","",INDEX(TARIFF_PROFILES!$K:$K,MATCH($X496,TARIFF_PROFILES!$A:$A,0)))</f>
        <v/>
      </c>
      <c r="AH496" t="str">
        <f>IF($AG496="","",SUMIFS(OPERATING_COEFFS!$C:$C,OPERATING_COEFFS!$A:$A,"DistanceClass",OPERATING_COEFFS!$B:$B,$AG496))</f>
        <v/>
      </c>
      <c r="AJ496" t="str">
        <f>IF($AI496="","",SUMIFS(OPERATING_COEFFS!$C:$C,OPERATING_COEFFS!$A:$A,"SeasonClass",OPERATING_COEFFS!$B:$B,$AI496))</f>
        <v/>
      </c>
      <c r="AL496" t="str">
        <f>IF($AK496="","",SUMIFS(OPERATING_COEFFS!$C:$C,OPERATING_COEFFS!$A:$A,"UrgencyClass",OPERATING_COEFFS!$B:$B,$AK496))</f>
        <v/>
      </c>
      <c r="AN496" t="str">
        <f>IF($AM496="","",INDEX(TAX_MODES!$B:$B,MATCH($AM496,TAX_MODES!$A:$A,0)))</f>
        <v/>
      </c>
    </row>
    <row r="497" spans="24:40" x14ac:dyDescent="0.3">
      <c r="X497" s="13"/>
      <c r="Y497" s="13" t="str">
        <f>IF($X497="","",SUMIFS(TARIFF_PROFILES!$D:$D,TARIFF_PROFILES!$A:$A,$X497))</f>
        <v/>
      </c>
      <c r="Z497" s="13" t="str">
        <f>IF($X497="","",SUMIFS(TARIFF_PROFILES!$E:$E,TARIFF_PROFILES!$A:$A,$X497))</f>
        <v/>
      </c>
      <c r="AA497" s="13" t="str">
        <f>IF($X497="","",SUMIFS(TARIFF_PROFILES!$F:$F,TARIFF_PROFILES!$A:$A,$X497))</f>
        <v/>
      </c>
      <c r="AB497" s="13" t="str">
        <f>IF($X497="","",SUMIFS(TARIFF_PROFILES!$G:$G,TARIFF_PROFILES!$A:$A,$X497))</f>
        <v/>
      </c>
      <c r="AC497" s="13" t="str">
        <f>IF($X497="","",SUMIFS(TARIFF_PROFILES!$H:$H,TARIFF_PROFILES!$A:$A,$X497))</f>
        <v/>
      </c>
      <c r="AD497" s="13" t="str">
        <f>IF($X497="","",INDEX(TARIFF_PROFILES!$J:$J,MATCH($X497,TARIFF_PROFILES!$A:$A,0)))</f>
        <v/>
      </c>
      <c r="AE497" s="13" t="str">
        <f>IF($X497="","",INDEX(TARIFF_PROFILES!$K:$K,MATCH($X497,TARIFF_PROFILES!$A:$A,0)))</f>
        <v/>
      </c>
      <c r="AH497" t="str">
        <f>IF($AG497="","",SUMIFS(OPERATING_COEFFS!$C:$C,OPERATING_COEFFS!$A:$A,"DistanceClass",OPERATING_COEFFS!$B:$B,$AG497))</f>
        <v/>
      </c>
      <c r="AJ497" t="str">
        <f>IF($AI497="","",SUMIFS(OPERATING_COEFFS!$C:$C,OPERATING_COEFFS!$A:$A,"SeasonClass",OPERATING_COEFFS!$B:$B,$AI497))</f>
        <v/>
      </c>
      <c r="AL497" t="str">
        <f>IF($AK497="","",SUMIFS(OPERATING_COEFFS!$C:$C,OPERATING_COEFFS!$A:$A,"UrgencyClass",OPERATING_COEFFS!$B:$B,$AK497))</f>
        <v/>
      </c>
      <c r="AN497" t="str">
        <f>IF($AM497="","",INDEX(TAX_MODES!$B:$B,MATCH($AM497,TAX_MODES!$A:$A,0)))</f>
        <v/>
      </c>
    </row>
    <row r="498" spans="24:40" x14ac:dyDescent="0.3">
      <c r="X498" s="13"/>
      <c r="Y498" s="13" t="str">
        <f>IF($X498="","",SUMIFS(TARIFF_PROFILES!$D:$D,TARIFF_PROFILES!$A:$A,$X498))</f>
        <v/>
      </c>
      <c r="Z498" s="13" t="str">
        <f>IF($X498="","",SUMIFS(TARIFF_PROFILES!$E:$E,TARIFF_PROFILES!$A:$A,$X498))</f>
        <v/>
      </c>
      <c r="AA498" s="13" t="str">
        <f>IF($X498="","",SUMIFS(TARIFF_PROFILES!$F:$F,TARIFF_PROFILES!$A:$A,$X498))</f>
        <v/>
      </c>
      <c r="AB498" s="13" t="str">
        <f>IF($X498="","",SUMIFS(TARIFF_PROFILES!$G:$G,TARIFF_PROFILES!$A:$A,$X498))</f>
        <v/>
      </c>
      <c r="AC498" s="13" t="str">
        <f>IF($X498="","",SUMIFS(TARIFF_PROFILES!$H:$H,TARIFF_PROFILES!$A:$A,$X498))</f>
        <v/>
      </c>
      <c r="AD498" s="13" t="str">
        <f>IF($X498="","",INDEX(TARIFF_PROFILES!$J:$J,MATCH($X498,TARIFF_PROFILES!$A:$A,0)))</f>
        <v/>
      </c>
      <c r="AE498" s="13" t="str">
        <f>IF($X498="","",INDEX(TARIFF_PROFILES!$K:$K,MATCH($X498,TARIFF_PROFILES!$A:$A,0)))</f>
        <v/>
      </c>
      <c r="AH498" t="str">
        <f>IF($AG498="","",SUMIFS(OPERATING_COEFFS!$C:$C,OPERATING_COEFFS!$A:$A,"DistanceClass",OPERATING_COEFFS!$B:$B,$AG498))</f>
        <v/>
      </c>
      <c r="AJ498" t="str">
        <f>IF($AI498="","",SUMIFS(OPERATING_COEFFS!$C:$C,OPERATING_COEFFS!$A:$A,"SeasonClass",OPERATING_COEFFS!$B:$B,$AI498))</f>
        <v/>
      </c>
      <c r="AL498" t="str">
        <f>IF($AK498="","",SUMIFS(OPERATING_COEFFS!$C:$C,OPERATING_COEFFS!$A:$A,"UrgencyClass",OPERATING_COEFFS!$B:$B,$AK498))</f>
        <v/>
      </c>
      <c r="AN498" t="str">
        <f>IF($AM498="","",INDEX(TAX_MODES!$B:$B,MATCH($AM498,TAX_MODES!$A:$A,0)))</f>
        <v/>
      </c>
    </row>
    <row r="499" spans="24:40" x14ac:dyDescent="0.3">
      <c r="X499" s="13"/>
      <c r="Y499" s="13" t="str">
        <f>IF($X499="","",SUMIFS(TARIFF_PROFILES!$D:$D,TARIFF_PROFILES!$A:$A,$X499))</f>
        <v/>
      </c>
      <c r="Z499" s="13" t="str">
        <f>IF($X499="","",SUMIFS(TARIFF_PROFILES!$E:$E,TARIFF_PROFILES!$A:$A,$X499))</f>
        <v/>
      </c>
      <c r="AA499" s="13" t="str">
        <f>IF($X499="","",SUMIFS(TARIFF_PROFILES!$F:$F,TARIFF_PROFILES!$A:$A,$X499))</f>
        <v/>
      </c>
      <c r="AB499" s="13" t="str">
        <f>IF($X499="","",SUMIFS(TARIFF_PROFILES!$G:$G,TARIFF_PROFILES!$A:$A,$X499))</f>
        <v/>
      </c>
      <c r="AC499" s="13" t="str">
        <f>IF($X499="","",SUMIFS(TARIFF_PROFILES!$H:$H,TARIFF_PROFILES!$A:$A,$X499))</f>
        <v/>
      </c>
      <c r="AD499" s="13" t="str">
        <f>IF($X499="","",INDEX(TARIFF_PROFILES!$J:$J,MATCH($X499,TARIFF_PROFILES!$A:$A,0)))</f>
        <v/>
      </c>
      <c r="AE499" s="13" t="str">
        <f>IF($X499="","",INDEX(TARIFF_PROFILES!$K:$K,MATCH($X499,TARIFF_PROFILES!$A:$A,0)))</f>
        <v/>
      </c>
      <c r="AH499" t="str">
        <f>IF($AG499="","",SUMIFS(OPERATING_COEFFS!$C:$C,OPERATING_COEFFS!$A:$A,"DistanceClass",OPERATING_COEFFS!$B:$B,$AG499))</f>
        <v/>
      </c>
      <c r="AJ499" t="str">
        <f>IF($AI499="","",SUMIFS(OPERATING_COEFFS!$C:$C,OPERATING_COEFFS!$A:$A,"SeasonClass",OPERATING_COEFFS!$B:$B,$AI499))</f>
        <v/>
      </c>
      <c r="AL499" t="str">
        <f>IF($AK499="","",SUMIFS(OPERATING_COEFFS!$C:$C,OPERATING_COEFFS!$A:$A,"UrgencyClass",OPERATING_COEFFS!$B:$B,$AK499))</f>
        <v/>
      </c>
      <c r="AN499" t="str">
        <f>IF($AM499="","",INDEX(TAX_MODES!$B:$B,MATCH($AM499,TAX_MODES!$A:$A,0)))</f>
        <v/>
      </c>
    </row>
    <row r="500" spans="24:40" x14ac:dyDescent="0.3">
      <c r="X500" s="13"/>
      <c r="Y500" s="13" t="str">
        <f>IF($X500="","",SUMIFS(TARIFF_PROFILES!$D:$D,TARIFF_PROFILES!$A:$A,$X500))</f>
        <v/>
      </c>
      <c r="Z500" s="13" t="str">
        <f>IF($X500="","",SUMIFS(TARIFF_PROFILES!$E:$E,TARIFF_PROFILES!$A:$A,$X500))</f>
        <v/>
      </c>
      <c r="AA500" s="13" t="str">
        <f>IF($X500="","",SUMIFS(TARIFF_PROFILES!$F:$F,TARIFF_PROFILES!$A:$A,$X500))</f>
        <v/>
      </c>
      <c r="AB500" s="13" t="str">
        <f>IF($X500="","",SUMIFS(TARIFF_PROFILES!$G:$G,TARIFF_PROFILES!$A:$A,$X500))</f>
        <v/>
      </c>
      <c r="AC500" s="13" t="str">
        <f>IF($X500="","",SUMIFS(TARIFF_PROFILES!$H:$H,TARIFF_PROFILES!$A:$A,$X500))</f>
        <v/>
      </c>
      <c r="AD500" s="13" t="str">
        <f>IF($X500="","",INDEX(TARIFF_PROFILES!$J:$J,MATCH($X500,TARIFF_PROFILES!$A:$A,0)))</f>
        <v/>
      </c>
      <c r="AE500" s="13" t="str">
        <f>IF($X500="","",INDEX(TARIFF_PROFILES!$K:$K,MATCH($X500,TARIFF_PROFILES!$A:$A,0)))</f>
        <v/>
      </c>
      <c r="AH500" t="str">
        <f>IF($AG500="","",SUMIFS(OPERATING_COEFFS!$C:$C,OPERATING_COEFFS!$A:$A,"DistanceClass",OPERATING_COEFFS!$B:$B,$AG500))</f>
        <v/>
      </c>
      <c r="AJ500" t="str">
        <f>IF($AI500="","",SUMIFS(OPERATING_COEFFS!$C:$C,OPERATING_COEFFS!$A:$A,"SeasonClass",OPERATING_COEFFS!$B:$B,$AI500))</f>
        <v/>
      </c>
      <c r="AL500" t="str">
        <f>IF($AK500="","",SUMIFS(OPERATING_COEFFS!$C:$C,OPERATING_COEFFS!$A:$A,"UrgencyClass",OPERATING_COEFFS!$B:$B,$AK500))</f>
        <v/>
      </c>
      <c r="AN500" t="str">
        <f>IF($AM500="","",INDEX(TAX_MODES!$B:$B,MATCH($AM500,TAX_MODES!$A:$A,0)))</f>
        <v/>
      </c>
    </row>
    <row r="501" spans="24:40" x14ac:dyDescent="0.3">
      <c r="X501" s="13"/>
      <c r="Y501" s="13" t="str">
        <f>IF($X501="","",SUMIFS(TARIFF_PROFILES!$D:$D,TARIFF_PROFILES!$A:$A,$X501))</f>
        <v/>
      </c>
      <c r="Z501" s="13" t="str">
        <f>IF($X501="","",SUMIFS(TARIFF_PROFILES!$E:$E,TARIFF_PROFILES!$A:$A,$X501))</f>
        <v/>
      </c>
      <c r="AA501" s="13" t="str">
        <f>IF($X501="","",SUMIFS(TARIFF_PROFILES!$F:$F,TARIFF_PROFILES!$A:$A,$X501))</f>
        <v/>
      </c>
      <c r="AB501" s="13" t="str">
        <f>IF($X501="","",SUMIFS(TARIFF_PROFILES!$G:$G,TARIFF_PROFILES!$A:$A,$X501))</f>
        <v/>
      </c>
      <c r="AC501" s="13" t="str">
        <f>IF($X501="","",SUMIFS(TARIFF_PROFILES!$H:$H,TARIFF_PROFILES!$A:$A,$X501))</f>
        <v/>
      </c>
      <c r="AD501" s="13" t="str">
        <f>IF($X501="","",INDEX(TARIFF_PROFILES!$J:$J,MATCH($X501,TARIFF_PROFILES!$A:$A,0)))</f>
        <v/>
      </c>
      <c r="AE501" s="13" t="str">
        <f>IF($X501="","",INDEX(TARIFF_PROFILES!$K:$K,MATCH($X501,TARIFF_PROFILES!$A:$A,0)))</f>
        <v/>
      </c>
      <c r="AH501" t="str">
        <f>IF($AG501="","",SUMIFS(OPERATING_COEFFS!$C:$C,OPERATING_COEFFS!$A:$A,"DistanceClass",OPERATING_COEFFS!$B:$B,$AG501))</f>
        <v/>
      </c>
      <c r="AJ501" t="str">
        <f>IF($AI501="","",SUMIFS(OPERATING_COEFFS!$C:$C,OPERATING_COEFFS!$A:$A,"SeasonClass",OPERATING_COEFFS!$B:$B,$AI501))</f>
        <v/>
      </c>
      <c r="AL501" t="str">
        <f>IF($AK501="","",SUMIFS(OPERATING_COEFFS!$C:$C,OPERATING_COEFFS!$A:$A,"UrgencyClass",OPERATING_COEFFS!$B:$B,$AK501))</f>
        <v/>
      </c>
      <c r="AN501" t="str">
        <f>IF($AM501="","",INDEX(TAX_MODES!$B:$B,MATCH($AM501,TAX_MODES!$A:$A,0)))</f>
        <v/>
      </c>
    </row>
    <row r="502" spans="24:40" x14ac:dyDescent="0.3">
      <c r="X502" s="13"/>
      <c r="Y502" s="13" t="str">
        <f>IF($X502="","",SUMIFS(TARIFF_PROFILES!$D:$D,TARIFF_PROFILES!$A:$A,$X502))</f>
        <v/>
      </c>
      <c r="Z502" s="13" t="str">
        <f>IF($X502="","",SUMIFS(TARIFF_PROFILES!$E:$E,TARIFF_PROFILES!$A:$A,$X502))</f>
        <v/>
      </c>
      <c r="AA502" s="13" t="str">
        <f>IF($X502="","",SUMIFS(TARIFF_PROFILES!$F:$F,TARIFF_PROFILES!$A:$A,$X502))</f>
        <v/>
      </c>
      <c r="AB502" s="13" t="str">
        <f>IF($X502="","",SUMIFS(TARIFF_PROFILES!$G:$G,TARIFF_PROFILES!$A:$A,$X502))</f>
        <v/>
      </c>
      <c r="AC502" s="13" t="str">
        <f>IF($X502="","",SUMIFS(TARIFF_PROFILES!$H:$H,TARIFF_PROFILES!$A:$A,$X502))</f>
        <v/>
      </c>
      <c r="AD502" s="13" t="str">
        <f>IF($X502="","",INDEX(TARIFF_PROFILES!$J:$J,MATCH($X502,TARIFF_PROFILES!$A:$A,0)))</f>
        <v/>
      </c>
      <c r="AE502" s="13" t="str">
        <f>IF($X502="","",INDEX(TARIFF_PROFILES!$K:$K,MATCH($X502,TARIFF_PROFILES!$A:$A,0)))</f>
        <v/>
      </c>
      <c r="AH502" t="str">
        <f>IF($AG502="","",SUMIFS(OPERATING_COEFFS!$C:$C,OPERATING_COEFFS!$A:$A,"DistanceClass",OPERATING_COEFFS!$B:$B,$AG502))</f>
        <v/>
      </c>
      <c r="AJ502" t="str">
        <f>IF($AI502="","",SUMIFS(OPERATING_COEFFS!$C:$C,OPERATING_COEFFS!$A:$A,"SeasonClass",OPERATING_COEFFS!$B:$B,$AI502))</f>
        <v/>
      </c>
      <c r="AL502" t="str">
        <f>IF($AK502="","",SUMIFS(OPERATING_COEFFS!$C:$C,OPERATING_COEFFS!$A:$A,"UrgencyClass",OPERATING_COEFFS!$B:$B,$AK502))</f>
        <v/>
      </c>
      <c r="AN502" t="str">
        <f>IF($AM502="","",INDEX(TAX_MODES!$B:$B,MATCH($AM502,TAX_MODES!$A:$A,0)))</f>
        <v/>
      </c>
    </row>
    <row r="503" spans="24:40" x14ac:dyDescent="0.3">
      <c r="X503" s="13"/>
      <c r="Y503" s="13" t="str">
        <f>IF($X503="","",SUMIFS(TARIFF_PROFILES!$D:$D,TARIFF_PROFILES!$A:$A,$X503))</f>
        <v/>
      </c>
      <c r="Z503" s="13" t="str">
        <f>IF($X503="","",SUMIFS(TARIFF_PROFILES!$E:$E,TARIFF_PROFILES!$A:$A,$X503))</f>
        <v/>
      </c>
      <c r="AA503" s="13" t="str">
        <f>IF($X503="","",SUMIFS(TARIFF_PROFILES!$F:$F,TARIFF_PROFILES!$A:$A,$X503))</f>
        <v/>
      </c>
      <c r="AB503" s="13" t="str">
        <f>IF($X503="","",SUMIFS(TARIFF_PROFILES!$G:$G,TARIFF_PROFILES!$A:$A,$X503))</f>
        <v/>
      </c>
      <c r="AC503" s="13" t="str">
        <f>IF($X503="","",SUMIFS(TARIFF_PROFILES!$H:$H,TARIFF_PROFILES!$A:$A,$X503))</f>
        <v/>
      </c>
      <c r="AD503" s="13" t="str">
        <f>IF($X503="","",INDEX(TARIFF_PROFILES!$J:$J,MATCH($X503,TARIFF_PROFILES!$A:$A,0)))</f>
        <v/>
      </c>
      <c r="AE503" s="13" t="str">
        <f>IF($X503="","",INDEX(TARIFF_PROFILES!$K:$K,MATCH($X503,TARIFF_PROFILES!$A:$A,0)))</f>
        <v/>
      </c>
      <c r="AH503" t="str">
        <f>IF($AG503="","",SUMIFS(OPERATING_COEFFS!$C:$C,OPERATING_COEFFS!$A:$A,"DistanceClass",OPERATING_COEFFS!$B:$B,$AG503))</f>
        <v/>
      </c>
      <c r="AJ503" t="str">
        <f>IF($AI503="","",SUMIFS(OPERATING_COEFFS!$C:$C,OPERATING_COEFFS!$A:$A,"SeasonClass",OPERATING_COEFFS!$B:$B,$AI503))</f>
        <v/>
      </c>
      <c r="AL503" t="str">
        <f>IF($AK503="","",SUMIFS(OPERATING_COEFFS!$C:$C,OPERATING_COEFFS!$A:$A,"UrgencyClass",OPERATING_COEFFS!$B:$B,$AK503))</f>
        <v/>
      </c>
      <c r="AN503" t="str">
        <f>IF($AM503="","",INDEX(TAX_MODES!$B:$B,MATCH($AM503,TAX_MODES!$A:$A,0)))</f>
        <v/>
      </c>
    </row>
    <row r="504" spans="24:40" x14ac:dyDescent="0.3">
      <c r="X504" s="13"/>
      <c r="Y504" s="13" t="str">
        <f>IF($X504="","",SUMIFS(TARIFF_PROFILES!$D:$D,TARIFF_PROFILES!$A:$A,$X504))</f>
        <v/>
      </c>
      <c r="Z504" s="13" t="str">
        <f>IF($X504="","",SUMIFS(TARIFF_PROFILES!$E:$E,TARIFF_PROFILES!$A:$A,$X504))</f>
        <v/>
      </c>
      <c r="AA504" s="13" t="str">
        <f>IF($X504="","",SUMIFS(TARIFF_PROFILES!$F:$F,TARIFF_PROFILES!$A:$A,$X504))</f>
        <v/>
      </c>
      <c r="AB504" s="13" t="str">
        <f>IF($X504="","",SUMIFS(TARIFF_PROFILES!$G:$G,TARIFF_PROFILES!$A:$A,$X504))</f>
        <v/>
      </c>
      <c r="AC504" s="13" t="str">
        <f>IF($X504="","",SUMIFS(TARIFF_PROFILES!$H:$H,TARIFF_PROFILES!$A:$A,$X504))</f>
        <v/>
      </c>
      <c r="AD504" s="13" t="str">
        <f>IF($X504="","",INDEX(TARIFF_PROFILES!$J:$J,MATCH($X504,TARIFF_PROFILES!$A:$A,0)))</f>
        <v/>
      </c>
      <c r="AE504" s="13" t="str">
        <f>IF($X504="","",INDEX(TARIFF_PROFILES!$K:$K,MATCH($X504,TARIFF_PROFILES!$A:$A,0)))</f>
        <v/>
      </c>
      <c r="AH504" t="str">
        <f>IF($AG504="","",SUMIFS(OPERATING_COEFFS!$C:$C,OPERATING_COEFFS!$A:$A,"DistanceClass",OPERATING_COEFFS!$B:$B,$AG504))</f>
        <v/>
      </c>
      <c r="AJ504" t="str">
        <f>IF($AI504="","",SUMIFS(OPERATING_COEFFS!$C:$C,OPERATING_COEFFS!$A:$A,"SeasonClass",OPERATING_COEFFS!$B:$B,$AI504))</f>
        <v/>
      </c>
      <c r="AL504" t="str">
        <f>IF($AK504="","",SUMIFS(OPERATING_COEFFS!$C:$C,OPERATING_COEFFS!$A:$A,"UrgencyClass",OPERATING_COEFFS!$B:$B,$AK504))</f>
        <v/>
      </c>
      <c r="AN504" t="str">
        <f>IF($AM504="","",INDEX(TAX_MODES!$B:$B,MATCH($AM504,TAX_MODES!$A:$A,0)))</f>
        <v/>
      </c>
    </row>
    <row r="505" spans="24:40" x14ac:dyDescent="0.3">
      <c r="X505" s="13"/>
      <c r="Y505" s="13" t="str">
        <f>IF($X505="","",SUMIFS(TARIFF_PROFILES!$D:$D,TARIFF_PROFILES!$A:$A,$X505))</f>
        <v/>
      </c>
      <c r="Z505" s="13" t="str">
        <f>IF($X505="","",SUMIFS(TARIFF_PROFILES!$E:$E,TARIFF_PROFILES!$A:$A,$X505))</f>
        <v/>
      </c>
      <c r="AA505" s="13" t="str">
        <f>IF($X505="","",SUMIFS(TARIFF_PROFILES!$F:$F,TARIFF_PROFILES!$A:$A,$X505))</f>
        <v/>
      </c>
      <c r="AB505" s="13" t="str">
        <f>IF($X505="","",SUMIFS(TARIFF_PROFILES!$G:$G,TARIFF_PROFILES!$A:$A,$X505))</f>
        <v/>
      </c>
      <c r="AC505" s="13" t="str">
        <f>IF($X505="","",SUMIFS(TARIFF_PROFILES!$H:$H,TARIFF_PROFILES!$A:$A,$X505))</f>
        <v/>
      </c>
      <c r="AD505" s="13" t="str">
        <f>IF($X505="","",INDEX(TARIFF_PROFILES!$J:$J,MATCH($X505,TARIFF_PROFILES!$A:$A,0)))</f>
        <v/>
      </c>
      <c r="AE505" s="13" t="str">
        <f>IF($X505="","",INDEX(TARIFF_PROFILES!$K:$K,MATCH($X505,TARIFF_PROFILES!$A:$A,0)))</f>
        <v/>
      </c>
      <c r="AH505" t="str">
        <f>IF($AG505="","",SUMIFS(OPERATING_COEFFS!$C:$C,OPERATING_COEFFS!$A:$A,"DistanceClass",OPERATING_COEFFS!$B:$B,$AG505))</f>
        <v/>
      </c>
      <c r="AJ505" t="str">
        <f>IF($AI505="","",SUMIFS(OPERATING_COEFFS!$C:$C,OPERATING_COEFFS!$A:$A,"SeasonClass",OPERATING_COEFFS!$B:$B,$AI505))</f>
        <v/>
      </c>
      <c r="AL505" t="str">
        <f>IF($AK505="","",SUMIFS(OPERATING_COEFFS!$C:$C,OPERATING_COEFFS!$A:$A,"UrgencyClass",OPERATING_COEFFS!$B:$B,$AK505))</f>
        <v/>
      </c>
      <c r="AN505" t="str">
        <f>IF($AM505="","",INDEX(TAX_MODES!$B:$B,MATCH($AM505,TAX_MODES!$A:$A,0)))</f>
        <v/>
      </c>
    </row>
    <row r="506" spans="24:40" x14ac:dyDescent="0.3">
      <c r="X506" s="13"/>
      <c r="Y506" s="13" t="str">
        <f>IF($X506="","",SUMIFS(TARIFF_PROFILES!$D:$D,TARIFF_PROFILES!$A:$A,$X506))</f>
        <v/>
      </c>
      <c r="Z506" s="13" t="str">
        <f>IF($X506="","",SUMIFS(TARIFF_PROFILES!$E:$E,TARIFF_PROFILES!$A:$A,$X506))</f>
        <v/>
      </c>
      <c r="AA506" s="13" t="str">
        <f>IF($X506="","",SUMIFS(TARIFF_PROFILES!$F:$F,TARIFF_PROFILES!$A:$A,$X506))</f>
        <v/>
      </c>
      <c r="AB506" s="13" t="str">
        <f>IF($X506="","",SUMIFS(TARIFF_PROFILES!$G:$G,TARIFF_PROFILES!$A:$A,$X506))</f>
        <v/>
      </c>
      <c r="AC506" s="13" t="str">
        <f>IF($X506="","",SUMIFS(TARIFF_PROFILES!$H:$H,TARIFF_PROFILES!$A:$A,$X506))</f>
        <v/>
      </c>
      <c r="AD506" s="13" t="str">
        <f>IF($X506="","",INDEX(TARIFF_PROFILES!$J:$J,MATCH($X506,TARIFF_PROFILES!$A:$A,0)))</f>
        <v/>
      </c>
      <c r="AE506" s="13" t="str">
        <f>IF($X506="","",INDEX(TARIFF_PROFILES!$K:$K,MATCH($X506,TARIFF_PROFILES!$A:$A,0)))</f>
        <v/>
      </c>
      <c r="AH506" t="str">
        <f>IF($AG506="","",SUMIFS(OPERATING_COEFFS!$C:$C,OPERATING_COEFFS!$A:$A,"DistanceClass",OPERATING_COEFFS!$B:$B,$AG506))</f>
        <v/>
      </c>
      <c r="AJ506" t="str">
        <f>IF($AI506="","",SUMIFS(OPERATING_COEFFS!$C:$C,OPERATING_COEFFS!$A:$A,"SeasonClass",OPERATING_COEFFS!$B:$B,$AI506))</f>
        <v/>
      </c>
      <c r="AL506" t="str">
        <f>IF($AK506="","",SUMIFS(OPERATING_COEFFS!$C:$C,OPERATING_COEFFS!$A:$A,"UrgencyClass",OPERATING_COEFFS!$B:$B,$AK506))</f>
        <v/>
      </c>
      <c r="AN506" t="str">
        <f>IF($AM506="","",INDEX(TAX_MODES!$B:$B,MATCH($AM506,TAX_MODES!$A:$A,0)))</f>
        <v/>
      </c>
    </row>
    <row r="507" spans="24:40" x14ac:dyDescent="0.3">
      <c r="X507" s="13"/>
      <c r="Y507" s="13" t="str">
        <f>IF($X507="","",SUMIFS(TARIFF_PROFILES!$D:$D,TARIFF_PROFILES!$A:$A,$X507))</f>
        <v/>
      </c>
      <c r="Z507" s="13" t="str">
        <f>IF($X507="","",SUMIFS(TARIFF_PROFILES!$E:$E,TARIFF_PROFILES!$A:$A,$X507))</f>
        <v/>
      </c>
      <c r="AA507" s="13" t="str">
        <f>IF($X507="","",SUMIFS(TARIFF_PROFILES!$F:$F,TARIFF_PROFILES!$A:$A,$X507))</f>
        <v/>
      </c>
      <c r="AB507" s="13" t="str">
        <f>IF($X507="","",SUMIFS(TARIFF_PROFILES!$G:$G,TARIFF_PROFILES!$A:$A,$X507))</f>
        <v/>
      </c>
      <c r="AC507" s="13" t="str">
        <f>IF($X507="","",SUMIFS(TARIFF_PROFILES!$H:$H,TARIFF_PROFILES!$A:$A,$X507))</f>
        <v/>
      </c>
      <c r="AD507" s="13" t="str">
        <f>IF($X507="","",INDEX(TARIFF_PROFILES!$J:$J,MATCH($X507,TARIFF_PROFILES!$A:$A,0)))</f>
        <v/>
      </c>
      <c r="AE507" s="13" t="str">
        <f>IF($X507="","",INDEX(TARIFF_PROFILES!$K:$K,MATCH($X507,TARIFF_PROFILES!$A:$A,0)))</f>
        <v/>
      </c>
      <c r="AH507" t="str">
        <f>IF($AG507="","",SUMIFS(OPERATING_COEFFS!$C:$C,OPERATING_COEFFS!$A:$A,"DistanceClass",OPERATING_COEFFS!$B:$B,$AG507))</f>
        <v/>
      </c>
      <c r="AJ507" t="str">
        <f>IF($AI507="","",SUMIFS(OPERATING_COEFFS!$C:$C,OPERATING_COEFFS!$A:$A,"SeasonClass",OPERATING_COEFFS!$B:$B,$AI507))</f>
        <v/>
      </c>
      <c r="AL507" t="str">
        <f>IF($AK507="","",SUMIFS(OPERATING_COEFFS!$C:$C,OPERATING_COEFFS!$A:$A,"UrgencyClass",OPERATING_COEFFS!$B:$B,$AK507))</f>
        <v/>
      </c>
      <c r="AN507" t="str">
        <f>IF($AM507="","",INDEX(TAX_MODES!$B:$B,MATCH($AM507,TAX_MODES!$A:$A,0)))</f>
        <v/>
      </c>
    </row>
    <row r="508" spans="24:40" x14ac:dyDescent="0.3">
      <c r="X508" s="13"/>
      <c r="Y508" s="13" t="str">
        <f>IF($X508="","",SUMIFS(TARIFF_PROFILES!$D:$D,TARIFF_PROFILES!$A:$A,$X508))</f>
        <v/>
      </c>
      <c r="Z508" s="13" t="str">
        <f>IF($X508="","",SUMIFS(TARIFF_PROFILES!$E:$E,TARIFF_PROFILES!$A:$A,$X508))</f>
        <v/>
      </c>
      <c r="AA508" s="13" t="str">
        <f>IF($X508="","",SUMIFS(TARIFF_PROFILES!$F:$F,TARIFF_PROFILES!$A:$A,$X508))</f>
        <v/>
      </c>
      <c r="AB508" s="13" t="str">
        <f>IF($X508="","",SUMIFS(TARIFF_PROFILES!$G:$G,TARIFF_PROFILES!$A:$A,$X508))</f>
        <v/>
      </c>
      <c r="AC508" s="13" t="str">
        <f>IF($X508="","",SUMIFS(TARIFF_PROFILES!$H:$H,TARIFF_PROFILES!$A:$A,$X508))</f>
        <v/>
      </c>
      <c r="AD508" s="13" t="str">
        <f>IF($X508="","",INDEX(TARIFF_PROFILES!$J:$J,MATCH($X508,TARIFF_PROFILES!$A:$A,0)))</f>
        <v/>
      </c>
      <c r="AE508" s="13" t="str">
        <f>IF($X508="","",INDEX(TARIFF_PROFILES!$K:$K,MATCH($X508,TARIFF_PROFILES!$A:$A,0)))</f>
        <v/>
      </c>
      <c r="AH508" t="str">
        <f>IF($AG508="","",SUMIFS(OPERATING_COEFFS!$C:$C,OPERATING_COEFFS!$A:$A,"DistanceClass",OPERATING_COEFFS!$B:$B,$AG508))</f>
        <v/>
      </c>
      <c r="AJ508" t="str">
        <f>IF($AI508="","",SUMIFS(OPERATING_COEFFS!$C:$C,OPERATING_COEFFS!$A:$A,"SeasonClass",OPERATING_COEFFS!$B:$B,$AI508))</f>
        <v/>
      </c>
      <c r="AL508" t="str">
        <f>IF($AK508="","",SUMIFS(OPERATING_COEFFS!$C:$C,OPERATING_COEFFS!$A:$A,"UrgencyClass",OPERATING_COEFFS!$B:$B,$AK508))</f>
        <v/>
      </c>
      <c r="AN508" t="str">
        <f>IF($AM508="","",INDEX(TAX_MODES!$B:$B,MATCH($AM508,TAX_MODES!$A:$A,0)))</f>
        <v/>
      </c>
    </row>
    <row r="509" spans="24:40" x14ac:dyDescent="0.3">
      <c r="X509" s="13"/>
      <c r="Y509" s="13" t="str">
        <f>IF($X509="","",SUMIFS(TARIFF_PROFILES!$D:$D,TARIFF_PROFILES!$A:$A,$X509))</f>
        <v/>
      </c>
      <c r="Z509" s="13" t="str">
        <f>IF($X509="","",SUMIFS(TARIFF_PROFILES!$E:$E,TARIFF_PROFILES!$A:$A,$X509))</f>
        <v/>
      </c>
      <c r="AA509" s="13" t="str">
        <f>IF($X509="","",SUMIFS(TARIFF_PROFILES!$F:$F,TARIFF_PROFILES!$A:$A,$X509))</f>
        <v/>
      </c>
      <c r="AB509" s="13" t="str">
        <f>IF($X509="","",SUMIFS(TARIFF_PROFILES!$G:$G,TARIFF_PROFILES!$A:$A,$X509))</f>
        <v/>
      </c>
      <c r="AC509" s="13" t="str">
        <f>IF($X509="","",SUMIFS(TARIFF_PROFILES!$H:$H,TARIFF_PROFILES!$A:$A,$X509))</f>
        <v/>
      </c>
      <c r="AD509" s="13" t="str">
        <f>IF($X509="","",INDEX(TARIFF_PROFILES!$J:$J,MATCH($X509,TARIFF_PROFILES!$A:$A,0)))</f>
        <v/>
      </c>
      <c r="AE509" s="13" t="str">
        <f>IF($X509="","",INDEX(TARIFF_PROFILES!$K:$K,MATCH($X509,TARIFF_PROFILES!$A:$A,0)))</f>
        <v/>
      </c>
      <c r="AH509" t="str">
        <f>IF($AG509="","",SUMIFS(OPERATING_COEFFS!$C:$C,OPERATING_COEFFS!$A:$A,"DistanceClass",OPERATING_COEFFS!$B:$B,$AG509))</f>
        <v/>
      </c>
      <c r="AJ509" t="str">
        <f>IF($AI509="","",SUMIFS(OPERATING_COEFFS!$C:$C,OPERATING_COEFFS!$A:$A,"SeasonClass",OPERATING_COEFFS!$B:$B,$AI509))</f>
        <v/>
      </c>
      <c r="AL509" t="str">
        <f>IF($AK509="","",SUMIFS(OPERATING_COEFFS!$C:$C,OPERATING_COEFFS!$A:$A,"UrgencyClass",OPERATING_COEFFS!$B:$B,$AK509))</f>
        <v/>
      </c>
      <c r="AN509" t="str">
        <f>IF($AM509="","",INDEX(TAX_MODES!$B:$B,MATCH($AM509,TAX_MODES!$A:$A,0)))</f>
        <v/>
      </c>
    </row>
    <row r="510" spans="24:40" x14ac:dyDescent="0.3">
      <c r="X510" s="13"/>
      <c r="Y510" s="13" t="str">
        <f>IF($X510="","",SUMIFS(TARIFF_PROFILES!$D:$D,TARIFF_PROFILES!$A:$A,$X510))</f>
        <v/>
      </c>
      <c r="Z510" s="13" t="str">
        <f>IF($X510="","",SUMIFS(TARIFF_PROFILES!$E:$E,TARIFF_PROFILES!$A:$A,$X510))</f>
        <v/>
      </c>
      <c r="AA510" s="13" t="str">
        <f>IF($X510="","",SUMIFS(TARIFF_PROFILES!$F:$F,TARIFF_PROFILES!$A:$A,$X510))</f>
        <v/>
      </c>
      <c r="AB510" s="13" t="str">
        <f>IF($X510="","",SUMIFS(TARIFF_PROFILES!$G:$G,TARIFF_PROFILES!$A:$A,$X510))</f>
        <v/>
      </c>
      <c r="AC510" s="13" t="str">
        <f>IF($X510="","",SUMIFS(TARIFF_PROFILES!$H:$H,TARIFF_PROFILES!$A:$A,$X510))</f>
        <v/>
      </c>
      <c r="AD510" s="13" t="str">
        <f>IF($X510="","",INDEX(TARIFF_PROFILES!$J:$J,MATCH($X510,TARIFF_PROFILES!$A:$A,0)))</f>
        <v/>
      </c>
      <c r="AE510" s="13" t="str">
        <f>IF($X510="","",INDEX(TARIFF_PROFILES!$K:$K,MATCH($X510,TARIFF_PROFILES!$A:$A,0)))</f>
        <v/>
      </c>
      <c r="AH510" t="str">
        <f>IF($AG510="","",SUMIFS(OPERATING_COEFFS!$C:$C,OPERATING_COEFFS!$A:$A,"DistanceClass",OPERATING_COEFFS!$B:$B,$AG510))</f>
        <v/>
      </c>
      <c r="AJ510" t="str">
        <f>IF($AI510="","",SUMIFS(OPERATING_COEFFS!$C:$C,OPERATING_COEFFS!$A:$A,"SeasonClass",OPERATING_COEFFS!$B:$B,$AI510))</f>
        <v/>
      </c>
      <c r="AL510" t="str">
        <f>IF($AK510="","",SUMIFS(OPERATING_COEFFS!$C:$C,OPERATING_COEFFS!$A:$A,"UrgencyClass",OPERATING_COEFFS!$B:$B,$AK510))</f>
        <v/>
      </c>
      <c r="AN510" t="str">
        <f>IF($AM510="","",INDEX(TAX_MODES!$B:$B,MATCH($AM510,TAX_MODES!$A:$A,0)))</f>
        <v/>
      </c>
    </row>
    <row r="511" spans="24:40" x14ac:dyDescent="0.3">
      <c r="X511" s="13"/>
      <c r="Y511" s="13" t="str">
        <f>IF($X511="","",SUMIFS(TARIFF_PROFILES!$D:$D,TARIFF_PROFILES!$A:$A,$X511))</f>
        <v/>
      </c>
      <c r="Z511" s="13" t="str">
        <f>IF($X511="","",SUMIFS(TARIFF_PROFILES!$E:$E,TARIFF_PROFILES!$A:$A,$X511))</f>
        <v/>
      </c>
      <c r="AA511" s="13" t="str">
        <f>IF($X511="","",SUMIFS(TARIFF_PROFILES!$F:$F,TARIFF_PROFILES!$A:$A,$X511))</f>
        <v/>
      </c>
      <c r="AB511" s="13" t="str">
        <f>IF($X511="","",SUMIFS(TARIFF_PROFILES!$G:$G,TARIFF_PROFILES!$A:$A,$X511))</f>
        <v/>
      </c>
      <c r="AC511" s="13" t="str">
        <f>IF($X511="","",SUMIFS(TARIFF_PROFILES!$H:$H,TARIFF_PROFILES!$A:$A,$X511))</f>
        <v/>
      </c>
      <c r="AD511" s="13" t="str">
        <f>IF($X511="","",INDEX(TARIFF_PROFILES!$J:$J,MATCH($X511,TARIFF_PROFILES!$A:$A,0)))</f>
        <v/>
      </c>
      <c r="AE511" s="13" t="str">
        <f>IF($X511="","",INDEX(TARIFF_PROFILES!$K:$K,MATCH($X511,TARIFF_PROFILES!$A:$A,0)))</f>
        <v/>
      </c>
      <c r="AH511" t="str">
        <f>IF($AG511="","",SUMIFS(OPERATING_COEFFS!$C:$C,OPERATING_COEFFS!$A:$A,"DistanceClass",OPERATING_COEFFS!$B:$B,$AG511))</f>
        <v/>
      </c>
      <c r="AJ511" t="str">
        <f>IF($AI511="","",SUMIFS(OPERATING_COEFFS!$C:$C,OPERATING_COEFFS!$A:$A,"SeasonClass",OPERATING_COEFFS!$B:$B,$AI511))</f>
        <v/>
      </c>
      <c r="AL511" t="str">
        <f>IF($AK511="","",SUMIFS(OPERATING_COEFFS!$C:$C,OPERATING_COEFFS!$A:$A,"UrgencyClass",OPERATING_COEFFS!$B:$B,$AK511))</f>
        <v/>
      </c>
      <c r="AN511" t="str">
        <f>IF($AM511="","",INDEX(TAX_MODES!$B:$B,MATCH($AM511,TAX_MODES!$A:$A,0)))</f>
        <v/>
      </c>
    </row>
    <row r="512" spans="24:40" x14ac:dyDescent="0.3">
      <c r="X512" s="13"/>
      <c r="Y512" s="13" t="str">
        <f>IF($X512="","",SUMIFS(TARIFF_PROFILES!$D:$D,TARIFF_PROFILES!$A:$A,$X512))</f>
        <v/>
      </c>
      <c r="Z512" s="13" t="str">
        <f>IF($X512="","",SUMIFS(TARIFF_PROFILES!$E:$E,TARIFF_PROFILES!$A:$A,$X512))</f>
        <v/>
      </c>
      <c r="AA512" s="13" t="str">
        <f>IF($X512="","",SUMIFS(TARIFF_PROFILES!$F:$F,TARIFF_PROFILES!$A:$A,$X512))</f>
        <v/>
      </c>
      <c r="AB512" s="13" t="str">
        <f>IF($X512="","",SUMIFS(TARIFF_PROFILES!$G:$G,TARIFF_PROFILES!$A:$A,$X512))</f>
        <v/>
      </c>
      <c r="AC512" s="13" t="str">
        <f>IF($X512="","",SUMIFS(TARIFF_PROFILES!$H:$H,TARIFF_PROFILES!$A:$A,$X512))</f>
        <v/>
      </c>
      <c r="AD512" s="13" t="str">
        <f>IF($X512="","",INDEX(TARIFF_PROFILES!$J:$J,MATCH($X512,TARIFF_PROFILES!$A:$A,0)))</f>
        <v/>
      </c>
      <c r="AE512" s="13" t="str">
        <f>IF($X512="","",INDEX(TARIFF_PROFILES!$K:$K,MATCH($X512,TARIFF_PROFILES!$A:$A,0)))</f>
        <v/>
      </c>
      <c r="AH512" t="str">
        <f>IF($AG512="","",SUMIFS(OPERATING_COEFFS!$C:$C,OPERATING_COEFFS!$A:$A,"DistanceClass",OPERATING_COEFFS!$B:$B,$AG512))</f>
        <v/>
      </c>
      <c r="AJ512" t="str">
        <f>IF($AI512="","",SUMIFS(OPERATING_COEFFS!$C:$C,OPERATING_COEFFS!$A:$A,"SeasonClass",OPERATING_COEFFS!$B:$B,$AI512))</f>
        <v/>
      </c>
      <c r="AL512" t="str">
        <f>IF($AK512="","",SUMIFS(OPERATING_COEFFS!$C:$C,OPERATING_COEFFS!$A:$A,"UrgencyClass",OPERATING_COEFFS!$B:$B,$AK512))</f>
        <v/>
      </c>
      <c r="AN512" t="str">
        <f>IF($AM512="","",INDEX(TAX_MODES!$B:$B,MATCH($AM512,TAX_MODES!$A:$A,0)))</f>
        <v/>
      </c>
    </row>
    <row r="513" spans="24:40" x14ac:dyDescent="0.3">
      <c r="X513" s="13"/>
      <c r="Y513" s="13" t="str">
        <f>IF($X513="","",SUMIFS(TARIFF_PROFILES!$D:$D,TARIFF_PROFILES!$A:$A,$X513))</f>
        <v/>
      </c>
      <c r="Z513" s="13" t="str">
        <f>IF($X513="","",SUMIFS(TARIFF_PROFILES!$E:$E,TARIFF_PROFILES!$A:$A,$X513))</f>
        <v/>
      </c>
      <c r="AA513" s="13" t="str">
        <f>IF($X513="","",SUMIFS(TARIFF_PROFILES!$F:$F,TARIFF_PROFILES!$A:$A,$X513))</f>
        <v/>
      </c>
      <c r="AB513" s="13" t="str">
        <f>IF($X513="","",SUMIFS(TARIFF_PROFILES!$G:$G,TARIFF_PROFILES!$A:$A,$X513))</f>
        <v/>
      </c>
      <c r="AC513" s="13" t="str">
        <f>IF($X513="","",SUMIFS(TARIFF_PROFILES!$H:$H,TARIFF_PROFILES!$A:$A,$X513))</f>
        <v/>
      </c>
      <c r="AD513" s="13" t="str">
        <f>IF($X513="","",INDEX(TARIFF_PROFILES!$J:$J,MATCH($X513,TARIFF_PROFILES!$A:$A,0)))</f>
        <v/>
      </c>
      <c r="AE513" s="13" t="str">
        <f>IF($X513="","",INDEX(TARIFF_PROFILES!$K:$K,MATCH($X513,TARIFF_PROFILES!$A:$A,0)))</f>
        <v/>
      </c>
      <c r="AH513" t="str">
        <f>IF($AG513="","",SUMIFS(OPERATING_COEFFS!$C:$C,OPERATING_COEFFS!$A:$A,"DistanceClass",OPERATING_COEFFS!$B:$B,$AG513))</f>
        <v/>
      </c>
      <c r="AJ513" t="str">
        <f>IF($AI513="","",SUMIFS(OPERATING_COEFFS!$C:$C,OPERATING_COEFFS!$A:$A,"SeasonClass",OPERATING_COEFFS!$B:$B,$AI513))</f>
        <v/>
      </c>
      <c r="AL513" t="str">
        <f>IF($AK513="","",SUMIFS(OPERATING_COEFFS!$C:$C,OPERATING_COEFFS!$A:$A,"UrgencyClass",OPERATING_COEFFS!$B:$B,$AK513))</f>
        <v/>
      </c>
      <c r="AN513" t="str">
        <f>IF($AM513="","",INDEX(TAX_MODES!$B:$B,MATCH($AM513,TAX_MODES!$A:$A,0)))</f>
        <v/>
      </c>
    </row>
    <row r="514" spans="24:40" x14ac:dyDescent="0.3">
      <c r="X514" s="13"/>
      <c r="Y514" s="13" t="str">
        <f>IF($X514="","",SUMIFS(TARIFF_PROFILES!$D:$D,TARIFF_PROFILES!$A:$A,$X514))</f>
        <v/>
      </c>
      <c r="Z514" s="13" t="str">
        <f>IF($X514="","",SUMIFS(TARIFF_PROFILES!$E:$E,TARIFF_PROFILES!$A:$A,$X514))</f>
        <v/>
      </c>
      <c r="AA514" s="13" t="str">
        <f>IF($X514="","",SUMIFS(TARIFF_PROFILES!$F:$F,TARIFF_PROFILES!$A:$A,$X514))</f>
        <v/>
      </c>
      <c r="AB514" s="13" t="str">
        <f>IF($X514="","",SUMIFS(TARIFF_PROFILES!$G:$G,TARIFF_PROFILES!$A:$A,$X514))</f>
        <v/>
      </c>
      <c r="AC514" s="13" t="str">
        <f>IF($X514="","",SUMIFS(TARIFF_PROFILES!$H:$H,TARIFF_PROFILES!$A:$A,$X514))</f>
        <v/>
      </c>
      <c r="AD514" s="13" t="str">
        <f>IF($X514="","",INDEX(TARIFF_PROFILES!$J:$J,MATCH($X514,TARIFF_PROFILES!$A:$A,0)))</f>
        <v/>
      </c>
      <c r="AE514" s="13" t="str">
        <f>IF($X514="","",INDEX(TARIFF_PROFILES!$K:$K,MATCH($X514,TARIFF_PROFILES!$A:$A,0)))</f>
        <v/>
      </c>
      <c r="AH514" t="str">
        <f>IF($AG514="","",SUMIFS(OPERATING_COEFFS!$C:$C,OPERATING_COEFFS!$A:$A,"DistanceClass",OPERATING_COEFFS!$B:$B,$AG514))</f>
        <v/>
      </c>
      <c r="AJ514" t="str">
        <f>IF($AI514="","",SUMIFS(OPERATING_COEFFS!$C:$C,OPERATING_COEFFS!$A:$A,"SeasonClass",OPERATING_COEFFS!$B:$B,$AI514))</f>
        <v/>
      </c>
      <c r="AL514" t="str">
        <f>IF($AK514="","",SUMIFS(OPERATING_COEFFS!$C:$C,OPERATING_COEFFS!$A:$A,"UrgencyClass",OPERATING_COEFFS!$B:$B,$AK514))</f>
        <v/>
      </c>
      <c r="AN514" t="str">
        <f>IF($AM514="","",INDEX(TAX_MODES!$B:$B,MATCH($AM514,TAX_MODES!$A:$A,0)))</f>
        <v/>
      </c>
    </row>
    <row r="515" spans="24:40" x14ac:dyDescent="0.3">
      <c r="X515" s="13"/>
      <c r="Y515" s="13" t="str">
        <f>IF($X515="","",SUMIFS(TARIFF_PROFILES!$D:$D,TARIFF_PROFILES!$A:$A,$X515))</f>
        <v/>
      </c>
      <c r="Z515" s="13" t="str">
        <f>IF($X515="","",SUMIFS(TARIFF_PROFILES!$E:$E,TARIFF_PROFILES!$A:$A,$X515))</f>
        <v/>
      </c>
      <c r="AA515" s="13" t="str">
        <f>IF($X515="","",SUMIFS(TARIFF_PROFILES!$F:$F,TARIFF_PROFILES!$A:$A,$X515))</f>
        <v/>
      </c>
      <c r="AB515" s="13" t="str">
        <f>IF($X515="","",SUMIFS(TARIFF_PROFILES!$G:$G,TARIFF_PROFILES!$A:$A,$X515))</f>
        <v/>
      </c>
      <c r="AC515" s="13" t="str">
        <f>IF($X515="","",SUMIFS(TARIFF_PROFILES!$H:$H,TARIFF_PROFILES!$A:$A,$X515))</f>
        <v/>
      </c>
      <c r="AD515" s="13" t="str">
        <f>IF($X515="","",INDEX(TARIFF_PROFILES!$J:$J,MATCH($X515,TARIFF_PROFILES!$A:$A,0)))</f>
        <v/>
      </c>
      <c r="AE515" s="13" t="str">
        <f>IF($X515="","",INDEX(TARIFF_PROFILES!$K:$K,MATCH($X515,TARIFF_PROFILES!$A:$A,0)))</f>
        <v/>
      </c>
      <c r="AH515" t="str">
        <f>IF($AG515="","",SUMIFS(OPERATING_COEFFS!$C:$C,OPERATING_COEFFS!$A:$A,"DistanceClass",OPERATING_COEFFS!$B:$B,$AG515))</f>
        <v/>
      </c>
      <c r="AJ515" t="str">
        <f>IF($AI515="","",SUMIFS(OPERATING_COEFFS!$C:$C,OPERATING_COEFFS!$A:$A,"SeasonClass",OPERATING_COEFFS!$B:$B,$AI515))</f>
        <v/>
      </c>
      <c r="AL515" t="str">
        <f>IF($AK515="","",SUMIFS(OPERATING_COEFFS!$C:$C,OPERATING_COEFFS!$A:$A,"UrgencyClass",OPERATING_COEFFS!$B:$B,$AK515))</f>
        <v/>
      </c>
      <c r="AN515" t="str">
        <f>IF($AM515="","",INDEX(TAX_MODES!$B:$B,MATCH($AM515,TAX_MODES!$A:$A,0)))</f>
        <v/>
      </c>
    </row>
    <row r="516" spans="24:40" x14ac:dyDescent="0.3">
      <c r="X516" s="13"/>
      <c r="Y516" s="13" t="str">
        <f>IF($X516="","",SUMIFS(TARIFF_PROFILES!$D:$D,TARIFF_PROFILES!$A:$A,$X516))</f>
        <v/>
      </c>
      <c r="Z516" s="13" t="str">
        <f>IF($X516="","",SUMIFS(TARIFF_PROFILES!$E:$E,TARIFF_PROFILES!$A:$A,$X516))</f>
        <v/>
      </c>
      <c r="AA516" s="13" t="str">
        <f>IF($X516="","",SUMIFS(TARIFF_PROFILES!$F:$F,TARIFF_PROFILES!$A:$A,$X516))</f>
        <v/>
      </c>
      <c r="AB516" s="13" t="str">
        <f>IF($X516="","",SUMIFS(TARIFF_PROFILES!$G:$G,TARIFF_PROFILES!$A:$A,$X516))</f>
        <v/>
      </c>
      <c r="AC516" s="13" t="str">
        <f>IF($X516="","",SUMIFS(TARIFF_PROFILES!$H:$H,TARIFF_PROFILES!$A:$A,$X516))</f>
        <v/>
      </c>
      <c r="AD516" s="13" t="str">
        <f>IF($X516="","",INDEX(TARIFF_PROFILES!$J:$J,MATCH($X516,TARIFF_PROFILES!$A:$A,0)))</f>
        <v/>
      </c>
      <c r="AE516" s="13" t="str">
        <f>IF($X516="","",INDEX(TARIFF_PROFILES!$K:$K,MATCH($X516,TARIFF_PROFILES!$A:$A,0)))</f>
        <v/>
      </c>
      <c r="AH516" t="str">
        <f>IF($AG516="","",SUMIFS(OPERATING_COEFFS!$C:$C,OPERATING_COEFFS!$A:$A,"DistanceClass",OPERATING_COEFFS!$B:$B,$AG516))</f>
        <v/>
      </c>
      <c r="AJ516" t="str">
        <f>IF($AI516="","",SUMIFS(OPERATING_COEFFS!$C:$C,OPERATING_COEFFS!$A:$A,"SeasonClass",OPERATING_COEFFS!$B:$B,$AI516))</f>
        <v/>
      </c>
      <c r="AL516" t="str">
        <f>IF($AK516="","",SUMIFS(OPERATING_COEFFS!$C:$C,OPERATING_COEFFS!$A:$A,"UrgencyClass",OPERATING_COEFFS!$B:$B,$AK516))</f>
        <v/>
      </c>
      <c r="AN516" t="str">
        <f>IF($AM516="","",INDEX(TAX_MODES!$B:$B,MATCH($AM516,TAX_MODES!$A:$A,0)))</f>
        <v/>
      </c>
    </row>
    <row r="517" spans="24:40" x14ac:dyDescent="0.3">
      <c r="X517" s="13"/>
      <c r="Y517" s="13" t="str">
        <f>IF($X517="","",SUMIFS(TARIFF_PROFILES!$D:$D,TARIFF_PROFILES!$A:$A,$X517))</f>
        <v/>
      </c>
      <c r="Z517" s="13" t="str">
        <f>IF($X517="","",SUMIFS(TARIFF_PROFILES!$E:$E,TARIFF_PROFILES!$A:$A,$X517))</f>
        <v/>
      </c>
      <c r="AA517" s="13" t="str">
        <f>IF($X517="","",SUMIFS(TARIFF_PROFILES!$F:$F,TARIFF_PROFILES!$A:$A,$X517))</f>
        <v/>
      </c>
      <c r="AB517" s="13" t="str">
        <f>IF($X517="","",SUMIFS(TARIFF_PROFILES!$G:$G,TARIFF_PROFILES!$A:$A,$X517))</f>
        <v/>
      </c>
      <c r="AC517" s="13" t="str">
        <f>IF($X517="","",SUMIFS(TARIFF_PROFILES!$H:$H,TARIFF_PROFILES!$A:$A,$X517))</f>
        <v/>
      </c>
      <c r="AD517" s="13" t="str">
        <f>IF($X517="","",INDEX(TARIFF_PROFILES!$J:$J,MATCH($X517,TARIFF_PROFILES!$A:$A,0)))</f>
        <v/>
      </c>
      <c r="AE517" s="13" t="str">
        <f>IF($X517="","",INDEX(TARIFF_PROFILES!$K:$K,MATCH($X517,TARIFF_PROFILES!$A:$A,0)))</f>
        <v/>
      </c>
      <c r="AH517" t="str">
        <f>IF($AG517="","",SUMIFS(OPERATING_COEFFS!$C:$C,OPERATING_COEFFS!$A:$A,"DistanceClass",OPERATING_COEFFS!$B:$B,$AG517))</f>
        <v/>
      </c>
      <c r="AJ517" t="str">
        <f>IF($AI517="","",SUMIFS(OPERATING_COEFFS!$C:$C,OPERATING_COEFFS!$A:$A,"SeasonClass",OPERATING_COEFFS!$B:$B,$AI517))</f>
        <v/>
      </c>
      <c r="AL517" t="str">
        <f>IF($AK517="","",SUMIFS(OPERATING_COEFFS!$C:$C,OPERATING_COEFFS!$A:$A,"UrgencyClass",OPERATING_COEFFS!$B:$B,$AK517))</f>
        <v/>
      </c>
      <c r="AN517" t="str">
        <f>IF($AM517="","",INDEX(TAX_MODES!$B:$B,MATCH($AM517,TAX_MODES!$A:$A,0)))</f>
        <v/>
      </c>
    </row>
    <row r="518" spans="24:40" x14ac:dyDescent="0.3">
      <c r="X518" s="13"/>
      <c r="Y518" s="13" t="str">
        <f>IF($X518="","",SUMIFS(TARIFF_PROFILES!$D:$D,TARIFF_PROFILES!$A:$A,$X518))</f>
        <v/>
      </c>
      <c r="Z518" s="13" t="str">
        <f>IF($X518="","",SUMIFS(TARIFF_PROFILES!$E:$E,TARIFF_PROFILES!$A:$A,$X518))</f>
        <v/>
      </c>
      <c r="AA518" s="13" t="str">
        <f>IF($X518="","",SUMIFS(TARIFF_PROFILES!$F:$F,TARIFF_PROFILES!$A:$A,$X518))</f>
        <v/>
      </c>
      <c r="AB518" s="13" t="str">
        <f>IF($X518="","",SUMIFS(TARIFF_PROFILES!$G:$G,TARIFF_PROFILES!$A:$A,$X518))</f>
        <v/>
      </c>
      <c r="AC518" s="13" t="str">
        <f>IF($X518="","",SUMIFS(TARIFF_PROFILES!$H:$H,TARIFF_PROFILES!$A:$A,$X518))</f>
        <v/>
      </c>
      <c r="AD518" s="13" t="str">
        <f>IF($X518="","",INDEX(TARIFF_PROFILES!$J:$J,MATCH($X518,TARIFF_PROFILES!$A:$A,0)))</f>
        <v/>
      </c>
      <c r="AE518" s="13" t="str">
        <f>IF($X518="","",INDEX(TARIFF_PROFILES!$K:$K,MATCH($X518,TARIFF_PROFILES!$A:$A,0)))</f>
        <v/>
      </c>
      <c r="AH518" t="str">
        <f>IF($AG518="","",SUMIFS(OPERATING_COEFFS!$C:$C,OPERATING_COEFFS!$A:$A,"DistanceClass",OPERATING_COEFFS!$B:$B,$AG518))</f>
        <v/>
      </c>
      <c r="AJ518" t="str">
        <f>IF($AI518="","",SUMIFS(OPERATING_COEFFS!$C:$C,OPERATING_COEFFS!$A:$A,"SeasonClass",OPERATING_COEFFS!$B:$B,$AI518))</f>
        <v/>
      </c>
      <c r="AL518" t="str">
        <f>IF($AK518="","",SUMIFS(OPERATING_COEFFS!$C:$C,OPERATING_COEFFS!$A:$A,"UrgencyClass",OPERATING_COEFFS!$B:$B,$AK518))</f>
        <v/>
      </c>
      <c r="AN518" t="str">
        <f>IF($AM518="","",INDEX(TAX_MODES!$B:$B,MATCH($AM518,TAX_MODES!$A:$A,0)))</f>
        <v/>
      </c>
    </row>
    <row r="519" spans="24:40" x14ac:dyDescent="0.3">
      <c r="X519" s="13"/>
      <c r="Y519" s="13" t="str">
        <f>IF($X519="","",SUMIFS(TARIFF_PROFILES!$D:$D,TARIFF_PROFILES!$A:$A,$X519))</f>
        <v/>
      </c>
      <c r="Z519" s="13" t="str">
        <f>IF($X519="","",SUMIFS(TARIFF_PROFILES!$E:$E,TARIFF_PROFILES!$A:$A,$X519))</f>
        <v/>
      </c>
      <c r="AA519" s="13" t="str">
        <f>IF($X519="","",SUMIFS(TARIFF_PROFILES!$F:$F,TARIFF_PROFILES!$A:$A,$X519))</f>
        <v/>
      </c>
      <c r="AB519" s="13" t="str">
        <f>IF($X519="","",SUMIFS(TARIFF_PROFILES!$G:$G,TARIFF_PROFILES!$A:$A,$X519))</f>
        <v/>
      </c>
      <c r="AC519" s="13" t="str">
        <f>IF($X519="","",SUMIFS(TARIFF_PROFILES!$H:$H,TARIFF_PROFILES!$A:$A,$X519))</f>
        <v/>
      </c>
      <c r="AD519" s="13" t="str">
        <f>IF($X519="","",INDEX(TARIFF_PROFILES!$J:$J,MATCH($X519,TARIFF_PROFILES!$A:$A,0)))</f>
        <v/>
      </c>
      <c r="AE519" s="13" t="str">
        <f>IF($X519="","",INDEX(TARIFF_PROFILES!$K:$K,MATCH($X519,TARIFF_PROFILES!$A:$A,0)))</f>
        <v/>
      </c>
      <c r="AH519" t="str">
        <f>IF($AG519="","",SUMIFS(OPERATING_COEFFS!$C:$C,OPERATING_COEFFS!$A:$A,"DistanceClass",OPERATING_COEFFS!$B:$B,$AG519))</f>
        <v/>
      </c>
      <c r="AJ519" t="str">
        <f>IF($AI519="","",SUMIFS(OPERATING_COEFFS!$C:$C,OPERATING_COEFFS!$A:$A,"SeasonClass",OPERATING_COEFFS!$B:$B,$AI519))</f>
        <v/>
      </c>
      <c r="AL519" t="str">
        <f>IF($AK519="","",SUMIFS(OPERATING_COEFFS!$C:$C,OPERATING_COEFFS!$A:$A,"UrgencyClass",OPERATING_COEFFS!$B:$B,$AK519))</f>
        <v/>
      </c>
      <c r="AN519" t="str">
        <f>IF($AM519="","",INDEX(TAX_MODES!$B:$B,MATCH($AM519,TAX_MODES!$A:$A,0)))</f>
        <v/>
      </c>
    </row>
    <row r="520" spans="24:40" x14ac:dyDescent="0.3">
      <c r="X520" s="13"/>
      <c r="Y520" s="13" t="str">
        <f>IF($X520="","",SUMIFS(TARIFF_PROFILES!$D:$D,TARIFF_PROFILES!$A:$A,$X520))</f>
        <v/>
      </c>
      <c r="Z520" s="13" t="str">
        <f>IF($X520="","",SUMIFS(TARIFF_PROFILES!$E:$E,TARIFF_PROFILES!$A:$A,$X520))</f>
        <v/>
      </c>
      <c r="AA520" s="13" t="str">
        <f>IF($X520="","",SUMIFS(TARIFF_PROFILES!$F:$F,TARIFF_PROFILES!$A:$A,$X520))</f>
        <v/>
      </c>
      <c r="AB520" s="13" t="str">
        <f>IF($X520="","",SUMIFS(TARIFF_PROFILES!$G:$G,TARIFF_PROFILES!$A:$A,$X520))</f>
        <v/>
      </c>
      <c r="AC520" s="13" t="str">
        <f>IF($X520="","",SUMIFS(TARIFF_PROFILES!$H:$H,TARIFF_PROFILES!$A:$A,$X520))</f>
        <v/>
      </c>
      <c r="AD520" s="13" t="str">
        <f>IF($X520="","",INDEX(TARIFF_PROFILES!$J:$J,MATCH($X520,TARIFF_PROFILES!$A:$A,0)))</f>
        <v/>
      </c>
      <c r="AE520" s="13" t="str">
        <f>IF($X520="","",INDEX(TARIFF_PROFILES!$K:$K,MATCH($X520,TARIFF_PROFILES!$A:$A,0)))</f>
        <v/>
      </c>
      <c r="AH520" t="str">
        <f>IF($AG520="","",SUMIFS(OPERATING_COEFFS!$C:$C,OPERATING_COEFFS!$A:$A,"DistanceClass",OPERATING_COEFFS!$B:$B,$AG520))</f>
        <v/>
      </c>
      <c r="AJ520" t="str">
        <f>IF($AI520="","",SUMIFS(OPERATING_COEFFS!$C:$C,OPERATING_COEFFS!$A:$A,"SeasonClass",OPERATING_COEFFS!$B:$B,$AI520))</f>
        <v/>
      </c>
      <c r="AL520" t="str">
        <f>IF($AK520="","",SUMIFS(OPERATING_COEFFS!$C:$C,OPERATING_COEFFS!$A:$A,"UrgencyClass",OPERATING_COEFFS!$B:$B,$AK520))</f>
        <v/>
      </c>
      <c r="AN520" t="str">
        <f>IF($AM520="","",INDEX(TAX_MODES!$B:$B,MATCH($AM520,TAX_MODES!$A:$A,0)))</f>
        <v/>
      </c>
    </row>
    <row r="521" spans="24:40" x14ac:dyDescent="0.3">
      <c r="X521" s="13"/>
      <c r="Y521" s="13" t="str">
        <f>IF($X521="","",SUMIFS(TARIFF_PROFILES!$D:$D,TARIFF_PROFILES!$A:$A,$X521))</f>
        <v/>
      </c>
      <c r="Z521" s="13" t="str">
        <f>IF($X521="","",SUMIFS(TARIFF_PROFILES!$E:$E,TARIFF_PROFILES!$A:$A,$X521))</f>
        <v/>
      </c>
      <c r="AA521" s="13" t="str">
        <f>IF($X521="","",SUMIFS(TARIFF_PROFILES!$F:$F,TARIFF_PROFILES!$A:$A,$X521))</f>
        <v/>
      </c>
      <c r="AB521" s="13" t="str">
        <f>IF($X521="","",SUMIFS(TARIFF_PROFILES!$G:$G,TARIFF_PROFILES!$A:$A,$X521))</f>
        <v/>
      </c>
      <c r="AC521" s="13" t="str">
        <f>IF($X521="","",SUMIFS(TARIFF_PROFILES!$H:$H,TARIFF_PROFILES!$A:$A,$X521))</f>
        <v/>
      </c>
      <c r="AD521" s="13" t="str">
        <f>IF($X521="","",INDEX(TARIFF_PROFILES!$J:$J,MATCH($X521,TARIFF_PROFILES!$A:$A,0)))</f>
        <v/>
      </c>
      <c r="AE521" s="13" t="str">
        <f>IF($X521="","",INDEX(TARIFF_PROFILES!$K:$K,MATCH($X521,TARIFF_PROFILES!$A:$A,0)))</f>
        <v/>
      </c>
      <c r="AH521" t="str">
        <f>IF($AG521="","",SUMIFS(OPERATING_COEFFS!$C:$C,OPERATING_COEFFS!$A:$A,"DistanceClass",OPERATING_COEFFS!$B:$B,$AG521))</f>
        <v/>
      </c>
      <c r="AJ521" t="str">
        <f>IF($AI521="","",SUMIFS(OPERATING_COEFFS!$C:$C,OPERATING_COEFFS!$A:$A,"SeasonClass",OPERATING_COEFFS!$B:$B,$AI521))</f>
        <v/>
      </c>
      <c r="AL521" t="str">
        <f>IF($AK521="","",SUMIFS(OPERATING_COEFFS!$C:$C,OPERATING_COEFFS!$A:$A,"UrgencyClass",OPERATING_COEFFS!$B:$B,$AK521))</f>
        <v/>
      </c>
      <c r="AN521" t="str">
        <f>IF($AM521="","",INDEX(TAX_MODES!$B:$B,MATCH($AM521,TAX_MODES!$A:$A,0)))</f>
        <v/>
      </c>
    </row>
    <row r="522" spans="24:40" x14ac:dyDescent="0.3">
      <c r="X522" s="13"/>
      <c r="Y522" s="13" t="str">
        <f>IF($X522="","",SUMIFS(TARIFF_PROFILES!$D:$D,TARIFF_PROFILES!$A:$A,$X522))</f>
        <v/>
      </c>
      <c r="Z522" s="13" t="str">
        <f>IF($X522="","",SUMIFS(TARIFF_PROFILES!$E:$E,TARIFF_PROFILES!$A:$A,$X522))</f>
        <v/>
      </c>
      <c r="AA522" s="13" t="str">
        <f>IF($X522="","",SUMIFS(TARIFF_PROFILES!$F:$F,TARIFF_PROFILES!$A:$A,$X522))</f>
        <v/>
      </c>
      <c r="AB522" s="13" t="str">
        <f>IF($X522="","",SUMIFS(TARIFF_PROFILES!$G:$G,TARIFF_PROFILES!$A:$A,$X522))</f>
        <v/>
      </c>
      <c r="AC522" s="13" t="str">
        <f>IF($X522="","",SUMIFS(TARIFF_PROFILES!$H:$H,TARIFF_PROFILES!$A:$A,$X522))</f>
        <v/>
      </c>
      <c r="AD522" s="13" t="str">
        <f>IF($X522="","",INDEX(TARIFF_PROFILES!$J:$J,MATCH($X522,TARIFF_PROFILES!$A:$A,0)))</f>
        <v/>
      </c>
      <c r="AE522" s="13" t="str">
        <f>IF($X522="","",INDEX(TARIFF_PROFILES!$K:$K,MATCH($X522,TARIFF_PROFILES!$A:$A,0)))</f>
        <v/>
      </c>
      <c r="AH522" t="str">
        <f>IF($AG522="","",SUMIFS(OPERATING_COEFFS!$C:$C,OPERATING_COEFFS!$A:$A,"DistanceClass",OPERATING_COEFFS!$B:$B,$AG522))</f>
        <v/>
      </c>
      <c r="AJ522" t="str">
        <f>IF($AI522="","",SUMIFS(OPERATING_COEFFS!$C:$C,OPERATING_COEFFS!$A:$A,"SeasonClass",OPERATING_COEFFS!$B:$B,$AI522))</f>
        <v/>
      </c>
      <c r="AL522" t="str">
        <f>IF($AK522="","",SUMIFS(OPERATING_COEFFS!$C:$C,OPERATING_COEFFS!$A:$A,"UrgencyClass",OPERATING_COEFFS!$B:$B,$AK522))</f>
        <v/>
      </c>
      <c r="AN522" t="str">
        <f>IF($AM522="","",INDEX(TAX_MODES!$B:$B,MATCH($AM522,TAX_MODES!$A:$A,0)))</f>
        <v/>
      </c>
    </row>
    <row r="523" spans="24:40" x14ac:dyDescent="0.3">
      <c r="X523" s="13"/>
      <c r="Y523" s="13" t="str">
        <f>IF($X523="","",SUMIFS(TARIFF_PROFILES!$D:$D,TARIFF_PROFILES!$A:$A,$X523))</f>
        <v/>
      </c>
      <c r="Z523" s="13" t="str">
        <f>IF($X523="","",SUMIFS(TARIFF_PROFILES!$E:$E,TARIFF_PROFILES!$A:$A,$X523))</f>
        <v/>
      </c>
      <c r="AA523" s="13" t="str">
        <f>IF($X523="","",SUMIFS(TARIFF_PROFILES!$F:$F,TARIFF_PROFILES!$A:$A,$X523))</f>
        <v/>
      </c>
      <c r="AB523" s="13" t="str">
        <f>IF($X523="","",SUMIFS(TARIFF_PROFILES!$G:$G,TARIFF_PROFILES!$A:$A,$X523))</f>
        <v/>
      </c>
      <c r="AC523" s="13" t="str">
        <f>IF($X523="","",SUMIFS(TARIFF_PROFILES!$H:$H,TARIFF_PROFILES!$A:$A,$X523))</f>
        <v/>
      </c>
      <c r="AD523" s="13" t="str">
        <f>IF($X523="","",INDEX(TARIFF_PROFILES!$J:$J,MATCH($X523,TARIFF_PROFILES!$A:$A,0)))</f>
        <v/>
      </c>
      <c r="AE523" s="13" t="str">
        <f>IF($X523="","",INDEX(TARIFF_PROFILES!$K:$K,MATCH($X523,TARIFF_PROFILES!$A:$A,0)))</f>
        <v/>
      </c>
      <c r="AH523" t="str">
        <f>IF($AG523="","",SUMIFS(OPERATING_COEFFS!$C:$C,OPERATING_COEFFS!$A:$A,"DistanceClass",OPERATING_COEFFS!$B:$B,$AG523))</f>
        <v/>
      </c>
      <c r="AJ523" t="str">
        <f>IF($AI523="","",SUMIFS(OPERATING_COEFFS!$C:$C,OPERATING_COEFFS!$A:$A,"SeasonClass",OPERATING_COEFFS!$B:$B,$AI523))</f>
        <v/>
      </c>
      <c r="AL523" t="str">
        <f>IF($AK523="","",SUMIFS(OPERATING_COEFFS!$C:$C,OPERATING_COEFFS!$A:$A,"UrgencyClass",OPERATING_COEFFS!$B:$B,$AK523))</f>
        <v/>
      </c>
      <c r="AN523" t="str">
        <f>IF($AM523="","",INDEX(TAX_MODES!$B:$B,MATCH($AM523,TAX_MODES!$A:$A,0)))</f>
        <v/>
      </c>
    </row>
    <row r="524" spans="24:40" x14ac:dyDescent="0.3">
      <c r="X524" s="13"/>
      <c r="Y524" s="13" t="str">
        <f>IF($X524="","",SUMIFS(TARIFF_PROFILES!$D:$D,TARIFF_PROFILES!$A:$A,$X524))</f>
        <v/>
      </c>
      <c r="Z524" s="13" t="str">
        <f>IF($X524="","",SUMIFS(TARIFF_PROFILES!$E:$E,TARIFF_PROFILES!$A:$A,$X524))</f>
        <v/>
      </c>
      <c r="AA524" s="13" t="str">
        <f>IF($X524="","",SUMIFS(TARIFF_PROFILES!$F:$F,TARIFF_PROFILES!$A:$A,$X524))</f>
        <v/>
      </c>
      <c r="AB524" s="13" t="str">
        <f>IF($X524="","",SUMIFS(TARIFF_PROFILES!$G:$G,TARIFF_PROFILES!$A:$A,$X524))</f>
        <v/>
      </c>
      <c r="AC524" s="13" t="str">
        <f>IF($X524="","",SUMIFS(TARIFF_PROFILES!$H:$H,TARIFF_PROFILES!$A:$A,$X524))</f>
        <v/>
      </c>
      <c r="AD524" s="13" t="str">
        <f>IF($X524="","",INDEX(TARIFF_PROFILES!$J:$J,MATCH($X524,TARIFF_PROFILES!$A:$A,0)))</f>
        <v/>
      </c>
      <c r="AE524" s="13" t="str">
        <f>IF($X524="","",INDEX(TARIFF_PROFILES!$K:$K,MATCH($X524,TARIFF_PROFILES!$A:$A,0)))</f>
        <v/>
      </c>
      <c r="AH524" t="str">
        <f>IF($AG524="","",SUMIFS(OPERATING_COEFFS!$C:$C,OPERATING_COEFFS!$A:$A,"DistanceClass",OPERATING_COEFFS!$B:$B,$AG524))</f>
        <v/>
      </c>
      <c r="AJ524" t="str">
        <f>IF($AI524="","",SUMIFS(OPERATING_COEFFS!$C:$C,OPERATING_COEFFS!$A:$A,"SeasonClass",OPERATING_COEFFS!$B:$B,$AI524))</f>
        <v/>
      </c>
      <c r="AL524" t="str">
        <f>IF($AK524="","",SUMIFS(OPERATING_COEFFS!$C:$C,OPERATING_COEFFS!$A:$A,"UrgencyClass",OPERATING_COEFFS!$B:$B,$AK524))</f>
        <v/>
      </c>
      <c r="AN524" t="str">
        <f>IF($AM524="","",INDEX(TAX_MODES!$B:$B,MATCH($AM524,TAX_MODES!$A:$A,0)))</f>
        <v/>
      </c>
    </row>
    <row r="525" spans="24:40" x14ac:dyDescent="0.3">
      <c r="X525" s="13"/>
      <c r="Y525" s="13" t="str">
        <f>IF($X525="","",SUMIFS(TARIFF_PROFILES!$D:$D,TARIFF_PROFILES!$A:$A,$X525))</f>
        <v/>
      </c>
      <c r="Z525" s="13" t="str">
        <f>IF($X525="","",SUMIFS(TARIFF_PROFILES!$E:$E,TARIFF_PROFILES!$A:$A,$X525))</f>
        <v/>
      </c>
      <c r="AA525" s="13" t="str">
        <f>IF($X525="","",SUMIFS(TARIFF_PROFILES!$F:$F,TARIFF_PROFILES!$A:$A,$X525))</f>
        <v/>
      </c>
      <c r="AB525" s="13" t="str">
        <f>IF($X525="","",SUMIFS(TARIFF_PROFILES!$G:$G,TARIFF_PROFILES!$A:$A,$X525))</f>
        <v/>
      </c>
      <c r="AC525" s="13" t="str">
        <f>IF($X525="","",SUMIFS(TARIFF_PROFILES!$H:$H,TARIFF_PROFILES!$A:$A,$X525))</f>
        <v/>
      </c>
      <c r="AD525" s="13" t="str">
        <f>IF($X525="","",INDEX(TARIFF_PROFILES!$J:$J,MATCH($X525,TARIFF_PROFILES!$A:$A,0)))</f>
        <v/>
      </c>
      <c r="AE525" s="13" t="str">
        <f>IF($X525="","",INDEX(TARIFF_PROFILES!$K:$K,MATCH($X525,TARIFF_PROFILES!$A:$A,0)))</f>
        <v/>
      </c>
      <c r="AH525" t="str">
        <f>IF($AG525="","",SUMIFS(OPERATING_COEFFS!$C:$C,OPERATING_COEFFS!$A:$A,"DistanceClass",OPERATING_COEFFS!$B:$B,$AG525))</f>
        <v/>
      </c>
      <c r="AJ525" t="str">
        <f>IF($AI525="","",SUMIFS(OPERATING_COEFFS!$C:$C,OPERATING_COEFFS!$A:$A,"SeasonClass",OPERATING_COEFFS!$B:$B,$AI525))</f>
        <v/>
      </c>
      <c r="AL525" t="str">
        <f>IF($AK525="","",SUMIFS(OPERATING_COEFFS!$C:$C,OPERATING_COEFFS!$A:$A,"UrgencyClass",OPERATING_COEFFS!$B:$B,$AK525))</f>
        <v/>
      </c>
      <c r="AN525" t="str">
        <f>IF($AM525="","",INDEX(TAX_MODES!$B:$B,MATCH($AM525,TAX_MODES!$A:$A,0)))</f>
        <v/>
      </c>
    </row>
    <row r="526" spans="24:40" x14ac:dyDescent="0.3">
      <c r="X526" s="13"/>
      <c r="Y526" s="13" t="str">
        <f>IF($X526="","",SUMIFS(TARIFF_PROFILES!$D:$D,TARIFF_PROFILES!$A:$A,$X526))</f>
        <v/>
      </c>
      <c r="Z526" s="13" t="str">
        <f>IF($X526="","",SUMIFS(TARIFF_PROFILES!$E:$E,TARIFF_PROFILES!$A:$A,$X526))</f>
        <v/>
      </c>
      <c r="AA526" s="13" t="str">
        <f>IF($X526="","",SUMIFS(TARIFF_PROFILES!$F:$F,TARIFF_PROFILES!$A:$A,$X526))</f>
        <v/>
      </c>
      <c r="AB526" s="13" t="str">
        <f>IF($X526="","",SUMIFS(TARIFF_PROFILES!$G:$G,TARIFF_PROFILES!$A:$A,$X526))</f>
        <v/>
      </c>
      <c r="AC526" s="13" t="str">
        <f>IF($X526="","",SUMIFS(TARIFF_PROFILES!$H:$H,TARIFF_PROFILES!$A:$A,$X526))</f>
        <v/>
      </c>
      <c r="AD526" s="13" t="str">
        <f>IF($X526="","",INDEX(TARIFF_PROFILES!$J:$J,MATCH($X526,TARIFF_PROFILES!$A:$A,0)))</f>
        <v/>
      </c>
      <c r="AE526" s="13" t="str">
        <f>IF($X526="","",INDEX(TARIFF_PROFILES!$K:$K,MATCH($X526,TARIFF_PROFILES!$A:$A,0)))</f>
        <v/>
      </c>
      <c r="AH526" t="str">
        <f>IF($AG526="","",SUMIFS(OPERATING_COEFFS!$C:$C,OPERATING_COEFFS!$A:$A,"DistanceClass",OPERATING_COEFFS!$B:$B,$AG526))</f>
        <v/>
      </c>
      <c r="AJ526" t="str">
        <f>IF($AI526="","",SUMIFS(OPERATING_COEFFS!$C:$C,OPERATING_COEFFS!$A:$A,"SeasonClass",OPERATING_COEFFS!$B:$B,$AI526))</f>
        <v/>
      </c>
      <c r="AL526" t="str">
        <f>IF($AK526="","",SUMIFS(OPERATING_COEFFS!$C:$C,OPERATING_COEFFS!$A:$A,"UrgencyClass",OPERATING_COEFFS!$B:$B,$AK526))</f>
        <v/>
      </c>
      <c r="AN526" t="str">
        <f>IF($AM526="","",INDEX(TAX_MODES!$B:$B,MATCH($AM526,TAX_MODES!$A:$A,0)))</f>
        <v/>
      </c>
    </row>
    <row r="527" spans="24:40" x14ac:dyDescent="0.3">
      <c r="X527" s="13"/>
      <c r="Y527" s="13" t="str">
        <f>IF($X527="","",SUMIFS(TARIFF_PROFILES!$D:$D,TARIFF_PROFILES!$A:$A,$X527))</f>
        <v/>
      </c>
      <c r="Z527" s="13" t="str">
        <f>IF($X527="","",SUMIFS(TARIFF_PROFILES!$E:$E,TARIFF_PROFILES!$A:$A,$X527))</f>
        <v/>
      </c>
      <c r="AA527" s="13" t="str">
        <f>IF($X527="","",SUMIFS(TARIFF_PROFILES!$F:$F,TARIFF_PROFILES!$A:$A,$X527))</f>
        <v/>
      </c>
      <c r="AB527" s="13" t="str">
        <f>IF($X527="","",SUMIFS(TARIFF_PROFILES!$G:$G,TARIFF_PROFILES!$A:$A,$X527))</f>
        <v/>
      </c>
      <c r="AC527" s="13" t="str">
        <f>IF($X527="","",SUMIFS(TARIFF_PROFILES!$H:$H,TARIFF_PROFILES!$A:$A,$X527))</f>
        <v/>
      </c>
      <c r="AD527" s="13" t="str">
        <f>IF($X527="","",INDEX(TARIFF_PROFILES!$J:$J,MATCH($X527,TARIFF_PROFILES!$A:$A,0)))</f>
        <v/>
      </c>
      <c r="AE527" s="13" t="str">
        <f>IF($X527="","",INDEX(TARIFF_PROFILES!$K:$K,MATCH($X527,TARIFF_PROFILES!$A:$A,0)))</f>
        <v/>
      </c>
      <c r="AH527" t="str">
        <f>IF($AG527="","",SUMIFS(OPERATING_COEFFS!$C:$C,OPERATING_COEFFS!$A:$A,"DistanceClass",OPERATING_COEFFS!$B:$B,$AG527))</f>
        <v/>
      </c>
      <c r="AJ527" t="str">
        <f>IF($AI527="","",SUMIFS(OPERATING_COEFFS!$C:$C,OPERATING_COEFFS!$A:$A,"SeasonClass",OPERATING_COEFFS!$B:$B,$AI527))</f>
        <v/>
      </c>
      <c r="AL527" t="str">
        <f>IF($AK527="","",SUMIFS(OPERATING_COEFFS!$C:$C,OPERATING_COEFFS!$A:$A,"UrgencyClass",OPERATING_COEFFS!$B:$B,$AK527))</f>
        <v/>
      </c>
      <c r="AN527" t="str">
        <f>IF($AM527="","",INDEX(TAX_MODES!$B:$B,MATCH($AM527,TAX_MODES!$A:$A,0)))</f>
        <v/>
      </c>
    </row>
    <row r="528" spans="24:40" x14ac:dyDescent="0.3">
      <c r="X528" s="13"/>
      <c r="Y528" s="13" t="str">
        <f>IF($X528="","",SUMIFS(TARIFF_PROFILES!$D:$D,TARIFF_PROFILES!$A:$A,$X528))</f>
        <v/>
      </c>
      <c r="Z528" s="13" t="str">
        <f>IF($X528="","",SUMIFS(TARIFF_PROFILES!$E:$E,TARIFF_PROFILES!$A:$A,$X528))</f>
        <v/>
      </c>
      <c r="AA528" s="13" t="str">
        <f>IF($X528="","",SUMIFS(TARIFF_PROFILES!$F:$F,TARIFF_PROFILES!$A:$A,$X528))</f>
        <v/>
      </c>
      <c r="AB528" s="13" t="str">
        <f>IF($X528="","",SUMIFS(TARIFF_PROFILES!$G:$G,TARIFF_PROFILES!$A:$A,$X528))</f>
        <v/>
      </c>
      <c r="AC528" s="13" t="str">
        <f>IF($X528="","",SUMIFS(TARIFF_PROFILES!$H:$H,TARIFF_PROFILES!$A:$A,$X528))</f>
        <v/>
      </c>
      <c r="AD528" s="13" t="str">
        <f>IF($X528="","",INDEX(TARIFF_PROFILES!$J:$J,MATCH($X528,TARIFF_PROFILES!$A:$A,0)))</f>
        <v/>
      </c>
      <c r="AE528" s="13" t="str">
        <f>IF($X528="","",INDEX(TARIFF_PROFILES!$K:$K,MATCH($X528,TARIFF_PROFILES!$A:$A,0)))</f>
        <v/>
      </c>
      <c r="AH528" t="str">
        <f>IF($AG528="","",SUMIFS(OPERATING_COEFFS!$C:$C,OPERATING_COEFFS!$A:$A,"DistanceClass",OPERATING_COEFFS!$B:$B,$AG528))</f>
        <v/>
      </c>
      <c r="AJ528" t="str">
        <f>IF($AI528="","",SUMIFS(OPERATING_COEFFS!$C:$C,OPERATING_COEFFS!$A:$A,"SeasonClass",OPERATING_COEFFS!$B:$B,$AI528))</f>
        <v/>
      </c>
      <c r="AL528" t="str">
        <f>IF($AK528="","",SUMIFS(OPERATING_COEFFS!$C:$C,OPERATING_COEFFS!$A:$A,"UrgencyClass",OPERATING_COEFFS!$B:$B,$AK528))</f>
        <v/>
      </c>
      <c r="AN528" t="str">
        <f>IF($AM528="","",INDEX(TAX_MODES!$B:$B,MATCH($AM528,TAX_MODES!$A:$A,0)))</f>
        <v/>
      </c>
    </row>
    <row r="529" spans="24:40" x14ac:dyDescent="0.3">
      <c r="X529" s="13"/>
      <c r="Y529" s="13" t="str">
        <f>IF($X529="","",SUMIFS(TARIFF_PROFILES!$D:$D,TARIFF_PROFILES!$A:$A,$X529))</f>
        <v/>
      </c>
      <c r="Z529" s="13" t="str">
        <f>IF($X529="","",SUMIFS(TARIFF_PROFILES!$E:$E,TARIFF_PROFILES!$A:$A,$X529))</f>
        <v/>
      </c>
      <c r="AA529" s="13" t="str">
        <f>IF($X529="","",SUMIFS(TARIFF_PROFILES!$F:$F,TARIFF_PROFILES!$A:$A,$X529))</f>
        <v/>
      </c>
      <c r="AB529" s="13" t="str">
        <f>IF($X529="","",SUMIFS(TARIFF_PROFILES!$G:$G,TARIFF_PROFILES!$A:$A,$X529))</f>
        <v/>
      </c>
      <c r="AC529" s="13" t="str">
        <f>IF($X529="","",SUMIFS(TARIFF_PROFILES!$H:$H,TARIFF_PROFILES!$A:$A,$X529))</f>
        <v/>
      </c>
      <c r="AD529" s="13" t="str">
        <f>IF($X529="","",INDEX(TARIFF_PROFILES!$J:$J,MATCH($X529,TARIFF_PROFILES!$A:$A,0)))</f>
        <v/>
      </c>
      <c r="AE529" s="13" t="str">
        <f>IF($X529="","",INDEX(TARIFF_PROFILES!$K:$K,MATCH($X529,TARIFF_PROFILES!$A:$A,0)))</f>
        <v/>
      </c>
      <c r="AH529" t="str">
        <f>IF($AG529="","",SUMIFS(OPERATING_COEFFS!$C:$C,OPERATING_COEFFS!$A:$A,"DistanceClass",OPERATING_COEFFS!$B:$B,$AG529))</f>
        <v/>
      </c>
      <c r="AJ529" t="str">
        <f>IF($AI529="","",SUMIFS(OPERATING_COEFFS!$C:$C,OPERATING_COEFFS!$A:$A,"SeasonClass",OPERATING_COEFFS!$B:$B,$AI529))</f>
        <v/>
      </c>
      <c r="AL529" t="str">
        <f>IF($AK529="","",SUMIFS(OPERATING_COEFFS!$C:$C,OPERATING_COEFFS!$A:$A,"UrgencyClass",OPERATING_COEFFS!$B:$B,$AK529))</f>
        <v/>
      </c>
      <c r="AN529" t="str">
        <f>IF($AM529="","",INDEX(TAX_MODES!$B:$B,MATCH($AM529,TAX_MODES!$A:$A,0)))</f>
        <v/>
      </c>
    </row>
    <row r="530" spans="24:40" x14ac:dyDescent="0.3">
      <c r="X530" s="13"/>
      <c r="Y530" s="13" t="str">
        <f>IF($X530="","",SUMIFS(TARIFF_PROFILES!$D:$D,TARIFF_PROFILES!$A:$A,$X530))</f>
        <v/>
      </c>
      <c r="Z530" s="13" t="str">
        <f>IF($X530="","",SUMIFS(TARIFF_PROFILES!$E:$E,TARIFF_PROFILES!$A:$A,$X530))</f>
        <v/>
      </c>
      <c r="AA530" s="13" t="str">
        <f>IF($X530="","",SUMIFS(TARIFF_PROFILES!$F:$F,TARIFF_PROFILES!$A:$A,$X530))</f>
        <v/>
      </c>
      <c r="AB530" s="13" t="str">
        <f>IF($X530="","",SUMIFS(TARIFF_PROFILES!$G:$G,TARIFF_PROFILES!$A:$A,$X530))</f>
        <v/>
      </c>
      <c r="AC530" s="13" t="str">
        <f>IF($X530="","",SUMIFS(TARIFF_PROFILES!$H:$H,TARIFF_PROFILES!$A:$A,$X530))</f>
        <v/>
      </c>
      <c r="AD530" s="13" t="str">
        <f>IF($X530="","",INDEX(TARIFF_PROFILES!$J:$J,MATCH($X530,TARIFF_PROFILES!$A:$A,0)))</f>
        <v/>
      </c>
      <c r="AE530" s="13" t="str">
        <f>IF($X530="","",INDEX(TARIFF_PROFILES!$K:$K,MATCH($X530,TARIFF_PROFILES!$A:$A,0)))</f>
        <v/>
      </c>
      <c r="AH530" t="str">
        <f>IF($AG530="","",SUMIFS(OPERATING_COEFFS!$C:$C,OPERATING_COEFFS!$A:$A,"DistanceClass",OPERATING_COEFFS!$B:$B,$AG530))</f>
        <v/>
      </c>
      <c r="AJ530" t="str">
        <f>IF($AI530="","",SUMIFS(OPERATING_COEFFS!$C:$C,OPERATING_COEFFS!$A:$A,"SeasonClass",OPERATING_COEFFS!$B:$B,$AI530))</f>
        <v/>
      </c>
      <c r="AL530" t="str">
        <f>IF($AK530="","",SUMIFS(OPERATING_COEFFS!$C:$C,OPERATING_COEFFS!$A:$A,"UrgencyClass",OPERATING_COEFFS!$B:$B,$AK530))</f>
        <v/>
      </c>
      <c r="AN530" t="str">
        <f>IF($AM530="","",INDEX(TAX_MODES!$B:$B,MATCH($AM530,TAX_MODES!$A:$A,0)))</f>
        <v/>
      </c>
    </row>
    <row r="531" spans="24:40" x14ac:dyDescent="0.3">
      <c r="X531" s="13"/>
      <c r="Y531" s="13" t="str">
        <f>IF($X531="","",SUMIFS(TARIFF_PROFILES!$D:$D,TARIFF_PROFILES!$A:$A,$X531))</f>
        <v/>
      </c>
      <c r="Z531" s="13" t="str">
        <f>IF($X531="","",SUMIFS(TARIFF_PROFILES!$E:$E,TARIFF_PROFILES!$A:$A,$X531))</f>
        <v/>
      </c>
      <c r="AA531" s="13" t="str">
        <f>IF($X531="","",SUMIFS(TARIFF_PROFILES!$F:$F,TARIFF_PROFILES!$A:$A,$X531))</f>
        <v/>
      </c>
      <c r="AB531" s="13" t="str">
        <f>IF($X531="","",SUMIFS(TARIFF_PROFILES!$G:$G,TARIFF_PROFILES!$A:$A,$X531))</f>
        <v/>
      </c>
      <c r="AC531" s="13" t="str">
        <f>IF($X531="","",SUMIFS(TARIFF_PROFILES!$H:$H,TARIFF_PROFILES!$A:$A,$X531))</f>
        <v/>
      </c>
      <c r="AD531" s="13" t="str">
        <f>IF($X531="","",INDEX(TARIFF_PROFILES!$J:$J,MATCH($X531,TARIFF_PROFILES!$A:$A,0)))</f>
        <v/>
      </c>
      <c r="AE531" s="13" t="str">
        <f>IF($X531="","",INDEX(TARIFF_PROFILES!$K:$K,MATCH($X531,TARIFF_PROFILES!$A:$A,0)))</f>
        <v/>
      </c>
      <c r="AH531" t="str">
        <f>IF($AG531="","",SUMIFS(OPERATING_COEFFS!$C:$C,OPERATING_COEFFS!$A:$A,"DistanceClass",OPERATING_COEFFS!$B:$B,$AG531))</f>
        <v/>
      </c>
      <c r="AJ531" t="str">
        <f>IF($AI531="","",SUMIFS(OPERATING_COEFFS!$C:$C,OPERATING_COEFFS!$A:$A,"SeasonClass",OPERATING_COEFFS!$B:$B,$AI531))</f>
        <v/>
      </c>
      <c r="AL531" t="str">
        <f>IF($AK531="","",SUMIFS(OPERATING_COEFFS!$C:$C,OPERATING_COEFFS!$A:$A,"UrgencyClass",OPERATING_COEFFS!$B:$B,$AK531))</f>
        <v/>
      </c>
      <c r="AN531" t="str">
        <f>IF($AM531="","",INDEX(TAX_MODES!$B:$B,MATCH($AM531,TAX_MODES!$A:$A,0)))</f>
        <v/>
      </c>
    </row>
    <row r="532" spans="24:40" x14ac:dyDescent="0.3">
      <c r="X532" s="13"/>
      <c r="Y532" s="13" t="str">
        <f>IF($X532="","",SUMIFS(TARIFF_PROFILES!$D:$D,TARIFF_PROFILES!$A:$A,$X532))</f>
        <v/>
      </c>
      <c r="Z532" s="13" t="str">
        <f>IF($X532="","",SUMIFS(TARIFF_PROFILES!$E:$E,TARIFF_PROFILES!$A:$A,$X532))</f>
        <v/>
      </c>
      <c r="AA532" s="13" t="str">
        <f>IF($X532="","",SUMIFS(TARIFF_PROFILES!$F:$F,TARIFF_PROFILES!$A:$A,$X532))</f>
        <v/>
      </c>
      <c r="AB532" s="13" t="str">
        <f>IF($X532="","",SUMIFS(TARIFF_PROFILES!$G:$G,TARIFF_PROFILES!$A:$A,$X532))</f>
        <v/>
      </c>
      <c r="AC532" s="13" t="str">
        <f>IF($X532="","",SUMIFS(TARIFF_PROFILES!$H:$H,TARIFF_PROFILES!$A:$A,$X532))</f>
        <v/>
      </c>
      <c r="AD532" s="13" t="str">
        <f>IF($X532="","",INDEX(TARIFF_PROFILES!$J:$J,MATCH($X532,TARIFF_PROFILES!$A:$A,0)))</f>
        <v/>
      </c>
      <c r="AE532" s="13" t="str">
        <f>IF($X532="","",INDEX(TARIFF_PROFILES!$K:$K,MATCH($X532,TARIFF_PROFILES!$A:$A,0)))</f>
        <v/>
      </c>
      <c r="AH532" t="str">
        <f>IF($AG532="","",SUMIFS(OPERATING_COEFFS!$C:$C,OPERATING_COEFFS!$A:$A,"DistanceClass",OPERATING_COEFFS!$B:$B,$AG532))</f>
        <v/>
      </c>
      <c r="AJ532" t="str">
        <f>IF($AI532="","",SUMIFS(OPERATING_COEFFS!$C:$C,OPERATING_COEFFS!$A:$A,"SeasonClass",OPERATING_COEFFS!$B:$B,$AI532))</f>
        <v/>
      </c>
      <c r="AL532" t="str">
        <f>IF($AK532="","",SUMIFS(OPERATING_COEFFS!$C:$C,OPERATING_COEFFS!$A:$A,"UrgencyClass",OPERATING_COEFFS!$B:$B,$AK532))</f>
        <v/>
      </c>
      <c r="AN532" t="str">
        <f>IF($AM532="","",INDEX(TAX_MODES!$B:$B,MATCH($AM532,TAX_MODES!$A:$A,0)))</f>
        <v/>
      </c>
    </row>
    <row r="533" spans="24:40" x14ac:dyDescent="0.3">
      <c r="X533" s="13"/>
      <c r="Y533" s="13" t="str">
        <f>IF($X533="","",SUMIFS(TARIFF_PROFILES!$D:$D,TARIFF_PROFILES!$A:$A,$X533))</f>
        <v/>
      </c>
      <c r="Z533" s="13" t="str">
        <f>IF($X533="","",SUMIFS(TARIFF_PROFILES!$E:$E,TARIFF_PROFILES!$A:$A,$X533))</f>
        <v/>
      </c>
      <c r="AA533" s="13" t="str">
        <f>IF($X533="","",SUMIFS(TARIFF_PROFILES!$F:$F,TARIFF_PROFILES!$A:$A,$X533))</f>
        <v/>
      </c>
      <c r="AB533" s="13" t="str">
        <f>IF($X533="","",SUMIFS(TARIFF_PROFILES!$G:$G,TARIFF_PROFILES!$A:$A,$X533))</f>
        <v/>
      </c>
      <c r="AC533" s="13" t="str">
        <f>IF($X533="","",SUMIFS(TARIFF_PROFILES!$H:$H,TARIFF_PROFILES!$A:$A,$X533))</f>
        <v/>
      </c>
      <c r="AD533" s="13" t="str">
        <f>IF($X533="","",INDEX(TARIFF_PROFILES!$J:$J,MATCH($X533,TARIFF_PROFILES!$A:$A,0)))</f>
        <v/>
      </c>
      <c r="AE533" s="13" t="str">
        <f>IF($X533="","",INDEX(TARIFF_PROFILES!$K:$K,MATCH($X533,TARIFF_PROFILES!$A:$A,0)))</f>
        <v/>
      </c>
      <c r="AH533" t="str">
        <f>IF($AG533="","",SUMIFS(OPERATING_COEFFS!$C:$C,OPERATING_COEFFS!$A:$A,"DistanceClass",OPERATING_COEFFS!$B:$B,$AG533))</f>
        <v/>
      </c>
      <c r="AJ533" t="str">
        <f>IF($AI533="","",SUMIFS(OPERATING_COEFFS!$C:$C,OPERATING_COEFFS!$A:$A,"SeasonClass",OPERATING_COEFFS!$B:$B,$AI533))</f>
        <v/>
      </c>
      <c r="AL533" t="str">
        <f>IF($AK533="","",SUMIFS(OPERATING_COEFFS!$C:$C,OPERATING_COEFFS!$A:$A,"UrgencyClass",OPERATING_COEFFS!$B:$B,$AK533))</f>
        <v/>
      </c>
      <c r="AN533" t="str">
        <f>IF($AM533="","",INDEX(TAX_MODES!$B:$B,MATCH($AM533,TAX_MODES!$A:$A,0)))</f>
        <v/>
      </c>
    </row>
    <row r="534" spans="24:40" x14ac:dyDescent="0.3">
      <c r="X534" s="13"/>
      <c r="Y534" s="13" t="str">
        <f>IF($X534="","",SUMIFS(TARIFF_PROFILES!$D:$D,TARIFF_PROFILES!$A:$A,$X534))</f>
        <v/>
      </c>
      <c r="Z534" s="13" t="str">
        <f>IF($X534="","",SUMIFS(TARIFF_PROFILES!$E:$E,TARIFF_PROFILES!$A:$A,$X534))</f>
        <v/>
      </c>
      <c r="AA534" s="13" t="str">
        <f>IF($X534="","",SUMIFS(TARIFF_PROFILES!$F:$F,TARIFF_PROFILES!$A:$A,$X534))</f>
        <v/>
      </c>
      <c r="AB534" s="13" t="str">
        <f>IF($X534="","",SUMIFS(TARIFF_PROFILES!$G:$G,TARIFF_PROFILES!$A:$A,$X534))</f>
        <v/>
      </c>
      <c r="AC534" s="13" t="str">
        <f>IF($X534="","",SUMIFS(TARIFF_PROFILES!$H:$H,TARIFF_PROFILES!$A:$A,$X534))</f>
        <v/>
      </c>
      <c r="AD534" s="13" t="str">
        <f>IF($X534="","",INDEX(TARIFF_PROFILES!$J:$J,MATCH($X534,TARIFF_PROFILES!$A:$A,0)))</f>
        <v/>
      </c>
      <c r="AE534" s="13" t="str">
        <f>IF($X534="","",INDEX(TARIFF_PROFILES!$K:$K,MATCH($X534,TARIFF_PROFILES!$A:$A,0)))</f>
        <v/>
      </c>
      <c r="AH534" t="str">
        <f>IF($AG534="","",SUMIFS(OPERATING_COEFFS!$C:$C,OPERATING_COEFFS!$A:$A,"DistanceClass",OPERATING_COEFFS!$B:$B,$AG534))</f>
        <v/>
      </c>
      <c r="AJ534" t="str">
        <f>IF($AI534="","",SUMIFS(OPERATING_COEFFS!$C:$C,OPERATING_COEFFS!$A:$A,"SeasonClass",OPERATING_COEFFS!$B:$B,$AI534))</f>
        <v/>
      </c>
      <c r="AL534" t="str">
        <f>IF($AK534="","",SUMIFS(OPERATING_COEFFS!$C:$C,OPERATING_COEFFS!$A:$A,"UrgencyClass",OPERATING_COEFFS!$B:$B,$AK534))</f>
        <v/>
      </c>
      <c r="AN534" t="str">
        <f>IF($AM534="","",INDEX(TAX_MODES!$B:$B,MATCH($AM534,TAX_MODES!$A:$A,0)))</f>
        <v/>
      </c>
    </row>
    <row r="535" spans="24:40" x14ac:dyDescent="0.3">
      <c r="X535" s="13"/>
      <c r="Y535" s="13" t="str">
        <f>IF($X535="","",SUMIFS(TARIFF_PROFILES!$D:$D,TARIFF_PROFILES!$A:$A,$X535))</f>
        <v/>
      </c>
      <c r="Z535" s="13" t="str">
        <f>IF($X535="","",SUMIFS(TARIFF_PROFILES!$E:$E,TARIFF_PROFILES!$A:$A,$X535))</f>
        <v/>
      </c>
      <c r="AA535" s="13" t="str">
        <f>IF($X535="","",SUMIFS(TARIFF_PROFILES!$F:$F,TARIFF_PROFILES!$A:$A,$X535))</f>
        <v/>
      </c>
      <c r="AB535" s="13" t="str">
        <f>IF($X535="","",SUMIFS(TARIFF_PROFILES!$G:$G,TARIFF_PROFILES!$A:$A,$X535))</f>
        <v/>
      </c>
      <c r="AC535" s="13" t="str">
        <f>IF($X535="","",SUMIFS(TARIFF_PROFILES!$H:$H,TARIFF_PROFILES!$A:$A,$X535))</f>
        <v/>
      </c>
      <c r="AD535" s="13" t="str">
        <f>IF($X535="","",INDEX(TARIFF_PROFILES!$J:$J,MATCH($X535,TARIFF_PROFILES!$A:$A,0)))</f>
        <v/>
      </c>
      <c r="AE535" s="13" t="str">
        <f>IF($X535="","",INDEX(TARIFF_PROFILES!$K:$K,MATCH($X535,TARIFF_PROFILES!$A:$A,0)))</f>
        <v/>
      </c>
      <c r="AH535" t="str">
        <f>IF($AG535="","",SUMIFS(OPERATING_COEFFS!$C:$C,OPERATING_COEFFS!$A:$A,"DistanceClass",OPERATING_COEFFS!$B:$B,$AG535))</f>
        <v/>
      </c>
      <c r="AJ535" t="str">
        <f>IF($AI535="","",SUMIFS(OPERATING_COEFFS!$C:$C,OPERATING_COEFFS!$A:$A,"SeasonClass",OPERATING_COEFFS!$B:$B,$AI535))</f>
        <v/>
      </c>
      <c r="AL535" t="str">
        <f>IF($AK535="","",SUMIFS(OPERATING_COEFFS!$C:$C,OPERATING_COEFFS!$A:$A,"UrgencyClass",OPERATING_COEFFS!$B:$B,$AK535))</f>
        <v/>
      </c>
      <c r="AN535" t="str">
        <f>IF($AM535="","",INDEX(TAX_MODES!$B:$B,MATCH($AM535,TAX_MODES!$A:$A,0)))</f>
        <v/>
      </c>
    </row>
    <row r="536" spans="24:40" x14ac:dyDescent="0.3">
      <c r="X536" s="13"/>
      <c r="Y536" s="13" t="str">
        <f>IF($X536="","",SUMIFS(TARIFF_PROFILES!$D:$D,TARIFF_PROFILES!$A:$A,$X536))</f>
        <v/>
      </c>
      <c r="Z536" s="13" t="str">
        <f>IF($X536="","",SUMIFS(TARIFF_PROFILES!$E:$E,TARIFF_PROFILES!$A:$A,$X536))</f>
        <v/>
      </c>
      <c r="AA536" s="13" t="str">
        <f>IF($X536="","",SUMIFS(TARIFF_PROFILES!$F:$F,TARIFF_PROFILES!$A:$A,$X536))</f>
        <v/>
      </c>
      <c r="AB536" s="13" t="str">
        <f>IF($X536="","",SUMIFS(TARIFF_PROFILES!$G:$G,TARIFF_PROFILES!$A:$A,$X536))</f>
        <v/>
      </c>
      <c r="AC536" s="13" t="str">
        <f>IF($X536="","",SUMIFS(TARIFF_PROFILES!$H:$H,TARIFF_PROFILES!$A:$A,$X536))</f>
        <v/>
      </c>
      <c r="AD536" s="13" t="str">
        <f>IF($X536="","",INDEX(TARIFF_PROFILES!$J:$J,MATCH($X536,TARIFF_PROFILES!$A:$A,0)))</f>
        <v/>
      </c>
      <c r="AE536" s="13" t="str">
        <f>IF($X536="","",INDEX(TARIFF_PROFILES!$K:$K,MATCH($X536,TARIFF_PROFILES!$A:$A,0)))</f>
        <v/>
      </c>
      <c r="AH536" t="str">
        <f>IF($AG536="","",SUMIFS(OPERATING_COEFFS!$C:$C,OPERATING_COEFFS!$A:$A,"DistanceClass",OPERATING_COEFFS!$B:$B,$AG536))</f>
        <v/>
      </c>
      <c r="AJ536" t="str">
        <f>IF($AI536="","",SUMIFS(OPERATING_COEFFS!$C:$C,OPERATING_COEFFS!$A:$A,"SeasonClass",OPERATING_COEFFS!$B:$B,$AI536))</f>
        <v/>
      </c>
      <c r="AL536" t="str">
        <f>IF($AK536="","",SUMIFS(OPERATING_COEFFS!$C:$C,OPERATING_COEFFS!$A:$A,"UrgencyClass",OPERATING_COEFFS!$B:$B,$AK536))</f>
        <v/>
      </c>
      <c r="AN536" t="str">
        <f>IF($AM536="","",INDEX(TAX_MODES!$B:$B,MATCH($AM536,TAX_MODES!$A:$A,0)))</f>
        <v/>
      </c>
    </row>
    <row r="537" spans="24:40" x14ac:dyDescent="0.3">
      <c r="X537" s="13"/>
      <c r="Y537" s="13" t="str">
        <f>IF($X537="","",SUMIFS(TARIFF_PROFILES!$D:$D,TARIFF_PROFILES!$A:$A,$X537))</f>
        <v/>
      </c>
      <c r="Z537" s="13" t="str">
        <f>IF($X537="","",SUMIFS(TARIFF_PROFILES!$E:$E,TARIFF_PROFILES!$A:$A,$X537))</f>
        <v/>
      </c>
      <c r="AA537" s="13" t="str">
        <f>IF($X537="","",SUMIFS(TARIFF_PROFILES!$F:$F,TARIFF_PROFILES!$A:$A,$X537))</f>
        <v/>
      </c>
      <c r="AB537" s="13" t="str">
        <f>IF($X537="","",SUMIFS(TARIFF_PROFILES!$G:$G,TARIFF_PROFILES!$A:$A,$X537))</f>
        <v/>
      </c>
      <c r="AC537" s="13" t="str">
        <f>IF($X537="","",SUMIFS(TARIFF_PROFILES!$H:$H,TARIFF_PROFILES!$A:$A,$X537))</f>
        <v/>
      </c>
      <c r="AD537" s="13" t="str">
        <f>IF($X537="","",INDEX(TARIFF_PROFILES!$J:$J,MATCH($X537,TARIFF_PROFILES!$A:$A,0)))</f>
        <v/>
      </c>
      <c r="AE537" s="13" t="str">
        <f>IF($X537="","",INDEX(TARIFF_PROFILES!$K:$K,MATCH($X537,TARIFF_PROFILES!$A:$A,0)))</f>
        <v/>
      </c>
      <c r="AH537" t="str">
        <f>IF($AG537="","",SUMIFS(OPERATING_COEFFS!$C:$C,OPERATING_COEFFS!$A:$A,"DistanceClass",OPERATING_COEFFS!$B:$B,$AG537))</f>
        <v/>
      </c>
      <c r="AJ537" t="str">
        <f>IF($AI537="","",SUMIFS(OPERATING_COEFFS!$C:$C,OPERATING_COEFFS!$A:$A,"SeasonClass",OPERATING_COEFFS!$B:$B,$AI537))</f>
        <v/>
      </c>
      <c r="AL537" t="str">
        <f>IF($AK537="","",SUMIFS(OPERATING_COEFFS!$C:$C,OPERATING_COEFFS!$A:$A,"UrgencyClass",OPERATING_COEFFS!$B:$B,$AK537))</f>
        <v/>
      </c>
      <c r="AN537" t="str">
        <f>IF($AM537="","",INDEX(TAX_MODES!$B:$B,MATCH($AM537,TAX_MODES!$A:$A,0)))</f>
        <v/>
      </c>
    </row>
    <row r="538" spans="24:40" x14ac:dyDescent="0.3">
      <c r="X538" s="13"/>
      <c r="Y538" s="13" t="str">
        <f>IF($X538="","",SUMIFS(TARIFF_PROFILES!$D:$D,TARIFF_PROFILES!$A:$A,$X538))</f>
        <v/>
      </c>
      <c r="Z538" s="13" t="str">
        <f>IF($X538="","",SUMIFS(TARIFF_PROFILES!$E:$E,TARIFF_PROFILES!$A:$A,$X538))</f>
        <v/>
      </c>
      <c r="AA538" s="13" t="str">
        <f>IF($X538="","",SUMIFS(TARIFF_PROFILES!$F:$F,TARIFF_PROFILES!$A:$A,$X538))</f>
        <v/>
      </c>
      <c r="AB538" s="13" t="str">
        <f>IF($X538="","",SUMIFS(TARIFF_PROFILES!$G:$G,TARIFF_PROFILES!$A:$A,$X538))</f>
        <v/>
      </c>
      <c r="AC538" s="13" t="str">
        <f>IF($X538="","",SUMIFS(TARIFF_PROFILES!$H:$H,TARIFF_PROFILES!$A:$A,$X538))</f>
        <v/>
      </c>
      <c r="AD538" s="13" t="str">
        <f>IF($X538="","",INDEX(TARIFF_PROFILES!$J:$J,MATCH($X538,TARIFF_PROFILES!$A:$A,0)))</f>
        <v/>
      </c>
      <c r="AE538" s="13" t="str">
        <f>IF($X538="","",INDEX(TARIFF_PROFILES!$K:$K,MATCH($X538,TARIFF_PROFILES!$A:$A,0)))</f>
        <v/>
      </c>
      <c r="AH538" t="str">
        <f>IF($AG538="","",SUMIFS(OPERATING_COEFFS!$C:$C,OPERATING_COEFFS!$A:$A,"DistanceClass",OPERATING_COEFFS!$B:$B,$AG538))</f>
        <v/>
      </c>
      <c r="AJ538" t="str">
        <f>IF($AI538="","",SUMIFS(OPERATING_COEFFS!$C:$C,OPERATING_COEFFS!$A:$A,"SeasonClass",OPERATING_COEFFS!$B:$B,$AI538))</f>
        <v/>
      </c>
      <c r="AL538" t="str">
        <f>IF($AK538="","",SUMIFS(OPERATING_COEFFS!$C:$C,OPERATING_COEFFS!$A:$A,"UrgencyClass",OPERATING_COEFFS!$B:$B,$AK538))</f>
        <v/>
      </c>
      <c r="AN538" t="str">
        <f>IF($AM538="","",INDEX(TAX_MODES!$B:$B,MATCH($AM538,TAX_MODES!$A:$A,0)))</f>
        <v/>
      </c>
    </row>
    <row r="539" spans="24:40" x14ac:dyDescent="0.3">
      <c r="X539" s="13"/>
      <c r="Y539" s="13" t="str">
        <f>IF($X539="","",SUMIFS(TARIFF_PROFILES!$D:$D,TARIFF_PROFILES!$A:$A,$X539))</f>
        <v/>
      </c>
      <c r="Z539" s="13" t="str">
        <f>IF($X539="","",SUMIFS(TARIFF_PROFILES!$E:$E,TARIFF_PROFILES!$A:$A,$X539))</f>
        <v/>
      </c>
      <c r="AA539" s="13" t="str">
        <f>IF($X539="","",SUMIFS(TARIFF_PROFILES!$F:$F,TARIFF_PROFILES!$A:$A,$X539))</f>
        <v/>
      </c>
      <c r="AB539" s="13" t="str">
        <f>IF($X539="","",SUMIFS(TARIFF_PROFILES!$G:$G,TARIFF_PROFILES!$A:$A,$X539))</f>
        <v/>
      </c>
      <c r="AC539" s="13" t="str">
        <f>IF($X539="","",SUMIFS(TARIFF_PROFILES!$H:$H,TARIFF_PROFILES!$A:$A,$X539))</f>
        <v/>
      </c>
      <c r="AD539" s="13" t="str">
        <f>IF($X539="","",INDEX(TARIFF_PROFILES!$J:$J,MATCH($X539,TARIFF_PROFILES!$A:$A,0)))</f>
        <v/>
      </c>
      <c r="AE539" s="13" t="str">
        <f>IF($X539="","",INDEX(TARIFF_PROFILES!$K:$K,MATCH($X539,TARIFF_PROFILES!$A:$A,0)))</f>
        <v/>
      </c>
      <c r="AH539" t="str">
        <f>IF($AG539="","",SUMIFS(OPERATING_COEFFS!$C:$C,OPERATING_COEFFS!$A:$A,"DistanceClass",OPERATING_COEFFS!$B:$B,$AG539))</f>
        <v/>
      </c>
      <c r="AJ539" t="str">
        <f>IF($AI539="","",SUMIFS(OPERATING_COEFFS!$C:$C,OPERATING_COEFFS!$A:$A,"SeasonClass",OPERATING_COEFFS!$B:$B,$AI539))</f>
        <v/>
      </c>
      <c r="AL539" t="str">
        <f>IF($AK539="","",SUMIFS(OPERATING_COEFFS!$C:$C,OPERATING_COEFFS!$A:$A,"UrgencyClass",OPERATING_COEFFS!$B:$B,$AK539))</f>
        <v/>
      </c>
      <c r="AN539" t="str">
        <f>IF($AM539="","",INDEX(TAX_MODES!$B:$B,MATCH($AM539,TAX_MODES!$A:$A,0)))</f>
        <v/>
      </c>
    </row>
    <row r="540" spans="24:40" x14ac:dyDescent="0.3">
      <c r="X540" s="13"/>
      <c r="Y540" s="13" t="str">
        <f>IF($X540="","",SUMIFS(TARIFF_PROFILES!$D:$D,TARIFF_PROFILES!$A:$A,$X540))</f>
        <v/>
      </c>
      <c r="Z540" s="13" t="str">
        <f>IF($X540="","",SUMIFS(TARIFF_PROFILES!$E:$E,TARIFF_PROFILES!$A:$A,$X540))</f>
        <v/>
      </c>
      <c r="AA540" s="13" t="str">
        <f>IF($X540="","",SUMIFS(TARIFF_PROFILES!$F:$F,TARIFF_PROFILES!$A:$A,$X540))</f>
        <v/>
      </c>
      <c r="AB540" s="13" t="str">
        <f>IF($X540="","",SUMIFS(TARIFF_PROFILES!$G:$G,TARIFF_PROFILES!$A:$A,$X540))</f>
        <v/>
      </c>
      <c r="AC540" s="13" t="str">
        <f>IF($X540="","",SUMIFS(TARIFF_PROFILES!$H:$H,TARIFF_PROFILES!$A:$A,$X540))</f>
        <v/>
      </c>
      <c r="AD540" s="13" t="str">
        <f>IF($X540="","",INDEX(TARIFF_PROFILES!$J:$J,MATCH($X540,TARIFF_PROFILES!$A:$A,0)))</f>
        <v/>
      </c>
      <c r="AE540" s="13" t="str">
        <f>IF($X540="","",INDEX(TARIFF_PROFILES!$K:$K,MATCH($X540,TARIFF_PROFILES!$A:$A,0)))</f>
        <v/>
      </c>
      <c r="AH540" t="str">
        <f>IF($AG540="","",SUMIFS(OPERATING_COEFFS!$C:$C,OPERATING_COEFFS!$A:$A,"DistanceClass",OPERATING_COEFFS!$B:$B,$AG540))</f>
        <v/>
      </c>
      <c r="AJ540" t="str">
        <f>IF($AI540="","",SUMIFS(OPERATING_COEFFS!$C:$C,OPERATING_COEFFS!$A:$A,"SeasonClass",OPERATING_COEFFS!$B:$B,$AI540))</f>
        <v/>
      </c>
      <c r="AL540" t="str">
        <f>IF($AK540="","",SUMIFS(OPERATING_COEFFS!$C:$C,OPERATING_COEFFS!$A:$A,"UrgencyClass",OPERATING_COEFFS!$B:$B,$AK540))</f>
        <v/>
      </c>
      <c r="AN540" t="str">
        <f>IF($AM540="","",INDEX(TAX_MODES!$B:$B,MATCH($AM540,TAX_MODES!$A:$A,0)))</f>
        <v/>
      </c>
    </row>
    <row r="541" spans="24:40" x14ac:dyDescent="0.3">
      <c r="X541" s="13"/>
      <c r="Y541" s="13" t="str">
        <f>IF($X541="","",SUMIFS(TARIFF_PROFILES!$D:$D,TARIFF_PROFILES!$A:$A,$X541))</f>
        <v/>
      </c>
      <c r="Z541" s="13" t="str">
        <f>IF($X541="","",SUMIFS(TARIFF_PROFILES!$E:$E,TARIFF_PROFILES!$A:$A,$X541))</f>
        <v/>
      </c>
      <c r="AA541" s="13" t="str">
        <f>IF($X541="","",SUMIFS(TARIFF_PROFILES!$F:$F,TARIFF_PROFILES!$A:$A,$X541))</f>
        <v/>
      </c>
      <c r="AB541" s="13" t="str">
        <f>IF($X541="","",SUMIFS(TARIFF_PROFILES!$G:$G,TARIFF_PROFILES!$A:$A,$X541))</f>
        <v/>
      </c>
      <c r="AC541" s="13" t="str">
        <f>IF($X541="","",SUMIFS(TARIFF_PROFILES!$H:$H,TARIFF_PROFILES!$A:$A,$X541))</f>
        <v/>
      </c>
      <c r="AD541" s="13" t="str">
        <f>IF($X541="","",INDEX(TARIFF_PROFILES!$J:$J,MATCH($X541,TARIFF_PROFILES!$A:$A,0)))</f>
        <v/>
      </c>
      <c r="AE541" s="13" t="str">
        <f>IF($X541="","",INDEX(TARIFF_PROFILES!$K:$K,MATCH($X541,TARIFF_PROFILES!$A:$A,0)))</f>
        <v/>
      </c>
      <c r="AH541" t="str">
        <f>IF($AG541="","",SUMIFS(OPERATING_COEFFS!$C:$C,OPERATING_COEFFS!$A:$A,"DistanceClass",OPERATING_COEFFS!$B:$B,$AG541))</f>
        <v/>
      </c>
      <c r="AJ541" t="str">
        <f>IF($AI541="","",SUMIFS(OPERATING_COEFFS!$C:$C,OPERATING_COEFFS!$A:$A,"SeasonClass",OPERATING_COEFFS!$B:$B,$AI541))</f>
        <v/>
      </c>
      <c r="AL541" t="str">
        <f>IF($AK541="","",SUMIFS(OPERATING_COEFFS!$C:$C,OPERATING_COEFFS!$A:$A,"UrgencyClass",OPERATING_COEFFS!$B:$B,$AK541))</f>
        <v/>
      </c>
      <c r="AN541" t="str">
        <f>IF($AM541="","",INDEX(TAX_MODES!$B:$B,MATCH($AM541,TAX_MODES!$A:$A,0)))</f>
        <v/>
      </c>
    </row>
    <row r="542" spans="24:40" x14ac:dyDescent="0.3">
      <c r="X542" s="13"/>
      <c r="Y542" s="13" t="str">
        <f>IF($X542="","",SUMIFS(TARIFF_PROFILES!$D:$D,TARIFF_PROFILES!$A:$A,$X542))</f>
        <v/>
      </c>
      <c r="Z542" s="13" t="str">
        <f>IF($X542="","",SUMIFS(TARIFF_PROFILES!$E:$E,TARIFF_PROFILES!$A:$A,$X542))</f>
        <v/>
      </c>
      <c r="AA542" s="13" t="str">
        <f>IF($X542="","",SUMIFS(TARIFF_PROFILES!$F:$F,TARIFF_PROFILES!$A:$A,$X542))</f>
        <v/>
      </c>
      <c r="AB542" s="13" t="str">
        <f>IF($X542="","",SUMIFS(TARIFF_PROFILES!$G:$G,TARIFF_PROFILES!$A:$A,$X542))</f>
        <v/>
      </c>
      <c r="AC542" s="13" t="str">
        <f>IF($X542="","",SUMIFS(TARIFF_PROFILES!$H:$H,TARIFF_PROFILES!$A:$A,$X542))</f>
        <v/>
      </c>
      <c r="AD542" s="13" t="str">
        <f>IF($X542="","",INDEX(TARIFF_PROFILES!$J:$J,MATCH($X542,TARIFF_PROFILES!$A:$A,0)))</f>
        <v/>
      </c>
      <c r="AE542" s="13" t="str">
        <f>IF($X542="","",INDEX(TARIFF_PROFILES!$K:$K,MATCH($X542,TARIFF_PROFILES!$A:$A,0)))</f>
        <v/>
      </c>
      <c r="AH542" t="str">
        <f>IF($AG542="","",SUMIFS(OPERATING_COEFFS!$C:$C,OPERATING_COEFFS!$A:$A,"DistanceClass",OPERATING_COEFFS!$B:$B,$AG542))</f>
        <v/>
      </c>
      <c r="AJ542" t="str">
        <f>IF($AI542="","",SUMIFS(OPERATING_COEFFS!$C:$C,OPERATING_COEFFS!$A:$A,"SeasonClass",OPERATING_COEFFS!$B:$B,$AI542))</f>
        <v/>
      </c>
      <c r="AL542" t="str">
        <f>IF($AK542="","",SUMIFS(OPERATING_COEFFS!$C:$C,OPERATING_COEFFS!$A:$A,"UrgencyClass",OPERATING_COEFFS!$B:$B,$AK542))</f>
        <v/>
      </c>
      <c r="AN542" t="str">
        <f>IF($AM542="","",INDEX(TAX_MODES!$B:$B,MATCH($AM542,TAX_MODES!$A:$A,0)))</f>
        <v/>
      </c>
    </row>
    <row r="543" spans="24:40" x14ac:dyDescent="0.3">
      <c r="X543" s="13"/>
      <c r="Y543" s="13" t="str">
        <f>IF($X543="","",SUMIFS(TARIFF_PROFILES!$D:$D,TARIFF_PROFILES!$A:$A,$X543))</f>
        <v/>
      </c>
      <c r="Z543" s="13" t="str">
        <f>IF($X543="","",SUMIFS(TARIFF_PROFILES!$E:$E,TARIFF_PROFILES!$A:$A,$X543))</f>
        <v/>
      </c>
      <c r="AA543" s="13" t="str">
        <f>IF($X543="","",SUMIFS(TARIFF_PROFILES!$F:$F,TARIFF_PROFILES!$A:$A,$X543))</f>
        <v/>
      </c>
      <c r="AB543" s="13" t="str">
        <f>IF($X543="","",SUMIFS(TARIFF_PROFILES!$G:$G,TARIFF_PROFILES!$A:$A,$X543))</f>
        <v/>
      </c>
      <c r="AC543" s="13" t="str">
        <f>IF($X543="","",SUMIFS(TARIFF_PROFILES!$H:$H,TARIFF_PROFILES!$A:$A,$X543))</f>
        <v/>
      </c>
      <c r="AD543" s="13" t="str">
        <f>IF($X543="","",INDEX(TARIFF_PROFILES!$J:$J,MATCH($X543,TARIFF_PROFILES!$A:$A,0)))</f>
        <v/>
      </c>
      <c r="AE543" s="13" t="str">
        <f>IF($X543="","",INDEX(TARIFF_PROFILES!$K:$K,MATCH($X543,TARIFF_PROFILES!$A:$A,0)))</f>
        <v/>
      </c>
      <c r="AH543" t="str">
        <f>IF($AG543="","",SUMIFS(OPERATING_COEFFS!$C:$C,OPERATING_COEFFS!$A:$A,"DistanceClass",OPERATING_COEFFS!$B:$B,$AG543))</f>
        <v/>
      </c>
      <c r="AJ543" t="str">
        <f>IF($AI543="","",SUMIFS(OPERATING_COEFFS!$C:$C,OPERATING_COEFFS!$A:$A,"SeasonClass",OPERATING_COEFFS!$B:$B,$AI543))</f>
        <v/>
      </c>
      <c r="AL543" t="str">
        <f>IF($AK543="","",SUMIFS(OPERATING_COEFFS!$C:$C,OPERATING_COEFFS!$A:$A,"UrgencyClass",OPERATING_COEFFS!$B:$B,$AK543))</f>
        <v/>
      </c>
      <c r="AN543" t="str">
        <f>IF($AM543="","",INDEX(TAX_MODES!$B:$B,MATCH($AM543,TAX_MODES!$A:$A,0)))</f>
        <v/>
      </c>
    </row>
    <row r="544" spans="24:40" x14ac:dyDescent="0.3">
      <c r="X544" s="13"/>
      <c r="Y544" s="13" t="str">
        <f>IF($X544="","",SUMIFS(TARIFF_PROFILES!$D:$D,TARIFF_PROFILES!$A:$A,$X544))</f>
        <v/>
      </c>
      <c r="Z544" s="13" t="str">
        <f>IF($X544="","",SUMIFS(TARIFF_PROFILES!$E:$E,TARIFF_PROFILES!$A:$A,$X544))</f>
        <v/>
      </c>
      <c r="AA544" s="13" t="str">
        <f>IF($X544="","",SUMIFS(TARIFF_PROFILES!$F:$F,TARIFF_PROFILES!$A:$A,$X544))</f>
        <v/>
      </c>
      <c r="AB544" s="13" t="str">
        <f>IF($X544="","",SUMIFS(TARIFF_PROFILES!$G:$G,TARIFF_PROFILES!$A:$A,$X544))</f>
        <v/>
      </c>
      <c r="AC544" s="13" t="str">
        <f>IF($X544="","",SUMIFS(TARIFF_PROFILES!$H:$H,TARIFF_PROFILES!$A:$A,$X544))</f>
        <v/>
      </c>
      <c r="AD544" s="13" t="str">
        <f>IF($X544="","",INDEX(TARIFF_PROFILES!$J:$J,MATCH($X544,TARIFF_PROFILES!$A:$A,0)))</f>
        <v/>
      </c>
      <c r="AE544" s="13" t="str">
        <f>IF($X544="","",INDEX(TARIFF_PROFILES!$K:$K,MATCH($X544,TARIFF_PROFILES!$A:$A,0)))</f>
        <v/>
      </c>
      <c r="AH544" t="str">
        <f>IF($AG544="","",SUMIFS(OPERATING_COEFFS!$C:$C,OPERATING_COEFFS!$A:$A,"DistanceClass",OPERATING_COEFFS!$B:$B,$AG544))</f>
        <v/>
      </c>
      <c r="AJ544" t="str">
        <f>IF($AI544="","",SUMIFS(OPERATING_COEFFS!$C:$C,OPERATING_COEFFS!$A:$A,"SeasonClass",OPERATING_COEFFS!$B:$B,$AI544))</f>
        <v/>
      </c>
      <c r="AL544" t="str">
        <f>IF($AK544="","",SUMIFS(OPERATING_COEFFS!$C:$C,OPERATING_COEFFS!$A:$A,"UrgencyClass",OPERATING_COEFFS!$B:$B,$AK544))</f>
        <v/>
      </c>
      <c r="AN544" t="str">
        <f>IF($AM544="","",INDEX(TAX_MODES!$B:$B,MATCH($AM544,TAX_MODES!$A:$A,0)))</f>
        <v/>
      </c>
    </row>
    <row r="545" spans="24:40" x14ac:dyDescent="0.3">
      <c r="X545" s="13"/>
      <c r="Y545" s="13" t="str">
        <f>IF($X545="","",SUMIFS(TARIFF_PROFILES!$D:$D,TARIFF_PROFILES!$A:$A,$X545))</f>
        <v/>
      </c>
      <c r="Z545" s="13" t="str">
        <f>IF($X545="","",SUMIFS(TARIFF_PROFILES!$E:$E,TARIFF_PROFILES!$A:$A,$X545))</f>
        <v/>
      </c>
      <c r="AA545" s="13" t="str">
        <f>IF($X545="","",SUMIFS(TARIFF_PROFILES!$F:$F,TARIFF_PROFILES!$A:$A,$X545))</f>
        <v/>
      </c>
      <c r="AB545" s="13" t="str">
        <f>IF($X545="","",SUMIFS(TARIFF_PROFILES!$G:$G,TARIFF_PROFILES!$A:$A,$X545))</f>
        <v/>
      </c>
      <c r="AC545" s="13" t="str">
        <f>IF($X545="","",SUMIFS(TARIFF_PROFILES!$H:$H,TARIFF_PROFILES!$A:$A,$X545))</f>
        <v/>
      </c>
      <c r="AD545" s="13" t="str">
        <f>IF($X545="","",INDEX(TARIFF_PROFILES!$J:$J,MATCH($X545,TARIFF_PROFILES!$A:$A,0)))</f>
        <v/>
      </c>
      <c r="AE545" s="13" t="str">
        <f>IF($X545="","",INDEX(TARIFF_PROFILES!$K:$K,MATCH($X545,TARIFF_PROFILES!$A:$A,0)))</f>
        <v/>
      </c>
      <c r="AH545" t="str">
        <f>IF($AG545="","",SUMIFS(OPERATING_COEFFS!$C:$C,OPERATING_COEFFS!$A:$A,"DistanceClass",OPERATING_COEFFS!$B:$B,$AG545))</f>
        <v/>
      </c>
      <c r="AJ545" t="str">
        <f>IF($AI545="","",SUMIFS(OPERATING_COEFFS!$C:$C,OPERATING_COEFFS!$A:$A,"SeasonClass",OPERATING_COEFFS!$B:$B,$AI545))</f>
        <v/>
      </c>
      <c r="AL545" t="str">
        <f>IF($AK545="","",SUMIFS(OPERATING_COEFFS!$C:$C,OPERATING_COEFFS!$A:$A,"UrgencyClass",OPERATING_COEFFS!$B:$B,$AK545))</f>
        <v/>
      </c>
      <c r="AN545" t="str">
        <f>IF($AM545="","",INDEX(TAX_MODES!$B:$B,MATCH($AM545,TAX_MODES!$A:$A,0)))</f>
        <v/>
      </c>
    </row>
    <row r="546" spans="24:40" x14ac:dyDescent="0.3">
      <c r="X546" s="13"/>
      <c r="Y546" s="13" t="str">
        <f>IF($X546="","",SUMIFS(TARIFF_PROFILES!$D:$D,TARIFF_PROFILES!$A:$A,$X546))</f>
        <v/>
      </c>
      <c r="Z546" s="13" t="str">
        <f>IF($X546="","",SUMIFS(TARIFF_PROFILES!$E:$E,TARIFF_PROFILES!$A:$A,$X546))</f>
        <v/>
      </c>
      <c r="AA546" s="13" t="str">
        <f>IF($X546="","",SUMIFS(TARIFF_PROFILES!$F:$F,TARIFF_PROFILES!$A:$A,$X546))</f>
        <v/>
      </c>
      <c r="AB546" s="13" t="str">
        <f>IF($X546="","",SUMIFS(TARIFF_PROFILES!$G:$G,TARIFF_PROFILES!$A:$A,$X546))</f>
        <v/>
      </c>
      <c r="AC546" s="13" t="str">
        <f>IF($X546="","",SUMIFS(TARIFF_PROFILES!$H:$H,TARIFF_PROFILES!$A:$A,$X546))</f>
        <v/>
      </c>
      <c r="AD546" s="13" t="str">
        <f>IF($X546="","",INDEX(TARIFF_PROFILES!$J:$J,MATCH($X546,TARIFF_PROFILES!$A:$A,0)))</f>
        <v/>
      </c>
      <c r="AE546" s="13" t="str">
        <f>IF($X546="","",INDEX(TARIFF_PROFILES!$K:$K,MATCH($X546,TARIFF_PROFILES!$A:$A,0)))</f>
        <v/>
      </c>
      <c r="AH546" t="str">
        <f>IF($AG546="","",SUMIFS(OPERATING_COEFFS!$C:$C,OPERATING_COEFFS!$A:$A,"DistanceClass",OPERATING_COEFFS!$B:$B,$AG546))</f>
        <v/>
      </c>
      <c r="AJ546" t="str">
        <f>IF($AI546="","",SUMIFS(OPERATING_COEFFS!$C:$C,OPERATING_COEFFS!$A:$A,"SeasonClass",OPERATING_COEFFS!$B:$B,$AI546))</f>
        <v/>
      </c>
      <c r="AL546" t="str">
        <f>IF($AK546="","",SUMIFS(OPERATING_COEFFS!$C:$C,OPERATING_COEFFS!$A:$A,"UrgencyClass",OPERATING_COEFFS!$B:$B,$AK546))</f>
        <v/>
      </c>
      <c r="AN546" t="str">
        <f>IF($AM546="","",INDEX(TAX_MODES!$B:$B,MATCH($AM546,TAX_MODES!$A:$A,0)))</f>
        <v/>
      </c>
    </row>
    <row r="547" spans="24:40" x14ac:dyDescent="0.3">
      <c r="X547" s="13"/>
      <c r="Y547" s="13" t="str">
        <f>IF($X547="","",SUMIFS(TARIFF_PROFILES!$D:$D,TARIFF_PROFILES!$A:$A,$X547))</f>
        <v/>
      </c>
      <c r="Z547" s="13" t="str">
        <f>IF($X547="","",SUMIFS(TARIFF_PROFILES!$E:$E,TARIFF_PROFILES!$A:$A,$X547))</f>
        <v/>
      </c>
      <c r="AA547" s="13" t="str">
        <f>IF($X547="","",SUMIFS(TARIFF_PROFILES!$F:$F,TARIFF_PROFILES!$A:$A,$X547))</f>
        <v/>
      </c>
      <c r="AB547" s="13" t="str">
        <f>IF($X547="","",SUMIFS(TARIFF_PROFILES!$G:$G,TARIFF_PROFILES!$A:$A,$X547))</f>
        <v/>
      </c>
      <c r="AC547" s="13" t="str">
        <f>IF($X547="","",SUMIFS(TARIFF_PROFILES!$H:$H,TARIFF_PROFILES!$A:$A,$X547))</f>
        <v/>
      </c>
      <c r="AD547" s="13" t="str">
        <f>IF($X547="","",INDEX(TARIFF_PROFILES!$J:$J,MATCH($X547,TARIFF_PROFILES!$A:$A,0)))</f>
        <v/>
      </c>
      <c r="AE547" s="13" t="str">
        <f>IF($X547="","",INDEX(TARIFF_PROFILES!$K:$K,MATCH($X547,TARIFF_PROFILES!$A:$A,0)))</f>
        <v/>
      </c>
      <c r="AH547" t="str">
        <f>IF($AG547="","",SUMIFS(OPERATING_COEFFS!$C:$C,OPERATING_COEFFS!$A:$A,"DistanceClass",OPERATING_COEFFS!$B:$B,$AG547))</f>
        <v/>
      </c>
      <c r="AJ547" t="str">
        <f>IF($AI547="","",SUMIFS(OPERATING_COEFFS!$C:$C,OPERATING_COEFFS!$A:$A,"SeasonClass",OPERATING_COEFFS!$B:$B,$AI547))</f>
        <v/>
      </c>
      <c r="AL547" t="str">
        <f>IF($AK547="","",SUMIFS(OPERATING_COEFFS!$C:$C,OPERATING_COEFFS!$A:$A,"UrgencyClass",OPERATING_COEFFS!$B:$B,$AK547))</f>
        <v/>
      </c>
      <c r="AN547" t="str">
        <f>IF($AM547="","",INDEX(TAX_MODES!$B:$B,MATCH($AM547,TAX_MODES!$A:$A,0)))</f>
        <v/>
      </c>
    </row>
    <row r="548" spans="24:40" x14ac:dyDescent="0.3">
      <c r="X548" s="13"/>
      <c r="Y548" s="13" t="str">
        <f>IF($X548="","",SUMIFS(TARIFF_PROFILES!$D:$D,TARIFF_PROFILES!$A:$A,$X548))</f>
        <v/>
      </c>
      <c r="Z548" s="13" t="str">
        <f>IF($X548="","",SUMIFS(TARIFF_PROFILES!$E:$E,TARIFF_PROFILES!$A:$A,$X548))</f>
        <v/>
      </c>
      <c r="AA548" s="13" t="str">
        <f>IF($X548="","",SUMIFS(TARIFF_PROFILES!$F:$F,TARIFF_PROFILES!$A:$A,$X548))</f>
        <v/>
      </c>
      <c r="AB548" s="13" t="str">
        <f>IF($X548="","",SUMIFS(TARIFF_PROFILES!$G:$G,TARIFF_PROFILES!$A:$A,$X548))</f>
        <v/>
      </c>
      <c r="AC548" s="13" t="str">
        <f>IF($X548="","",SUMIFS(TARIFF_PROFILES!$H:$H,TARIFF_PROFILES!$A:$A,$X548))</f>
        <v/>
      </c>
      <c r="AD548" s="13" t="str">
        <f>IF($X548="","",INDEX(TARIFF_PROFILES!$J:$J,MATCH($X548,TARIFF_PROFILES!$A:$A,0)))</f>
        <v/>
      </c>
      <c r="AE548" s="13" t="str">
        <f>IF($X548="","",INDEX(TARIFF_PROFILES!$K:$K,MATCH($X548,TARIFF_PROFILES!$A:$A,0)))</f>
        <v/>
      </c>
      <c r="AH548" t="str">
        <f>IF($AG548="","",SUMIFS(OPERATING_COEFFS!$C:$C,OPERATING_COEFFS!$A:$A,"DistanceClass",OPERATING_COEFFS!$B:$B,$AG548))</f>
        <v/>
      </c>
      <c r="AJ548" t="str">
        <f>IF($AI548="","",SUMIFS(OPERATING_COEFFS!$C:$C,OPERATING_COEFFS!$A:$A,"SeasonClass",OPERATING_COEFFS!$B:$B,$AI548))</f>
        <v/>
      </c>
      <c r="AL548" t="str">
        <f>IF($AK548="","",SUMIFS(OPERATING_COEFFS!$C:$C,OPERATING_COEFFS!$A:$A,"UrgencyClass",OPERATING_COEFFS!$B:$B,$AK548))</f>
        <v/>
      </c>
      <c r="AN548" t="str">
        <f>IF($AM548="","",INDEX(TAX_MODES!$B:$B,MATCH($AM548,TAX_MODES!$A:$A,0)))</f>
        <v/>
      </c>
    </row>
    <row r="549" spans="24:40" x14ac:dyDescent="0.3">
      <c r="X549" s="13"/>
      <c r="Y549" s="13" t="str">
        <f>IF($X549="","",SUMIFS(TARIFF_PROFILES!$D:$D,TARIFF_PROFILES!$A:$A,$X549))</f>
        <v/>
      </c>
      <c r="Z549" s="13" t="str">
        <f>IF($X549="","",SUMIFS(TARIFF_PROFILES!$E:$E,TARIFF_PROFILES!$A:$A,$X549))</f>
        <v/>
      </c>
      <c r="AA549" s="13" t="str">
        <f>IF($X549="","",SUMIFS(TARIFF_PROFILES!$F:$F,TARIFF_PROFILES!$A:$A,$X549))</f>
        <v/>
      </c>
      <c r="AB549" s="13" t="str">
        <f>IF($X549="","",SUMIFS(TARIFF_PROFILES!$G:$G,TARIFF_PROFILES!$A:$A,$X549))</f>
        <v/>
      </c>
      <c r="AC549" s="13" t="str">
        <f>IF($X549="","",SUMIFS(TARIFF_PROFILES!$H:$H,TARIFF_PROFILES!$A:$A,$X549))</f>
        <v/>
      </c>
      <c r="AD549" s="13" t="str">
        <f>IF($X549="","",INDEX(TARIFF_PROFILES!$J:$J,MATCH($X549,TARIFF_PROFILES!$A:$A,0)))</f>
        <v/>
      </c>
      <c r="AE549" s="13" t="str">
        <f>IF($X549="","",INDEX(TARIFF_PROFILES!$K:$K,MATCH($X549,TARIFF_PROFILES!$A:$A,0)))</f>
        <v/>
      </c>
      <c r="AH549" t="str">
        <f>IF($AG549="","",SUMIFS(OPERATING_COEFFS!$C:$C,OPERATING_COEFFS!$A:$A,"DistanceClass",OPERATING_COEFFS!$B:$B,$AG549))</f>
        <v/>
      </c>
      <c r="AJ549" t="str">
        <f>IF($AI549="","",SUMIFS(OPERATING_COEFFS!$C:$C,OPERATING_COEFFS!$A:$A,"SeasonClass",OPERATING_COEFFS!$B:$B,$AI549))</f>
        <v/>
      </c>
      <c r="AL549" t="str">
        <f>IF($AK549="","",SUMIFS(OPERATING_COEFFS!$C:$C,OPERATING_COEFFS!$A:$A,"UrgencyClass",OPERATING_COEFFS!$B:$B,$AK549))</f>
        <v/>
      </c>
      <c r="AN549" t="str">
        <f>IF($AM549="","",INDEX(TAX_MODES!$B:$B,MATCH($AM549,TAX_MODES!$A:$A,0)))</f>
        <v/>
      </c>
    </row>
    <row r="550" spans="24:40" x14ac:dyDescent="0.3">
      <c r="X550" s="13"/>
      <c r="Y550" s="13" t="str">
        <f>IF($X550="","",SUMIFS(TARIFF_PROFILES!$D:$D,TARIFF_PROFILES!$A:$A,$X550))</f>
        <v/>
      </c>
      <c r="Z550" s="13" t="str">
        <f>IF($X550="","",SUMIFS(TARIFF_PROFILES!$E:$E,TARIFF_PROFILES!$A:$A,$X550))</f>
        <v/>
      </c>
      <c r="AA550" s="13" t="str">
        <f>IF($X550="","",SUMIFS(TARIFF_PROFILES!$F:$F,TARIFF_PROFILES!$A:$A,$X550))</f>
        <v/>
      </c>
      <c r="AB550" s="13" t="str">
        <f>IF($X550="","",SUMIFS(TARIFF_PROFILES!$G:$G,TARIFF_PROFILES!$A:$A,$X550))</f>
        <v/>
      </c>
      <c r="AC550" s="13" t="str">
        <f>IF($X550="","",SUMIFS(TARIFF_PROFILES!$H:$H,TARIFF_PROFILES!$A:$A,$X550))</f>
        <v/>
      </c>
      <c r="AD550" s="13" t="str">
        <f>IF($X550="","",INDEX(TARIFF_PROFILES!$J:$J,MATCH($X550,TARIFF_PROFILES!$A:$A,0)))</f>
        <v/>
      </c>
      <c r="AE550" s="13" t="str">
        <f>IF($X550="","",INDEX(TARIFF_PROFILES!$K:$K,MATCH($X550,TARIFF_PROFILES!$A:$A,0)))</f>
        <v/>
      </c>
      <c r="AH550" t="str">
        <f>IF($AG550="","",SUMIFS(OPERATING_COEFFS!$C:$C,OPERATING_COEFFS!$A:$A,"DistanceClass",OPERATING_COEFFS!$B:$B,$AG550))</f>
        <v/>
      </c>
      <c r="AJ550" t="str">
        <f>IF($AI550="","",SUMIFS(OPERATING_COEFFS!$C:$C,OPERATING_COEFFS!$A:$A,"SeasonClass",OPERATING_COEFFS!$B:$B,$AI550))</f>
        <v/>
      </c>
      <c r="AL550" t="str">
        <f>IF($AK550="","",SUMIFS(OPERATING_COEFFS!$C:$C,OPERATING_COEFFS!$A:$A,"UrgencyClass",OPERATING_COEFFS!$B:$B,$AK550))</f>
        <v/>
      </c>
      <c r="AN550" t="str">
        <f>IF($AM550="","",INDEX(TAX_MODES!$B:$B,MATCH($AM550,TAX_MODES!$A:$A,0)))</f>
        <v/>
      </c>
    </row>
    <row r="551" spans="24:40" x14ac:dyDescent="0.3">
      <c r="X551" s="13"/>
      <c r="Y551" s="13" t="str">
        <f>IF($X551="","",SUMIFS(TARIFF_PROFILES!$D:$D,TARIFF_PROFILES!$A:$A,$X551))</f>
        <v/>
      </c>
      <c r="Z551" s="13" t="str">
        <f>IF($X551="","",SUMIFS(TARIFF_PROFILES!$E:$E,TARIFF_PROFILES!$A:$A,$X551))</f>
        <v/>
      </c>
      <c r="AA551" s="13" t="str">
        <f>IF($X551="","",SUMIFS(TARIFF_PROFILES!$F:$F,TARIFF_PROFILES!$A:$A,$X551))</f>
        <v/>
      </c>
      <c r="AB551" s="13" t="str">
        <f>IF($X551="","",SUMIFS(TARIFF_PROFILES!$G:$G,TARIFF_PROFILES!$A:$A,$X551))</f>
        <v/>
      </c>
      <c r="AC551" s="13" t="str">
        <f>IF($X551="","",SUMIFS(TARIFF_PROFILES!$H:$H,TARIFF_PROFILES!$A:$A,$X551))</f>
        <v/>
      </c>
      <c r="AD551" s="13" t="str">
        <f>IF($X551="","",INDEX(TARIFF_PROFILES!$J:$J,MATCH($X551,TARIFF_PROFILES!$A:$A,0)))</f>
        <v/>
      </c>
      <c r="AE551" s="13" t="str">
        <f>IF($X551="","",INDEX(TARIFF_PROFILES!$K:$K,MATCH($X551,TARIFF_PROFILES!$A:$A,0)))</f>
        <v/>
      </c>
      <c r="AH551" t="str">
        <f>IF($AG551="","",SUMIFS(OPERATING_COEFFS!$C:$C,OPERATING_COEFFS!$A:$A,"DistanceClass",OPERATING_COEFFS!$B:$B,$AG551))</f>
        <v/>
      </c>
      <c r="AJ551" t="str">
        <f>IF($AI551="","",SUMIFS(OPERATING_COEFFS!$C:$C,OPERATING_COEFFS!$A:$A,"SeasonClass",OPERATING_COEFFS!$B:$B,$AI551))</f>
        <v/>
      </c>
      <c r="AL551" t="str">
        <f>IF($AK551="","",SUMIFS(OPERATING_COEFFS!$C:$C,OPERATING_COEFFS!$A:$A,"UrgencyClass",OPERATING_COEFFS!$B:$B,$AK551))</f>
        <v/>
      </c>
      <c r="AN551" t="str">
        <f>IF($AM551="","",INDEX(TAX_MODES!$B:$B,MATCH($AM551,TAX_MODES!$A:$A,0)))</f>
        <v/>
      </c>
    </row>
    <row r="552" spans="24:40" x14ac:dyDescent="0.3">
      <c r="X552" s="13"/>
      <c r="Y552" s="13" t="str">
        <f>IF($X552="","",SUMIFS(TARIFF_PROFILES!$D:$D,TARIFF_PROFILES!$A:$A,$X552))</f>
        <v/>
      </c>
      <c r="Z552" s="13" t="str">
        <f>IF($X552="","",SUMIFS(TARIFF_PROFILES!$E:$E,TARIFF_PROFILES!$A:$A,$X552))</f>
        <v/>
      </c>
      <c r="AA552" s="13" t="str">
        <f>IF($X552="","",SUMIFS(TARIFF_PROFILES!$F:$F,TARIFF_PROFILES!$A:$A,$X552))</f>
        <v/>
      </c>
      <c r="AB552" s="13" t="str">
        <f>IF($X552="","",SUMIFS(TARIFF_PROFILES!$G:$G,TARIFF_PROFILES!$A:$A,$X552))</f>
        <v/>
      </c>
      <c r="AC552" s="13" t="str">
        <f>IF($X552="","",SUMIFS(TARIFF_PROFILES!$H:$H,TARIFF_PROFILES!$A:$A,$X552))</f>
        <v/>
      </c>
      <c r="AD552" s="13" t="str">
        <f>IF($X552="","",INDEX(TARIFF_PROFILES!$J:$J,MATCH($X552,TARIFF_PROFILES!$A:$A,0)))</f>
        <v/>
      </c>
      <c r="AE552" s="13" t="str">
        <f>IF($X552="","",INDEX(TARIFF_PROFILES!$K:$K,MATCH($X552,TARIFF_PROFILES!$A:$A,0)))</f>
        <v/>
      </c>
      <c r="AH552" t="str">
        <f>IF($AG552="","",SUMIFS(OPERATING_COEFFS!$C:$C,OPERATING_COEFFS!$A:$A,"DistanceClass",OPERATING_COEFFS!$B:$B,$AG552))</f>
        <v/>
      </c>
      <c r="AJ552" t="str">
        <f>IF($AI552="","",SUMIFS(OPERATING_COEFFS!$C:$C,OPERATING_COEFFS!$A:$A,"SeasonClass",OPERATING_COEFFS!$B:$B,$AI552))</f>
        <v/>
      </c>
      <c r="AL552" t="str">
        <f>IF($AK552="","",SUMIFS(OPERATING_COEFFS!$C:$C,OPERATING_COEFFS!$A:$A,"UrgencyClass",OPERATING_COEFFS!$B:$B,$AK552))</f>
        <v/>
      </c>
      <c r="AN552" t="str">
        <f>IF($AM552="","",INDEX(TAX_MODES!$B:$B,MATCH($AM552,TAX_MODES!$A:$A,0)))</f>
        <v/>
      </c>
    </row>
    <row r="553" spans="24:40" x14ac:dyDescent="0.3">
      <c r="X553" s="13"/>
      <c r="Y553" s="13" t="str">
        <f>IF($X553="","",SUMIFS(TARIFF_PROFILES!$D:$D,TARIFF_PROFILES!$A:$A,$X553))</f>
        <v/>
      </c>
      <c r="Z553" s="13" t="str">
        <f>IF($X553="","",SUMIFS(TARIFF_PROFILES!$E:$E,TARIFF_PROFILES!$A:$A,$X553))</f>
        <v/>
      </c>
      <c r="AA553" s="13" t="str">
        <f>IF($X553="","",SUMIFS(TARIFF_PROFILES!$F:$F,TARIFF_PROFILES!$A:$A,$X553))</f>
        <v/>
      </c>
      <c r="AB553" s="13" t="str">
        <f>IF($X553="","",SUMIFS(TARIFF_PROFILES!$G:$G,TARIFF_PROFILES!$A:$A,$X553))</f>
        <v/>
      </c>
      <c r="AC553" s="13" t="str">
        <f>IF($X553="","",SUMIFS(TARIFF_PROFILES!$H:$H,TARIFF_PROFILES!$A:$A,$X553))</f>
        <v/>
      </c>
      <c r="AD553" s="13" t="str">
        <f>IF($X553="","",INDEX(TARIFF_PROFILES!$J:$J,MATCH($X553,TARIFF_PROFILES!$A:$A,0)))</f>
        <v/>
      </c>
      <c r="AE553" s="13" t="str">
        <f>IF($X553="","",INDEX(TARIFF_PROFILES!$K:$K,MATCH($X553,TARIFF_PROFILES!$A:$A,0)))</f>
        <v/>
      </c>
      <c r="AH553" t="str">
        <f>IF($AG553="","",SUMIFS(OPERATING_COEFFS!$C:$C,OPERATING_COEFFS!$A:$A,"DistanceClass",OPERATING_COEFFS!$B:$B,$AG553))</f>
        <v/>
      </c>
      <c r="AJ553" t="str">
        <f>IF($AI553="","",SUMIFS(OPERATING_COEFFS!$C:$C,OPERATING_COEFFS!$A:$A,"SeasonClass",OPERATING_COEFFS!$B:$B,$AI553))</f>
        <v/>
      </c>
      <c r="AL553" t="str">
        <f>IF($AK553="","",SUMIFS(OPERATING_COEFFS!$C:$C,OPERATING_COEFFS!$A:$A,"UrgencyClass",OPERATING_COEFFS!$B:$B,$AK553))</f>
        <v/>
      </c>
      <c r="AN553" t="str">
        <f>IF($AM553="","",INDEX(TAX_MODES!$B:$B,MATCH($AM553,TAX_MODES!$A:$A,0)))</f>
        <v/>
      </c>
    </row>
    <row r="554" spans="24:40" x14ac:dyDescent="0.3">
      <c r="X554" s="13"/>
      <c r="Y554" s="13" t="str">
        <f>IF($X554="","",SUMIFS(TARIFF_PROFILES!$D:$D,TARIFF_PROFILES!$A:$A,$X554))</f>
        <v/>
      </c>
      <c r="Z554" s="13" t="str">
        <f>IF($X554="","",SUMIFS(TARIFF_PROFILES!$E:$E,TARIFF_PROFILES!$A:$A,$X554))</f>
        <v/>
      </c>
      <c r="AA554" s="13" t="str">
        <f>IF($X554="","",SUMIFS(TARIFF_PROFILES!$F:$F,TARIFF_PROFILES!$A:$A,$X554))</f>
        <v/>
      </c>
      <c r="AB554" s="13" t="str">
        <f>IF($X554="","",SUMIFS(TARIFF_PROFILES!$G:$G,TARIFF_PROFILES!$A:$A,$X554))</f>
        <v/>
      </c>
      <c r="AC554" s="13" t="str">
        <f>IF($X554="","",SUMIFS(TARIFF_PROFILES!$H:$H,TARIFF_PROFILES!$A:$A,$X554))</f>
        <v/>
      </c>
      <c r="AD554" s="13" t="str">
        <f>IF($X554="","",INDEX(TARIFF_PROFILES!$J:$J,MATCH($X554,TARIFF_PROFILES!$A:$A,0)))</f>
        <v/>
      </c>
      <c r="AE554" s="13" t="str">
        <f>IF($X554="","",INDEX(TARIFF_PROFILES!$K:$K,MATCH($X554,TARIFF_PROFILES!$A:$A,0)))</f>
        <v/>
      </c>
      <c r="AH554" t="str">
        <f>IF($AG554="","",SUMIFS(OPERATING_COEFFS!$C:$C,OPERATING_COEFFS!$A:$A,"DistanceClass",OPERATING_COEFFS!$B:$B,$AG554))</f>
        <v/>
      </c>
      <c r="AJ554" t="str">
        <f>IF($AI554="","",SUMIFS(OPERATING_COEFFS!$C:$C,OPERATING_COEFFS!$A:$A,"SeasonClass",OPERATING_COEFFS!$B:$B,$AI554))</f>
        <v/>
      </c>
      <c r="AL554" t="str">
        <f>IF($AK554="","",SUMIFS(OPERATING_COEFFS!$C:$C,OPERATING_COEFFS!$A:$A,"UrgencyClass",OPERATING_COEFFS!$B:$B,$AK554))</f>
        <v/>
      </c>
      <c r="AN554" t="str">
        <f>IF($AM554="","",INDEX(TAX_MODES!$B:$B,MATCH($AM554,TAX_MODES!$A:$A,0)))</f>
        <v/>
      </c>
    </row>
    <row r="555" spans="24:40" x14ac:dyDescent="0.3">
      <c r="X555" s="13"/>
      <c r="Y555" s="13" t="str">
        <f>IF($X555="","",SUMIFS(TARIFF_PROFILES!$D:$D,TARIFF_PROFILES!$A:$A,$X555))</f>
        <v/>
      </c>
      <c r="Z555" s="13" t="str">
        <f>IF($X555="","",SUMIFS(TARIFF_PROFILES!$E:$E,TARIFF_PROFILES!$A:$A,$X555))</f>
        <v/>
      </c>
      <c r="AA555" s="13" t="str">
        <f>IF($X555="","",SUMIFS(TARIFF_PROFILES!$F:$F,TARIFF_PROFILES!$A:$A,$X555))</f>
        <v/>
      </c>
      <c r="AB555" s="13" t="str">
        <f>IF($X555="","",SUMIFS(TARIFF_PROFILES!$G:$G,TARIFF_PROFILES!$A:$A,$X555))</f>
        <v/>
      </c>
      <c r="AC555" s="13" t="str">
        <f>IF($X555="","",SUMIFS(TARIFF_PROFILES!$H:$H,TARIFF_PROFILES!$A:$A,$X555))</f>
        <v/>
      </c>
      <c r="AD555" s="13" t="str">
        <f>IF($X555="","",INDEX(TARIFF_PROFILES!$J:$J,MATCH($X555,TARIFF_PROFILES!$A:$A,0)))</f>
        <v/>
      </c>
      <c r="AE555" s="13" t="str">
        <f>IF($X555="","",INDEX(TARIFF_PROFILES!$K:$K,MATCH($X555,TARIFF_PROFILES!$A:$A,0)))</f>
        <v/>
      </c>
      <c r="AH555" t="str">
        <f>IF($AG555="","",SUMIFS(OPERATING_COEFFS!$C:$C,OPERATING_COEFFS!$A:$A,"DistanceClass",OPERATING_COEFFS!$B:$B,$AG555))</f>
        <v/>
      </c>
      <c r="AJ555" t="str">
        <f>IF($AI555="","",SUMIFS(OPERATING_COEFFS!$C:$C,OPERATING_COEFFS!$A:$A,"SeasonClass",OPERATING_COEFFS!$B:$B,$AI555))</f>
        <v/>
      </c>
      <c r="AL555" t="str">
        <f>IF($AK555="","",SUMIFS(OPERATING_COEFFS!$C:$C,OPERATING_COEFFS!$A:$A,"UrgencyClass",OPERATING_COEFFS!$B:$B,$AK555))</f>
        <v/>
      </c>
      <c r="AN555" t="str">
        <f>IF($AM555="","",INDEX(TAX_MODES!$B:$B,MATCH($AM555,TAX_MODES!$A:$A,0)))</f>
        <v/>
      </c>
    </row>
    <row r="556" spans="24:40" x14ac:dyDescent="0.3">
      <c r="X556" s="13"/>
      <c r="Y556" s="13" t="str">
        <f>IF($X556="","",SUMIFS(TARIFF_PROFILES!$D:$D,TARIFF_PROFILES!$A:$A,$X556))</f>
        <v/>
      </c>
      <c r="Z556" s="13" t="str">
        <f>IF($X556="","",SUMIFS(TARIFF_PROFILES!$E:$E,TARIFF_PROFILES!$A:$A,$X556))</f>
        <v/>
      </c>
      <c r="AA556" s="13" t="str">
        <f>IF($X556="","",SUMIFS(TARIFF_PROFILES!$F:$F,TARIFF_PROFILES!$A:$A,$X556))</f>
        <v/>
      </c>
      <c r="AB556" s="13" t="str">
        <f>IF($X556="","",SUMIFS(TARIFF_PROFILES!$G:$G,TARIFF_PROFILES!$A:$A,$X556))</f>
        <v/>
      </c>
      <c r="AC556" s="13" t="str">
        <f>IF($X556="","",SUMIFS(TARIFF_PROFILES!$H:$H,TARIFF_PROFILES!$A:$A,$X556))</f>
        <v/>
      </c>
      <c r="AD556" s="13" t="str">
        <f>IF($X556="","",INDEX(TARIFF_PROFILES!$J:$J,MATCH($X556,TARIFF_PROFILES!$A:$A,0)))</f>
        <v/>
      </c>
      <c r="AE556" s="13" t="str">
        <f>IF($X556="","",INDEX(TARIFF_PROFILES!$K:$K,MATCH($X556,TARIFF_PROFILES!$A:$A,0)))</f>
        <v/>
      </c>
      <c r="AH556" t="str">
        <f>IF($AG556="","",SUMIFS(OPERATING_COEFFS!$C:$C,OPERATING_COEFFS!$A:$A,"DistanceClass",OPERATING_COEFFS!$B:$B,$AG556))</f>
        <v/>
      </c>
      <c r="AJ556" t="str">
        <f>IF($AI556="","",SUMIFS(OPERATING_COEFFS!$C:$C,OPERATING_COEFFS!$A:$A,"SeasonClass",OPERATING_COEFFS!$B:$B,$AI556))</f>
        <v/>
      </c>
      <c r="AL556" t="str">
        <f>IF($AK556="","",SUMIFS(OPERATING_COEFFS!$C:$C,OPERATING_COEFFS!$A:$A,"UrgencyClass",OPERATING_COEFFS!$B:$B,$AK556))</f>
        <v/>
      </c>
      <c r="AN556" t="str">
        <f>IF($AM556="","",INDEX(TAX_MODES!$B:$B,MATCH($AM556,TAX_MODES!$A:$A,0)))</f>
        <v/>
      </c>
    </row>
    <row r="557" spans="24:40" x14ac:dyDescent="0.3">
      <c r="X557" s="13"/>
      <c r="Y557" s="13" t="str">
        <f>IF($X557="","",SUMIFS(TARIFF_PROFILES!$D:$D,TARIFF_PROFILES!$A:$A,$X557))</f>
        <v/>
      </c>
      <c r="Z557" s="13" t="str">
        <f>IF($X557="","",SUMIFS(TARIFF_PROFILES!$E:$E,TARIFF_PROFILES!$A:$A,$X557))</f>
        <v/>
      </c>
      <c r="AA557" s="13" t="str">
        <f>IF($X557="","",SUMIFS(TARIFF_PROFILES!$F:$F,TARIFF_PROFILES!$A:$A,$X557))</f>
        <v/>
      </c>
      <c r="AB557" s="13" t="str">
        <f>IF($X557="","",SUMIFS(TARIFF_PROFILES!$G:$G,TARIFF_PROFILES!$A:$A,$X557))</f>
        <v/>
      </c>
      <c r="AC557" s="13" t="str">
        <f>IF($X557="","",SUMIFS(TARIFF_PROFILES!$H:$H,TARIFF_PROFILES!$A:$A,$X557))</f>
        <v/>
      </c>
      <c r="AD557" s="13" t="str">
        <f>IF($X557="","",INDEX(TARIFF_PROFILES!$J:$J,MATCH($X557,TARIFF_PROFILES!$A:$A,0)))</f>
        <v/>
      </c>
      <c r="AE557" s="13" t="str">
        <f>IF($X557="","",INDEX(TARIFF_PROFILES!$K:$K,MATCH($X557,TARIFF_PROFILES!$A:$A,0)))</f>
        <v/>
      </c>
      <c r="AH557" t="str">
        <f>IF($AG557="","",SUMIFS(OPERATING_COEFFS!$C:$C,OPERATING_COEFFS!$A:$A,"DistanceClass",OPERATING_COEFFS!$B:$B,$AG557))</f>
        <v/>
      </c>
      <c r="AJ557" t="str">
        <f>IF($AI557="","",SUMIFS(OPERATING_COEFFS!$C:$C,OPERATING_COEFFS!$A:$A,"SeasonClass",OPERATING_COEFFS!$B:$B,$AI557))</f>
        <v/>
      </c>
      <c r="AL557" t="str">
        <f>IF($AK557="","",SUMIFS(OPERATING_COEFFS!$C:$C,OPERATING_COEFFS!$A:$A,"UrgencyClass",OPERATING_COEFFS!$B:$B,$AK557))</f>
        <v/>
      </c>
      <c r="AN557" t="str">
        <f>IF($AM557="","",INDEX(TAX_MODES!$B:$B,MATCH($AM557,TAX_MODES!$A:$A,0)))</f>
        <v/>
      </c>
    </row>
    <row r="558" spans="24:40" x14ac:dyDescent="0.3">
      <c r="X558" s="13"/>
      <c r="Y558" s="13" t="str">
        <f>IF($X558="","",SUMIFS(TARIFF_PROFILES!$D:$D,TARIFF_PROFILES!$A:$A,$X558))</f>
        <v/>
      </c>
      <c r="Z558" s="13" t="str">
        <f>IF($X558="","",SUMIFS(TARIFF_PROFILES!$E:$E,TARIFF_PROFILES!$A:$A,$X558))</f>
        <v/>
      </c>
      <c r="AA558" s="13" t="str">
        <f>IF($X558="","",SUMIFS(TARIFF_PROFILES!$F:$F,TARIFF_PROFILES!$A:$A,$X558))</f>
        <v/>
      </c>
      <c r="AB558" s="13" t="str">
        <f>IF($X558="","",SUMIFS(TARIFF_PROFILES!$G:$G,TARIFF_PROFILES!$A:$A,$X558))</f>
        <v/>
      </c>
      <c r="AC558" s="13" t="str">
        <f>IF($X558="","",SUMIFS(TARIFF_PROFILES!$H:$H,TARIFF_PROFILES!$A:$A,$X558))</f>
        <v/>
      </c>
      <c r="AD558" s="13" t="str">
        <f>IF($X558="","",INDEX(TARIFF_PROFILES!$J:$J,MATCH($X558,TARIFF_PROFILES!$A:$A,0)))</f>
        <v/>
      </c>
      <c r="AE558" s="13" t="str">
        <f>IF($X558="","",INDEX(TARIFF_PROFILES!$K:$K,MATCH($X558,TARIFF_PROFILES!$A:$A,0)))</f>
        <v/>
      </c>
      <c r="AH558" t="str">
        <f>IF($AG558="","",SUMIFS(OPERATING_COEFFS!$C:$C,OPERATING_COEFFS!$A:$A,"DistanceClass",OPERATING_COEFFS!$B:$B,$AG558))</f>
        <v/>
      </c>
      <c r="AJ558" t="str">
        <f>IF($AI558="","",SUMIFS(OPERATING_COEFFS!$C:$C,OPERATING_COEFFS!$A:$A,"SeasonClass",OPERATING_COEFFS!$B:$B,$AI558))</f>
        <v/>
      </c>
      <c r="AL558" t="str">
        <f>IF($AK558="","",SUMIFS(OPERATING_COEFFS!$C:$C,OPERATING_COEFFS!$A:$A,"UrgencyClass",OPERATING_COEFFS!$B:$B,$AK558))</f>
        <v/>
      </c>
      <c r="AN558" t="str">
        <f>IF($AM558="","",INDEX(TAX_MODES!$B:$B,MATCH($AM558,TAX_MODES!$A:$A,0)))</f>
        <v/>
      </c>
    </row>
    <row r="559" spans="24:40" x14ac:dyDescent="0.3">
      <c r="X559" s="13"/>
      <c r="Y559" s="13" t="str">
        <f>IF($X559="","",SUMIFS(TARIFF_PROFILES!$D:$D,TARIFF_PROFILES!$A:$A,$X559))</f>
        <v/>
      </c>
      <c r="Z559" s="13" t="str">
        <f>IF($X559="","",SUMIFS(TARIFF_PROFILES!$E:$E,TARIFF_PROFILES!$A:$A,$X559))</f>
        <v/>
      </c>
      <c r="AA559" s="13" t="str">
        <f>IF($X559="","",SUMIFS(TARIFF_PROFILES!$F:$F,TARIFF_PROFILES!$A:$A,$X559))</f>
        <v/>
      </c>
      <c r="AB559" s="13" t="str">
        <f>IF($X559="","",SUMIFS(TARIFF_PROFILES!$G:$G,TARIFF_PROFILES!$A:$A,$X559))</f>
        <v/>
      </c>
      <c r="AC559" s="13" t="str">
        <f>IF($X559="","",SUMIFS(TARIFF_PROFILES!$H:$H,TARIFF_PROFILES!$A:$A,$X559))</f>
        <v/>
      </c>
      <c r="AD559" s="13" t="str">
        <f>IF($X559="","",INDEX(TARIFF_PROFILES!$J:$J,MATCH($X559,TARIFF_PROFILES!$A:$A,0)))</f>
        <v/>
      </c>
      <c r="AE559" s="13" t="str">
        <f>IF($X559="","",INDEX(TARIFF_PROFILES!$K:$K,MATCH($X559,TARIFF_PROFILES!$A:$A,0)))</f>
        <v/>
      </c>
      <c r="AH559" t="str">
        <f>IF($AG559="","",SUMIFS(OPERATING_COEFFS!$C:$C,OPERATING_COEFFS!$A:$A,"DistanceClass",OPERATING_COEFFS!$B:$B,$AG559))</f>
        <v/>
      </c>
      <c r="AJ559" t="str">
        <f>IF($AI559="","",SUMIFS(OPERATING_COEFFS!$C:$C,OPERATING_COEFFS!$A:$A,"SeasonClass",OPERATING_COEFFS!$B:$B,$AI559))</f>
        <v/>
      </c>
      <c r="AL559" t="str">
        <f>IF($AK559="","",SUMIFS(OPERATING_COEFFS!$C:$C,OPERATING_COEFFS!$A:$A,"UrgencyClass",OPERATING_COEFFS!$B:$B,$AK559))</f>
        <v/>
      </c>
      <c r="AN559" t="str">
        <f>IF($AM559="","",INDEX(TAX_MODES!$B:$B,MATCH($AM559,TAX_MODES!$A:$A,0)))</f>
        <v/>
      </c>
    </row>
    <row r="560" spans="24:40" x14ac:dyDescent="0.3">
      <c r="X560" s="13"/>
      <c r="Y560" s="13" t="str">
        <f>IF($X560="","",SUMIFS(TARIFF_PROFILES!$D:$D,TARIFF_PROFILES!$A:$A,$X560))</f>
        <v/>
      </c>
      <c r="Z560" s="13" t="str">
        <f>IF($X560="","",SUMIFS(TARIFF_PROFILES!$E:$E,TARIFF_PROFILES!$A:$A,$X560))</f>
        <v/>
      </c>
      <c r="AA560" s="13" t="str">
        <f>IF($X560="","",SUMIFS(TARIFF_PROFILES!$F:$F,TARIFF_PROFILES!$A:$A,$X560))</f>
        <v/>
      </c>
      <c r="AB560" s="13" t="str">
        <f>IF($X560="","",SUMIFS(TARIFF_PROFILES!$G:$G,TARIFF_PROFILES!$A:$A,$X560))</f>
        <v/>
      </c>
      <c r="AC560" s="13" t="str">
        <f>IF($X560="","",SUMIFS(TARIFF_PROFILES!$H:$H,TARIFF_PROFILES!$A:$A,$X560))</f>
        <v/>
      </c>
      <c r="AD560" s="13" t="str">
        <f>IF($X560="","",INDEX(TARIFF_PROFILES!$J:$J,MATCH($X560,TARIFF_PROFILES!$A:$A,0)))</f>
        <v/>
      </c>
      <c r="AE560" s="13" t="str">
        <f>IF($X560="","",INDEX(TARIFF_PROFILES!$K:$K,MATCH($X560,TARIFF_PROFILES!$A:$A,0)))</f>
        <v/>
      </c>
      <c r="AH560" t="str">
        <f>IF($AG560="","",SUMIFS(OPERATING_COEFFS!$C:$C,OPERATING_COEFFS!$A:$A,"DistanceClass",OPERATING_COEFFS!$B:$B,$AG560))</f>
        <v/>
      </c>
      <c r="AJ560" t="str">
        <f>IF($AI560="","",SUMIFS(OPERATING_COEFFS!$C:$C,OPERATING_COEFFS!$A:$A,"SeasonClass",OPERATING_COEFFS!$B:$B,$AI560))</f>
        <v/>
      </c>
      <c r="AL560" t="str">
        <f>IF($AK560="","",SUMIFS(OPERATING_COEFFS!$C:$C,OPERATING_COEFFS!$A:$A,"UrgencyClass",OPERATING_COEFFS!$B:$B,$AK560))</f>
        <v/>
      </c>
      <c r="AN560" t="str">
        <f>IF($AM560="","",INDEX(TAX_MODES!$B:$B,MATCH($AM560,TAX_MODES!$A:$A,0)))</f>
        <v/>
      </c>
    </row>
    <row r="561" spans="24:40" x14ac:dyDescent="0.3">
      <c r="X561" s="13"/>
      <c r="Y561" s="13" t="str">
        <f>IF($X561="","",SUMIFS(TARIFF_PROFILES!$D:$D,TARIFF_PROFILES!$A:$A,$X561))</f>
        <v/>
      </c>
      <c r="Z561" s="13" t="str">
        <f>IF($X561="","",SUMIFS(TARIFF_PROFILES!$E:$E,TARIFF_PROFILES!$A:$A,$X561))</f>
        <v/>
      </c>
      <c r="AA561" s="13" t="str">
        <f>IF($X561="","",SUMIFS(TARIFF_PROFILES!$F:$F,TARIFF_PROFILES!$A:$A,$X561))</f>
        <v/>
      </c>
      <c r="AB561" s="13" t="str">
        <f>IF($X561="","",SUMIFS(TARIFF_PROFILES!$G:$G,TARIFF_PROFILES!$A:$A,$X561))</f>
        <v/>
      </c>
      <c r="AC561" s="13" t="str">
        <f>IF($X561="","",SUMIFS(TARIFF_PROFILES!$H:$H,TARIFF_PROFILES!$A:$A,$X561))</f>
        <v/>
      </c>
      <c r="AD561" s="13" t="str">
        <f>IF($X561="","",INDEX(TARIFF_PROFILES!$J:$J,MATCH($X561,TARIFF_PROFILES!$A:$A,0)))</f>
        <v/>
      </c>
      <c r="AE561" s="13" t="str">
        <f>IF($X561="","",INDEX(TARIFF_PROFILES!$K:$K,MATCH($X561,TARIFF_PROFILES!$A:$A,0)))</f>
        <v/>
      </c>
      <c r="AH561" t="str">
        <f>IF($AG561="","",SUMIFS(OPERATING_COEFFS!$C:$C,OPERATING_COEFFS!$A:$A,"DistanceClass",OPERATING_COEFFS!$B:$B,$AG561))</f>
        <v/>
      </c>
      <c r="AJ561" t="str">
        <f>IF($AI561="","",SUMIFS(OPERATING_COEFFS!$C:$C,OPERATING_COEFFS!$A:$A,"SeasonClass",OPERATING_COEFFS!$B:$B,$AI561))</f>
        <v/>
      </c>
      <c r="AL561" t="str">
        <f>IF($AK561="","",SUMIFS(OPERATING_COEFFS!$C:$C,OPERATING_COEFFS!$A:$A,"UrgencyClass",OPERATING_COEFFS!$B:$B,$AK561))</f>
        <v/>
      </c>
      <c r="AN561" t="str">
        <f>IF($AM561="","",INDEX(TAX_MODES!$B:$B,MATCH($AM561,TAX_MODES!$A:$A,0)))</f>
        <v/>
      </c>
    </row>
    <row r="562" spans="24:40" x14ac:dyDescent="0.3">
      <c r="X562" s="13"/>
      <c r="Y562" s="13" t="str">
        <f>IF($X562="","",SUMIFS(TARIFF_PROFILES!$D:$D,TARIFF_PROFILES!$A:$A,$X562))</f>
        <v/>
      </c>
      <c r="Z562" s="13" t="str">
        <f>IF($X562="","",SUMIFS(TARIFF_PROFILES!$E:$E,TARIFF_PROFILES!$A:$A,$X562))</f>
        <v/>
      </c>
      <c r="AA562" s="13" t="str">
        <f>IF($X562="","",SUMIFS(TARIFF_PROFILES!$F:$F,TARIFF_PROFILES!$A:$A,$X562))</f>
        <v/>
      </c>
      <c r="AB562" s="13" t="str">
        <f>IF($X562="","",SUMIFS(TARIFF_PROFILES!$G:$G,TARIFF_PROFILES!$A:$A,$X562))</f>
        <v/>
      </c>
      <c r="AC562" s="13" t="str">
        <f>IF($X562="","",SUMIFS(TARIFF_PROFILES!$H:$H,TARIFF_PROFILES!$A:$A,$X562))</f>
        <v/>
      </c>
      <c r="AD562" s="13" t="str">
        <f>IF($X562="","",INDEX(TARIFF_PROFILES!$J:$J,MATCH($X562,TARIFF_PROFILES!$A:$A,0)))</f>
        <v/>
      </c>
      <c r="AE562" s="13" t="str">
        <f>IF($X562="","",INDEX(TARIFF_PROFILES!$K:$K,MATCH($X562,TARIFF_PROFILES!$A:$A,0)))</f>
        <v/>
      </c>
      <c r="AH562" t="str">
        <f>IF($AG562="","",SUMIFS(OPERATING_COEFFS!$C:$C,OPERATING_COEFFS!$A:$A,"DistanceClass",OPERATING_COEFFS!$B:$B,$AG562))</f>
        <v/>
      </c>
      <c r="AJ562" t="str">
        <f>IF($AI562="","",SUMIFS(OPERATING_COEFFS!$C:$C,OPERATING_COEFFS!$A:$A,"SeasonClass",OPERATING_COEFFS!$B:$B,$AI562))</f>
        <v/>
      </c>
      <c r="AL562" t="str">
        <f>IF($AK562="","",SUMIFS(OPERATING_COEFFS!$C:$C,OPERATING_COEFFS!$A:$A,"UrgencyClass",OPERATING_COEFFS!$B:$B,$AK562))</f>
        <v/>
      </c>
      <c r="AN562" t="str">
        <f>IF($AM562="","",INDEX(TAX_MODES!$B:$B,MATCH($AM562,TAX_MODES!$A:$A,0)))</f>
        <v/>
      </c>
    </row>
    <row r="563" spans="24:40" x14ac:dyDescent="0.3">
      <c r="X563" s="13"/>
      <c r="Y563" s="13" t="str">
        <f>IF($X563="","",SUMIFS(TARIFF_PROFILES!$D:$D,TARIFF_PROFILES!$A:$A,$X563))</f>
        <v/>
      </c>
      <c r="Z563" s="13" t="str">
        <f>IF($X563="","",SUMIFS(TARIFF_PROFILES!$E:$E,TARIFF_PROFILES!$A:$A,$X563))</f>
        <v/>
      </c>
      <c r="AA563" s="13" t="str">
        <f>IF($X563="","",SUMIFS(TARIFF_PROFILES!$F:$F,TARIFF_PROFILES!$A:$A,$X563))</f>
        <v/>
      </c>
      <c r="AB563" s="13" t="str">
        <f>IF($X563="","",SUMIFS(TARIFF_PROFILES!$G:$G,TARIFF_PROFILES!$A:$A,$X563))</f>
        <v/>
      </c>
      <c r="AC563" s="13" t="str">
        <f>IF($X563="","",SUMIFS(TARIFF_PROFILES!$H:$H,TARIFF_PROFILES!$A:$A,$X563))</f>
        <v/>
      </c>
      <c r="AD563" s="13" t="str">
        <f>IF($X563="","",INDEX(TARIFF_PROFILES!$J:$J,MATCH($X563,TARIFF_PROFILES!$A:$A,0)))</f>
        <v/>
      </c>
      <c r="AE563" s="13" t="str">
        <f>IF($X563="","",INDEX(TARIFF_PROFILES!$K:$K,MATCH($X563,TARIFF_PROFILES!$A:$A,0)))</f>
        <v/>
      </c>
      <c r="AH563" t="str">
        <f>IF($AG563="","",SUMIFS(OPERATING_COEFFS!$C:$C,OPERATING_COEFFS!$A:$A,"DistanceClass",OPERATING_COEFFS!$B:$B,$AG563))</f>
        <v/>
      </c>
      <c r="AJ563" t="str">
        <f>IF($AI563="","",SUMIFS(OPERATING_COEFFS!$C:$C,OPERATING_COEFFS!$A:$A,"SeasonClass",OPERATING_COEFFS!$B:$B,$AI563))</f>
        <v/>
      </c>
      <c r="AL563" t="str">
        <f>IF($AK563="","",SUMIFS(OPERATING_COEFFS!$C:$C,OPERATING_COEFFS!$A:$A,"UrgencyClass",OPERATING_COEFFS!$B:$B,$AK563))</f>
        <v/>
      </c>
      <c r="AN563" t="str">
        <f>IF($AM563="","",INDEX(TAX_MODES!$B:$B,MATCH($AM563,TAX_MODES!$A:$A,0)))</f>
        <v/>
      </c>
    </row>
    <row r="564" spans="24:40" x14ac:dyDescent="0.3">
      <c r="X564" s="13"/>
      <c r="Y564" s="13" t="str">
        <f>IF($X564="","",SUMIFS(TARIFF_PROFILES!$D:$D,TARIFF_PROFILES!$A:$A,$X564))</f>
        <v/>
      </c>
      <c r="Z564" s="13" t="str">
        <f>IF($X564="","",SUMIFS(TARIFF_PROFILES!$E:$E,TARIFF_PROFILES!$A:$A,$X564))</f>
        <v/>
      </c>
      <c r="AA564" s="13" t="str">
        <f>IF($X564="","",SUMIFS(TARIFF_PROFILES!$F:$F,TARIFF_PROFILES!$A:$A,$X564))</f>
        <v/>
      </c>
      <c r="AB564" s="13" t="str">
        <f>IF($X564="","",SUMIFS(TARIFF_PROFILES!$G:$G,TARIFF_PROFILES!$A:$A,$X564))</f>
        <v/>
      </c>
      <c r="AC564" s="13" t="str">
        <f>IF($X564="","",SUMIFS(TARIFF_PROFILES!$H:$H,TARIFF_PROFILES!$A:$A,$X564))</f>
        <v/>
      </c>
      <c r="AD564" s="13" t="str">
        <f>IF($X564="","",INDEX(TARIFF_PROFILES!$J:$J,MATCH($X564,TARIFF_PROFILES!$A:$A,0)))</f>
        <v/>
      </c>
      <c r="AE564" s="13" t="str">
        <f>IF($X564="","",INDEX(TARIFF_PROFILES!$K:$K,MATCH($X564,TARIFF_PROFILES!$A:$A,0)))</f>
        <v/>
      </c>
      <c r="AH564" t="str">
        <f>IF($AG564="","",SUMIFS(OPERATING_COEFFS!$C:$C,OPERATING_COEFFS!$A:$A,"DistanceClass",OPERATING_COEFFS!$B:$B,$AG564))</f>
        <v/>
      </c>
      <c r="AJ564" t="str">
        <f>IF($AI564="","",SUMIFS(OPERATING_COEFFS!$C:$C,OPERATING_COEFFS!$A:$A,"SeasonClass",OPERATING_COEFFS!$B:$B,$AI564))</f>
        <v/>
      </c>
      <c r="AL564" t="str">
        <f>IF($AK564="","",SUMIFS(OPERATING_COEFFS!$C:$C,OPERATING_COEFFS!$A:$A,"UrgencyClass",OPERATING_COEFFS!$B:$B,$AK564))</f>
        <v/>
      </c>
      <c r="AN564" t="str">
        <f>IF($AM564="","",INDEX(TAX_MODES!$B:$B,MATCH($AM564,TAX_MODES!$A:$A,0)))</f>
        <v/>
      </c>
    </row>
    <row r="565" spans="24:40" x14ac:dyDescent="0.3">
      <c r="X565" s="13"/>
      <c r="Y565" s="13" t="str">
        <f>IF($X565="","",SUMIFS(TARIFF_PROFILES!$D:$D,TARIFF_PROFILES!$A:$A,$X565))</f>
        <v/>
      </c>
      <c r="Z565" s="13" t="str">
        <f>IF($X565="","",SUMIFS(TARIFF_PROFILES!$E:$E,TARIFF_PROFILES!$A:$A,$X565))</f>
        <v/>
      </c>
      <c r="AA565" s="13" t="str">
        <f>IF($X565="","",SUMIFS(TARIFF_PROFILES!$F:$F,TARIFF_PROFILES!$A:$A,$X565))</f>
        <v/>
      </c>
      <c r="AB565" s="13" t="str">
        <f>IF($X565="","",SUMIFS(TARIFF_PROFILES!$G:$G,TARIFF_PROFILES!$A:$A,$X565))</f>
        <v/>
      </c>
      <c r="AC565" s="13" t="str">
        <f>IF($X565="","",SUMIFS(TARIFF_PROFILES!$H:$H,TARIFF_PROFILES!$A:$A,$X565))</f>
        <v/>
      </c>
      <c r="AD565" s="13" t="str">
        <f>IF($X565="","",INDEX(TARIFF_PROFILES!$J:$J,MATCH($X565,TARIFF_PROFILES!$A:$A,0)))</f>
        <v/>
      </c>
      <c r="AE565" s="13" t="str">
        <f>IF($X565="","",INDEX(TARIFF_PROFILES!$K:$K,MATCH($X565,TARIFF_PROFILES!$A:$A,0)))</f>
        <v/>
      </c>
      <c r="AH565" t="str">
        <f>IF($AG565="","",SUMIFS(OPERATING_COEFFS!$C:$C,OPERATING_COEFFS!$A:$A,"DistanceClass",OPERATING_COEFFS!$B:$B,$AG565))</f>
        <v/>
      </c>
      <c r="AJ565" t="str">
        <f>IF($AI565="","",SUMIFS(OPERATING_COEFFS!$C:$C,OPERATING_COEFFS!$A:$A,"SeasonClass",OPERATING_COEFFS!$B:$B,$AI565))</f>
        <v/>
      </c>
      <c r="AL565" t="str">
        <f>IF($AK565="","",SUMIFS(OPERATING_COEFFS!$C:$C,OPERATING_COEFFS!$A:$A,"UrgencyClass",OPERATING_COEFFS!$B:$B,$AK565))</f>
        <v/>
      </c>
      <c r="AN565" t="str">
        <f>IF($AM565="","",INDEX(TAX_MODES!$B:$B,MATCH($AM565,TAX_MODES!$A:$A,0)))</f>
        <v/>
      </c>
    </row>
    <row r="566" spans="24:40" x14ac:dyDescent="0.3">
      <c r="X566" s="13"/>
      <c r="Y566" s="13" t="str">
        <f>IF($X566="","",SUMIFS(TARIFF_PROFILES!$D:$D,TARIFF_PROFILES!$A:$A,$X566))</f>
        <v/>
      </c>
      <c r="Z566" s="13" t="str">
        <f>IF($X566="","",SUMIFS(TARIFF_PROFILES!$E:$E,TARIFF_PROFILES!$A:$A,$X566))</f>
        <v/>
      </c>
      <c r="AA566" s="13" t="str">
        <f>IF($X566="","",SUMIFS(TARIFF_PROFILES!$F:$F,TARIFF_PROFILES!$A:$A,$X566))</f>
        <v/>
      </c>
      <c r="AB566" s="13" t="str">
        <f>IF($X566="","",SUMIFS(TARIFF_PROFILES!$G:$G,TARIFF_PROFILES!$A:$A,$X566))</f>
        <v/>
      </c>
      <c r="AC566" s="13" t="str">
        <f>IF($X566="","",SUMIFS(TARIFF_PROFILES!$H:$H,TARIFF_PROFILES!$A:$A,$X566))</f>
        <v/>
      </c>
      <c r="AD566" s="13" t="str">
        <f>IF($X566="","",INDEX(TARIFF_PROFILES!$J:$J,MATCH($X566,TARIFF_PROFILES!$A:$A,0)))</f>
        <v/>
      </c>
      <c r="AE566" s="13" t="str">
        <f>IF($X566="","",INDEX(TARIFF_PROFILES!$K:$K,MATCH($X566,TARIFF_PROFILES!$A:$A,0)))</f>
        <v/>
      </c>
      <c r="AH566" t="str">
        <f>IF($AG566="","",SUMIFS(OPERATING_COEFFS!$C:$C,OPERATING_COEFFS!$A:$A,"DistanceClass",OPERATING_COEFFS!$B:$B,$AG566))</f>
        <v/>
      </c>
      <c r="AJ566" t="str">
        <f>IF($AI566="","",SUMIFS(OPERATING_COEFFS!$C:$C,OPERATING_COEFFS!$A:$A,"SeasonClass",OPERATING_COEFFS!$B:$B,$AI566))</f>
        <v/>
      </c>
      <c r="AL566" t="str">
        <f>IF($AK566="","",SUMIFS(OPERATING_COEFFS!$C:$C,OPERATING_COEFFS!$A:$A,"UrgencyClass",OPERATING_COEFFS!$B:$B,$AK566))</f>
        <v/>
      </c>
      <c r="AN566" t="str">
        <f>IF($AM566="","",INDEX(TAX_MODES!$B:$B,MATCH($AM566,TAX_MODES!$A:$A,0)))</f>
        <v/>
      </c>
    </row>
    <row r="567" spans="24:40" x14ac:dyDescent="0.3">
      <c r="X567" s="13"/>
      <c r="Y567" s="13" t="str">
        <f>IF($X567="","",SUMIFS(TARIFF_PROFILES!$D:$D,TARIFF_PROFILES!$A:$A,$X567))</f>
        <v/>
      </c>
      <c r="Z567" s="13" t="str">
        <f>IF($X567="","",SUMIFS(TARIFF_PROFILES!$E:$E,TARIFF_PROFILES!$A:$A,$X567))</f>
        <v/>
      </c>
      <c r="AA567" s="13" t="str">
        <f>IF($X567="","",SUMIFS(TARIFF_PROFILES!$F:$F,TARIFF_PROFILES!$A:$A,$X567))</f>
        <v/>
      </c>
      <c r="AB567" s="13" t="str">
        <f>IF($X567="","",SUMIFS(TARIFF_PROFILES!$G:$G,TARIFF_PROFILES!$A:$A,$X567))</f>
        <v/>
      </c>
      <c r="AC567" s="13" t="str">
        <f>IF($X567="","",SUMIFS(TARIFF_PROFILES!$H:$H,TARIFF_PROFILES!$A:$A,$X567))</f>
        <v/>
      </c>
      <c r="AD567" s="13" t="str">
        <f>IF($X567="","",INDEX(TARIFF_PROFILES!$J:$J,MATCH($X567,TARIFF_PROFILES!$A:$A,0)))</f>
        <v/>
      </c>
      <c r="AE567" s="13" t="str">
        <f>IF($X567="","",INDEX(TARIFF_PROFILES!$K:$K,MATCH($X567,TARIFF_PROFILES!$A:$A,0)))</f>
        <v/>
      </c>
      <c r="AH567" t="str">
        <f>IF($AG567="","",SUMIFS(OPERATING_COEFFS!$C:$C,OPERATING_COEFFS!$A:$A,"DistanceClass",OPERATING_COEFFS!$B:$B,$AG567))</f>
        <v/>
      </c>
      <c r="AJ567" t="str">
        <f>IF($AI567="","",SUMIFS(OPERATING_COEFFS!$C:$C,OPERATING_COEFFS!$A:$A,"SeasonClass",OPERATING_COEFFS!$B:$B,$AI567))</f>
        <v/>
      </c>
      <c r="AL567" t="str">
        <f>IF($AK567="","",SUMIFS(OPERATING_COEFFS!$C:$C,OPERATING_COEFFS!$A:$A,"UrgencyClass",OPERATING_COEFFS!$B:$B,$AK567))</f>
        <v/>
      </c>
      <c r="AN567" t="str">
        <f>IF($AM567="","",INDEX(TAX_MODES!$B:$B,MATCH($AM567,TAX_MODES!$A:$A,0)))</f>
        <v/>
      </c>
    </row>
    <row r="568" spans="24:40" x14ac:dyDescent="0.3">
      <c r="X568" s="13"/>
      <c r="Y568" s="13" t="str">
        <f>IF($X568="","",SUMIFS(TARIFF_PROFILES!$D:$D,TARIFF_PROFILES!$A:$A,$X568))</f>
        <v/>
      </c>
      <c r="Z568" s="13" t="str">
        <f>IF($X568="","",SUMIFS(TARIFF_PROFILES!$E:$E,TARIFF_PROFILES!$A:$A,$X568))</f>
        <v/>
      </c>
      <c r="AA568" s="13" t="str">
        <f>IF($X568="","",SUMIFS(TARIFF_PROFILES!$F:$F,TARIFF_PROFILES!$A:$A,$X568))</f>
        <v/>
      </c>
      <c r="AB568" s="13" t="str">
        <f>IF($X568="","",SUMIFS(TARIFF_PROFILES!$G:$G,TARIFF_PROFILES!$A:$A,$X568))</f>
        <v/>
      </c>
      <c r="AC568" s="13" t="str">
        <f>IF($X568="","",SUMIFS(TARIFF_PROFILES!$H:$H,TARIFF_PROFILES!$A:$A,$X568))</f>
        <v/>
      </c>
      <c r="AD568" s="13" t="str">
        <f>IF($X568="","",INDEX(TARIFF_PROFILES!$J:$J,MATCH($X568,TARIFF_PROFILES!$A:$A,0)))</f>
        <v/>
      </c>
      <c r="AE568" s="13" t="str">
        <f>IF($X568="","",INDEX(TARIFF_PROFILES!$K:$K,MATCH($X568,TARIFF_PROFILES!$A:$A,0)))</f>
        <v/>
      </c>
      <c r="AH568" t="str">
        <f>IF($AG568="","",SUMIFS(OPERATING_COEFFS!$C:$C,OPERATING_COEFFS!$A:$A,"DistanceClass",OPERATING_COEFFS!$B:$B,$AG568))</f>
        <v/>
      </c>
      <c r="AJ568" t="str">
        <f>IF($AI568="","",SUMIFS(OPERATING_COEFFS!$C:$C,OPERATING_COEFFS!$A:$A,"SeasonClass",OPERATING_COEFFS!$B:$B,$AI568))</f>
        <v/>
      </c>
      <c r="AL568" t="str">
        <f>IF($AK568="","",SUMIFS(OPERATING_COEFFS!$C:$C,OPERATING_COEFFS!$A:$A,"UrgencyClass",OPERATING_COEFFS!$B:$B,$AK568))</f>
        <v/>
      </c>
      <c r="AN568" t="str">
        <f>IF($AM568="","",INDEX(TAX_MODES!$B:$B,MATCH($AM568,TAX_MODES!$A:$A,0)))</f>
        <v/>
      </c>
    </row>
    <row r="569" spans="24:40" x14ac:dyDescent="0.3">
      <c r="X569" s="13"/>
      <c r="Y569" s="13" t="str">
        <f>IF($X569="","",SUMIFS(TARIFF_PROFILES!$D:$D,TARIFF_PROFILES!$A:$A,$X569))</f>
        <v/>
      </c>
      <c r="Z569" s="13" t="str">
        <f>IF($X569="","",SUMIFS(TARIFF_PROFILES!$E:$E,TARIFF_PROFILES!$A:$A,$X569))</f>
        <v/>
      </c>
      <c r="AA569" s="13" t="str">
        <f>IF($X569="","",SUMIFS(TARIFF_PROFILES!$F:$F,TARIFF_PROFILES!$A:$A,$X569))</f>
        <v/>
      </c>
      <c r="AB569" s="13" t="str">
        <f>IF($X569="","",SUMIFS(TARIFF_PROFILES!$G:$G,TARIFF_PROFILES!$A:$A,$X569))</f>
        <v/>
      </c>
      <c r="AC569" s="13" t="str">
        <f>IF($X569="","",SUMIFS(TARIFF_PROFILES!$H:$H,TARIFF_PROFILES!$A:$A,$X569))</f>
        <v/>
      </c>
      <c r="AD569" s="13" t="str">
        <f>IF($X569="","",INDEX(TARIFF_PROFILES!$J:$J,MATCH($X569,TARIFF_PROFILES!$A:$A,0)))</f>
        <v/>
      </c>
      <c r="AE569" s="13" t="str">
        <f>IF($X569="","",INDEX(TARIFF_PROFILES!$K:$K,MATCH($X569,TARIFF_PROFILES!$A:$A,0)))</f>
        <v/>
      </c>
      <c r="AH569" t="str">
        <f>IF($AG569="","",SUMIFS(OPERATING_COEFFS!$C:$C,OPERATING_COEFFS!$A:$A,"DistanceClass",OPERATING_COEFFS!$B:$B,$AG569))</f>
        <v/>
      </c>
      <c r="AJ569" t="str">
        <f>IF($AI569="","",SUMIFS(OPERATING_COEFFS!$C:$C,OPERATING_COEFFS!$A:$A,"SeasonClass",OPERATING_COEFFS!$B:$B,$AI569))</f>
        <v/>
      </c>
      <c r="AL569" t="str">
        <f>IF($AK569="","",SUMIFS(OPERATING_COEFFS!$C:$C,OPERATING_COEFFS!$A:$A,"UrgencyClass",OPERATING_COEFFS!$B:$B,$AK569))</f>
        <v/>
      </c>
      <c r="AN569" t="str">
        <f>IF($AM569="","",INDEX(TAX_MODES!$B:$B,MATCH($AM569,TAX_MODES!$A:$A,0)))</f>
        <v/>
      </c>
    </row>
    <row r="570" spans="24:40" x14ac:dyDescent="0.3">
      <c r="X570" s="13"/>
      <c r="Y570" s="13" t="str">
        <f>IF($X570="","",SUMIFS(TARIFF_PROFILES!$D:$D,TARIFF_PROFILES!$A:$A,$X570))</f>
        <v/>
      </c>
      <c r="Z570" s="13" t="str">
        <f>IF($X570="","",SUMIFS(TARIFF_PROFILES!$E:$E,TARIFF_PROFILES!$A:$A,$X570))</f>
        <v/>
      </c>
      <c r="AA570" s="13" t="str">
        <f>IF($X570="","",SUMIFS(TARIFF_PROFILES!$F:$F,TARIFF_PROFILES!$A:$A,$X570))</f>
        <v/>
      </c>
      <c r="AB570" s="13" t="str">
        <f>IF($X570="","",SUMIFS(TARIFF_PROFILES!$G:$G,TARIFF_PROFILES!$A:$A,$X570))</f>
        <v/>
      </c>
      <c r="AC570" s="13" t="str">
        <f>IF($X570="","",SUMIFS(TARIFF_PROFILES!$H:$H,TARIFF_PROFILES!$A:$A,$X570))</f>
        <v/>
      </c>
      <c r="AD570" s="13" t="str">
        <f>IF($X570="","",INDEX(TARIFF_PROFILES!$J:$J,MATCH($X570,TARIFF_PROFILES!$A:$A,0)))</f>
        <v/>
      </c>
      <c r="AE570" s="13" t="str">
        <f>IF($X570="","",INDEX(TARIFF_PROFILES!$K:$K,MATCH($X570,TARIFF_PROFILES!$A:$A,0)))</f>
        <v/>
      </c>
      <c r="AH570" t="str">
        <f>IF($AG570="","",SUMIFS(OPERATING_COEFFS!$C:$C,OPERATING_COEFFS!$A:$A,"DistanceClass",OPERATING_COEFFS!$B:$B,$AG570))</f>
        <v/>
      </c>
      <c r="AJ570" t="str">
        <f>IF($AI570="","",SUMIFS(OPERATING_COEFFS!$C:$C,OPERATING_COEFFS!$A:$A,"SeasonClass",OPERATING_COEFFS!$B:$B,$AI570))</f>
        <v/>
      </c>
      <c r="AL570" t="str">
        <f>IF($AK570="","",SUMIFS(OPERATING_COEFFS!$C:$C,OPERATING_COEFFS!$A:$A,"UrgencyClass",OPERATING_COEFFS!$B:$B,$AK570))</f>
        <v/>
      </c>
      <c r="AN570" t="str">
        <f>IF($AM570="","",INDEX(TAX_MODES!$B:$B,MATCH($AM570,TAX_MODES!$A:$A,0)))</f>
        <v/>
      </c>
    </row>
    <row r="571" spans="24:40" x14ac:dyDescent="0.3">
      <c r="X571" s="13"/>
      <c r="Y571" s="13" t="str">
        <f>IF($X571="","",SUMIFS(TARIFF_PROFILES!$D:$D,TARIFF_PROFILES!$A:$A,$X571))</f>
        <v/>
      </c>
      <c r="Z571" s="13" t="str">
        <f>IF($X571="","",SUMIFS(TARIFF_PROFILES!$E:$E,TARIFF_PROFILES!$A:$A,$X571))</f>
        <v/>
      </c>
      <c r="AA571" s="13" t="str">
        <f>IF($X571="","",SUMIFS(TARIFF_PROFILES!$F:$F,TARIFF_PROFILES!$A:$A,$X571))</f>
        <v/>
      </c>
      <c r="AB571" s="13" t="str">
        <f>IF($X571="","",SUMIFS(TARIFF_PROFILES!$G:$G,TARIFF_PROFILES!$A:$A,$X571))</f>
        <v/>
      </c>
      <c r="AC571" s="13" t="str">
        <f>IF($X571="","",SUMIFS(TARIFF_PROFILES!$H:$H,TARIFF_PROFILES!$A:$A,$X571))</f>
        <v/>
      </c>
      <c r="AD571" s="13" t="str">
        <f>IF($X571="","",INDEX(TARIFF_PROFILES!$J:$J,MATCH($X571,TARIFF_PROFILES!$A:$A,0)))</f>
        <v/>
      </c>
      <c r="AE571" s="13" t="str">
        <f>IF($X571="","",INDEX(TARIFF_PROFILES!$K:$K,MATCH($X571,TARIFF_PROFILES!$A:$A,0)))</f>
        <v/>
      </c>
      <c r="AH571" t="str">
        <f>IF($AG571="","",SUMIFS(OPERATING_COEFFS!$C:$C,OPERATING_COEFFS!$A:$A,"DistanceClass",OPERATING_COEFFS!$B:$B,$AG571))</f>
        <v/>
      </c>
      <c r="AJ571" t="str">
        <f>IF($AI571="","",SUMIFS(OPERATING_COEFFS!$C:$C,OPERATING_COEFFS!$A:$A,"SeasonClass",OPERATING_COEFFS!$B:$B,$AI571))</f>
        <v/>
      </c>
      <c r="AL571" t="str">
        <f>IF($AK571="","",SUMIFS(OPERATING_COEFFS!$C:$C,OPERATING_COEFFS!$A:$A,"UrgencyClass",OPERATING_COEFFS!$B:$B,$AK571))</f>
        <v/>
      </c>
      <c r="AN571" t="str">
        <f>IF($AM571="","",INDEX(TAX_MODES!$B:$B,MATCH($AM571,TAX_MODES!$A:$A,0)))</f>
        <v/>
      </c>
    </row>
    <row r="572" spans="24:40" x14ac:dyDescent="0.3">
      <c r="X572" s="13"/>
      <c r="Y572" s="13" t="str">
        <f>IF($X572="","",SUMIFS(TARIFF_PROFILES!$D:$D,TARIFF_PROFILES!$A:$A,$X572))</f>
        <v/>
      </c>
      <c r="Z572" s="13" t="str">
        <f>IF($X572="","",SUMIFS(TARIFF_PROFILES!$E:$E,TARIFF_PROFILES!$A:$A,$X572))</f>
        <v/>
      </c>
      <c r="AA572" s="13" t="str">
        <f>IF($X572="","",SUMIFS(TARIFF_PROFILES!$F:$F,TARIFF_PROFILES!$A:$A,$X572))</f>
        <v/>
      </c>
      <c r="AB572" s="13" t="str">
        <f>IF($X572="","",SUMIFS(TARIFF_PROFILES!$G:$G,TARIFF_PROFILES!$A:$A,$X572))</f>
        <v/>
      </c>
      <c r="AC572" s="13" t="str">
        <f>IF($X572="","",SUMIFS(TARIFF_PROFILES!$H:$H,TARIFF_PROFILES!$A:$A,$X572))</f>
        <v/>
      </c>
      <c r="AD572" s="13" t="str">
        <f>IF($X572="","",INDEX(TARIFF_PROFILES!$J:$J,MATCH($X572,TARIFF_PROFILES!$A:$A,0)))</f>
        <v/>
      </c>
      <c r="AE572" s="13" t="str">
        <f>IF($X572="","",INDEX(TARIFF_PROFILES!$K:$K,MATCH($X572,TARIFF_PROFILES!$A:$A,0)))</f>
        <v/>
      </c>
      <c r="AH572" t="str">
        <f>IF($AG572="","",SUMIFS(OPERATING_COEFFS!$C:$C,OPERATING_COEFFS!$A:$A,"DistanceClass",OPERATING_COEFFS!$B:$B,$AG572))</f>
        <v/>
      </c>
      <c r="AJ572" t="str">
        <f>IF($AI572="","",SUMIFS(OPERATING_COEFFS!$C:$C,OPERATING_COEFFS!$A:$A,"SeasonClass",OPERATING_COEFFS!$B:$B,$AI572))</f>
        <v/>
      </c>
      <c r="AL572" t="str">
        <f>IF($AK572="","",SUMIFS(OPERATING_COEFFS!$C:$C,OPERATING_COEFFS!$A:$A,"UrgencyClass",OPERATING_COEFFS!$B:$B,$AK572))</f>
        <v/>
      </c>
      <c r="AN572" t="str">
        <f>IF($AM572="","",INDEX(TAX_MODES!$B:$B,MATCH($AM572,TAX_MODES!$A:$A,0)))</f>
        <v/>
      </c>
    </row>
    <row r="573" spans="24:40" x14ac:dyDescent="0.3">
      <c r="X573" s="13"/>
      <c r="Y573" s="13" t="str">
        <f>IF($X573="","",SUMIFS(TARIFF_PROFILES!$D:$D,TARIFF_PROFILES!$A:$A,$X573))</f>
        <v/>
      </c>
      <c r="Z573" s="13" t="str">
        <f>IF($X573="","",SUMIFS(TARIFF_PROFILES!$E:$E,TARIFF_PROFILES!$A:$A,$X573))</f>
        <v/>
      </c>
      <c r="AA573" s="13" t="str">
        <f>IF($X573="","",SUMIFS(TARIFF_PROFILES!$F:$F,TARIFF_PROFILES!$A:$A,$X573))</f>
        <v/>
      </c>
      <c r="AB573" s="13" t="str">
        <f>IF($X573="","",SUMIFS(TARIFF_PROFILES!$G:$G,TARIFF_PROFILES!$A:$A,$X573))</f>
        <v/>
      </c>
      <c r="AC573" s="13" t="str">
        <f>IF($X573="","",SUMIFS(TARIFF_PROFILES!$H:$H,TARIFF_PROFILES!$A:$A,$X573))</f>
        <v/>
      </c>
      <c r="AD573" s="13" t="str">
        <f>IF($X573="","",INDEX(TARIFF_PROFILES!$J:$J,MATCH($X573,TARIFF_PROFILES!$A:$A,0)))</f>
        <v/>
      </c>
      <c r="AE573" s="13" t="str">
        <f>IF($X573="","",INDEX(TARIFF_PROFILES!$K:$K,MATCH($X573,TARIFF_PROFILES!$A:$A,0)))</f>
        <v/>
      </c>
      <c r="AH573" t="str">
        <f>IF($AG573="","",SUMIFS(OPERATING_COEFFS!$C:$C,OPERATING_COEFFS!$A:$A,"DistanceClass",OPERATING_COEFFS!$B:$B,$AG573))</f>
        <v/>
      </c>
      <c r="AJ573" t="str">
        <f>IF($AI573="","",SUMIFS(OPERATING_COEFFS!$C:$C,OPERATING_COEFFS!$A:$A,"SeasonClass",OPERATING_COEFFS!$B:$B,$AI573))</f>
        <v/>
      </c>
      <c r="AL573" t="str">
        <f>IF($AK573="","",SUMIFS(OPERATING_COEFFS!$C:$C,OPERATING_COEFFS!$A:$A,"UrgencyClass",OPERATING_COEFFS!$B:$B,$AK573))</f>
        <v/>
      </c>
      <c r="AN573" t="str">
        <f>IF($AM573="","",INDEX(TAX_MODES!$B:$B,MATCH($AM573,TAX_MODES!$A:$A,0)))</f>
        <v/>
      </c>
    </row>
    <row r="574" spans="24:40" x14ac:dyDescent="0.3">
      <c r="X574" s="13"/>
      <c r="Y574" s="13" t="str">
        <f>IF($X574="","",SUMIFS(TARIFF_PROFILES!$D:$D,TARIFF_PROFILES!$A:$A,$X574))</f>
        <v/>
      </c>
      <c r="Z574" s="13" t="str">
        <f>IF($X574="","",SUMIFS(TARIFF_PROFILES!$E:$E,TARIFF_PROFILES!$A:$A,$X574))</f>
        <v/>
      </c>
      <c r="AA574" s="13" t="str">
        <f>IF($X574="","",SUMIFS(TARIFF_PROFILES!$F:$F,TARIFF_PROFILES!$A:$A,$X574))</f>
        <v/>
      </c>
      <c r="AB574" s="13" t="str">
        <f>IF($X574="","",SUMIFS(TARIFF_PROFILES!$G:$G,TARIFF_PROFILES!$A:$A,$X574))</f>
        <v/>
      </c>
      <c r="AC574" s="13" t="str">
        <f>IF($X574="","",SUMIFS(TARIFF_PROFILES!$H:$H,TARIFF_PROFILES!$A:$A,$X574))</f>
        <v/>
      </c>
      <c r="AD574" s="13" t="str">
        <f>IF($X574="","",INDEX(TARIFF_PROFILES!$J:$J,MATCH($X574,TARIFF_PROFILES!$A:$A,0)))</f>
        <v/>
      </c>
      <c r="AE574" s="13" t="str">
        <f>IF($X574="","",INDEX(TARIFF_PROFILES!$K:$K,MATCH($X574,TARIFF_PROFILES!$A:$A,0)))</f>
        <v/>
      </c>
      <c r="AH574" t="str">
        <f>IF($AG574="","",SUMIFS(OPERATING_COEFFS!$C:$C,OPERATING_COEFFS!$A:$A,"DistanceClass",OPERATING_COEFFS!$B:$B,$AG574))</f>
        <v/>
      </c>
      <c r="AJ574" t="str">
        <f>IF($AI574="","",SUMIFS(OPERATING_COEFFS!$C:$C,OPERATING_COEFFS!$A:$A,"SeasonClass",OPERATING_COEFFS!$B:$B,$AI574))</f>
        <v/>
      </c>
      <c r="AL574" t="str">
        <f>IF($AK574="","",SUMIFS(OPERATING_COEFFS!$C:$C,OPERATING_COEFFS!$A:$A,"UrgencyClass",OPERATING_COEFFS!$B:$B,$AK574))</f>
        <v/>
      </c>
      <c r="AN574" t="str">
        <f>IF($AM574="","",INDEX(TAX_MODES!$B:$B,MATCH($AM574,TAX_MODES!$A:$A,0)))</f>
        <v/>
      </c>
    </row>
    <row r="575" spans="24:40" x14ac:dyDescent="0.3">
      <c r="X575" s="13"/>
      <c r="Y575" s="13" t="str">
        <f>IF($X575="","",SUMIFS(TARIFF_PROFILES!$D:$D,TARIFF_PROFILES!$A:$A,$X575))</f>
        <v/>
      </c>
      <c r="Z575" s="13" t="str">
        <f>IF($X575="","",SUMIFS(TARIFF_PROFILES!$E:$E,TARIFF_PROFILES!$A:$A,$X575))</f>
        <v/>
      </c>
      <c r="AA575" s="13" t="str">
        <f>IF($X575="","",SUMIFS(TARIFF_PROFILES!$F:$F,TARIFF_PROFILES!$A:$A,$X575))</f>
        <v/>
      </c>
      <c r="AB575" s="13" t="str">
        <f>IF($X575="","",SUMIFS(TARIFF_PROFILES!$G:$G,TARIFF_PROFILES!$A:$A,$X575))</f>
        <v/>
      </c>
      <c r="AC575" s="13" t="str">
        <f>IF($X575="","",SUMIFS(TARIFF_PROFILES!$H:$H,TARIFF_PROFILES!$A:$A,$X575))</f>
        <v/>
      </c>
      <c r="AD575" s="13" t="str">
        <f>IF($X575="","",INDEX(TARIFF_PROFILES!$J:$J,MATCH($X575,TARIFF_PROFILES!$A:$A,0)))</f>
        <v/>
      </c>
      <c r="AE575" s="13" t="str">
        <f>IF($X575="","",INDEX(TARIFF_PROFILES!$K:$K,MATCH($X575,TARIFF_PROFILES!$A:$A,0)))</f>
        <v/>
      </c>
      <c r="AH575" t="str">
        <f>IF($AG575="","",SUMIFS(OPERATING_COEFFS!$C:$C,OPERATING_COEFFS!$A:$A,"DistanceClass",OPERATING_COEFFS!$B:$B,$AG575))</f>
        <v/>
      </c>
      <c r="AJ575" t="str">
        <f>IF($AI575="","",SUMIFS(OPERATING_COEFFS!$C:$C,OPERATING_COEFFS!$A:$A,"SeasonClass",OPERATING_COEFFS!$B:$B,$AI575))</f>
        <v/>
      </c>
      <c r="AL575" t="str">
        <f>IF($AK575="","",SUMIFS(OPERATING_COEFFS!$C:$C,OPERATING_COEFFS!$A:$A,"UrgencyClass",OPERATING_COEFFS!$B:$B,$AK575))</f>
        <v/>
      </c>
      <c r="AN575" t="str">
        <f>IF($AM575="","",INDEX(TAX_MODES!$B:$B,MATCH($AM575,TAX_MODES!$A:$A,0)))</f>
        <v/>
      </c>
    </row>
    <row r="576" spans="24:40" x14ac:dyDescent="0.3">
      <c r="X576" s="13"/>
      <c r="Y576" s="13" t="str">
        <f>IF($X576="","",SUMIFS(TARIFF_PROFILES!$D:$D,TARIFF_PROFILES!$A:$A,$X576))</f>
        <v/>
      </c>
      <c r="Z576" s="13" t="str">
        <f>IF($X576="","",SUMIFS(TARIFF_PROFILES!$E:$E,TARIFF_PROFILES!$A:$A,$X576))</f>
        <v/>
      </c>
      <c r="AA576" s="13" t="str">
        <f>IF($X576="","",SUMIFS(TARIFF_PROFILES!$F:$F,TARIFF_PROFILES!$A:$A,$X576))</f>
        <v/>
      </c>
      <c r="AB576" s="13" t="str">
        <f>IF($X576="","",SUMIFS(TARIFF_PROFILES!$G:$G,TARIFF_PROFILES!$A:$A,$X576))</f>
        <v/>
      </c>
      <c r="AC576" s="13" t="str">
        <f>IF($X576="","",SUMIFS(TARIFF_PROFILES!$H:$H,TARIFF_PROFILES!$A:$A,$X576))</f>
        <v/>
      </c>
      <c r="AD576" s="13" t="str">
        <f>IF($X576="","",INDEX(TARIFF_PROFILES!$J:$J,MATCH($X576,TARIFF_PROFILES!$A:$A,0)))</f>
        <v/>
      </c>
      <c r="AE576" s="13" t="str">
        <f>IF($X576="","",INDEX(TARIFF_PROFILES!$K:$K,MATCH($X576,TARIFF_PROFILES!$A:$A,0)))</f>
        <v/>
      </c>
      <c r="AH576" t="str">
        <f>IF($AG576="","",SUMIFS(OPERATING_COEFFS!$C:$C,OPERATING_COEFFS!$A:$A,"DistanceClass",OPERATING_COEFFS!$B:$B,$AG576))</f>
        <v/>
      </c>
      <c r="AJ576" t="str">
        <f>IF($AI576="","",SUMIFS(OPERATING_COEFFS!$C:$C,OPERATING_COEFFS!$A:$A,"SeasonClass",OPERATING_COEFFS!$B:$B,$AI576))</f>
        <v/>
      </c>
      <c r="AL576" t="str">
        <f>IF($AK576="","",SUMIFS(OPERATING_COEFFS!$C:$C,OPERATING_COEFFS!$A:$A,"UrgencyClass",OPERATING_COEFFS!$B:$B,$AK576))</f>
        <v/>
      </c>
      <c r="AN576" t="str">
        <f>IF($AM576="","",INDEX(TAX_MODES!$B:$B,MATCH($AM576,TAX_MODES!$A:$A,0)))</f>
        <v/>
      </c>
    </row>
    <row r="577" spans="24:40" x14ac:dyDescent="0.3">
      <c r="X577" s="13"/>
      <c r="Y577" s="13" t="str">
        <f>IF($X577="","",SUMIFS(TARIFF_PROFILES!$D:$D,TARIFF_PROFILES!$A:$A,$X577))</f>
        <v/>
      </c>
      <c r="Z577" s="13" t="str">
        <f>IF($X577="","",SUMIFS(TARIFF_PROFILES!$E:$E,TARIFF_PROFILES!$A:$A,$X577))</f>
        <v/>
      </c>
      <c r="AA577" s="13" t="str">
        <f>IF($X577="","",SUMIFS(TARIFF_PROFILES!$F:$F,TARIFF_PROFILES!$A:$A,$X577))</f>
        <v/>
      </c>
      <c r="AB577" s="13" t="str">
        <f>IF($X577="","",SUMIFS(TARIFF_PROFILES!$G:$G,TARIFF_PROFILES!$A:$A,$X577))</f>
        <v/>
      </c>
      <c r="AC577" s="13" t="str">
        <f>IF($X577="","",SUMIFS(TARIFF_PROFILES!$H:$H,TARIFF_PROFILES!$A:$A,$X577))</f>
        <v/>
      </c>
      <c r="AD577" s="13" t="str">
        <f>IF($X577="","",INDEX(TARIFF_PROFILES!$J:$J,MATCH($X577,TARIFF_PROFILES!$A:$A,0)))</f>
        <v/>
      </c>
      <c r="AE577" s="13" t="str">
        <f>IF($X577="","",INDEX(TARIFF_PROFILES!$K:$K,MATCH($X577,TARIFF_PROFILES!$A:$A,0)))</f>
        <v/>
      </c>
      <c r="AH577" t="str">
        <f>IF($AG577="","",SUMIFS(OPERATING_COEFFS!$C:$C,OPERATING_COEFFS!$A:$A,"DistanceClass",OPERATING_COEFFS!$B:$B,$AG577))</f>
        <v/>
      </c>
      <c r="AJ577" t="str">
        <f>IF($AI577="","",SUMIFS(OPERATING_COEFFS!$C:$C,OPERATING_COEFFS!$A:$A,"SeasonClass",OPERATING_COEFFS!$B:$B,$AI577))</f>
        <v/>
      </c>
      <c r="AL577" t="str">
        <f>IF($AK577="","",SUMIFS(OPERATING_COEFFS!$C:$C,OPERATING_COEFFS!$A:$A,"UrgencyClass",OPERATING_COEFFS!$B:$B,$AK577))</f>
        <v/>
      </c>
      <c r="AN577" t="str">
        <f>IF($AM577="","",INDEX(TAX_MODES!$B:$B,MATCH($AM577,TAX_MODES!$A:$A,0)))</f>
        <v/>
      </c>
    </row>
    <row r="578" spans="24:40" x14ac:dyDescent="0.3">
      <c r="X578" s="13"/>
      <c r="Y578" s="13" t="str">
        <f>IF($X578="","",SUMIFS(TARIFF_PROFILES!$D:$D,TARIFF_PROFILES!$A:$A,$X578))</f>
        <v/>
      </c>
      <c r="Z578" s="13" t="str">
        <f>IF($X578="","",SUMIFS(TARIFF_PROFILES!$E:$E,TARIFF_PROFILES!$A:$A,$X578))</f>
        <v/>
      </c>
      <c r="AA578" s="13" t="str">
        <f>IF($X578="","",SUMIFS(TARIFF_PROFILES!$F:$F,TARIFF_PROFILES!$A:$A,$X578))</f>
        <v/>
      </c>
      <c r="AB578" s="13" t="str">
        <f>IF($X578="","",SUMIFS(TARIFF_PROFILES!$G:$G,TARIFF_PROFILES!$A:$A,$X578))</f>
        <v/>
      </c>
      <c r="AC578" s="13" t="str">
        <f>IF($X578="","",SUMIFS(TARIFF_PROFILES!$H:$H,TARIFF_PROFILES!$A:$A,$X578))</f>
        <v/>
      </c>
      <c r="AD578" s="13" t="str">
        <f>IF($X578="","",INDEX(TARIFF_PROFILES!$J:$J,MATCH($X578,TARIFF_PROFILES!$A:$A,0)))</f>
        <v/>
      </c>
      <c r="AE578" s="13" t="str">
        <f>IF($X578="","",INDEX(TARIFF_PROFILES!$K:$K,MATCH($X578,TARIFF_PROFILES!$A:$A,0)))</f>
        <v/>
      </c>
      <c r="AH578" t="str">
        <f>IF($AG578="","",SUMIFS(OPERATING_COEFFS!$C:$C,OPERATING_COEFFS!$A:$A,"DistanceClass",OPERATING_COEFFS!$B:$B,$AG578))</f>
        <v/>
      </c>
      <c r="AJ578" t="str">
        <f>IF($AI578="","",SUMIFS(OPERATING_COEFFS!$C:$C,OPERATING_COEFFS!$A:$A,"SeasonClass",OPERATING_COEFFS!$B:$B,$AI578))</f>
        <v/>
      </c>
      <c r="AL578" t="str">
        <f>IF($AK578="","",SUMIFS(OPERATING_COEFFS!$C:$C,OPERATING_COEFFS!$A:$A,"UrgencyClass",OPERATING_COEFFS!$B:$B,$AK578))</f>
        <v/>
      </c>
      <c r="AN578" t="str">
        <f>IF($AM578="","",INDEX(TAX_MODES!$B:$B,MATCH($AM578,TAX_MODES!$A:$A,0)))</f>
        <v/>
      </c>
    </row>
    <row r="579" spans="24:40" x14ac:dyDescent="0.3">
      <c r="X579" s="13"/>
      <c r="Y579" s="13" t="str">
        <f>IF($X579="","",SUMIFS(TARIFF_PROFILES!$D:$D,TARIFF_PROFILES!$A:$A,$X579))</f>
        <v/>
      </c>
      <c r="Z579" s="13" t="str">
        <f>IF($X579="","",SUMIFS(TARIFF_PROFILES!$E:$E,TARIFF_PROFILES!$A:$A,$X579))</f>
        <v/>
      </c>
      <c r="AA579" s="13" t="str">
        <f>IF($X579="","",SUMIFS(TARIFF_PROFILES!$F:$F,TARIFF_PROFILES!$A:$A,$X579))</f>
        <v/>
      </c>
      <c r="AB579" s="13" t="str">
        <f>IF($X579="","",SUMIFS(TARIFF_PROFILES!$G:$G,TARIFF_PROFILES!$A:$A,$X579))</f>
        <v/>
      </c>
      <c r="AC579" s="13" t="str">
        <f>IF($X579="","",SUMIFS(TARIFF_PROFILES!$H:$H,TARIFF_PROFILES!$A:$A,$X579))</f>
        <v/>
      </c>
      <c r="AD579" s="13" t="str">
        <f>IF($X579="","",INDEX(TARIFF_PROFILES!$J:$J,MATCH($X579,TARIFF_PROFILES!$A:$A,0)))</f>
        <v/>
      </c>
      <c r="AE579" s="13" t="str">
        <f>IF($X579="","",INDEX(TARIFF_PROFILES!$K:$K,MATCH($X579,TARIFF_PROFILES!$A:$A,0)))</f>
        <v/>
      </c>
      <c r="AH579" t="str">
        <f>IF($AG579="","",SUMIFS(OPERATING_COEFFS!$C:$C,OPERATING_COEFFS!$A:$A,"DistanceClass",OPERATING_COEFFS!$B:$B,$AG579))</f>
        <v/>
      </c>
      <c r="AJ579" t="str">
        <f>IF($AI579="","",SUMIFS(OPERATING_COEFFS!$C:$C,OPERATING_COEFFS!$A:$A,"SeasonClass",OPERATING_COEFFS!$B:$B,$AI579))</f>
        <v/>
      </c>
      <c r="AL579" t="str">
        <f>IF($AK579="","",SUMIFS(OPERATING_COEFFS!$C:$C,OPERATING_COEFFS!$A:$A,"UrgencyClass",OPERATING_COEFFS!$B:$B,$AK579))</f>
        <v/>
      </c>
      <c r="AN579" t="str">
        <f>IF($AM579="","",INDEX(TAX_MODES!$B:$B,MATCH($AM579,TAX_MODES!$A:$A,0)))</f>
        <v/>
      </c>
    </row>
    <row r="580" spans="24:40" x14ac:dyDescent="0.3">
      <c r="X580" s="13"/>
      <c r="Y580" s="13" t="str">
        <f>IF($X580="","",SUMIFS(TARIFF_PROFILES!$D:$D,TARIFF_PROFILES!$A:$A,$X580))</f>
        <v/>
      </c>
      <c r="Z580" s="13" t="str">
        <f>IF($X580="","",SUMIFS(TARIFF_PROFILES!$E:$E,TARIFF_PROFILES!$A:$A,$X580))</f>
        <v/>
      </c>
      <c r="AA580" s="13" t="str">
        <f>IF($X580="","",SUMIFS(TARIFF_PROFILES!$F:$F,TARIFF_PROFILES!$A:$A,$X580))</f>
        <v/>
      </c>
      <c r="AB580" s="13" t="str">
        <f>IF($X580="","",SUMIFS(TARIFF_PROFILES!$G:$G,TARIFF_PROFILES!$A:$A,$X580))</f>
        <v/>
      </c>
      <c r="AC580" s="13" t="str">
        <f>IF($X580="","",SUMIFS(TARIFF_PROFILES!$H:$H,TARIFF_PROFILES!$A:$A,$X580))</f>
        <v/>
      </c>
      <c r="AD580" s="13" t="str">
        <f>IF($X580="","",INDEX(TARIFF_PROFILES!$J:$J,MATCH($X580,TARIFF_PROFILES!$A:$A,0)))</f>
        <v/>
      </c>
      <c r="AE580" s="13" t="str">
        <f>IF($X580="","",INDEX(TARIFF_PROFILES!$K:$K,MATCH($X580,TARIFF_PROFILES!$A:$A,0)))</f>
        <v/>
      </c>
      <c r="AH580" t="str">
        <f>IF($AG580="","",SUMIFS(OPERATING_COEFFS!$C:$C,OPERATING_COEFFS!$A:$A,"DistanceClass",OPERATING_COEFFS!$B:$B,$AG580))</f>
        <v/>
      </c>
      <c r="AJ580" t="str">
        <f>IF($AI580="","",SUMIFS(OPERATING_COEFFS!$C:$C,OPERATING_COEFFS!$A:$A,"SeasonClass",OPERATING_COEFFS!$B:$B,$AI580))</f>
        <v/>
      </c>
      <c r="AL580" t="str">
        <f>IF($AK580="","",SUMIFS(OPERATING_COEFFS!$C:$C,OPERATING_COEFFS!$A:$A,"UrgencyClass",OPERATING_COEFFS!$B:$B,$AK580))</f>
        <v/>
      </c>
      <c r="AN580" t="str">
        <f>IF($AM580="","",INDEX(TAX_MODES!$B:$B,MATCH($AM580,TAX_MODES!$A:$A,0)))</f>
        <v/>
      </c>
    </row>
    <row r="581" spans="24:40" x14ac:dyDescent="0.3">
      <c r="X581" s="13"/>
      <c r="Y581" s="13" t="str">
        <f>IF($X581="","",SUMIFS(TARIFF_PROFILES!$D:$D,TARIFF_PROFILES!$A:$A,$X581))</f>
        <v/>
      </c>
      <c r="Z581" s="13" t="str">
        <f>IF($X581="","",SUMIFS(TARIFF_PROFILES!$E:$E,TARIFF_PROFILES!$A:$A,$X581))</f>
        <v/>
      </c>
      <c r="AA581" s="13" t="str">
        <f>IF($X581="","",SUMIFS(TARIFF_PROFILES!$F:$F,TARIFF_PROFILES!$A:$A,$X581))</f>
        <v/>
      </c>
      <c r="AB581" s="13" t="str">
        <f>IF($X581="","",SUMIFS(TARIFF_PROFILES!$G:$G,TARIFF_PROFILES!$A:$A,$X581))</f>
        <v/>
      </c>
      <c r="AC581" s="13" t="str">
        <f>IF($X581="","",SUMIFS(TARIFF_PROFILES!$H:$H,TARIFF_PROFILES!$A:$A,$X581))</f>
        <v/>
      </c>
      <c r="AD581" s="13" t="str">
        <f>IF($X581="","",INDEX(TARIFF_PROFILES!$J:$J,MATCH($X581,TARIFF_PROFILES!$A:$A,0)))</f>
        <v/>
      </c>
      <c r="AE581" s="13" t="str">
        <f>IF($X581="","",INDEX(TARIFF_PROFILES!$K:$K,MATCH($X581,TARIFF_PROFILES!$A:$A,0)))</f>
        <v/>
      </c>
      <c r="AH581" t="str">
        <f>IF($AG581="","",SUMIFS(OPERATING_COEFFS!$C:$C,OPERATING_COEFFS!$A:$A,"DistanceClass",OPERATING_COEFFS!$B:$B,$AG581))</f>
        <v/>
      </c>
      <c r="AJ581" t="str">
        <f>IF($AI581="","",SUMIFS(OPERATING_COEFFS!$C:$C,OPERATING_COEFFS!$A:$A,"SeasonClass",OPERATING_COEFFS!$B:$B,$AI581))</f>
        <v/>
      </c>
      <c r="AL581" t="str">
        <f>IF($AK581="","",SUMIFS(OPERATING_COEFFS!$C:$C,OPERATING_COEFFS!$A:$A,"UrgencyClass",OPERATING_COEFFS!$B:$B,$AK581))</f>
        <v/>
      </c>
      <c r="AN581" t="str">
        <f>IF($AM581="","",INDEX(TAX_MODES!$B:$B,MATCH($AM581,TAX_MODES!$A:$A,0)))</f>
        <v/>
      </c>
    </row>
    <row r="582" spans="24:40" x14ac:dyDescent="0.3">
      <c r="X582" s="13"/>
      <c r="Y582" s="13" t="str">
        <f>IF($X582="","",SUMIFS(TARIFF_PROFILES!$D:$D,TARIFF_PROFILES!$A:$A,$X582))</f>
        <v/>
      </c>
      <c r="Z582" s="13" t="str">
        <f>IF($X582="","",SUMIFS(TARIFF_PROFILES!$E:$E,TARIFF_PROFILES!$A:$A,$X582))</f>
        <v/>
      </c>
      <c r="AA582" s="13" t="str">
        <f>IF($X582="","",SUMIFS(TARIFF_PROFILES!$F:$F,TARIFF_PROFILES!$A:$A,$X582))</f>
        <v/>
      </c>
      <c r="AB582" s="13" t="str">
        <f>IF($X582="","",SUMIFS(TARIFF_PROFILES!$G:$G,TARIFF_PROFILES!$A:$A,$X582))</f>
        <v/>
      </c>
      <c r="AC582" s="13" t="str">
        <f>IF($X582="","",SUMIFS(TARIFF_PROFILES!$H:$H,TARIFF_PROFILES!$A:$A,$X582))</f>
        <v/>
      </c>
      <c r="AD582" s="13" t="str">
        <f>IF($X582="","",INDEX(TARIFF_PROFILES!$J:$J,MATCH($X582,TARIFF_PROFILES!$A:$A,0)))</f>
        <v/>
      </c>
      <c r="AE582" s="13" t="str">
        <f>IF($X582="","",INDEX(TARIFF_PROFILES!$K:$K,MATCH($X582,TARIFF_PROFILES!$A:$A,0)))</f>
        <v/>
      </c>
      <c r="AH582" t="str">
        <f>IF($AG582="","",SUMIFS(OPERATING_COEFFS!$C:$C,OPERATING_COEFFS!$A:$A,"DistanceClass",OPERATING_COEFFS!$B:$B,$AG582))</f>
        <v/>
      </c>
      <c r="AJ582" t="str">
        <f>IF($AI582="","",SUMIFS(OPERATING_COEFFS!$C:$C,OPERATING_COEFFS!$A:$A,"SeasonClass",OPERATING_COEFFS!$B:$B,$AI582))</f>
        <v/>
      </c>
      <c r="AL582" t="str">
        <f>IF($AK582="","",SUMIFS(OPERATING_COEFFS!$C:$C,OPERATING_COEFFS!$A:$A,"UrgencyClass",OPERATING_COEFFS!$B:$B,$AK582))</f>
        <v/>
      </c>
      <c r="AN582" t="str">
        <f>IF($AM582="","",INDEX(TAX_MODES!$B:$B,MATCH($AM582,TAX_MODES!$A:$A,0)))</f>
        <v/>
      </c>
    </row>
    <row r="583" spans="24:40" x14ac:dyDescent="0.3">
      <c r="X583" s="13"/>
      <c r="Y583" s="13" t="str">
        <f>IF($X583="","",SUMIFS(TARIFF_PROFILES!$D:$D,TARIFF_PROFILES!$A:$A,$X583))</f>
        <v/>
      </c>
      <c r="Z583" s="13" t="str">
        <f>IF($X583="","",SUMIFS(TARIFF_PROFILES!$E:$E,TARIFF_PROFILES!$A:$A,$X583))</f>
        <v/>
      </c>
      <c r="AA583" s="13" t="str">
        <f>IF($X583="","",SUMIFS(TARIFF_PROFILES!$F:$F,TARIFF_PROFILES!$A:$A,$X583))</f>
        <v/>
      </c>
      <c r="AB583" s="13" t="str">
        <f>IF($X583="","",SUMIFS(TARIFF_PROFILES!$G:$G,TARIFF_PROFILES!$A:$A,$X583))</f>
        <v/>
      </c>
      <c r="AC583" s="13" t="str">
        <f>IF($X583="","",SUMIFS(TARIFF_PROFILES!$H:$H,TARIFF_PROFILES!$A:$A,$X583))</f>
        <v/>
      </c>
      <c r="AD583" s="13" t="str">
        <f>IF($X583="","",INDEX(TARIFF_PROFILES!$J:$J,MATCH($X583,TARIFF_PROFILES!$A:$A,0)))</f>
        <v/>
      </c>
      <c r="AE583" s="13" t="str">
        <f>IF($X583="","",INDEX(TARIFF_PROFILES!$K:$K,MATCH($X583,TARIFF_PROFILES!$A:$A,0)))</f>
        <v/>
      </c>
      <c r="AH583" t="str">
        <f>IF($AG583="","",SUMIFS(OPERATING_COEFFS!$C:$C,OPERATING_COEFFS!$A:$A,"DistanceClass",OPERATING_COEFFS!$B:$B,$AG583))</f>
        <v/>
      </c>
      <c r="AJ583" t="str">
        <f>IF($AI583="","",SUMIFS(OPERATING_COEFFS!$C:$C,OPERATING_COEFFS!$A:$A,"SeasonClass",OPERATING_COEFFS!$B:$B,$AI583))</f>
        <v/>
      </c>
      <c r="AL583" t="str">
        <f>IF($AK583="","",SUMIFS(OPERATING_COEFFS!$C:$C,OPERATING_COEFFS!$A:$A,"UrgencyClass",OPERATING_COEFFS!$B:$B,$AK583))</f>
        <v/>
      </c>
      <c r="AN583" t="str">
        <f>IF($AM583="","",INDEX(TAX_MODES!$B:$B,MATCH($AM583,TAX_MODES!$A:$A,0)))</f>
        <v/>
      </c>
    </row>
    <row r="584" spans="24:40" x14ac:dyDescent="0.3">
      <c r="X584" s="13"/>
      <c r="Y584" s="13" t="str">
        <f>IF($X584="","",SUMIFS(TARIFF_PROFILES!$D:$D,TARIFF_PROFILES!$A:$A,$X584))</f>
        <v/>
      </c>
      <c r="Z584" s="13" t="str">
        <f>IF($X584="","",SUMIFS(TARIFF_PROFILES!$E:$E,TARIFF_PROFILES!$A:$A,$X584))</f>
        <v/>
      </c>
      <c r="AA584" s="13" t="str">
        <f>IF($X584="","",SUMIFS(TARIFF_PROFILES!$F:$F,TARIFF_PROFILES!$A:$A,$X584))</f>
        <v/>
      </c>
      <c r="AB584" s="13" t="str">
        <f>IF($X584="","",SUMIFS(TARIFF_PROFILES!$G:$G,TARIFF_PROFILES!$A:$A,$X584))</f>
        <v/>
      </c>
      <c r="AC584" s="13" t="str">
        <f>IF($X584="","",SUMIFS(TARIFF_PROFILES!$H:$H,TARIFF_PROFILES!$A:$A,$X584))</f>
        <v/>
      </c>
      <c r="AD584" s="13" t="str">
        <f>IF($X584="","",INDEX(TARIFF_PROFILES!$J:$J,MATCH($X584,TARIFF_PROFILES!$A:$A,0)))</f>
        <v/>
      </c>
      <c r="AE584" s="13" t="str">
        <f>IF($X584="","",INDEX(TARIFF_PROFILES!$K:$K,MATCH($X584,TARIFF_PROFILES!$A:$A,0)))</f>
        <v/>
      </c>
      <c r="AH584" t="str">
        <f>IF($AG584="","",SUMIFS(OPERATING_COEFFS!$C:$C,OPERATING_COEFFS!$A:$A,"DistanceClass",OPERATING_COEFFS!$B:$B,$AG584))</f>
        <v/>
      </c>
      <c r="AJ584" t="str">
        <f>IF($AI584="","",SUMIFS(OPERATING_COEFFS!$C:$C,OPERATING_COEFFS!$A:$A,"SeasonClass",OPERATING_COEFFS!$B:$B,$AI584))</f>
        <v/>
      </c>
      <c r="AL584" t="str">
        <f>IF($AK584="","",SUMIFS(OPERATING_COEFFS!$C:$C,OPERATING_COEFFS!$A:$A,"UrgencyClass",OPERATING_COEFFS!$B:$B,$AK584))</f>
        <v/>
      </c>
      <c r="AN584" t="str">
        <f>IF($AM584="","",INDEX(TAX_MODES!$B:$B,MATCH($AM584,TAX_MODES!$A:$A,0)))</f>
        <v/>
      </c>
    </row>
    <row r="585" spans="24:40" x14ac:dyDescent="0.3">
      <c r="X585" s="13"/>
      <c r="Y585" s="13" t="str">
        <f>IF($X585="","",SUMIFS(TARIFF_PROFILES!$D:$D,TARIFF_PROFILES!$A:$A,$X585))</f>
        <v/>
      </c>
      <c r="Z585" s="13" t="str">
        <f>IF($X585="","",SUMIFS(TARIFF_PROFILES!$E:$E,TARIFF_PROFILES!$A:$A,$X585))</f>
        <v/>
      </c>
      <c r="AA585" s="13" t="str">
        <f>IF($X585="","",SUMIFS(TARIFF_PROFILES!$F:$F,TARIFF_PROFILES!$A:$A,$X585))</f>
        <v/>
      </c>
      <c r="AB585" s="13" t="str">
        <f>IF($X585="","",SUMIFS(TARIFF_PROFILES!$G:$G,TARIFF_PROFILES!$A:$A,$X585))</f>
        <v/>
      </c>
      <c r="AC585" s="13" t="str">
        <f>IF($X585="","",SUMIFS(TARIFF_PROFILES!$H:$H,TARIFF_PROFILES!$A:$A,$X585))</f>
        <v/>
      </c>
      <c r="AD585" s="13" t="str">
        <f>IF($X585="","",INDEX(TARIFF_PROFILES!$J:$J,MATCH($X585,TARIFF_PROFILES!$A:$A,0)))</f>
        <v/>
      </c>
      <c r="AE585" s="13" t="str">
        <f>IF($X585="","",INDEX(TARIFF_PROFILES!$K:$K,MATCH($X585,TARIFF_PROFILES!$A:$A,0)))</f>
        <v/>
      </c>
      <c r="AH585" t="str">
        <f>IF($AG585="","",SUMIFS(OPERATING_COEFFS!$C:$C,OPERATING_COEFFS!$A:$A,"DistanceClass",OPERATING_COEFFS!$B:$B,$AG585))</f>
        <v/>
      </c>
      <c r="AJ585" t="str">
        <f>IF($AI585="","",SUMIFS(OPERATING_COEFFS!$C:$C,OPERATING_COEFFS!$A:$A,"SeasonClass",OPERATING_COEFFS!$B:$B,$AI585))</f>
        <v/>
      </c>
      <c r="AL585" t="str">
        <f>IF($AK585="","",SUMIFS(OPERATING_COEFFS!$C:$C,OPERATING_COEFFS!$A:$A,"UrgencyClass",OPERATING_COEFFS!$B:$B,$AK585))</f>
        <v/>
      </c>
      <c r="AN585" t="str">
        <f>IF($AM585="","",INDEX(TAX_MODES!$B:$B,MATCH($AM585,TAX_MODES!$A:$A,0)))</f>
        <v/>
      </c>
    </row>
    <row r="586" spans="24:40" x14ac:dyDescent="0.3">
      <c r="X586" s="13"/>
      <c r="Y586" s="13" t="str">
        <f>IF($X586="","",SUMIFS(TARIFF_PROFILES!$D:$D,TARIFF_PROFILES!$A:$A,$X586))</f>
        <v/>
      </c>
      <c r="Z586" s="13" t="str">
        <f>IF($X586="","",SUMIFS(TARIFF_PROFILES!$E:$E,TARIFF_PROFILES!$A:$A,$X586))</f>
        <v/>
      </c>
      <c r="AA586" s="13" t="str">
        <f>IF($X586="","",SUMIFS(TARIFF_PROFILES!$F:$F,TARIFF_PROFILES!$A:$A,$X586))</f>
        <v/>
      </c>
      <c r="AB586" s="13" t="str">
        <f>IF($X586="","",SUMIFS(TARIFF_PROFILES!$G:$G,TARIFF_PROFILES!$A:$A,$X586))</f>
        <v/>
      </c>
      <c r="AC586" s="13" t="str">
        <f>IF($X586="","",SUMIFS(TARIFF_PROFILES!$H:$H,TARIFF_PROFILES!$A:$A,$X586))</f>
        <v/>
      </c>
      <c r="AD586" s="13" t="str">
        <f>IF($X586="","",INDEX(TARIFF_PROFILES!$J:$J,MATCH($X586,TARIFF_PROFILES!$A:$A,0)))</f>
        <v/>
      </c>
      <c r="AE586" s="13" t="str">
        <f>IF($X586="","",INDEX(TARIFF_PROFILES!$K:$K,MATCH($X586,TARIFF_PROFILES!$A:$A,0)))</f>
        <v/>
      </c>
      <c r="AH586" t="str">
        <f>IF($AG586="","",SUMIFS(OPERATING_COEFFS!$C:$C,OPERATING_COEFFS!$A:$A,"DistanceClass",OPERATING_COEFFS!$B:$B,$AG586))</f>
        <v/>
      </c>
      <c r="AJ586" t="str">
        <f>IF($AI586="","",SUMIFS(OPERATING_COEFFS!$C:$C,OPERATING_COEFFS!$A:$A,"SeasonClass",OPERATING_COEFFS!$B:$B,$AI586))</f>
        <v/>
      </c>
      <c r="AL586" t="str">
        <f>IF($AK586="","",SUMIFS(OPERATING_COEFFS!$C:$C,OPERATING_COEFFS!$A:$A,"UrgencyClass",OPERATING_COEFFS!$B:$B,$AK586))</f>
        <v/>
      </c>
      <c r="AN586" t="str">
        <f>IF($AM586="","",INDEX(TAX_MODES!$B:$B,MATCH($AM586,TAX_MODES!$A:$A,0)))</f>
        <v/>
      </c>
    </row>
    <row r="587" spans="24:40" x14ac:dyDescent="0.3">
      <c r="X587" s="13"/>
      <c r="Y587" s="13" t="str">
        <f>IF($X587="","",SUMIFS(TARIFF_PROFILES!$D:$D,TARIFF_PROFILES!$A:$A,$X587))</f>
        <v/>
      </c>
      <c r="Z587" s="13" t="str">
        <f>IF($X587="","",SUMIFS(TARIFF_PROFILES!$E:$E,TARIFF_PROFILES!$A:$A,$X587))</f>
        <v/>
      </c>
      <c r="AA587" s="13" t="str">
        <f>IF($X587="","",SUMIFS(TARIFF_PROFILES!$F:$F,TARIFF_PROFILES!$A:$A,$X587))</f>
        <v/>
      </c>
      <c r="AB587" s="13" t="str">
        <f>IF($X587="","",SUMIFS(TARIFF_PROFILES!$G:$G,TARIFF_PROFILES!$A:$A,$X587))</f>
        <v/>
      </c>
      <c r="AC587" s="13" t="str">
        <f>IF($X587="","",SUMIFS(TARIFF_PROFILES!$H:$H,TARIFF_PROFILES!$A:$A,$X587))</f>
        <v/>
      </c>
      <c r="AD587" s="13" t="str">
        <f>IF($X587="","",INDEX(TARIFF_PROFILES!$J:$J,MATCH($X587,TARIFF_PROFILES!$A:$A,0)))</f>
        <v/>
      </c>
      <c r="AE587" s="13" t="str">
        <f>IF($X587="","",INDEX(TARIFF_PROFILES!$K:$K,MATCH($X587,TARIFF_PROFILES!$A:$A,0)))</f>
        <v/>
      </c>
      <c r="AH587" t="str">
        <f>IF($AG587="","",SUMIFS(OPERATING_COEFFS!$C:$C,OPERATING_COEFFS!$A:$A,"DistanceClass",OPERATING_COEFFS!$B:$B,$AG587))</f>
        <v/>
      </c>
      <c r="AJ587" t="str">
        <f>IF($AI587="","",SUMIFS(OPERATING_COEFFS!$C:$C,OPERATING_COEFFS!$A:$A,"SeasonClass",OPERATING_COEFFS!$B:$B,$AI587))</f>
        <v/>
      </c>
      <c r="AL587" t="str">
        <f>IF($AK587="","",SUMIFS(OPERATING_COEFFS!$C:$C,OPERATING_COEFFS!$A:$A,"UrgencyClass",OPERATING_COEFFS!$B:$B,$AK587))</f>
        <v/>
      </c>
      <c r="AN587" t="str">
        <f>IF($AM587="","",INDEX(TAX_MODES!$B:$B,MATCH($AM587,TAX_MODES!$A:$A,0)))</f>
        <v/>
      </c>
    </row>
    <row r="588" spans="24:40" x14ac:dyDescent="0.3">
      <c r="X588" s="13"/>
      <c r="Y588" s="13" t="str">
        <f>IF($X588="","",SUMIFS(TARIFF_PROFILES!$D:$D,TARIFF_PROFILES!$A:$A,$X588))</f>
        <v/>
      </c>
      <c r="Z588" s="13" t="str">
        <f>IF($X588="","",SUMIFS(TARIFF_PROFILES!$E:$E,TARIFF_PROFILES!$A:$A,$X588))</f>
        <v/>
      </c>
      <c r="AA588" s="13" t="str">
        <f>IF($X588="","",SUMIFS(TARIFF_PROFILES!$F:$F,TARIFF_PROFILES!$A:$A,$X588))</f>
        <v/>
      </c>
      <c r="AB588" s="13" t="str">
        <f>IF($X588="","",SUMIFS(TARIFF_PROFILES!$G:$G,TARIFF_PROFILES!$A:$A,$X588))</f>
        <v/>
      </c>
      <c r="AC588" s="13" t="str">
        <f>IF($X588="","",SUMIFS(TARIFF_PROFILES!$H:$H,TARIFF_PROFILES!$A:$A,$X588))</f>
        <v/>
      </c>
      <c r="AD588" s="13" t="str">
        <f>IF($X588="","",INDEX(TARIFF_PROFILES!$J:$J,MATCH($X588,TARIFF_PROFILES!$A:$A,0)))</f>
        <v/>
      </c>
      <c r="AE588" s="13" t="str">
        <f>IF($X588="","",INDEX(TARIFF_PROFILES!$K:$K,MATCH($X588,TARIFF_PROFILES!$A:$A,0)))</f>
        <v/>
      </c>
      <c r="AH588" t="str">
        <f>IF($AG588="","",SUMIFS(OPERATING_COEFFS!$C:$C,OPERATING_COEFFS!$A:$A,"DistanceClass",OPERATING_COEFFS!$B:$B,$AG588))</f>
        <v/>
      </c>
      <c r="AJ588" t="str">
        <f>IF($AI588="","",SUMIFS(OPERATING_COEFFS!$C:$C,OPERATING_COEFFS!$A:$A,"SeasonClass",OPERATING_COEFFS!$B:$B,$AI588))</f>
        <v/>
      </c>
      <c r="AL588" t="str">
        <f>IF($AK588="","",SUMIFS(OPERATING_COEFFS!$C:$C,OPERATING_COEFFS!$A:$A,"UrgencyClass",OPERATING_COEFFS!$B:$B,$AK588))</f>
        <v/>
      </c>
      <c r="AN588" t="str">
        <f>IF($AM588="","",INDEX(TAX_MODES!$B:$B,MATCH($AM588,TAX_MODES!$A:$A,0)))</f>
        <v/>
      </c>
    </row>
    <row r="589" spans="24:40" x14ac:dyDescent="0.3">
      <c r="X589" s="13"/>
      <c r="Y589" s="13" t="str">
        <f>IF($X589="","",SUMIFS(TARIFF_PROFILES!$D:$D,TARIFF_PROFILES!$A:$A,$X589))</f>
        <v/>
      </c>
      <c r="Z589" s="13" t="str">
        <f>IF($X589="","",SUMIFS(TARIFF_PROFILES!$E:$E,TARIFF_PROFILES!$A:$A,$X589))</f>
        <v/>
      </c>
      <c r="AA589" s="13" t="str">
        <f>IF($X589="","",SUMIFS(TARIFF_PROFILES!$F:$F,TARIFF_PROFILES!$A:$A,$X589))</f>
        <v/>
      </c>
      <c r="AB589" s="13" t="str">
        <f>IF($X589="","",SUMIFS(TARIFF_PROFILES!$G:$G,TARIFF_PROFILES!$A:$A,$X589))</f>
        <v/>
      </c>
      <c r="AC589" s="13" t="str">
        <f>IF($X589="","",SUMIFS(TARIFF_PROFILES!$H:$H,TARIFF_PROFILES!$A:$A,$X589))</f>
        <v/>
      </c>
      <c r="AD589" s="13" t="str">
        <f>IF($X589="","",INDEX(TARIFF_PROFILES!$J:$J,MATCH($X589,TARIFF_PROFILES!$A:$A,0)))</f>
        <v/>
      </c>
      <c r="AE589" s="13" t="str">
        <f>IF($X589="","",INDEX(TARIFF_PROFILES!$K:$K,MATCH($X589,TARIFF_PROFILES!$A:$A,0)))</f>
        <v/>
      </c>
      <c r="AH589" t="str">
        <f>IF($AG589="","",SUMIFS(OPERATING_COEFFS!$C:$C,OPERATING_COEFFS!$A:$A,"DistanceClass",OPERATING_COEFFS!$B:$B,$AG589))</f>
        <v/>
      </c>
      <c r="AJ589" t="str">
        <f>IF($AI589="","",SUMIFS(OPERATING_COEFFS!$C:$C,OPERATING_COEFFS!$A:$A,"SeasonClass",OPERATING_COEFFS!$B:$B,$AI589))</f>
        <v/>
      </c>
      <c r="AL589" t="str">
        <f>IF($AK589="","",SUMIFS(OPERATING_COEFFS!$C:$C,OPERATING_COEFFS!$A:$A,"UrgencyClass",OPERATING_COEFFS!$B:$B,$AK589))</f>
        <v/>
      </c>
      <c r="AN589" t="str">
        <f>IF($AM589="","",INDEX(TAX_MODES!$B:$B,MATCH($AM589,TAX_MODES!$A:$A,0)))</f>
        <v/>
      </c>
    </row>
    <row r="590" spans="24:40" x14ac:dyDescent="0.3">
      <c r="X590" s="13"/>
      <c r="Y590" s="13" t="str">
        <f>IF($X590="","",SUMIFS(TARIFF_PROFILES!$D:$D,TARIFF_PROFILES!$A:$A,$X590))</f>
        <v/>
      </c>
      <c r="Z590" s="13" t="str">
        <f>IF($X590="","",SUMIFS(TARIFF_PROFILES!$E:$E,TARIFF_PROFILES!$A:$A,$X590))</f>
        <v/>
      </c>
      <c r="AA590" s="13" t="str">
        <f>IF($X590="","",SUMIFS(TARIFF_PROFILES!$F:$F,TARIFF_PROFILES!$A:$A,$X590))</f>
        <v/>
      </c>
      <c r="AB590" s="13" t="str">
        <f>IF($X590="","",SUMIFS(TARIFF_PROFILES!$G:$G,TARIFF_PROFILES!$A:$A,$X590))</f>
        <v/>
      </c>
      <c r="AC590" s="13" t="str">
        <f>IF($X590="","",SUMIFS(TARIFF_PROFILES!$H:$H,TARIFF_PROFILES!$A:$A,$X590))</f>
        <v/>
      </c>
      <c r="AD590" s="13" t="str">
        <f>IF($X590="","",INDEX(TARIFF_PROFILES!$J:$J,MATCH($X590,TARIFF_PROFILES!$A:$A,0)))</f>
        <v/>
      </c>
      <c r="AE590" s="13" t="str">
        <f>IF($X590="","",INDEX(TARIFF_PROFILES!$K:$K,MATCH($X590,TARIFF_PROFILES!$A:$A,0)))</f>
        <v/>
      </c>
      <c r="AH590" t="str">
        <f>IF($AG590="","",SUMIFS(OPERATING_COEFFS!$C:$C,OPERATING_COEFFS!$A:$A,"DistanceClass",OPERATING_COEFFS!$B:$B,$AG590))</f>
        <v/>
      </c>
      <c r="AJ590" t="str">
        <f>IF($AI590="","",SUMIFS(OPERATING_COEFFS!$C:$C,OPERATING_COEFFS!$A:$A,"SeasonClass",OPERATING_COEFFS!$B:$B,$AI590))</f>
        <v/>
      </c>
      <c r="AL590" t="str">
        <f>IF($AK590="","",SUMIFS(OPERATING_COEFFS!$C:$C,OPERATING_COEFFS!$A:$A,"UrgencyClass",OPERATING_COEFFS!$B:$B,$AK590))</f>
        <v/>
      </c>
      <c r="AN590" t="str">
        <f>IF($AM590="","",INDEX(TAX_MODES!$B:$B,MATCH($AM590,TAX_MODES!$A:$A,0)))</f>
        <v/>
      </c>
    </row>
    <row r="591" spans="24:40" x14ac:dyDescent="0.3">
      <c r="X591" s="13"/>
      <c r="Y591" s="13" t="str">
        <f>IF($X591="","",SUMIFS(TARIFF_PROFILES!$D:$D,TARIFF_PROFILES!$A:$A,$X591))</f>
        <v/>
      </c>
      <c r="Z591" s="13" t="str">
        <f>IF($X591="","",SUMIFS(TARIFF_PROFILES!$E:$E,TARIFF_PROFILES!$A:$A,$X591))</f>
        <v/>
      </c>
      <c r="AA591" s="13" t="str">
        <f>IF($X591="","",SUMIFS(TARIFF_PROFILES!$F:$F,TARIFF_PROFILES!$A:$A,$X591))</f>
        <v/>
      </c>
      <c r="AB591" s="13" t="str">
        <f>IF($X591="","",SUMIFS(TARIFF_PROFILES!$G:$G,TARIFF_PROFILES!$A:$A,$X591))</f>
        <v/>
      </c>
      <c r="AC591" s="13" t="str">
        <f>IF($X591="","",SUMIFS(TARIFF_PROFILES!$H:$H,TARIFF_PROFILES!$A:$A,$X591))</f>
        <v/>
      </c>
      <c r="AD591" s="13" t="str">
        <f>IF($X591="","",INDEX(TARIFF_PROFILES!$J:$J,MATCH($X591,TARIFF_PROFILES!$A:$A,0)))</f>
        <v/>
      </c>
      <c r="AE591" s="13" t="str">
        <f>IF($X591="","",INDEX(TARIFF_PROFILES!$K:$K,MATCH($X591,TARIFF_PROFILES!$A:$A,0)))</f>
        <v/>
      </c>
      <c r="AH591" t="str">
        <f>IF($AG591="","",SUMIFS(OPERATING_COEFFS!$C:$C,OPERATING_COEFFS!$A:$A,"DistanceClass",OPERATING_COEFFS!$B:$B,$AG591))</f>
        <v/>
      </c>
      <c r="AJ591" t="str">
        <f>IF($AI591="","",SUMIFS(OPERATING_COEFFS!$C:$C,OPERATING_COEFFS!$A:$A,"SeasonClass",OPERATING_COEFFS!$B:$B,$AI591))</f>
        <v/>
      </c>
      <c r="AL591" t="str">
        <f>IF($AK591="","",SUMIFS(OPERATING_COEFFS!$C:$C,OPERATING_COEFFS!$A:$A,"UrgencyClass",OPERATING_COEFFS!$B:$B,$AK591))</f>
        <v/>
      </c>
      <c r="AN591" t="str">
        <f>IF($AM591="","",INDEX(TAX_MODES!$B:$B,MATCH($AM591,TAX_MODES!$A:$A,0)))</f>
        <v/>
      </c>
    </row>
    <row r="592" spans="24:40" x14ac:dyDescent="0.3">
      <c r="X592" s="13"/>
      <c r="Y592" s="13" t="str">
        <f>IF($X592="","",SUMIFS(TARIFF_PROFILES!$D:$D,TARIFF_PROFILES!$A:$A,$X592))</f>
        <v/>
      </c>
      <c r="Z592" s="13" t="str">
        <f>IF($X592="","",SUMIFS(TARIFF_PROFILES!$E:$E,TARIFF_PROFILES!$A:$A,$X592))</f>
        <v/>
      </c>
      <c r="AA592" s="13" t="str">
        <f>IF($X592="","",SUMIFS(TARIFF_PROFILES!$F:$F,TARIFF_PROFILES!$A:$A,$X592))</f>
        <v/>
      </c>
      <c r="AB592" s="13" t="str">
        <f>IF($X592="","",SUMIFS(TARIFF_PROFILES!$G:$G,TARIFF_PROFILES!$A:$A,$X592))</f>
        <v/>
      </c>
      <c r="AC592" s="13" t="str">
        <f>IF($X592="","",SUMIFS(TARIFF_PROFILES!$H:$H,TARIFF_PROFILES!$A:$A,$X592))</f>
        <v/>
      </c>
      <c r="AD592" s="13" t="str">
        <f>IF($X592="","",INDEX(TARIFF_PROFILES!$J:$J,MATCH($X592,TARIFF_PROFILES!$A:$A,0)))</f>
        <v/>
      </c>
      <c r="AE592" s="13" t="str">
        <f>IF($X592="","",INDEX(TARIFF_PROFILES!$K:$K,MATCH($X592,TARIFF_PROFILES!$A:$A,0)))</f>
        <v/>
      </c>
      <c r="AH592" t="str">
        <f>IF($AG592="","",SUMIFS(OPERATING_COEFFS!$C:$C,OPERATING_COEFFS!$A:$A,"DistanceClass",OPERATING_COEFFS!$B:$B,$AG592))</f>
        <v/>
      </c>
      <c r="AJ592" t="str">
        <f>IF($AI592="","",SUMIFS(OPERATING_COEFFS!$C:$C,OPERATING_COEFFS!$A:$A,"SeasonClass",OPERATING_COEFFS!$B:$B,$AI592))</f>
        <v/>
      </c>
      <c r="AL592" t="str">
        <f>IF($AK592="","",SUMIFS(OPERATING_COEFFS!$C:$C,OPERATING_COEFFS!$A:$A,"UrgencyClass",OPERATING_COEFFS!$B:$B,$AK592))</f>
        <v/>
      </c>
      <c r="AN592" t="str">
        <f>IF($AM592="","",INDEX(TAX_MODES!$B:$B,MATCH($AM592,TAX_MODES!$A:$A,0)))</f>
        <v/>
      </c>
    </row>
    <row r="593" spans="24:40" x14ac:dyDescent="0.3">
      <c r="X593" s="13"/>
      <c r="Y593" s="13" t="str">
        <f>IF($X593="","",SUMIFS(TARIFF_PROFILES!$D:$D,TARIFF_PROFILES!$A:$A,$X593))</f>
        <v/>
      </c>
      <c r="Z593" s="13" t="str">
        <f>IF($X593="","",SUMIFS(TARIFF_PROFILES!$E:$E,TARIFF_PROFILES!$A:$A,$X593))</f>
        <v/>
      </c>
      <c r="AA593" s="13" t="str">
        <f>IF($X593="","",SUMIFS(TARIFF_PROFILES!$F:$F,TARIFF_PROFILES!$A:$A,$X593))</f>
        <v/>
      </c>
      <c r="AB593" s="13" t="str">
        <f>IF($X593="","",SUMIFS(TARIFF_PROFILES!$G:$G,TARIFF_PROFILES!$A:$A,$X593))</f>
        <v/>
      </c>
      <c r="AC593" s="13" t="str">
        <f>IF($X593="","",SUMIFS(TARIFF_PROFILES!$H:$H,TARIFF_PROFILES!$A:$A,$X593))</f>
        <v/>
      </c>
      <c r="AD593" s="13" t="str">
        <f>IF($X593="","",INDEX(TARIFF_PROFILES!$J:$J,MATCH($X593,TARIFF_PROFILES!$A:$A,0)))</f>
        <v/>
      </c>
      <c r="AE593" s="13" t="str">
        <f>IF($X593="","",INDEX(TARIFF_PROFILES!$K:$K,MATCH($X593,TARIFF_PROFILES!$A:$A,0)))</f>
        <v/>
      </c>
      <c r="AH593" t="str">
        <f>IF($AG593="","",SUMIFS(OPERATING_COEFFS!$C:$C,OPERATING_COEFFS!$A:$A,"DistanceClass",OPERATING_COEFFS!$B:$B,$AG593))</f>
        <v/>
      </c>
      <c r="AJ593" t="str">
        <f>IF($AI593="","",SUMIFS(OPERATING_COEFFS!$C:$C,OPERATING_COEFFS!$A:$A,"SeasonClass",OPERATING_COEFFS!$B:$B,$AI593))</f>
        <v/>
      </c>
      <c r="AL593" t="str">
        <f>IF($AK593="","",SUMIFS(OPERATING_COEFFS!$C:$C,OPERATING_COEFFS!$A:$A,"UrgencyClass",OPERATING_COEFFS!$B:$B,$AK593))</f>
        <v/>
      </c>
      <c r="AN593" t="str">
        <f>IF($AM593="","",INDEX(TAX_MODES!$B:$B,MATCH($AM593,TAX_MODES!$A:$A,0)))</f>
        <v/>
      </c>
    </row>
    <row r="594" spans="24:40" x14ac:dyDescent="0.3">
      <c r="X594" s="13"/>
      <c r="Y594" s="13" t="str">
        <f>IF($X594="","",SUMIFS(TARIFF_PROFILES!$D:$D,TARIFF_PROFILES!$A:$A,$X594))</f>
        <v/>
      </c>
      <c r="Z594" s="13" t="str">
        <f>IF($X594="","",SUMIFS(TARIFF_PROFILES!$E:$E,TARIFF_PROFILES!$A:$A,$X594))</f>
        <v/>
      </c>
      <c r="AA594" s="13" t="str">
        <f>IF($X594="","",SUMIFS(TARIFF_PROFILES!$F:$F,TARIFF_PROFILES!$A:$A,$X594))</f>
        <v/>
      </c>
      <c r="AB594" s="13" t="str">
        <f>IF($X594="","",SUMIFS(TARIFF_PROFILES!$G:$G,TARIFF_PROFILES!$A:$A,$X594))</f>
        <v/>
      </c>
      <c r="AC594" s="13" t="str">
        <f>IF($X594="","",SUMIFS(TARIFF_PROFILES!$H:$H,TARIFF_PROFILES!$A:$A,$X594))</f>
        <v/>
      </c>
      <c r="AD594" s="13" t="str">
        <f>IF($X594="","",INDEX(TARIFF_PROFILES!$J:$J,MATCH($X594,TARIFF_PROFILES!$A:$A,0)))</f>
        <v/>
      </c>
      <c r="AE594" s="13" t="str">
        <f>IF($X594="","",INDEX(TARIFF_PROFILES!$K:$K,MATCH($X594,TARIFF_PROFILES!$A:$A,0)))</f>
        <v/>
      </c>
      <c r="AH594" t="str">
        <f>IF($AG594="","",SUMIFS(OPERATING_COEFFS!$C:$C,OPERATING_COEFFS!$A:$A,"DistanceClass",OPERATING_COEFFS!$B:$B,$AG594))</f>
        <v/>
      </c>
      <c r="AJ594" t="str">
        <f>IF($AI594="","",SUMIFS(OPERATING_COEFFS!$C:$C,OPERATING_COEFFS!$A:$A,"SeasonClass",OPERATING_COEFFS!$B:$B,$AI594))</f>
        <v/>
      </c>
      <c r="AL594" t="str">
        <f>IF($AK594="","",SUMIFS(OPERATING_COEFFS!$C:$C,OPERATING_COEFFS!$A:$A,"UrgencyClass",OPERATING_COEFFS!$B:$B,$AK594))</f>
        <v/>
      </c>
      <c r="AN594" t="str">
        <f>IF($AM594="","",INDEX(TAX_MODES!$B:$B,MATCH($AM594,TAX_MODES!$A:$A,0)))</f>
        <v/>
      </c>
    </row>
    <row r="595" spans="24:40" x14ac:dyDescent="0.3">
      <c r="X595" s="13"/>
      <c r="Y595" s="13" t="str">
        <f>IF($X595="","",SUMIFS(TARIFF_PROFILES!$D:$D,TARIFF_PROFILES!$A:$A,$X595))</f>
        <v/>
      </c>
      <c r="Z595" s="13" t="str">
        <f>IF($X595="","",SUMIFS(TARIFF_PROFILES!$E:$E,TARIFF_PROFILES!$A:$A,$X595))</f>
        <v/>
      </c>
      <c r="AA595" s="13" t="str">
        <f>IF($X595="","",SUMIFS(TARIFF_PROFILES!$F:$F,TARIFF_PROFILES!$A:$A,$X595))</f>
        <v/>
      </c>
      <c r="AB595" s="13" t="str">
        <f>IF($X595="","",SUMIFS(TARIFF_PROFILES!$G:$G,TARIFF_PROFILES!$A:$A,$X595))</f>
        <v/>
      </c>
      <c r="AC595" s="13" t="str">
        <f>IF($X595="","",SUMIFS(TARIFF_PROFILES!$H:$H,TARIFF_PROFILES!$A:$A,$X595))</f>
        <v/>
      </c>
      <c r="AD595" s="13" t="str">
        <f>IF($X595="","",INDEX(TARIFF_PROFILES!$J:$J,MATCH($X595,TARIFF_PROFILES!$A:$A,0)))</f>
        <v/>
      </c>
      <c r="AE595" s="13" t="str">
        <f>IF($X595="","",INDEX(TARIFF_PROFILES!$K:$K,MATCH($X595,TARIFF_PROFILES!$A:$A,0)))</f>
        <v/>
      </c>
      <c r="AH595" t="str">
        <f>IF($AG595="","",SUMIFS(OPERATING_COEFFS!$C:$C,OPERATING_COEFFS!$A:$A,"DistanceClass",OPERATING_COEFFS!$B:$B,$AG595))</f>
        <v/>
      </c>
      <c r="AJ595" t="str">
        <f>IF($AI595="","",SUMIFS(OPERATING_COEFFS!$C:$C,OPERATING_COEFFS!$A:$A,"SeasonClass",OPERATING_COEFFS!$B:$B,$AI595))</f>
        <v/>
      </c>
      <c r="AL595" t="str">
        <f>IF($AK595="","",SUMIFS(OPERATING_COEFFS!$C:$C,OPERATING_COEFFS!$A:$A,"UrgencyClass",OPERATING_COEFFS!$B:$B,$AK595))</f>
        <v/>
      </c>
      <c r="AN595" t="str">
        <f>IF($AM595="","",INDEX(TAX_MODES!$B:$B,MATCH($AM595,TAX_MODES!$A:$A,0)))</f>
        <v/>
      </c>
    </row>
    <row r="596" spans="24:40" x14ac:dyDescent="0.3">
      <c r="X596" s="13"/>
      <c r="Y596" s="13" t="str">
        <f>IF($X596="","",SUMIFS(TARIFF_PROFILES!$D:$D,TARIFF_PROFILES!$A:$A,$X596))</f>
        <v/>
      </c>
      <c r="Z596" s="13" t="str">
        <f>IF($X596="","",SUMIFS(TARIFF_PROFILES!$E:$E,TARIFF_PROFILES!$A:$A,$X596))</f>
        <v/>
      </c>
      <c r="AA596" s="13" t="str">
        <f>IF($X596="","",SUMIFS(TARIFF_PROFILES!$F:$F,TARIFF_PROFILES!$A:$A,$X596))</f>
        <v/>
      </c>
      <c r="AB596" s="13" t="str">
        <f>IF($X596="","",SUMIFS(TARIFF_PROFILES!$G:$G,TARIFF_PROFILES!$A:$A,$X596))</f>
        <v/>
      </c>
      <c r="AC596" s="13" t="str">
        <f>IF($X596="","",SUMIFS(TARIFF_PROFILES!$H:$H,TARIFF_PROFILES!$A:$A,$X596))</f>
        <v/>
      </c>
      <c r="AD596" s="13" t="str">
        <f>IF($X596="","",INDEX(TARIFF_PROFILES!$J:$J,MATCH($X596,TARIFF_PROFILES!$A:$A,0)))</f>
        <v/>
      </c>
      <c r="AE596" s="13" t="str">
        <f>IF($X596="","",INDEX(TARIFF_PROFILES!$K:$K,MATCH($X596,TARIFF_PROFILES!$A:$A,0)))</f>
        <v/>
      </c>
      <c r="AH596" t="str">
        <f>IF($AG596="","",SUMIFS(OPERATING_COEFFS!$C:$C,OPERATING_COEFFS!$A:$A,"DistanceClass",OPERATING_COEFFS!$B:$B,$AG596))</f>
        <v/>
      </c>
      <c r="AJ596" t="str">
        <f>IF($AI596="","",SUMIFS(OPERATING_COEFFS!$C:$C,OPERATING_COEFFS!$A:$A,"SeasonClass",OPERATING_COEFFS!$B:$B,$AI596))</f>
        <v/>
      </c>
      <c r="AL596" t="str">
        <f>IF($AK596="","",SUMIFS(OPERATING_COEFFS!$C:$C,OPERATING_COEFFS!$A:$A,"UrgencyClass",OPERATING_COEFFS!$B:$B,$AK596))</f>
        <v/>
      </c>
      <c r="AN596" t="str">
        <f>IF($AM596="","",INDEX(TAX_MODES!$B:$B,MATCH($AM596,TAX_MODES!$A:$A,0)))</f>
        <v/>
      </c>
    </row>
    <row r="597" spans="24:40" x14ac:dyDescent="0.3">
      <c r="X597" s="13"/>
      <c r="Y597" s="13" t="str">
        <f>IF($X597="","",SUMIFS(TARIFF_PROFILES!$D:$D,TARIFF_PROFILES!$A:$A,$X597))</f>
        <v/>
      </c>
      <c r="Z597" s="13" t="str">
        <f>IF($X597="","",SUMIFS(TARIFF_PROFILES!$E:$E,TARIFF_PROFILES!$A:$A,$X597))</f>
        <v/>
      </c>
      <c r="AA597" s="13" t="str">
        <f>IF($X597="","",SUMIFS(TARIFF_PROFILES!$F:$F,TARIFF_PROFILES!$A:$A,$X597))</f>
        <v/>
      </c>
      <c r="AB597" s="13" t="str">
        <f>IF($X597="","",SUMIFS(TARIFF_PROFILES!$G:$G,TARIFF_PROFILES!$A:$A,$X597))</f>
        <v/>
      </c>
      <c r="AC597" s="13" t="str">
        <f>IF($X597="","",SUMIFS(TARIFF_PROFILES!$H:$H,TARIFF_PROFILES!$A:$A,$X597))</f>
        <v/>
      </c>
      <c r="AD597" s="13" t="str">
        <f>IF($X597="","",INDEX(TARIFF_PROFILES!$J:$J,MATCH($X597,TARIFF_PROFILES!$A:$A,0)))</f>
        <v/>
      </c>
      <c r="AE597" s="13" t="str">
        <f>IF($X597="","",INDEX(TARIFF_PROFILES!$K:$K,MATCH($X597,TARIFF_PROFILES!$A:$A,0)))</f>
        <v/>
      </c>
      <c r="AH597" t="str">
        <f>IF($AG597="","",SUMIFS(OPERATING_COEFFS!$C:$C,OPERATING_COEFFS!$A:$A,"DistanceClass",OPERATING_COEFFS!$B:$B,$AG597))</f>
        <v/>
      </c>
      <c r="AJ597" t="str">
        <f>IF($AI597="","",SUMIFS(OPERATING_COEFFS!$C:$C,OPERATING_COEFFS!$A:$A,"SeasonClass",OPERATING_COEFFS!$B:$B,$AI597))</f>
        <v/>
      </c>
      <c r="AL597" t="str">
        <f>IF($AK597="","",SUMIFS(OPERATING_COEFFS!$C:$C,OPERATING_COEFFS!$A:$A,"UrgencyClass",OPERATING_COEFFS!$B:$B,$AK597))</f>
        <v/>
      </c>
      <c r="AN597" t="str">
        <f>IF($AM597="","",INDEX(TAX_MODES!$B:$B,MATCH($AM597,TAX_MODES!$A:$A,0)))</f>
        <v/>
      </c>
    </row>
    <row r="598" spans="24:40" x14ac:dyDescent="0.3">
      <c r="X598" s="13"/>
      <c r="Y598" s="13" t="str">
        <f>IF($X598="","",SUMIFS(TARIFF_PROFILES!$D:$D,TARIFF_PROFILES!$A:$A,$X598))</f>
        <v/>
      </c>
      <c r="Z598" s="13" t="str">
        <f>IF($X598="","",SUMIFS(TARIFF_PROFILES!$E:$E,TARIFF_PROFILES!$A:$A,$X598))</f>
        <v/>
      </c>
      <c r="AA598" s="13" t="str">
        <f>IF($X598="","",SUMIFS(TARIFF_PROFILES!$F:$F,TARIFF_PROFILES!$A:$A,$X598))</f>
        <v/>
      </c>
      <c r="AB598" s="13" t="str">
        <f>IF($X598="","",SUMIFS(TARIFF_PROFILES!$G:$G,TARIFF_PROFILES!$A:$A,$X598))</f>
        <v/>
      </c>
      <c r="AC598" s="13" t="str">
        <f>IF($X598="","",SUMIFS(TARIFF_PROFILES!$H:$H,TARIFF_PROFILES!$A:$A,$X598))</f>
        <v/>
      </c>
      <c r="AD598" s="13" t="str">
        <f>IF($X598="","",INDEX(TARIFF_PROFILES!$J:$J,MATCH($X598,TARIFF_PROFILES!$A:$A,0)))</f>
        <v/>
      </c>
      <c r="AE598" s="13" t="str">
        <f>IF($X598="","",INDEX(TARIFF_PROFILES!$K:$K,MATCH($X598,TARIFF_PROFILES!$A:$A,0)))</f>
        <v/>
      </c>
      <c r="AH598" t="str">
        <f>IF($AG598="","",SUMIFS(OPERATING_COEFFS!$C:$C,OPERATING_COEFFS!$A:$A,"DistanceClass",OPERATING_COEFFS!$B:$B,$AG598))</f>
        <v/>
      </c>
      <c r="AJ598" t="str">
        <f>IF($AI598="","",SUMIFS(OPERATING_COEFFS!$C:$C,OPERATING_COEFFS!$A:$A,"SeasonClass",OPERATING_COEFFS!$B:$B,$AI598))</f>
        <v/>
      </c>
      <c r="AL598" t="str">
        <f>IF($AK598="","",SUMIFS(OPERATING_COEFFS!$C:$C,OPERATING_COEFFS!$A:$A,"UrgencyClass",OPERATING_COEFFS!$B:$B,$AK598))</f>
        <v/>
      </c>
      <c r="AN598" t="str">
        <f>IF($AM598="","",INDEX(TAX_MODES!$B:$B,MATCH($AM598,TAX_MODES!$A:$A,0)))</f>
        <v/>
      </c>
    </row>
    <row r="599" spans="24:40" x14ac:dyDescent="0.3">
      <c r="X599" s="13"/>
      <c r="Y599" s="13" t="str">
        <f>IF($X599="","",SUMIFS(TARIFF_PROFILES!$D:$D,TARIFF_PROFILES!$A:$A,$X599))</f>
        <v/>
      </c>
      <c r="Z599" s="13" t="str">
        <f>IF($X599="","",SUMIFS(TARIFF_PROFILES!$E:$E,TARIFF_PROFILES!$A:$A,$X599))</f>
        <v/>
      </c>
      <c r="AA599" s="13" t="str">
        <f>IF($X599="","",SUMIFS(TARIFF_PROFILES!$F:$F,TARIFF_PROFILES!$A:$A,$X599))</f>
        <v/>
      </c>
      <c r="AB599" s="13" t="str">
        <f>IF($X599="","",SUMIFS(TARIFF_PROFILES!$G:$G,TARIFF_PROFILES!$A:$A,$X599))</f>
        <v/>
      </c>
      <c r="AC599" s="13" t="str">
        <f>IF($X599="","",SUMIFS(TARIFF_PROFILES!$H:$H,TARIFF_PROFILES!$A:$A,$X599))</f>
        <v/>
      </c>
      <c r="AD599" s="13" t="str">
        <f>IF($X599="","",INDEX(TARIFF_PROFILES!$J:$J,MATCH($X599,TARIFF_PROFILES!$A:$A,0)))</f>
        <v/>
      </c>
      <c r="AE599" s="13" t="str">
        <f>IF($X599="","",INDEX(TARIFF_PROFILES!$K:$K,MATCH($X599,TARIFF_PROFILES!$A:$A,0)))</f>
        <v/>
      </c>
      <c r="AH599" t="str">
        <f>IF($AG599="","",SUMIFS(OPERATING_COEFFS!$C:$C,OPERATING_COEFFS!$A:$A,"DistanceClass",OPERATING_COEFFS!$B:$B,$AG599))</f>
        <v/>
      </c>
      <c r="AJ599" t="str">
        <f>IF($AI599="","",SUMIFS(OPERATING_COEFFS!$C:$C,OPERATING_COEFFS!$A:$A,"SeasonClass",OPERATING_COEFFS!$B:$B,$AI599))</f>
        <v/>
      </c>
      <c r="AL599" t="str">
        <f>IF($AK599="","",SUMIFS(OPERATING_COEFFS!$C:$C,OPERATING_COEFFS!$A:$A,"UrgencyClass",OPERATING_COEFFS!$B:$B,$AK599))</f>
        <v/>
      </c>
      <c r="AN599" t="str">
        <f>IF($AM599="","",INDEX(TAX_MODES!$B:$B,MATCH($AM599,TAX_MODES!$A:$A,0)))</f>
        <v/>
      </c>
    </row>
    <row r="600" spans="24:40" x14ac:dyDescent="0.3">
      <c r="X600" s="13"/>
      <c r="Y600" s="13" t="str">
        <f>IF($X600="","",SUMIFS(TARIFF_PROFILES!$D:$D,TARIFF_PROFILES!$A:$A,$X600))</f>
        <v/>
      </c>
      <c r="Z600" s="13" t="str">
        <f>IF($X600="","",SUMIFS(TARIFF_PROFILES!$E:$E,TARIFF_PROFILES!$A:$A,$X600))</f>
        <v/>
      </c>
      <c r="AA600" s="13" t="str">
        <f>IF($X600="","",SUMIFS(TARIFF_PROFILES!$F:$F,TARIFF_PROFILES!$A:$A,$X600))</f>
        <v/>
      </c>
      <c r="AB600" s="13" t="str">
        <f>IF($X600="","",SUMIFS(TARIFF_PROFILES!$G:$G,TARIFF_PROFILES!$A:$A,$X600))</f>
        <v/>
      </c>
      <c r="AC600" s="13" t="str">
        <f>IF($X600="","",SUMIFS(TARIFF_PROFILES!$H:$H,TARIFF_PROFILES!$A:$A,$X600))</f>
        <v/>
      </c>
      <c r="AD600" s="13" t="str">
        <f>IF($X600="","",INDEX(TARIFF_PROFILES!$J:$J,MATCH($X600,TARIFF_PROFILES!$A:$A,0)))</f>
        <v/>
      </c>
      <c r="AE600" s="13" t="str">
        <f>IF($X600="","",INDEX(TARIFF_PROFILES!$K:$K,MATCH($X600,TARIFF_PROFILES!$A:$A,0)))</f>
        <v/>
      </c>
      <c r="AH600" t="str">
        <f>IF($AG600="","",SUMIFS(OPERATING_COEFFS!$C:$C,OPERATING_COEFFS!$A:$A,"DistanceClass",OPERATING_COEFFS!$B:$B,$AG600))</f>
        <v/>
      </c>
      <c r="AJ600" t="str">
        <f>IF($AI600="","",SUMIFS(OPERATING_COEFFS!$C:$C,OPERATING_COEFFS!$A:$A,"SeasonClass",OPERATING_COEFFS!$B:$B,$AI600))</f>
        <v/>
      </c>
      <c r="AL600" t="str">
        <f>IF($AK600="","",SUMIFS(OPERATING_COEFFS!$C:$C,OPERATING_COEFFS!$A:$A,"UrgencyClass",OPERATING_COEFFS!$B:$B,$AK600))</f>
        <v/>
      </c>
      <c r="AN600" t="str">
        <f>IF($AM600="","",INDEX(TAX_MODES!$B:$B,MATCH($AM600,TAX_MODES!$A:$A,0)))</f>
        <v/>
      </c>
    </row>
    <row r="601" spans="24:40" x14ac:dyDescent="0.3">
      <c r="X601" s="13"/>
      <c r="Y601" s="13" t="str">
        <f>IF($X601="","",SUMIFS(TARIFF_PROFILES!$D:$D,TARIFF_PROFILES!$A:$A,$X601))</f>
        <v/>
      </c>
      <c r="Z601" s="13" t="str">
        <f>IF($X601="","",SUMIFS(TARIFF_PROFILES!$E:$E,TARIFF_PROFILES!$A:$A,$X601))</f>
        <v/>
      </c>
      <c r="AA601" s="13" t="str">
        <f>IF($X601="","",SUMIFS(TARIFF_PROFILES!$F:$F,TARIFF_PROFILES!$A:$A,$X601))</f>
        <v/>
      </c>
      <c r="AB601" s="13" t="str">
        <f>IF($X601="","",SUMIFS(TARIFF_PROFILES!$G:$G,TARIFF_PROFILES!$A:$A,$X601))</f>
        <v/>
      </c>
      <c r="AC601" s="13" t="str">
        <f>IF($X601="","",SUMIFS(TARIFF_PROFILES!$H:$H,TARIFF_PROFILES!$A:$A,$X601))</f>
        <v/>
      </c>
      <c r="AD601" s="13" t="str">
        <f>IF($X601="","",INDEX(TARIFF_PROFILES!$J:$J,MATCH($X601,TARIFF_PROFILES!$A:$A,0)))</f>
        <v/>
      </c>
      <c r="AE601" s="13" t="str">
        <f>IF($X601="","",INDEX(TARIFF_PROFILES!$K:$K,MATCH($X601,TARIFF_PROFILES!$A:$A,0)))</f>
        <v/>
      </c>
      <c r="AH601" t="str">
        <f>IF($AG601="","",SUMIFS(OPERATING_COEFFS!$C:$C,OPERATING_COEFFS!$A:$A,"DistanceClass",OPERATING_COEFFS!$B:$B,$AG601))</f>
        <v/>
      </c>
      <c r="AJ601" t="str">
        <f>IF($AI601="","",SUMIFS(OPERATING_COEFFS!$C:$C,OPERATING_COEFFS!$A:$A,"SeasonClass",OPERATING_COEFFS!$B:$B,$AI601))</f>
        <v/>
      </c>
      <c r="AL601" t="str">
        <f>IF($AK601="","",SUMIFS(OPERATING_COEFFS!$C:$C,OPERATING_COEFFS!$A:$A,"UrgencyClass",OPERATING_COEFFS!$B:$B,$AK601))</f>
        <v/>
      </c>
      <c r="AN601" t="str">
        <f>IF($AM601="","",INDEX(TAX_MODES!$B:$B,MATCH($AM601,TAX_MODES!$A:$A,0)))</f>
        <v/>
      </c>
    </row>
    <row r="602" spans="24:40" x14ac:dyDescent="0.3">
      <c r="X602" s="13"/>
      <c r="Y602" s="13" t="str">
        <f>IF($X602="","",SUMIFS(TARIFF_PROFILES!$D:$D,TARIFF_PROFILES!$A:$A,$X602))</f>
        <v/>
      </c>
      <c r="Z602" s="13" t="str">
        <f>IF($X602="","",SUMIFS(TARIFF_PROFILES!$E:$E,TARIFF_PROFILES!$A:$A,$X602))</f>
        <v/>
      </c>
      <c r="AA602" s="13" t="str">
        <f>IF($X602="","",SUMIFS(TARIFF_PROFILES!$F:$F,TARIFF_PROFILES!$A:$A,$X602))</f>
        <v/>
      </c>
      <c r="AB602" s="13" t="str">
        <f>IF($X602="","",SUMIFS(TARIFF_PROFILES!$G:$G,TARIFF_PROFILES!$A:$A,$X602))</f>
        <v/>
      </c>
      <c r="AC602" s="13" t="str">
        <f>IF($X602="","",SUMIFS(TARIFF_PROFILES!$H:$H,TARIFF_PROFILES!$A:$A,$X602))</f>
        <v/>
      </c>
      <c r="AD602" s="13" t="str">
        <f>IF($X602="","",INDEX(TARIFF_PROFILES!$J:$J,MATCH($X602,TARIFF_PROFILES!$A:$A,0)))</f>
        <v/>
      </c>
      <c r="AE602" s="13" t="str">
        <f>IF($X602="","",INDEX(TARIFF_PROFILES!$K:$K,MATCH($X602,TARIFF_PROFILES!$A:$A,0)))</f>
        <v/>
      </c>
      <c r="AH602" t="str">
        <f>IF($AG602="","",SUMIFS(OPERATING_COEFFS!$C:$C,OPERATING_COEFFS!$A:$A,"DistanceClass",OPERATING_COEFFS!$B:$B,$AG602))</f>
        <v/>
      </c>
      <c r="AJ602" t="str">
        <f>IF($AI602="","",SUMIFS(OPERATING_COEFFS!$C:$C,OPERATING_COEFFS!$A:$A,"SeasonClass",OPERATING_COEFFS!$B:$B,$AI602))</f>
        <v/>
      </c>
      <c r="AL602" t="str">
        <f>IF($AK602="","",SUMIFS(OPERATING_COEFFS!$C:$C,OPERATING_COEFFS!$A:$A,"UrgencyClass",OPERATING_COEFFS!$B:$B,$AK602))</f>
        <v/>
      </c>
      <c r="AN602" t="str">
        <f>IF($AM602="","",INDEX(TAX_MODES!$B:$B,MATCH($AM602,TAX_MODES!$A:$A,0)))</f>
        <v/>
      </c>
    </row>
    <row r="603" spans="24:40" x14ac:dyDescent="0.3">
      <c r="X603" s="13"/>
      <c r="Y603" s="13" t="str">
        <f>IF($X603="","",SUMIFS(TARIFF_PROFILES!$D:$D,TARIFF_PROFILES!$A:$A,$X603))</f>
        <v/>
      </c>
      <c r="Z603" s="13" t="str">
        <f>IF($X603="","",SUMIFS(TARIFF_PROFILES!$E:$E,TARIFF_PROFILES!$A:$A,$X603))</f>
        <v/>
      </c>
      <c r="AA603" s="13" t="str">
        <f>IF($X603="","",SUMIFS(TARIFF_PROFILES!$F:$F,TARIFF_PROFILES!$A:$A,$X603))</f>
        <v/>
      </c>
      <c r="AB603" s="13" t="str">
        <f>IF($X603="","",SUMIFS(TARIFF_PROFILES!$G:$G,TARIFF_PROFILES!$A:$A,$X603))</f>
        <v/>
      </c>
      <c r="AC603" s="13" t="str">
        <f>IF($X603="","",SUMIFS(TARIFF_PROFILES!$H:$H,TARIFF_PROFILES!$A:$A,$X603))</f>
        <v/>
      </c>
      <c r="AD603" s="13" t="str">
        <f>IF($X603="","",INDEX(TARIFF_PROFILES!$J:$J,MATCH($X603,TARIFF_PROFILES!$A:$A,0)))</f>
        <v/>
      </c>
      <c r="AE603" s="13" t="str">
        <f>IF($X603="","",INDEX(TARIFF_PROFILES!$K:$K,MATCH($X603,TARIFF_PROFILES!$A:$A,0)))</f>
        <v/>
      </c>
      <c r="AH603" t="str">
        <f>IF($AG603="","",SUMIFS(OPERATING_COEFFS!$C:$C,OPERATING_COEFFS!$A:$A,"DistanceClass",OPERATING_COEFFS!$B:$B,$AG603))</f>
        <v/>
      </c>
      <c r="AJ603" t="str">
        <f>IF($AI603="","",SUMIFS(OPERATING_COEFFS!$C:$C,OPERATING_COEFFS!$A:$A,"SeasonClass",OPERATING_COEFFS!$B:$B,$AI603))</f>
        <v/>
      </c>
      <c r="AL603" t="str">
        <f>IF($AK603="","",SUMIFS(OPERATING_COEFFS!$C:$C,OPERATING_COEFFS!$A:$A,"UrgencyClass",OPERATING_COEFFS!$B:$B,$AK603))</f>
        <v/>
      </c>
      <c r="AN603" t="str">
        <f>IF($AM603="","",INDEX(TAX_MODES!$B:$B,MATCH($AM603,TAX_MODES!$A:$A,0)))</f>
        <v/>
      </c>
    </row>
    <row r="604" spans="24:40" x14ac:dyDescent="0.3">
      <c r="X604" s="13"/>
      <c r="Y604" s="13" t="str">
        <f>IF($X604="","",SUMIFS(TARIFF_PROFILES!$D:$D,TARIFF_PROFILES!$A:$A,$X604))</f>
        <v/>
      </c>
      <c r="Z604" s="13" t="str">
        <f>IF($X604="","",SUMIFS(TARIFF_PROFILES!$E:$E,TARIFF_PROFILES!$A:$A,$X604))</f>
        <v/>
      </c>
      <c r="AA604" s="13" t="str">
        <f>IF($X604="","",SUMIFS(TARIFF_PROFILES!$F:$F,TARIFF_PROFILES!$A:$A,$X604))</f>
        <v/>
      </c>
      <c r="AB604" s="13" t="str">
        <f>IF($X604="","",SUMIFS(TARIFF_PROFILES!$G:$G,TARIFF_PROFILES!$A:$A,$X604))</f>
        <v/>
      </c>
      <c r="AC604" s="13" t="str">
        <f>IF($X604="","",SUMIFS(TARIFF_PROFILES!$H:$H,TARIFF_PROFILES!$A:$A,$X604))</f>
        <v/>
      </c>
      <c r="AD604" s="13" t="str">
        <f>IF($X604="","",INDEX(TARIFF_PROFILES!$J:$J,MATCH($X604,TARIFF_PROFILES!$A:$A,0)))</f>
        <v/>
      </c>
      <c r="AE604" s="13" t="str">
        <f>IF($X604="","",INDEX(TARIFF_PROFILES!$K:$K,MATCH($X604,TARIFF_PROFILES!$A:$A,0)))</f>
        <v/>
      </c>
      <c r="AH604" t="str">
        <f>IF($AG604="","",SUMIFS(OPERATING_COEFFS!$C:$C,OPERATING_COEFFS!$A:$A,"DistanceClass",OPERATING_COEFFS!$B:$B,$AG604))</f>
        <v/>
      </c>
      <c r="AJ604" t="str">
        <f>IF($AI604="","",SUMIFS(OPERATING_COEFFS!$C:$C,OPERATING_COEFFS!$A:$A,"SeasonClass",OPERATING_COEFFS!$B:$B,$AI604))</f>
        <v/>
      </c>
      <c r="AL604" t="str">
        <f>IF($AK604="","",SUMIFS(OPERATING_COEFFS!$C:$C,OPERATING_COEFFS!$A:$A,"UrgencyClass",OPERATING_COEFFS!$B:$B,$AK604))</f>
        <v/>
      </c>
      <c r="AN604" t="str">
        <f>IF($AM604="","",INDEX(TAX_MODES!$B:$B,MATCH($AM604,TAX_MODES!$A:$A,0)))</f>
        <v/>
      </c>
    </row>
    <row r="605" spans="24:40" x14ac:dyDescent="0.3">
      <c r="X605" s="13"/>
      <c r="Y605" s="13" t="str">
        <f>IF($X605="","",SUMIFS(TARIFF_PROFILES!$D:$D,TARIFF_PROFILES!$A:$A,$X605))</f>
        <v/>
      </c>
      <c r="Z605" s="13" t="str">
        <f>IF($X605="","",SUMIFS(TARIFF_PROFILES!$E:$E,TARIFF_PROFILES!$A:$A,$X605))</f>
        <v/>
      </c>
      <c r="AA605" s="13" t="str">
        <f>IF($X605="","",SUMIFS(TARIFF_PROFILES!$F:$F,TARIFF_PROFILES!$A:$A,$X605))</f>
        <v/>
      </c>
      <c r="AB605" s="13" t="str">
        <f>IF($X605="","",SUMIFS(TARIFF_PROFILES!$G:$G,TARIFF_PROFILES!$A:$A,$X605))</f>
        <v/>
      </c>
      <c r="AC605" s="13" t="str">
        <f>IF($X605="","",SUMIFS(TARIFF_PROFILES!$H:$H,TARIFF_PROFILES!$A:$A,$X605))</f>
        <v/>
      </c>
      <c r="AD605" s="13" t="str">
        <f>IF($X605="","",INDEX(TARIFF_PROFILES!$J:$J,MATCH($X605,TARIFF_PROFILES!$A:$A,0)))</f>
        <v/>
      </c>
      <c r="AE605" s="13" t="str">
        <f>IF($X605="","",INDEX(TARIFF_PROFILES!$K:$K,MATCH($X605,TARIFF_PROFILES!$A:$A,0)))</f>
        <v/>
      </c>
      <c r="AH605" t="str">
        <f>IF($AG605="","",SUMIFS(OPERATING_COEFFS!$C:$C,OPERATING_COEFFS!$A:$A,"DistanceClass",OPERATING_COEFFS!$B:$B,$AG605))</f>
        <v/>
      </c>
      <c r="AJ605" t="str">
        <f>IF($AI605="","",SUMIFS(OPERATING_COEFFS!$C:$C,OPERATING_COEFFS!$A:$A,"SeasonClass",OPERATING_COEFFS!$B:$B,$AI605))</f>
        <v/>
      </c>
      <c r="AL605" t="str">
        <f>IF($AK605="","",SUMIFS(OPERATING_COEFFS!$C:$C,OPERATING_COEFFS!$A:$A,"UrgencyClass",OPERATING_COEFFS!$B:$B,$AK605))</f>
        <v/>
      </c>
      <c r="AN605" t="str">
        <f>IF($AM605="","",INDEX(TAX_MODES!$B:$B,MATCH($AM605,TAX_MODES!$A:$A,0)))</f>
        <v/>
      </c>
    </row>
    <row r="606" spans="24:40" x14ac:dyDescent="0.3">
      <c r="X606" s="13"/>
      <c r="Y606" s="13" t="str">
        <f>IF($X606="","",SUMIFS(TARIFF_PROFILES!$D:$D,TARIFF_PROFILES!$A:$A,$X606))</f>
        <v/>
      </c>
      <c r="Z606" s="13" t="str">
        <f>IF($X606="","",SUMIFS(TARIFF_PROFILES!$E:$E,TARIFF_PROFILES!$A:$A,$X606))</f>
        <v/>
      </c>
      <c r="AA606" s="13" t="str">
        <f>IF($X606="","",SUMIFS(TARIFF_PROFILES!$F:$F,TARIFF_PROFILES!$A:$A,$X606))</f>
        <v/>
      </c>
      <c r="AB606" s="13" t="str">
        <f>IF($X606="","",SUMIFS(TARIFF_PROFILES!$G:$G,TARIFF_PROFILES!$A:$A,$X606))</f>
        <v/>
      </c>
      <c r="AC606" s="13" t="str">
        <f>IF($X606="","",SUMIFS(TARIFF_PROFILES!$H:$H,TARIFF_PROFILES!$A:$A,$X606))</f>
        <v/>
      </c>
      <c r="AD606" s="13" t="str">
        <f>IF($X606="","",INDEX(TARIFF_PROFILES!$J:$J,MATCH($X606,TARIFF_PROFILES!$A:$A,0)))</f>
        <v/>
      </c>
      <c r="AE606" s="13" t="str">
        <f>IF($X606="","",INDEX(TARIFF_PROFILES!$K:$K,MATCH($X606,TARIFF_PROFILES!$A:$A,0)))</f>
        <v/>
      </c>
      <c r="AH606" t="str">
        <f>IF($AG606="","",SUMIFS(OPERATING_COEFFS!$C:$C,OPERATING_COEFFS!$A:$A,"DistanceClass",OPERATING_COEFFS!$B:$B,$AG606))</f>
        <v/>
      </c>
      <c r="AJ606" t="str">
        <f>IF($AI606="","",SUMIFS(OPERATING_COEFFS!$C:$C,OPERATING_COEFFS!$A:$A,"SeasonClass",OPERATING_COEFFS!$B:$B,$AI606))</f>
        <v/>
      </c>
      <c r="AL606" t="str">
        <f>IF($AK606="","",SUMIFS(OPERATING_COEFFS!$C:$C,OPERATING_COEFFS!$A:$A,"UrgencyClass",OPERATING_COEFFS!$B:$B,$AK606))</f>
        <v/>
      </c>
      <c r="AN606" t="str">
        <f>IF($AM606="","",INDEX(TAX_MODES!$B:$B,MATCH($AM606,TAX_MODES!$A:$A,0)))</f>
        <v/>
      </c>
    </row>
    <row r="607" spans="24:40" x14ac:dyDescent="0.3">
      <c r="X607" s="13"/>
      <c r="Y607" s="13" t="str">
        <f>IF($X607="","",SUMIFS(TARIFF_PROFILES!$D:$D,TARIFF_PROFILES!$A:$A,$X607))</f>
        <v/>
      </c>
      <c r="Z607" s="13" t="str">
        <f>IF($X607="","",SUMIFS(TARIFF_PROFILES!$E:$E,TARIFF_PROFILES!$A:$A,$X607))</f>
        <v/>
      </c>
      <c r="AA607" s="13" t="str">
        <f>IF($X607="","",SUMIFS(TARIFF_PROFILES!$F:$F,TARIFF_PROFILES!$A:$A,$X607))</f>
        <v/>
      </c>
      <c r="AB607" s="13" t="str">
        <f>IF($X607="","",SUMIFS(TARIFF_PROFILES!$G:$G,TARIFF_PROFILES!$A:$A,$X607))</f>
        <v/>
      </c>
      <c r="AC607" s="13" t="str">
        <f>IF($X607="","",SUMIFS(TARIFF_PROFILES!$H:$H,TARIFF_PROFILES!$A:$A,$X607))</f>
        <v/>
      </c>
      <c r="AD607" s="13" t="str">
        <f>IF($X607="","",INDEX(TARIFF_PROFILES!$J:$J,MATCH($X607,TARIFF_PROFILES!$A:$A,0)))</f>
        <v/>
      </c>
      <c r="AE607" s="13" t="str">
        <f>IF($X607="","",INDEX(TARIFF_PROFILES!$K:$K,MATCH($X607,TARIFF_PROFILES!$A:$A,0)))</f>
        <v/>
      </c>
      <c r="AH607" t="str">
        <f>IF($AG607="","",SUMIFS(OPERATING_COEFFS!$C:$C,OPERATING_COEFFS!$A:$A,"DistanceClass",OPERATING_COEFFS!$B:$B,$AG607))</f>
        <v/>
      </c>
      <c r="AJ607" t="str">
        <f>IF($AI607="","",SUMIFS(OPERATING_COEFFS!$C:$C,OPERATING_COEFFS!$A:$A,"SeasonClass",OPERATING_COEFFS!$B:$B,$AI607))</f>
        <v/>
      </c>
      <c r="AL607" t="str">
        <f>IF($AK607="","",SUMIFS(OPERATING_COEFFS!$C:$C,OPERATING_COEFFS!$A:$A,"UrgencyClass",OPERATING_COEFFS!$B:$B,$AK607))</f>
        <v/>
      </c>
      <c r="AN607" t="str">
        <f>IF($AM607="","",INDEX(TAX_MODES!$B:$B,MATCH($AM607,TAX_MODES!$A:$A,0)))</f>
        <v/>
      </c>
    </row>
    <row r="608" spans="24:40" x14ac:dyDescent="0.3">
      <c r="X608" s="13"/>
      <c r="Y608" s="13" t="str">
        <f>IF($X608="","",SUMIFS(TARIFF_PROFILES!$D:$D,TARIFF_PROFILES!$A:$A,$X608))</f>
        <v/>
      </c>
      <c r="Z608" s="13" t="str">
        <f>IF($X608="","",SUMIFS(TARIFF_PROFILES!$E:$E,TARIFF_PROFILES!$A:$A,$X608))</f>
        <v/>
      </c>
      <c r="AA608" s="13" t="str">
        <f>IF($X608="","",SUMIFS(TARIFF_PROFILES!$F:$F,TARIFF_PROFILES!$A:$A,$X608))</f>
        <v/>
      </c>
      <c r="AB608" s="13" t="str">
        <f>IF($X608="","",SUMIFS(TARIFF_PROFILES!$G:$G,TARIFF_PROFILES!$A:$A,$X608))</f>
        <v/>
      </c>
      <c r="AC608" s="13" t="str">
        <f>IF($X608="","",SUMIFS(TARIFF_PROFILES!$H:$H,TARIFF_PROFILES!$A:$A,$X608))</f>
        <v/>
      </c>
      <c r="AD608" s="13" t="str">
        <f>IF($X608="","",INDEX(TARIFF_PROFILES!$J:$J,MATCH($X608,TARIFF_PROFILES!$A:$A,0)))</f>
        <v/>
      </c>
      <c r="AE608" s="13" t="str">
        <f>IF($X608="","",INDEX(TARIFF_PROFILES!$K:$K,MATCH($X608,TARIFF_PROFILES!$A:$A,0)))</f>
        <v/>
      </c>
      <c r="AH608" t="str">
        <f>IF($AG608="","",SUMIFS(OPERATING_COEFFS!$C:$C,OPERATING_COEFFS!$A:$A,"DistanceClass",OPERATING_COEFFS!$B:$B,$AG608))</f>
        <v/>
      </c>
      <c r="AJ608" t="str">
        <f>IF($AI608="","",SUMIFS(OPERATING_COEFFS!$C:$C,OPERATING_COEFFS!$A:$A,"SeasonClass",OPERATING_COEFFS!$B:$B,$AI608))</f>
        <v/>
      </c>
      <c r="AL608" t="str">
        <f>IF($AK608="","",SUMIFS(OPERATING_COEFFS!$C:$C,OPERATING_COEFFS!$A:$A,"UrgencyClass",OPERATING_COEFFS!$B:$B,$AK608))</f>
        <v/>
      </c>
      <c r="AN608" t="str">
        <f>IF($AM608="","",INDEX(TAX_MODES!$B:$B,MATCH($AM608,TAX_MODES!$A:$A,0)))</f>
        <v/>
      </c>
    </row>
    <row r="609" spans="24:40" x14ac:dyDescent="0.3">
      <c r="X609" s="13"/>
      <c r="Y609" s="13" t="str">
        <f>IF($X609="","",SUMIFS(TARIFF_PROFILES!$D:$D,TARIFF_PROFILES!$A:$A,$X609))</f>
        <v/>
      </c>
      <c r="Z609" s="13" t="str">
        <f>IF($X609="","",SUMIFS(TARIFF_PROFILES!$E:$E,TARIFF_PROFILES!$A:$A,$X609))</f>
        <v/>
      </c>
      <c r="AA609" s="13" t="str">
        <f>IF($X609="","",SUMIFS(TARIFF_PROFILES!$F:$F,TARIFF_PROFILES!$A:$A,$X609))</f>
        <v/>
      </c>
      <c r="AB609" s="13" t="str">
        <f>IF($X609="","",SUMIFS(TARIFF_PROFILES!$G:$G,TARIFF_PROFILES!$A:$A,$X609))</f>
        <v/>
      </c>
      <c r="AC609" s="13" t="str">
        <f>IF($X609="","",SUMIFS(TARIFF_PROFILES!$H:$H,TARIFF_PROFILES!$A:$A,$X609))</f>
        <v/>
      </c>
      <c r="AD609" s="13" t="str">
        <f>IF($X609="","",INDEX(TARIFF_PROFILES!$J:$J,MATCH($X609,TARIFF_PROFILES!$A:$A,0)))</f>
        <v/>
      </c>
      <c r="AE609" s="13" t="str">
        <f>IF($X609="","",INDEX(TARIFF_PROFILES!$K:$K,MATCH($X609,TARIFF_PROFILES!$A:$A,0)))</f>
        <v/>
      </c>
      <c r="AH609" t="str">
        <f>IF($AG609="","",SUMIFS(OPERATING_COEFFS!$C:$C,OPERATING_COEFFS!$A:$A,"DistanceClass",OPERATING_COEFFS!$B:$B,$AG609))</f>
        <v/>
      </c>
      <c r="AJ609" t="str">
        <f>IF($AI609="","",SUMIFS(OPERATING_COEFFS!$C:$C,OPERATING_COEFFS!$A:$A,"SeasonClass",OPERATING_COEFFS!$B:$B,$AI609))</f>
        <v/>
      </c>
      <c r="AL609" t="str">
        <f>IF($AK609="","",SUMIFS(OPERATING_COEFFS!$C:$C,OPERATING_COEFFS!$A:$A,"UrgencyClass",OPERATING_COEFFS!$B:$B,$AK609))</f>
        <v/>
      </c>
      <c r="AN609" t="str">
        <f>IF($AM609="","",INDEX(TAX_MODES!$B:$B,MATCH($AM609,TAX_MODES!$A:$A,0)))</f>
        <v/>
      </c>
    </row>
    <row r="610" spans="24:40" x14ac:dyDescent="0.3">
      <c r="X610" s="13"/>
      <c r="Y610" s="13" t="str">
        <f>IF($X610="","",SUMIFS(TARIFF_PROFILES!$D:$D,TARIFF_PROFILES!$A:$A,$X610))</f>
        <v/>
      </c>
      <c r="Z610" s="13" t="str">
        <f>IF($X610="","",SUMIFS(TARIFF_PROFILES!$E:$E,TARIFF_PROFILES!$A:$A,$X610))</f>
        <v/>
      </c>
      <c r="AA610" s="13" t="str">
        <f>IF($X610="","",SUMIFS(TARIFF_PROFILES!$F:$F,TARIFF_PROFILES!$A:$A,$X610))</f>
        <v/>
      </c>
      <c r="AB610" s="13" t="str">
        <f>IF($X610="","",SUMIFS(TARIFF_PROFILES!$G:$G,TARIFF_PROFILES!$A:$A,$X610))</f>
        <v/>
      </c>
      <c r="AC610" s="13" t="str">
        <f>IF($X610="","",SUMIFS(TARIFF_PROFILES!$H:$H,TARIFF_PROFILES!$A:$A,$X610))</f>
        <v/>
      </c>
      <c r="AD610" s="13" t="str">
        <f>IF($X610="","",INDEX(TARIFF_PROFILES!$J:$J,MATCH($X610,TARIFF_PROFILES!$A:$A,0)))</f>
        <v/>
      </c>
      <c r="AE610" s="13" t="str">
        <f>IF($X610="","",INDEX(TARIFF_PROFILES!$K:$K,MATCH($X610,TARIFF_PROFILES!$A:$A,0)))</f>
        <v/>
      </c>
      <c r="AH610" t="str">
        <f>IF($AG610="","",SUMIFS(OPERATING_COEFFS!$C:$C,OPERATING_COEFFS!$A:$A,"DistanceClass",OPERATING_COEFFS!$B:$B,$AG610))</f>
        <v/>
      </c>
      <c r="AJ610" t="str">
        <f>IF($AI610="","",SUMIFS(OPERATING_COEFFS!$C:$C,OPERATING_COEFFS!$A:$A,"SeasonClass",OPERATING_COEFFS!$B:$B,$AI610))</f>
        <v/>
      </c>
      <c r="AL610" t="str">
        <f>IF($AK610="","",SUMIFS(OPERATING_COEFFS!$C:$C,OPERATING_COEFFS!$A:$A,"UrgencyClass",OPERATING_COEFFS!$B:$B,$AK610))</f>
        <v/>
      </c>
      <c r="AN610" t="str">
        <f>IF($AM610="","",INDEX(TAX_MODES!$B:$B,MATCH($AM610,TAX_MODES!$A:$A,0)))</f>
        <v/>
      </c>
    </row>
    <row r="611" spans="24:40" x14ac:dyDescent="0.3">
      <c r="X611" s="13"/>
      <c r="Y611" s="13" t="str">
        <f>IF($X611="","",SUMIFS(TARIFF_PROFILES!$D:$D,TARIFF_PROFILES!$A:$A,$X611))</f>
        <v/>
      </c>
      <c r="Z611" s="13" t="str">
        <f>IF($X611="","",SUMIFS(TARIFF_PROFILES!$E:$E,TARIFF_PROFILES!$A:$A,$X611))</f>
        <v/>
      </c>
      <c r="AA611" s="13" t="str">
        <f>IF($X611="","",SUMIFS(TARIFF_PROFILES!$F:$F,TARIFF_PROFILES!$A:$A,$X611))</f>
        <v/>
      </c>
      <c r="AB611" s="13" t="str">
        <f>IF($X611="","",SUMIFS(TARIFF_PROFILES!$G:$G,TARIFF_PROFILES!$A:$A,$X611))</f>
        <v/>
      </c>
      <c r="AC611" s="13" t="str">
        <f>IF($X611="","",SUMIFS(TARIFF_PROFILES!$H:$H,TARIFF_PROFILES!$A:$A,$X611))</f>
        <v/>
      </c>
      <c r="AD611" s="13" t="str">
        <f>IF($X611="","",INDEX(TARIFF_PROFILES!$J:$J,MATCH($X611,TARIFF_PROFILES!$A:$A,0)))</f>
        <v/>
      </c>
      <c r="AE611" s="13" t="str">
        <f>IF($X611="","",INDEX(TARIFF_PROFILES!$K:$K,MATCH($X611,TARIFF_PROFILES!$A:$A,0)))</f>
        <v/>
      </c>
      <c r="AH611" t="str">
        <f>IF($AG611="","",SUMIFS(OPERATING_COEFFS!$C:$C,OPERATING_COEFFS!$A:$A,"DistanceClass",OPERATING_COEFFS!$B:$B,$AG611))</f>
        <v/>
      </c>
      <c r="AJ611" t="str">
        <f>IF($AI611="","",SUMIFS(OPERATING_COEFFS!$C:$C,OPERATING_COEFFS!$A:$A,"SeasonClass",OPERATING_COEFFS!$B:$B,$AI611))</f>
        <v/>
      </c>
      <c r="AL611" t="str">
        <f>IF($AK611="","",SUMIFS(OPERATING_COEFFS!$C:$C,OPERATING_COEFFS!$A:$A,"UrgencyClass",OPERATING_COEFFS!$B:$B,$AK611))</f>
        <v/>
      </c>
      <c r="AN611" t="str">
        <f>IF($AM611="","",INDEX(TAX_MODES!$B:$B,MATCH($AM611,TAX_MODES!$A:$A,0)))</f>
        <v/>
      </c>
    </row>
    <row r="612" spans="24:40" x14ac:dyDescent="0.3">
      <c r="X612" s="13"/>
      <c r="Y612" s="13" t="str">
        <f>IF($X612="","",SUMIFS(TARIFF_PROFILES!$D:$D,TARIFF_PROFILES!$A:$A,$X612))</f>
        <v/>
      </c>
      <c r="Z612" s="13" t="str">
        <f>IF($X612="","",SUMIFS(TARIFF_PROFILES!$E:$E,TARIFF_PROFILES!$A:$A,$X612))</f>
        <v/>
      </c>
      <c r="AA612" s="13" t="str">
        <f>IF($X612="","",SUMIFS(TARIFF_PROFILES!$F:$F,TARIFF_PROFILES!$A:$A,$X612))</f>
        <v/>
      </c>
      <c r="AB612" s="13" t="str">
        <f>IF($X612="","",SUMIFS(TARIFF_PROFILES!$G:$G,TARIFF_PROFILES!$A:$A,$X612))</f>
        <v/>
      </c>
      <c r="AC612" s="13" t="str">
        <f>IF($X612="","",SUMIFS(TARIFF_PROFILES!$H:$H,TARIFF_PROFILES!$A:$A,$X612))</f>
        <v/>
      </c>
      <c r="AD612" s="13" t="str">
        <f>IF($X612="","",INDEX(TARIFF_PROFILES!$J:$J,MATCH($X612,TARIFF_PROFILES!$A:$A,0)))</f>
        <v/>
      </c>
      <c r="AE612" s="13" t="str">
        <f>IF($X612="","",INDEX(TARIFF_PROFILES!$K:$K,MATCH($X612,TARIFF_PROFILES!$A:$A,0)))</f>
        <v/>
      </c>
      <c r="AH612" t="str">
        <f>IF($AG612="","",SUMIFS(OPERATING_COEFFS!$C:$C,OPERATING_COEFFS!$A:$A,"DistanceClass",OPERATING_COEFFS!$B:$B,$AG612))</f>
        <v/>
      </c>
      <c r="AJ612" t="str">
        <f>IF($AI612="","",SUMIFS(OPERATING_COEFFS!$C:$C,OPERATING_COEFFS!$A:$A,"SeasonClass",OPERATING_COEFFS!$B:$B,$AI612))</f>
        <v/>
      </c>
      <c r="AL612" t="str">
        <f>IF($AK612="","",SUMIFS(OPERATING_COEFFS!$C:$C,OPERATING_COEFFS!$A:$A,"UrgencyClass",OPERATING_COEFFS!$B:$B,$AK612))</f>
        <v/>
      </c>
      <c r="AN612" t="str">
        <f>IF($AM612="","",INDEX(TAX_MODES!$B:$B,MATCH($AM612,TAX_MODES!$A:$A,0)))</f>
        <v/>
      </c>
    </row>
    <row r="613" spans="24:40" x14ac:dyDescent="0.3">
      <c r="X613" s="13"/>
      <c r="Y613" s="13" t="str">
        <f>IF($X613="","",SUMIFS(TARIFF_PROFILES!$D:$D,TARIFF_PROFILES!$A:$A,$X613))</f>
        <v/>
      </c>
      <c r="Z613" s="13" t="str">
        <f>IF($X613="","",SUMIFS(TARIFF_PROFILES!$E:$E,TARIFF_PROFILES!$A:$A,$X613))</f>
        <v/>
      </c>
      <c r="AA613" s="13" t="str">
        <f>IF($X613="","",SUMIFS(TARIFF_PROFILES!$F:$F,TARIFF_PROFILES!$A:$A,$X613))</f>
        <v/>
      </c>
      <c r="AB613" s="13" t="str">
        <f>IF($X613="","",SUMIFS(TARIFF_PROFILES!$G:$G,TARIFF_PROFILES!$A:$A,$X613))</f>
        <v/>
      </c>
      <c r="AC613" s="13" t="str">
        <f>IF($X613="","",SUMIFS(TARIFF_PROFILES!$H:$H,TARIFF_PROFILES!$A:$A,$X613))</f>
        <v/>
      </c>
      <c r="AD613" s="13" t="str">
        <f>IF($X613="","",INDEX(TARIFF_PROFILES!$J:$J,MATCH($X613,TARIFF_PROFILES!$A:$A,0)))</f>
        <v/>
      </c>
      <c r="AE613" s="13" t="str">
        <f>IF($X613="","",INDEX(TARIFF_PROFILES!$K:$K,MATCH($X613,TARIFF_PROFILES!$A:$A,0)))</f>
        <v/>
      </c>
      <c r="AH613" t="str">
        <f>IF($AG613="","",SUMIFS(OPERATING_COEFFS!$C:$C,OPERATING_COEFFS!$A:$A,"DistanceClass",OPERATING_COEFFS!$B:$B,$AG613))</f>
        <v/>
      </c>
      <c r="AJ613" t="str">
        <f>IF($AI613="","",SUMIFS(OPERATING_COEFFS!$C:$C,OPERATING_COEFFS!$A:$A,"SeasonClass",OPERATING_COEFFS!$B:$B,$AI613))</f>
        <v/>
      </c>
      <c r="AL613" t="str">
        <f>IF($AK613="","",SUMIFS(OPERATING_COEFFS!$C:$C,OPERATING_COEFFS!$A:$A,"UrgencyClass",OPERATING_COEFFS!$B:$B,$AK613))</f>
        <v/>
      </c>
      <c r="AN613" t="str">
        <f>IF($AM613="","",INDEX(TAX_MODES!$B:$B,MATCH($AM613,TAX_MODES!$A:$A,0)))</f>
        <v/>
      </c>
    </row>
    <row r="614" spans="24:40" x14ac:dyDescent="0.3">
      <c r="X614" s="13"/>
      <c r="Y614" s="13" t="str">
        <f>IF($X614="","",SUMIFS(TARIFF_PROFILES!$D:$D,TARIFF_PROFILES!$A:$A,$X614))</f>
        <v/>
      </c>
      <c r="Z614" s="13" t="str">
        <f>IF($X614="","",SUMIFS(TARIFF_PROFILES!$E:$E,TARIFF_PROFILES!$A:$A,$X614))</f>
        <v/>
      </c>
      <c r="AA614" s="13" t="str">
        <f>IF($X614="","",SUMIFS(TARIFF_PROFILES!$F:$F,TARIFF_PROFILES!$A:$A,$X614))</f>
        <v/>
      </c>
      <c r="AB614" s="13" t="str">
        <f>IF($X614="","",SUMIFS(TARIFF_PROFILES!$G:$G,TARIFF_PROFILES!$A:$A,$X614))</f>
        <v/>
      </c>
      <c r="AC614" s="13" t="str">
        <f>IF($X614="","",SUMIFS(TARIFF_PROFILES!$H:$H,TARIFF_PROFILES!$A:$A,$X614))</f>
        <v/>
      </c>
      <c r="AD614" s="13" t="str">
        <f>IF($X614="","",INDEX(TARIFF_PROFILES!$J:$J,MATCH($X614,TARIFF_PROFILES!$A:$A,0)))</f>
        <v/>
      </c>
      <c r="AE614" s="13" t="str">
        <f>IF($X614="","",INDEX(TARIFF_PROFILES!$K:$K,MATCH($X614,TARIFF_PROFILES!$A:$A,0)))</f>
        <v/>
      </c>
      <c r="AH614" t="str">
        <f>IF($AG614="","",SUMIFS(OPERATING_COEFFS!$C:$C,OPERATING_COEFFS!$A:$A,"DistanceClass",OPERATING_COEFFS!$B:$B,$AG614))</f>
        <v/>
      </c>
      <c r="AJ614" t="str">
        <f>IF($AI614="","",SUMIFS(OPERATING_COEFFS!$C:$C,OPERATING_COEFFS!$A:$A,"SeasonClass",OPERATING_COEFFS!$B:$B,$AI614))</f>
        <v/>
      </c>
      <c r="AL614" t="str">
        <f>IF($AK614="","",SUMIFS(OPERATING_COEFFS!$C:$C,OPERATING_COEFFS!$A:$A,"UrgencyClass",OPERATING_COEFFS!$B:$B,$AK614))</f>
        <v/>
      </c>
      <c r="AN614" t="str">
        <f>IF($AM614="","",INDEX(TAX_MODES!$B:$B,MATCH($AM614,TAX_MODES!$A:$A,0)))</f>
        <v/>
      </c>
    </row>
    <row r="615" spans="24:40" x14ac:dyDescent="0.3">
      <c r="X615" s="13"/>
      <c r="Y615" s="13" t="str">
        <f>IF($X615="","",SUMIFS(TARIFF_PROFILES!$D:$D,TARIFF_PROFILES!$A:$A,$X615))</f>
        <v/>
      </c>
      <c r="Z615" s="13" t="str">
        <f>IF($X615="","",SUMIFS(TARIFF_PROFILES!$E:$E,TARIFF_PROFILES!$A:$A,$X615))</f>
        <v/>
      </c>
      <c r="AA615" s="13" t="str">
        <f>IF($X615="","",SUMIFS(TARIFF_PROFILES!$F:$F,TARIFF_PROFILES!$A:$A,$X615))</f>
        <v/>
      </c>
      <c r="AB615" s="13" t="str">
        <f>IF($X615="","",SUMIFS(TARIFF_PROFILES!$G:$G,TARIFF_PROFILES!$A:$A,$X615))</f>
        <v/>
      </c>
      <c r="AC615" s="13" t="str">
        <f>IF($X615="","",SUMIFS(TARIFF_PROFILES!$H:$H,TARIFF_PROFILES!$A:$A,$X615))</f>
        <v/>
      </c>
      <c r="AD615" s="13" t="str">
        <f>IF($X615="","",INDEX(TARIFF_PROFILES!$J:$J,MATCH($X615,TARIFF_PROFILES!$A:$A,0)))</f>
        <v/>
      </c>
      <c r="AE615" s="13" t="str">
        <f>IF($X615="","",INDEX(TARIFF_PROFILES!$K:$K,MATCH($X615,TARIFF_PROFILES!$A:$A,0)))</f>
        <v/>
      </c>
      <c r="AH615" t="str">
        <f>IF($AG615="","",SUMIFS(OPERATING_COEFFS!$C:$C,OPERATING_COEFFS!$A:$A,"DistanceClass",OPERATING_COEFFS!$B:$B,$AG615))</f>
        <v/>
      </c>
      <c r="AJ615" t="str">
        <f>IF($AI615="","",SUMIFS(OPERATING_COEFFS!$C:$C,OPERATING_COEFFS!$A:$A,"SeasonClass",OPERATING_COEFFS!$B:$B,$AI615))</f>
        <v/>
      </c>
      <c r="AL615" t="str">
        <f>IF($AK615="","",SUMIFS(OPERATING_COEFFS!$C:$C,OPERATING_COEFFS!$A:$A,"UrgencyClass",OPERATING_COEFFS!$B:$B,$AK615))</f>
        <v/>
      </c>
      <c r="AN615" t="str">
        <f>IF($AM615="","",INDEX(TAX_MODES!$B:$B,MATCH($AM615,TAX_MODES!$A:$A,0)))</f>
        <v/>
      </c>
    </row>
    <row r="616" spans="24:40" x14ac:dyDescent="0.3">
      <c r="X616" s="13"/>
      <c r="Y616" s="13" t="str">
        <f>IF($X616="","",SUMIFS(TARIFF_PROFILES!$D:$D,TARIFF_PROFILES!$A:$A,$X616))</f>
        <v/>
      </c>
      <c r="Z616" s="13" t="str">
        <f>IF($X616="","",SUMIFS(TARIFF_PROFILES!$E:$E,TARIFF_PROFILES!$A:$A,$X616))</f>
        <v/>
      </c>
      <c r="AA616" s="13" t="str">
        <f>IF($X616="","",SUMIFS(TARIFF_PROFILES!$F:$F,TARIFF_PROFILES!$A:$A,$X616))</f>
        <v/>
      </c>
      <c r="AB616" s="13" t="str">
        <f>IF($X616="","",SUMIFS(TARIFF_PROFILES!$G:$G,TARIFF_PROFILES!$A:$A,$X616))</f>
        <v/>
      </c>
      <c r="AC616" s="13" t="str">
        <f>IF($X616="","",SUMIFS(TARIFF_PROFILES!$H:$H,TARIFF_PROFILES!$A:$A,$X616))</f>
        <v/>
      </c>
      <c r="AD616" s="13" t="str">
        <f>IF($X616="","",INDEX(TARIFF_PROFILES!$J:$J,MATCH($X616,TARIFF_PROFILES!$A:$A,0)))</f>
        <v/>
      </c>
      <c r="AE616" s="13" t="str">
        <f>IF($X616="","",INDEX(TARIFF_PROFILES!$K:$K,MATCH($X616,TARIFF_PROFILES!$A:$A,0)))</f>
        <v/>
      </c>
      <c r="AH616" t="str">
        <f>IF($AG616="","",SUMIFS(OPERATING_COEFFS!$C:$C,OPERATING_COEFFS!$A:$A,"DistanceClass",OPERATING_COEFFS!$B:$B,$AG616))</f>
        <v/>
      </c>
      <c r="AJ616" t="str">
        <f>IF($AI616="","",SUMIFS(OPERATING_COEFFS!$C:$C,OPERATING_COEFFS!$A:$A,"SeasonClass",OPERATING_COEFFS!$B:$B,$AI616))</f>
        <v/>
      </c>
      <c r="AL616" t="str">
        <f>IF($AK616="","",SUMIFS(OPERATING_COEFFS!$C:$C,OPERATING_COEFFS!$A:$A,"UrgencyClass",OPERATING_COEFFS!$B:$B,$AK616))</f>
        <v/>
      </c>
      <c r="AN616" t="str">
        <f>IF($AM616="","",INDEX(TAX_MODES!$B:$B,MATCH($AM616,TAX_MODES!$A:$A,0)))</f>
        <v/>
      </c>
    </row>
    <row r="617" spans="24:40" x14ac:dyDescent="0.3">
      <c r="X617" s="13"/>
      <c r="Y617" s="13" t="str">
        <f>IF($X617="","",SUMIFS(TARIFF_PROFILES!$D:$D,TARIFF_PROFILES!$A:$A,$X617))</f>
        <v/>
      </c>
      <c r="Z617" s="13" t="str">
        <f>IF($X617="","",SUMIFS(TARIFF_PROFILES!$E:$E,TARIFF_PROFILES!$A:$A,$X617))</f>
        <v/>
      </c>
      <c r="AA617" s="13" t="str">
        <f>IF($X617="","",SUMIFS(TARIFF_PROFILES!$F:$F,TARIFF_PROFILES!$A:$A,$X617))</f>
        <v/>
      </c>
      <c r="AB617" s="13" t="str">
        <f>IF($X617="","",SUMIFS(TARIFF_PROFILES!$G:$G,TARIFF_PROFILES!$A:$A,$X617))</f>
        <v/>
      </c>
      <c r="AC617" s="13" t="str">
        <f>IF($X617="","",SUMIFS(TARIFF_PROFILES!$H:$H,TARIFF_PROFILES!$A:$A,$X617))</f>
        <v/>
      </c>
      <c r="AD617" s="13" t="str">
        <f>IF($X617="","",INDEX(TARIFF_PROFILES!$J:$J,MATCH($X617,TARIFF_PROFILES!$A:$A,0)))</f>
        <v/>
      </c>
      <c r="AE617" s="13" t="str">
        <f>IF($X617="","",INDEX(TARIFF_PROFILES!$K:$K,MATCH($X617,TARIFF_PROFILES!$A:$A,0)))</f>
        <v/>
      </c>
      <c r="AH617" t="str">
        <f>IF($AG617="","",SUMIFS(OPERATING_COEFFS!$C:$C,OPERATING_COEFFS!$A:$A,"DistanceClass",OPERATING_COEFFS!$B:$B,$AG617))</f>
        <v/>
      </c>
      <c r="AJ617" t="str">
        <f>IF($AI617="","",SUMIFS(OPERATING_COEFFS!$C:$C,OPERATING_COEFFS!$A:$A,"SeasonClass",OPERATING_COEFFS!$B:$B,$AI617))</f>
        <v/>
      </c>
      <c r="AL617" t="str">
        <f>IF($AK617="","",SUMIFS(OPERATING_COEFFS!$C:$C,OPERATING_COEFFS!$A:$A,"UrgencyClass",OPERATING_COEFFS!$B:$B,$AK617))</f>
        <v/>
      </c>
      <c r="AN617" t="str">
        <f>IF($AM617="","",INDEX(TAX_MODES!$B:$B,MATCH($AM617,TAX_MODES!$A:$A,0)))</f>
        <v/>
      </c>
    </row>
    <row r="618" spans="24:40" x14ac:dyDescent="0.3">
      <c r="X618" s="13"/>
      <c r="Y618" s="13" t="str">
        <f>IF($X618="","",SUMIFS(TARIFF_PROFILES!$D:$D,TARIFF_PROFILES!$A:$A,$X618))</f>
        <v/>
      </c>
      <c r="Z618" s="13" t="str">
        <f>IF($X618="","",SUMIFS(TARIFF_PROFILES!$E:$E,TARIFF_PROFILES!$A:$A,$X618))</f>
        <v/>
      </c>
      <c r="AA618" s="13" t="str">
        <f>IF($X618="","",SUMIFS(TARIFF_PROFILES!$F:$F,TARIFF_PROFILES!$A:$A,$X618))</f>
        <v/>
      </c>
      <c r="AB618" s="13" t="str">
        <f>IF($X618="","",SUMIFS(TARIFF_PROFILES!$G:$G,TARIFF_PROFILES!$A:$A,$X618))</f>
        <v/>
      </c>
      <c r="AC618" s="13" t="str">
        <f>IF($X618="","",SUMIFS(TARIFF_PROFILES!$H:$H,TARIFF_PROFILES!$A:$A,$X618))</f>
        <v/>
      </c>
      <c r="AD618" s="13" t="str">
        <f>IF($X618="","",INDEX(TARIFF_PROFILES!$J:$J,MATCH($X618,TARIFF_PROFILES!$A:$A,0)))</f>
        <v/>
      </c>
      <c r="AE618" s="13" t="str">
        <f>IF($X618="","",INDEX(TARIFF_PROFILES!$K:$K,MATCH($X618,TARIFF_PROFILES!$A:$A,0)))</f>
        <v/>
      </c>
      <c r="AH618" t="str">
        <f>IF($AG618="","",SUMIFS(OPERATING_COEFFS!$C:$C,OPERATING_COEFFS!$A:$A,"DistanceClass",OPERATING_COEFFS!$B:$B,$AG618))</f>
        <v/>
      </c>
      <c r="AJ618" t="str">
        <f>IF($AI618="","",SUMIFS(OPERATING_COEFFS!$C:$C,OPERATING_COEFFS!$A:$A,"SeasonClass",OPERATING_COEFFS!$B:$B,$AI618))</f>
        <v/>
      </c>
      <c r="AL618" t="str">
        <f>IF($AK618="","",SUMIFS(OPERATING_COEFFS!$C:$C,OPERATING_COEFFS!$A:$A,"UrgencyClass",OPERATING_COEFFS!$B:$B,$AK618))</f>
        <v/>
      </c>
      <c r="AN618" t="str">
        <f>IF($AM618="","",INDEX(TAX_MODES!$B:$B,MATCH($AM618,TAX_MODES!$A:$A,0)))</f>
        <v/>
      </c>
    </row>
    <row r="619" spans="24:40" x14ac:dyDescent="0.3">
      <c r="X619" s="13"/>
      <c r="Y619" s="13" t="str">
        <f>IF($X619="","",SUMIFS(TARIFF_PROFILES!$D:$D,TARIFF_PROFILES!$A:$A,$X619))</f>
        <v/>
      </c>
      <c r="Z619" s="13" t="str">
        <f>IF($X619="","",SUMIFS(TARIFF_PROFILES!$E:$E,TARIFF_PROFILES!$A:$A,$X619))</f>
        <v/>
      </c>
      <c r="AA619" s="13" t="str">
        <f>IF($X619="","",SUMIFS(TARIFF_PROFILES!$F:$F,TARIFF_PROFILES!$A:$A,$X619))</f>
        <v/>
      </c>
      <c r="AB619" s="13" t="str">
        <f>IF($X619="","",SUMIFS(TARIFF_PROFILES!$G:$G,TARIFF_PROFILES!$A:$A,$X619))</f>
        <v/>
      </c>
      <c r="AC619" s="13" t="str">
        <f>IF($X619="","",SUMIFS(TARIFF_PROFILES!$H:$H,TARIFF_PROFILES!$A:$A,$X619))</f>
        <v/>
      </c>
      <c r="AD619" s="13" t="str">
        <f>IF($X619="","",INDEX(TARIFF_PROFILES!$J:$J,MATCH($X619,TARIFF_PROFILES!$A:$A,0)))</f>
        <v/>
      </c>
      <c r="AE619" s="13" t="str">
        <f>IF($X619="","",INDEX(TARIFF_PROFILES!$K:$K,MATCH($X619,TARIFF_PROFILES!$A:$A,0)))</f>
        <v/>
      </c>
      <c r="AH619" t="str">
        <f>IF($AG619="","",SUMIFS(OPERATING_COEFFS!$C:$C,OPERATING_COEFFS!$A:$A,"DistanceClass",OPERATING_COEFFS!$B:$B,$AG619))</f>
        <v/>
      </c>
      <c r="AJ619" t="str">
        <f>IF($AI619="","",SUMIFS(OPERATING_COEFFS!$C:$C,OPERATING_COEFFS!$A:$A,"SeasonClass",OPERATING_COEFFS!$B:$B,$AI619))</f>
        <v/>
      </c>
      <c r="AL619" t="str">
        <f>IF($AK619="","",SUMIFS(OPERATING_COEFFS!$C:$C,OPERATING_COEFFS!$A:$A,"UrgencyClass",OPERATING_COEFFS!$B:$B,$AK619))</f>
        <v/>
      </c>
      <c r="AN619" t="str">
        <f>IF($AM619="","",INDEX(TAX_MODES!$B:$B,MATCH($AM619,TAX_MODES!$A:$A,0)))</f>
        <v/>
      </c>
    </row>
    <row r="620" spans="24:40" x14ac:dyDescent="0.3">
      <c r="X620" s="13"/>
      <c r="Y620" s="13" t="str">
        <f>IF($X620="","",SUMIFS(TARIFF_PROFILES!$D:$D,TARIFF_PROFILES!$A:$A,$X620))</f>
        <v/>
      </c>
      <c r="Z620" s="13" t="str">
        <f>IF($X620="","",SUMIFS(TARIFF_PROFILES!$E:$E,TARIFF_PROFILES!$A:$A,$X620))</f>
        <v/>
      </c>
      <c r="AA620" s="13" t="str">
        <f>IF($X620="","",SUMIFS(TARIFF_PROFILES!$F:$F,TARIFF_PROFILES!$A:$A,$X620))</f>
        <v/>
      </c>
      <c r="AB620" s="13" t="str">
        <f>IF($X620="","",SUMIFS(TARIFF_PROFILES!$G:$G,TARIFF_PROFILES!$A:$A,$X620))</f>
        <v/>
      </c>
      <c r="AC620" s="13" t="str">
        <f>IF($X620="","",SUMIFS(TARIFF_PROFILES!$H:$H,TARIFF_PROFILES!$A:$A,$X620))</f>
        <v/>
      </c>
      <c r="AD620" s="13" t="str">
        <f>IF($X620="","",INDEX(TARIFF_PROFILES!$J:$J,MATCH($X620,TARIFF_PROFILES!$A:$A,0)))</f>
        <v/>
      </c>
      <c r="AE620" s="13" t="str">
        <f>IF($X620="","",INDEX(TARIFF_PROFILES!$K:$K,MATCH($X620,TARIFF_PROFILES!$A:$A,0)))</f>
        <v/>
      </c>
      <c r="AH620" t="str">
        <f>IF($AG620="","",SUMIFS(OPERATING_COEFFS!$C:$C,OPERATING_COEFFS!$A:$A,"DistanceClass",OPERATING_COEFFS!$B:$B,$AG620))</f>
        <v/>
      </c>
      <c r="AJ620" t="str">
        <f>IF($AI620="","",SUMIFS(OPERATING_COEFFS!$C:$C,OPERATING_COEFFS!$A:$A,"SeasonClass",OPERATING_COEFFS!$B:$B,$AI620))</f>
        <v/>
      </c>
      <c r="AL620" t="str">
        <f>IF($AK620="","",SUMIFS(OPERATING_COEFFS!$C:$C,OPERATING_COEFFS!$A:$A,"UrgencyClass",OPERATING_COEFFS!$B:$B,$AK620))</f>
        <v/>
      </c>
      <c r="AN620" t="str">
        <f>IF($AM620="","",INDEX(TAX_MODES!$B:$B,MATCH($AM620,TAX_MODES!$A:$A,0)))</f>
        <v/>
      </c>
    </row>
    <row r="621" spans="24:40" x14ac:dyDescent="0.3">
      <c r="X621" s="13"/>
      <c r="Y621" s="13" t="str">
        <f>IF($X621="","",SUMIFS(TARIFF_PROFILES!$D:$D,TARIFF_PROFILES!$A:$A,$X621))</f>
        <v/>
      </c>
      <c r="Z621" s="13" t="str">
        <f>IF($X621="","",SUMIFS(TARIFF_PROFILES!$E:$E,TARIFF_PROFILES!$A:$A,$X621))</f>
        <v/>
      </c>
      <c r="AA621" s="13" t="str">
        <f>IF($X621="","",SUMIFS(TARIFF_PROFILES!$F:$F,TARIFF_PROFILES!$A:$A,$X621))</f>
        <v/>
      </c>
      <c r="AB621" s="13" t="str">
        <f>IF($X621="","",SUMIFS(TARIFF_PROFILES!$G:$G,TARIFF_PROFILES!$A:$A,$X621))</f>
        <v/>
      </c>
      <c r="AC621" s="13" t="str">
        <f>IF($X621="","",SUMIFS(TARIFF_PROFILES!$H:$H,TARIFF_PROFILES!$A:$A,$X621))</f>
        <v/>
      </c>
      <c r="AD621" s="13" t="str">
        <f>IF($X621="","",INDEX(TARIFF_PROFILES!$J:$J,MATCH($X621,TARIFF_PROFILES!$A:$A,0)))</f>
        <v/>
      </c>
      <c r="AE621" s="13" t="str">
        <f>IF($X621="","",INDEX(TARIFF_PROFILES!$K:$K,MATCH($X621,TARIFF_PROFILES!$A:$A,0)))</f>
        <v/>
      </c>
      <c r="AH621" t="str">
        <f>IF($AG621="","",SUMIFS(OPERATING_COEFFS!$C:$C,OPERATING_COEFFS!$A:$A,"DistanceClass",OPERATING_COEFFS!$B:$B,$AG621))</f>
        <v/>
      </c>
      <c r="AJ621" t="str">
        <f>IF($AI621="","",SUMIFS(OPERATING_COEFFS!$C:$C,OPERATING_COEFFS!$A:$A,"SeasonClass",OPERATING_COEFFS!$B:$B,$AI621))</f>
        <v/>
      </c>
      <c r="AL621" t="str">
        <f>IF($AK621="","",SUMIFS(OPERATING_COEFFS!$C:$C,OPERATING_COEFFS!$A:$A,"UrgencyClass",OPERATING_COEFFS!$B:$B,$AK621))</f>
        <v/>
      </c>
      <c r="AN621" t="str">
        <f>IF($AM621="","",INDEX(TAX_MODES!$B:$B,MATCH($AM621,TAX_MODES!$A:$A,0)))</f>
        <v/>
      </c>
    </row>
    <row r="622" spans="24:40" x14ac:dyDescent="0.3">
      <c r="X622" s="13"/>
      <c r="Y622" s="13" t="str">
        <f>IF($X622="","",SUMIFS(TARIFF_PROFILES!$D:$D,TARIFF_PROFILES!$A:$A,$X622))</f>
        <v/>
      </c>
      <c r="Z622" s="13" t="str">
        <f>IF($X622="","",SUMIFS(TARIFF_PROFILES!$E:$E,TARIFF_PROFILES!$A:$A,$X622))</f>
        <v/>
      </c>
      <c r="AA622" s="13" t="str">
        <f>IF($X622="","",SUMIFS(TARIFF_PROFILES!$F:$F,TARIFF_PROFILES!$A:$A,$X622))</f>
        <v/>
      </c>
      <c r="AB622" s="13" t="str">
        <f>IF($X622="","",SUMIFS(TARIFF_PROFILES!$G:$G,TARIFF_PROFILES!$A:$A,$X622))</f>
        <v/>
      </c>
      <c r="AC622" s="13" t="str">
        <f>IF($X622="","",SUMIFS(TARIFF_PROFILES!$H:$H,TARIFF_PROFILES!$A:$A,$X622))</f>
        <v/>
      </c>
      <c r="AD622" s="13" t="str">
        <f>IF($X622="","",INDEX(TARIFF_PROFILES!$J:$J,MATCH($X622,TARIFF_PROFILES!$A:$A,0)))</f>
        <v/>
      </c>
      <c r="AE622" s="13" t="str">
        <f>IF($X622="","",INDEX(TARIFF_PROFILES!$K:$K,MATCH($X622,TARIFF_PROFILES!$A:$A,0)))</f>
        <v/>
      </c>
      <c r="AH622" t="str">
        <f>IF($AG622="","",SUMIFS(OPERATING_COEFFS!$C:$C,OPERATING_COEFFS!$A:$A,"DistanceClass",OPERATING_COEFFS!$B:$B,$AG622))</f>
        <v/>
      </c>
      <c r="AJ622" t="str">
        <f>IF($AI622="","",SUMIFS(OPERATING_COEFFS!$C:$C,OPERATING_COEFFS!$A:$A,"SeasonClass",OPERATING_COEFFS!$B:$B,$AI622))</f>
        <v/>
      </c>
      <c r="AL622" t="str">
        <f>IF($AK622="","",SUMIFS(OPERATING_COEFFS!$C:$C,OPERATING_COEFFS!$A:$A,"UrgencyClass",OPERATING_COEFFS!$B:$B,$AK622))</f>
        <v/>
      </c>
      <c r="AN622" t="str">
        <f>IF($AM622="","",INDEX(TAX_MODES!$B:$B,MATCH($AM622,TAX_MODES!$A:$A,0)))</f>
        <v/>
      </c>
    </row>
    <row r="623" spans="24:40" x14ac:dyDescent="0.3">
      <c r="X623" s="13"/>
      <c r="Y623" s="13" t="str">
        <f>IF($X623="","",SUMIFS(TARIFF_PROFILES!$D:$D,TARIFF_PROFILES!$A:$A,$X623))</f>
        <v/>
      </c>
      <c r="Z623" s="13" t="str">
        <f>IF($X623="","",SUMIFS(TARIFF_PROFILES!$E:$E,TARIFF_PROFILES!$A:$A,$X623))</f>
        <v/>
      </c>
      <c r="AA623" s="13" t="str">
        <f>IF($X623="","",SUMIFS(TARIFF_PROFILES!$F:$F,TARIFF_PROFILES!$A:$A,$X623))</f>
        <v/>
      </c>
      <c r="AB623" s="13" t="str">
        <f>IF($X623="","",SUMIFS(TARIFF_PROFILES!$G:$G,TARIFF_PROFILES!$A:$A,$X623))</f>
        <v/>
      </c>
      <c r="AC623" s="13" t="str">
        <f>IF($X623="","",SUMIFS(TARIFF_PROFILES!$H:$H,TARIFF_PROFILES!$A:$A,$X623))</f>
        <v/>
      </c>
      <c r="AD623" s="13" t="str">
        <f>IF($X623="","",INDEX(TARIFF_PROFILES!$J:$J,MATCH($X623,TARIFF_PROFILES!$A:$A,0)))</f>
        <v/>
      </c>
      <c r="AE623" s="13" t="str">
        <f>IF($X623="","",INDEX(TARIFF_PROFILES!$K:$K,MATCH($X623,TARIFF_PROFILES!$A:$A,0)))</f>
        <v/>
      </c>
      <c r="AH623" t="str">
        <f>IF($AG623="","",SUMIFS(OPERATING_COEFFS!$C:$C,OPERATING_COEFFS!$A:$A,"DistanceClass",OPERATING_COEFFS!$B:$B,$AG623))</f>
        <v/>
      </c>
      <c r="AJ623" t="str">
        <f>IF($AI623="","",SUMIFS(OPERATING_COEFFS!$C:$C,OPERATING_COEFFS!$A:$A,"SeasonClass",OPERATING_COEFFS!$B:$B,$AI623))</f>
        <v/>
      </c>
      <c r="AL623" t="str">
        <f>IF($AK623="","",SUMIFS(OPERATING_COEFFS!$C:$C,OPERATING_COEFFS!$A:$A,"UrgencyClass",OPERATING_COEFFS!$B:$B,$AK623))</f>
        <v/>
      </c>
      <c r="AN623" t="str">
        <f>IF($AM623="","",INDEX(TAX_MODES!$B:$B,MATCH($AM623,TAX_MODES!$A:$A,0)))</f>
        <v/>
      </c>
    </row>
    <row r="624" spans="24:40" x14ac:dyDescent="0.3">
      <c r="X624" s="13"/>
      <c r="Y624" s="13" t="str">
        <f>IF($X624="","",SUMIFS(TARIFF_PROFILES!$D:$D,TARIFF_PROFILES!$A:$A,$X624))</f>
        <v/>
      </c>
      <c r="Z624" s="13" t="str">
        <f>IF($X624="","",SUMIFS(TARIFF_PROFILES!$E:$E,TARIFF_PROFILES!$A:$A,$X624))</f>
        <v/>
      </c>
      <c r="AA624" s="13" t="str">
        <f>IF($X624="","",SUMIFS(TARIFF_PROFILES!$F:$F,TARIFF_PROFILES!$A:$A,$X624))</f>
        <v/>
      </c>
      <c r="AB624" s="13" t="str">
        <f>IF($X624="","",SUMIFS(TARIFF_PROFILES!$G:$G,TARIFF_PROFILES!$A:$A,$X624))</f>
        <v/>
      </c>
      <c r="AC624" s="13" t="str">
        <f>IF($X624="","",SUMIFS(TARIFF_PROFILES!$H:$H,TARIFF_PROFILES!$A:$A,$X624))</f>
        <v/>
      </c>
      <c r="AD624" s="13" t="str">
        <f>IF($X624="","",INDEX(TARIFF_PROFILES!$J:$J,MATCH($X624,TARIFF_PROFILES!$A:$A,0)))</f>
        <v/>
      </c>
      <c r="AE624" s="13" t="str">
        <f>IF($X624="","",INDEX(TARIFF_PROFILES!$K:$K,MATCH($X624,TARIFF_PROFILES!$A:$A,0)))</f>
        <v/>
      </c>
      <c r="AH624" t="str">
        <f>IF($AG624="","",SUMIFS(OPERATING_COEFFS!$C:$C,OPERATING_COEFFS!$A:$A,"DistanceClass",OPERATING_COEFFS!$B:$B,$AG624))</f>
        <v/>
      </c>
      <c r="AJ624" t="str">
        <f>IF($AI624="","",SUMIFS(OPERATING_COEFFS!$C:$C,OPERATING_COEFFS!$A:$A,"SeasonClass",OPERATING_COEFFS!$B:$B,$AI624))</f>
        <v/>
      </c>
      <c r="AL624" t="str">
        <f>IF($AK624="","",SUMIFS(OPERATING_COEFFS!$C:$C,OPERATING_COEFFS!$A:$A,"UrgencyClass",OPERATING_COEFFS!$B:$B,$AK624))</f>
        <v/>
      </c>
      <c r="AN624" t="str">
        <f>IF($AM624="","",INDEX(TAX_MODES!$B:$B,MATCH($AM624,TAX_MODES!$A:$A,0)))</f>
        <v/>
      </c>
    </row>
    <row r="625" spans="24:40" x14ac:dyDescent="0.3">
      <c r="X625" s="13"/>
      <c r="Y625" s="13" t="str">
        <f>IF($X625="","",SUMIFS(TARIFF_PROFILES!$D:$D,TARIFF_PROFILES!$A:$A,$X625))</f>
        <v/>
      </c>
      <c r="Z625" s="13" t="str">
        <f>IF($X625="","",SUMIFS(TARIFF_PROFILES!$E:$E,TARIFF_PROFILES!$A:$A,$X625))</f>
        <v/>
      </c>
      <c r="AA625" s="13" t="str">
        <f>IF($X625="","",SUMIFS(TARIFF_PROFILES!$F:$F,TARIFF_PROFILES!$A:$A,$X625))</f>
        <v/>
      </c>
      <c r="AB625" s="13" t="str">
        <f>IF($X625="","",SUMIFS(TARIFF_PROFILES!$G:$G,TARIFF_PROFILES!$A:$A,$X625))</f>
        <v/>
      </c>
      <c r="AC625" s="13" t="str">
        <f>IF($X625="","",SUMIFS(TARIFF_PROFILES!$H:$H,TARIFF_PROFILES!$A:$A,$X625))</f>
        <v/>
      </c>
      <c r="AD625" s="13" t="str">
        <f>IF($X625="","",INDEX(TARIFF_PROFILES!$J:$J,MATCH($X625,TARIFF_PROFILES!$A:$A,0)))</f>
        <v/>
      </c>
      <c r="AE625" s="13" t="str">
        <f>IF($X625="","",INDEX(TARIFF_PROFILES!$K:$K,MATCH($X625,TARIFF_PROFILES!$A:$A,0)))</f>
        <v/>
      </c>
      <c r="AH625" t="str">
        <f>IF($AG625="","",SUMIFS(OPERATING_COEFFS!$C:$C,OPERATING_COEFFS!$A:$A,"DistanceClass",OPERATING_COEFFS!$B:$B,$AG625))</f>
        <v/>
      </c>
      <c r="AJ625" t="str">
        <f>IF($AI625="","",SUMIFS(OPERATING_COEFFS!$C:$C,OPERATING_COEFFS!$A:$A,"SeasonClass",OPERATING_COEFFS!$B:$B,$AI625))</f>
        <v/>
      </c>
      <c r="AL625" t="str">
        <f>IF($AK625="","",SUMIFS(OPERATING_COEFFS!$C:$C,OPERATING_COEFFS!$A:$A,"UrgencyClass",OPERATING_COEFFS!$B:$B,$AK625))</f>
        <v/>
      </c>
      <c r="AN625" t="str">
        <f>IF($AM625="","",INDEX(TAX_MODES!$B:$B,MATCH($AM625,TAX_MODES!$A:$A,0)))</f>
        <v/>
      </c>
    </row>
    <row r="626" spans="24:40" x14ac:dyDescent="0.3">
      <c r="X626" s="13"/>
      <c r="Y626" s="13" t="str">
        <f>IF($X626="","",SUMIFS(TARIFF_PROFILES!$D:$D,TARIFF_PROFILES!$A:$A,$X626))</f>
        <v/>
      </c>
      <c r="Z626" s="13" t="str">
        <f>IF($X626="","",SUMIFS(TARIFF_PROFILES!$E:$E,TARIFF_PROFILES!$A:$A,$X626))</f>
        <v/>
      </c>
      <c r="AA626" s="13" t="str">
        <f>IF($X626="","",SUMIFS(TARIFF_PROFILES!$F:$F,TARIFF_PROFILES!$A:$A,$X626))</f>
        <v/>
      </c>
      <c r="AB626" s="13" t="str">
        <f>IF($X626="","",SUMIFS(TARIFF_PROFILES!$G:$G,TARIFF_PROFILES!$A:$A,$X626))</f>
        <v/>
      </c>
      <c r="AC626" s="13" t="str">
        <f>IF($X626="","",SUMIFS(TARIFF_PROFILES!$H:$H,TARIFF_PROFILES!$A:$A,$X626))</f>
        <v/>
      </c>
      <c r="AD626" s="13" t="str">
        <f>IF($X626="","",INDEX(TARIFF_PROFILES!$J:$J,MATCH($X626,TARIFF_PROFILES!$A:$A,0)))</f>
        <v/>
      </c>
      <c r="AE626" s="13" t="str">
        <f>IF($X626="","",INDEX(TARIFF_PROFILES!$K:$K,MATCH($X626,TARIFF_PROFILES!$A:$A,0)))</f>
        <v/>
      </c>
      <c r="AH626" t="str">
        <f>IF($AG626="","",SUMIFS(OPERATING_COEFFS!$C:$C,OPERATING_COEFFS!$A:$A,"DistanceClass",OPERATING_COEFFS!$B:$B,$AG626))</f>
        <v/>
      </c>
      <c r="AJ626" t="str">
        <f>IF($AI626="","",SUMIFS(OPERATING_COEFFS!$C:$C,OPERATING_COEFFS!$A:$A,"SeasonClass",OPERATING_COEFFS!$B:$B,$AI626))</f>
        <v/>
      </c>
      <c r="AL626" t="str">
        <f>IF($AK626="","",SUMIFS(OPERATING_COEFFS!$C:$C,OPERATING_COEFFS!$A:$A,"UrgencyClass",OPERATING_COEFFS!$B:$B,$AK626))</f>
        <v/>
      </c>
      <c r="AN626" t="str">
        <f>IF($AM626="","",INDEX(TAX_MODES!$B:$B,MATCH($AM626,TAX_MODES!$A:$A,0)))</f>
        <v/>
      </c>
    </row>
    <row r="627" spans="24:40" x14ac:dyDescent="0.3">
      <c r="X627" s="13"/>
      <c r="Y627" s="13" t="str">
        <f>IF($X627="","",SUMIFS(TARIFF_PROFILES!$D:$D,TARIFF_PROFILES!$A:$A,$X627))</f>
        <v/>
      </c>
      <c r="Z627" s="13" t="str">
        <f>IF($X627="","",SUMIFS(TARIFF_PROFILES!$E:$E,TARIFF_PROFILES!$A:$A,$X627))</f>
        <v/>
      </c>
      <c r="AA627" s="13" t="str">
        <f>IF($X627="","",SUMIFS(TARIFF_PROFILES!$F:$F,TARIFF_PROFILES!$A:$A,$X627))</f>
        <v/>
      </c>
      <c r="AB627" s="13" t="str">
        <f>IF($X627="","",SUMIFS(TARIFF_PROFILES!$G:$G,TARIFF_PROFILES!$A:$A,$X627))</f>
        <v/>
      </c>
      <c r="AC627" s="13" t="str">
        <f>IF($X627="","",SUMIFS(TARIFF_PROFILES!$H:$H,TARIFF_PROFILES!$A:$A,$X627))</f>
        <v/>
      </c>
      <c r="AD627" s="13" t="str">
        <f>IF($X627="","",INDEX(TARIFF_PROFILES!$J:$J,MATCH($X627,TARIFF_PROFILES!$A:$A,0)))</f>
        <v/>
      </c>
      <c r="AE627" s="13" t="str">
        <f>IF($X627="","",INDEX(TARIFF_PROFILES!$K:$K,MATCH($X627,TARIFF_PROFILES!$A:$A,0)))</f>
        <v/>
      </c>
      <c r="AH627" t="str">
        <f>IF($AG627="","",SUMIFS(OPERATING_COEFFS!$C:$C,OPERATING_COEFFS!$A:$A,"DistanceClass",OPERATING_COEFFS!$B:$B,$AG627))</f>
        <v/>
      </c>
      <c r="AJ627" t="str">
        <f>IF($AI627="","",SUMIFS(OPERATING_COEFFS!$C:$C,OPERATING_COEFFS!$A:$A,"SeasonClass",OPERATING_COEFFS!$B:$B,$AI627))</f>
        <v/>
      </c>
      <c r="AL627" t="str">
        <f>IF($AK627="","",SUMIFS(OPERATING_COEFFS!$C:$C,OPERATING_COEFFS!$A:$A,"UrgencyClass",OPERATING_COEFFS!$B:$B,$AK627))</f>
        <v/>
      </c>
      <c r="AN627" t="str">
        <f>IF($AM627="","",INDEX(TAX_MODES!$B:$B,MATCH($AM627,TAX_MODES!$A:$A,0)))</f>
        <v/>
      </c>
    </row>
    <row r="628" spans="24:40" x14ac:dyDescent="0.3">
      <c r="X628" s="13"/>
      <c r="Y628" s="13" t="str">
        <f>IF($X628="","",SUMIFS(TARIFF_PROFILES!$D:$D,TARIFF_PROFILES!$A:$A,$X628))</f>
        <v/>
      </c>
      <c r="Z628" s="13" t="str">
        <f>IF($X628="","",SUMIFS(TARIFF_PROFILES!$E:$E,TARIFF_PROFILES!$A:$A,$X628))</f>
        <v/>
      </c>
      <c r="AA628" s="13" t="str">
        <f>IF($X628="","",SUMIFS(TARIFF_PROFILES!$F:$F,TARIFF_PROFILES!$A:$A,$X628))</f>
        <v/>
      </c>
      <c r="AB628" s="13" t="str">
        <f>IF($X628="","",SUMIFS(TARIFF_PROFILES!$G:$G,TARIFF_PROFILES!$A:$A,$X628))</f>
        <v/>
      </c>
      <c r="AC628" s="13" t="str">
        <f>IF($X628="","",SUMIFS(TARIFF_PROFILES!$H:$H,TARIFF_PROFILES!$A:$A,$X628))</f>
        <v/>
      </c>
      <c r="AD628" s="13" t="str">
        <f>IF($X628="","",INDEX(TARIFF_PROFILES!$J:$J,MATCH($X628,TARIFF_PROFILES!$A:$A,0)))</f>
        <v/>
      </c>
      <c r="AE628" s="13" t="str">
        <f>IF($X628="","",INDEX(TARIFF_PROFILES!$K:$K,MATCH($X628,TARIFF_PROFILES!$A:$A,0)))</f>
        <v/>
      </c>
      <c r="AH628" t="str">
        <f>IF($AG628="","",SUMIFS(OPERATING_COEFFS!$C:$C,OPERATING_COEFFS!$A:$A,"DistanceClass",OPERATING_COEFFS!$B:$B,$AG628))</f>
        <v/>
      </c>
      <c r="AJ628" t="str">
        <f>IF($AI628="","",SUMIFS(OPERATING_COEFFS!$C:$C,OPERATING_COEFFS!$A:$A,"SeasonClass",OPERATING_COEFFS!$B:$B,$AI628))</f>
        <v/>
      </c>
      <c r="AL628" t="str">
        <f>IF($AK628="","",SUMIFS(OPERATING_COEFFS!$C:$C,OPERATING_COEFFS!$A:$A,"UrgencyClass",OPERATING_COEFFS!$B:$B,$AK628))</f>
        <v/>
      </c>
      <c r="AN628" t="str">
        <f>IF($AM628="","",INDEX(TAX_MODES!$B:$B,MATCH($AM628,TAX_MODES!$A:$A,0)))</f>
        <v/>
      </c>
    </row>
    <row r="629" spans="24:40" x14ac:dyDescent="0.3">
      <c r="X629" s="13"/>
      <c r="Y629" s="13" t="str">
        <f>IF($X629="","",SUMIFS(TARIFF_PROFILES!$D:$D,TARIFF_PROFILES!$A:$A,$X629))</f>
        <v/>
      </c>
      <c r="Z629" s="13" t="str">
        <f>IF($X629="","",SUMIFS(TARIFF_PROFILES!$E:$E,TARIFF_PROFILES!$A:$A,$X629))</f>
        <v/>
      </c>
      <c r="AA629" s="13" t="str">
        <f>IF($X629="","",SUMIFS(TARIFF_PROFILES!$F:$F,TARIFF_PROFILES!$A:$A,$X629))</f>
        <v/>
      </c>
      <c r="AB629" s="13" t="str">
        <f>IF($X629="","",SUMIFS(TARIFF_PROFILES!$G:$G,TARIFF_PROFILES!$A:$A,$X629))</f>
        <v/>
      </c>
      <c r="AC629" s="13" t="str">
        <f>IF($X629="","",SUMIFS(TARIFF_PROFILES!$H:$H,TARIFF_PROFILES!$A:$A,$X629))</f>
        <v/>
      </c>
      <c r="AD629" s="13" t="str">
        <f>IF($X629="","",INDEX(TARIFF_PROFILES!$J:$J,MATCH($X629,TARIFF_PROFILES!$A:$A,0)))</f>
        <v/>
      </c>
      <c r="AE629" s="13" t="str">
        <f>IF($X629="","",INDEX(TARIFF_PROFILES!$K:$K,MATCH($X629,TARIFF_PROFILES!$A:$A,0)))</f>
        <v/>
      </c>
      <c r="AH629" t="str">
        <f>IF($AG629="","",SUMIFS(OPERATING_COEFFS!$C:$C,OPERATING_COEFFS!$A:$A,"DistanceClass",OPERATING_COEFFS!$B:$B,$AG629))</f>
        <v/>
      </c>
      <c r="AJ629" t="str">
        <f>IF($AI629="","",SUMIFS(OPERATING_COEFFS!$C:$C,OPERATING_COEFFS!$A:$A,"SeasonClass",OPERATING_COEFFS!$B:$B,$AI629))</f>
        <v/>
      </c>
      <c r="AL629" t="str">
        <f>IF($AK629="","",SUMIFS(OPERATING_COEFFS!$C:$C,OPERATING_COEFFS!$A:$A,"UrgencyClass",OPERATING_COEFFS!$B:$B,$AK629))</f>
        <v/>
      </c>
      <c r="AN629" t="str">
        <f>IF($AM629="","",INDEX(TAX_MODES!$B:$B,MATCH($AM629,TAX_MODES!$A:$A,0)))</f>
        <v/>
      </c>
    </row>
    <row r="630" spans="24:40" x14ac:dyDescent="0.3">
      <c r="X630" s="13"/>
      <c r="Y630" s="13" t="str">
        <f>IF($X630="","",SUMIFS(TARIFF_PROFILES!$D:$D,TARIFF_PROFILES!$A:$A,$X630))</f>
        <v/>
      </c>
      <c r="Z630" s="13" t="str">
        <f>IF($X630="","",SUMIFS(TARIFF_PROFILES!$E:$E,TARIFF_PROFILES!$A:$A,$X630))</f>
        <v/>
      </c>
      <c r="AA630" s="13" t="str">
        <f>IF($X630="","",SUMIFS(TARIFF_PROFILES!$F:$F,TARIFF_PROFILES!$A:$A,$X630))</f>
        <v/>
      </c>
      <c r="AB630" s="13" t="str">
        <f>IF($X630="","",SUMIFS(TARIFF_PROFILES!$G:$G,TARIFF_PROFILES!$A:$A,$X630))</f>
        <v/>
      </c>
      <c r="AC630" s="13" t="str">
        <f>IF($X630="","",SUMIFS(TARIFF_PROFILES!$H:$H,TARIFF_PROFILES!$A:$A,$X630))</f>
        <v/>
      </c>
      <c r="AD630" s="13" t="str">
        <f>IF($X630="","",INDEX(TARIFF_PROFILES!$J:$J,MATCH($X630,TARIFF_PROFILES!$A:$A,0)))</f>
        <v/>
      </c>
      <c r="AE630" s="13" t="str">
        <f>IF($X630="","",INDEX(TARIFF_PROFILES!$K:$K,MATCH($X630,TARIFF_PROFILES!$A:$A,0)))</f>
        <v/>
      </c>
      <c r="AH630" t="str">
        <f>IF($AG630="","",SUMIFS(OPERATING_COEFFS!$C:$C,OPERATING_COEFFS!$A:$A,"DistanceClass",OPERATING_COEFFS!$B:$B,$AG630))</f>
        <v/>
      </c>
      <c r="AJ630" t="str">
        <f>IF($AI630="","",SUMIFS(OPERATING_COEFFS!$C:$C,OPERATING_COEFFS!$A:$A,"SeasonClass",OPERATING_COEFFS!$B:$B,$AI630))</f>
        <v/>
      </c>
      <c r="AL630" t="str">
        <f>IF($AK630="","",SUMIFS(OPERATING_COEFFS!$C:$C,OPERATING_COEFFS!$A:$A,"UrgencyClass",OPERATING_COEFFS!$B:$B,$AK630))</f>
        <v/>
      </c>
      <c r="AN630" t="str">
        <f>IF($AM630="","",INDEX(TAX_MODES!$B:$B,MATCH($AM630,TAX_MODES!$A:$A,0)))</f>
        <v/>
      </c>
    </row>
    <row r="631" spans="24:40" x14ac:dyDescent="0.3">
      <c r="X631" s="13"/>
      <c r="Y631" s="13" t="str">
        <f>IF($X631="","",SUMIFS(TARIFF_PROFILES!$D:$D,TARIFF_PROFILES!$A:$A,$X631))</f>
        <v/>
      </c>
      <c r="Z631" s="13" t="str">
        <f>IF($X631="","",SUMIFS(TARIFF_PROFILES!$E:$E,TARIFF_PROFILES!$A:$A,$X631))</f>
        <v/>
      </c>
      <c r="AA631" s="13" t="str">
        <f>IF($X631="","",SUMIFS(TARIFF_PROFILES!$F:$F,TARIFF_PROFILES!$A:$A,$X631))</f>
        <v/>
      </c>
      <c r="AB631" s="13" t="str">
        <f>IF($X631="","",SUMIFS(TARIFF_PROFILES!$G:$G,TARIFF_PROFILES!$A:$A,$X631))</f>
        <v/>
      </c>
      <c r="AC631" s="13" t="str">
        <f>IF($X631="","",SUMIFS(TARIFF_PROFILES!$H:$H,TARIFF_PROFILES!$A:$A,$X631))</f>
        <v/>
      </c>
      <c r="AD631" s="13" t="str">
        <f>IF($X631="","",INDEX(TARIFF_PROFILES!$J:$J,MATCH($X631,TARIFF_PROFILES!$A:$A,0)))</f>
        <v/>
      </c>
      <c r="AE631" s="13" t="str">
        <f>IF($X631="","",INDEX(TARIFF_PROFILES!$K:$K,MATCH($X631,TARIFF_PROFILES!$A:$A,0)))</f>
        <v/>
      </c>
      <c r="AH631" t="str">
        <f>IF($AG631="","",SUMIFS(OPERATING_COEFFS!$C:$C,OPERATING_COEFFS!$A:$A,"DistanceClass",OPERATING_COEFFS!$B:$B,$AG631))</f>
        <v/>
      </c>
      <c r="AJ631" t="str">
        <f>IF($AI631="","",SUMIFS(OPERATING_COEFFS!$C:$C,OPERATING_COEFFS!$A:$A,"SeasonClass",OPERATING_COEFFS!$B:$B,$AI631))</f>
        <v/>
      </c>
      <c r="AL631" t="str">
        <f>IF($AK631="","",SUMIFS(OPERATING_COEFFS!$C:$C,OPERATING_COEFFS!$A:$A,"UrgencyClass",OPERATING_COEFFS!$B:$B,$AK631))</f>
        <v/>
      </c>
      <c r="AN631" t="str">
        <f>IF($AM631="","",INDEX(TAX_MODES!$B:$B,MATCH($AM631,TAX_MODES!$A:$A,0)))</f>
        <v/>
      </c>
    </row>
    <row r="632" spans="24:40" x14ac:dyDescent="0.3">
      <c r="X632" s="13"/>
      <c r="Y632" s="13" t="str">
        <f>IF($X632="","",SUMIFS(TARIFF_PROFILES!$D:$D,TARIFF_PROFILES!$A:$A,$X632))</f>
        <v/>
      </c>
      <c r="Z632" s="13" t="str">
        <f>IF($X632="","",SUMIFS(TARIFF_PROFILES!$E:$E,TARIFF_PROFILES!$A:$A,$X632))</f>
        <v/>
      </c>
      <c r="AA632" s="13" t="str">
        <f>IF($X632="","",SUMIFS(TARIFF_PROFILES!$F:$F,TARIFF_PROFILES!$A:$A,$X632))</f>
        <v/>
      </c>
      <c r="AB632" s="13" t="str">
        <f>IF($X632="","",SUMIFS(TARIFF_PROFILES!$G:$G,TARIFF_PROFILES!$A:$A,$X632))</f>
        <v/>
      </c>
      <c r="AC632" s="13" t="str">
        <f>IF($X632="","",SUMIFS(TARIFF_PROFILES!$H:$H,TARIFF_PROFILES!$A:$A,$X632))</f>
        <v/>
      </c>
      <c r="AD632" s="13" t="str">
        <f>IF($X632="","",INDEX(TARIFF_PROFILES!$J:$J,MATCH($X632,TARIFF_PROFILES!$A:$A,0)))</f>
        <v/>
      </c>
      <c r="AE632" s="13" t="str">
        <f>IF($X632="","",INDEX(TARIFF_PROFILES!$K:$K,MATCH($X632,TARIFF_PROFILES!$A:$A,0)))</f>
        <v/>
      </c>
      <c r="AH632" t="str">
        <f>IF($AG632="","",SUMIFS(OPERATING_COEFFS!$C:$C,OPERATING_COEFFS!$A:$A,"DistanceClass",OPERATING_COEFFS!$B:$B,$AG632))</f>
        <v/>
      </c>
      <c r="AJ632" t="str">
        <f>IF($AI632="","",SUMIFS(OPERATING_COEFFS!$C:$C,OPERATING_COEFFS!$A:$A,"SeasonClass",OPERATING_COEFFS!$B:$B,$AI632))</f>
        <v/>
      </c>
      <c r="AL632" t="str">
        <f>IF($AK632="","",SUMIFS(OPERATING_COEFFS!$C:$C,OPERATING_COEFFS!$A:$A,"UrgencyClass",OPERATING_COEFFS!$B:$B,$AK632))</f>
        <v/>
      </c>
      <c r="AN632" t="str">
        <f>IF($AM632="","",INDEX(TAX_MODES!$B:$B,MATCH($AM632,TAX_MODES!$A:$A,0)))</f>
        <v/>
      </c>
    </row>
    <row r="633" spans="24:40" x14ac:dyDescent="0.3">
      <c r="X633" s="13"/>
      <c r="Y633" s="13" t="str">
        <f>IF($X633="","",SUMIFS(TARIFF_PROFILES!$D:$D,TARIFF_PROFILES!$A:$A,$X633))</f>
        <v/>
      </c>
      <c r="Z633" s="13" t="str">
        <f>IF($X633="","",SUMIFS(TARIFF_PROFILES!$E:$E,TARIFF_PROFILES!$A:$A,$X633))</f>
        <v/>
      </c>
      <c r="AA633" s="13" t="str">
        <f>IF($X633="","",SUMIFS(TARIFF_PROFILES!$F:$F,TARIFF_PROFILES!$A:$A,$X633))</f>
        <v/>
      </c>
      <c r="AB633" s="13" t="str">
        <f>IF($X633="","",SUMIFS(TARIFF_PROFILES!$G:$G,TARIFF_PROFILES!$A:$A,$X633))</f>
        <v/>
      </c>
      <c r="AC633" s="13" t="str">
        <f>IF($X633="","",SUMIFS(TARIFF_PROFILES!$H:$H,TARIFF_PROFILES!$A:$A,$X633))</f>
        <v/>
      </c>
      <c r="AD633" s="13" t="str">
        <f>IF($X633="","",INDEX(TARIFF_PROFILES!$J:$J,MATCH($X633,TARIFF_PROFILES!$A:$A,0)))</f>
        <v/>
      </c>
      <c r="AE633" s="13" t="str">
        <f>IF($X633="","",INDEX(TARIFF_PROFILES!$K:$K,MATCH($X633,TARIFF_PROFILES!$A:$A,0)))</f>
        <v/>
      </c>
      <c r="AH633" t="str">
        <f>IF($AG633="","",SUMIFS(OPERATING_COEFFS!$C:$C,OPERATING_COEFFS!$A:$A,"DistanceClass",OPERATING_COEFFS!$B:$B,$AG633))</f>
        <v/>
      </c>
      <c r="AJ633" t="str">
        <f>IF($AI633="","",SUMIFS(OPERATING_COEFFS!$C:$C,OPERATING_COEFFS!$A:$A,"SeasonClass",OPERATING_COEFFS!$B:$B,$AI633))</f>
        <v/>
      </c>
      <c r="AL633" t="str">
        <f>IF($AK633="","",SUMIFS(OPERATING_COEFFS!$C:$C,OPERATING_COEFFS!$A:$A,"UrgencyClass",OPERATING_COEFFS!$B:$B,$AK633))</f>
        <v/>
      </c>
      <c r="AN633" t="str">
        <f>IF($AM633="","",INDEX(TAX_MODES!$B:$B,MATCH($AM633,TAX_MODES!$A:$A,0)))</f>
        <v/>
      </c>
    </row>
    <row r="634" spans="24:40" x14ac:dyDescent="0.3">
      <c r="X634" s="13"/>
      <c r="Y634" s="13" t="str">
        <f>IF($X634="","",SUMIFS(TARIFF_PROFILES!$D:$D,TARIFF_PROFILES!$A:$A,$X634))</f>
        <v/>
      </c>
      <c r="Z634" s="13" t="str">
        <f>IF($X634="","",SUMIFS(TARIFF_PROFILES!$E:$E,TARIFF_PROFILES!$A:$A,$X634))</f>
        <v/>
      </c>
      <c r="AA634" s="13" t="str">
        <f>IF($X634="","",SUMIFS(TARIFF_PROFILES!$F:$F,TARIFF_PROFILES!$A:$A,$X634))</f>
        <v/>
      </c>
      <c r="AB634" s="13" t="str">
        <f>IF($X634="","",SUMIFS(TARIFF_PROFILES!$G:$G,TARIFF_PROFILES!$A:$A,$X634))</f>
        <v/>
      </c>
      <c r="AC634" s="13" t="str">
        <f>IF($X634="","",SUMIFS(TARIFF_PROFILES!$H:$H,TARIFF_PROFILES!$A:$A,$X634))</f>
        <v/>
      </c>
      <c r="AD634" s="13" t="str">
        <f>IF($X634="","",INDEX(TARIFF_PROFILES!$J:$J,MATCH($X634,TARIFF_PROFILES!$A:$A,0)))</f>
        <v/>
      </c>
      <c r="AE634" s="13" t="str">
        <f>IF($X634="","",INDEX(TARIFF_PROFILES!$K:$K,MATCH($X634,TARIFF_PROFILES!$A:$A,0)))</f>
        <v/>
      </c>
      <c r="AH634" t="str">
        <f>IF($AG634="","",SUMIFS(OPERATING_COEFFS!$C:$C,OPERATING_COEFFS!$A:$A,"DistanceClass",OPERATING_COEFFS!$B:$B,$AG634))</f>
        <v/>
      </c>
      <c r="AJ634" t="str">
        <f>IF($AI634="","",SUMIFS(OPERATING_COEFFS!$C:$C,OPERATING_COEFFS!$A:$A,"SeasonClass",OPERATING_COEFFS!$B:$B,$AI634))</f>
        <v/>
      </c>
      <c r="AL634" t="str">
        <f>IF($AK634="","",SUMIFS(OPERATING_COEFFS!$C:$C,OPERATING_COEFFS!$A:$A,"UrgencyClass",OPERATING_COEFFS!$B:$B,$AK634))</f>
        <v/>
      </c>
      <c r="AN634" t="str">
        <f>IF($AM634="","",INDEX(TAX_MODES!$B:$B,MATCH($AM634,TAX_MODES!$A:$A,0)))</f>
        <v/>
      </c>
    </row>
    <row r="635" spans="24:40" x14ac:dyDescent="0.3">
      <c r="X635" s="13"/>
      <c r="Y635" s="13" t="str">
        <f>IF($X635="","",SUMIFS(TARIFF_PROFILES!$D:$D,TARIFF_PROFILES!$A:$A,$X635))</f>
        <v/>
      </c>
      <c r="Z635" s="13" t="str">
        <f>IF($X635="","",SUMIFS(TARIFF_PROFILES!$E:$E,TARIFF_PROFILES!$A:$A,$X635))</f>
        <v/>
      </c>
      <c r="AA635" s="13" t="str">
        <f>IF($X635="","",SUMIFS(TARIFF_PROFILES!$F:$F,TARIFF_PROFILES!$A:$A,$X635))</f>
        <v/>
      </c>
      <c r="AB635" s="13" t="str">
        <f>IF($X635="","",SUMIFS(TARIFF_PROFILES!$G:$G,TARIFF_PROFILES!$A:$A,$X635))</f>
        <v/>
      </c>
      <c r="AC635" s="13" t="str">
        <f>IF($X635="","",SUMIFS(TARIFF_PROFILES!$H:$H,TARIFF_PROFILES!$A:$A,$X635))</f>
        <v/>
      </c>
      <c r="AD635" s="13" t="str">
        <f>IF($X635="","",INDEX(TARIFF_PROFILES!$J:$J,MATCH($X635,TARIFF_PROFILES!$A:$A,0)))</f>
        <v/>
      </c>
      <c r="AE635" s="13" t="str">
        <f>IF($X635="","",INDEX(TARIFF_PROFILES!$K:$K,MATCH($X635,TARIFF_PROFILES!$A:$A,0)))</f>
        <v/>
      </c>
      <c r="AH635" t="str">
        <f>IF($AG635="","",SUMIFS(OPERATING_COEFFS!$C:$C,OPERATING_COEFFS!$A:$A,"DistanceClass",OPERATING_COEFFS!$B:$B,$AG635))</f>
        <v/>
      </c>
      <c r="AJ635" t="str">
        <f>IF($AI635="","",SUMIFS(OPERATING_COEFFS!$C:$C,OPERATING_COEFFS!$A:$A,"SeasonClass",OPERATING_COEFFS!$B:$B,$AI635))</f>
        <v/>
      </c>
      <c r="AL635" t="str">
        <f>IF($AK635="","",SUMIFS(OPERATING_COEFFS!$C:$C,OPERATING_COEFFS!$A:$A,"UrgencyClass",OPERATING_COEFFS!$B:$B,$AK635))</f>
        <v/>
      </c>
      <c r="AN635" t="str">
        <f>IF($AM635="","",INDEX(TAX_MODES!$B:$B,MATCH($AM635,TAX_MODES!$A:$A,0)))</f>
        <v/>
      </c>
    </row>
    <row r="636" spans="24:40" x14ac:dyDescent="0.3">
      <c r="X636" s="13"/>
      <c r="Y636" s="13" t="str">
        <f>IF($X636="","",SUMIFS(TARIFF_PROFILES!$D:$D,TARIFF_PROFILES!$A:$A,$X636))</f>
        <v/>
      </c>
      <c r="Z636" s="13" t="str">
        <f>IF($X636="","",SUMIFS(TARIFF_PROFILES!$E:$E,TARIFF_PROFILES!$A:$A,$X636))</f>
        <v/>
      </c>
      <c r="AA636" s="13" t="str">
        <f>IF($X636="","",SUMIFS(TARIFF_PROFILES!$F:$F,TARIFF_PROFILES!$A:$A,$X636))</f>
        <v/>
      </c>
      <c r="AB636" s="13" t="str">
        <f>IF($X636="","",SUMIFS(TARIFF_PROFILES!$G:$G,TARIFF_PROFILES!$A:$A,$X636))</f>
        <v/>
      </c>
      <c r="AC636" s="13" t="str">
        <f>IF($X636="","",SUMIFS(TARIFF_PROFILES!$H:$H,TARIFF_PROFILES!$A:$A,$X636))</f>
        <v/>
      </c>
      <c r="AD636" s="13" t="str">
        <f>IF($X636="","",INDEX(TARIFF_PROFILES!$J:$J,MATCH($X636,TARIFF_PROFILES!$A:$A,0)))</f>
        <v/>
      </c>
      <c r="AE636" s="13" t="str">
        <f>IF($X636="","",INDEX(TARIFF_PROFILES!$K:$K,MATCH($X636,TARIFF_PROFILES!$A:$A,0)))</f>
        <v/>
      </c>
      <c r="AH636" t="str">
        <f>IF($AG636="","",SUMIFS(OPERATING_COEFFS!$C:$C,OPERATING_COEFFS!$A:$A,"DistanceClass",OPERATING_COEFFS!$B:$B,$AG636))</f>
        <v/>
      </c>
      <c r="AJ636" t="str">
        <f>IF($AI636="","",SUMIFS(OPERATING_COEFFS!$C:$C,OPERATING_COEFFS!$A:$A,"SeasonClass",OPERATING_COEFFS!$B:$B,$AI636))</f>
        <v/>
      </c>
      <c r="AL636" t="str">
        <f>IF($AK636="","",SUMIFS(OPERATING_COEFFS!$C:$C,OPERATING_COEFFS!$A:$A,"UrgencyClass",OPERATING_COEFFS!$B:$B,$AK636))</f>
        <v/>
      </c>
      <c r="AN636" t="str">
        <f>IF($AM636="","",INDEX(TAX_MODES!$B:$B,MATCH($AM636,TAX_MODES!$A:$A,0)))</f>
        <v/>
      </c>
    </row>
    <row r="637" spans="24:40" x14ac:dyDescent="0.3">
      <c r="X637" s="13"/>
      <c r="Y637" s="13" t="str">
        <f>IF($X637="","",SUMIFS(TARIFF_PROFILES!$D:$D,TARIFF_PROFILES!$A:$A,$X637))</f>
        <v/>
      </c>
      <c r="Z637" s="13" t="str">
        <f>IF($X637="","",SUMIFS(TARIFF_PROFILES!$E:$E,TARIFF_PROFILES!$A:$A,$X637))</f>
        <v/>
      </c>
      <c r="AA637" s="13" t="str">
        <f>IF($X637="","",SUMIFS(TARIFF_PROFILES!$F:$F,TARIFF_PROFILES!$A:$A,$X637))</f>
        <v/>
      </c>
      <c r="AB637" s="13" t="str">
        <f>IF($X637="","",SUMIFS(TARIFF_PROFILES!$G:$G,TARIFF_PROFILES!$A:$A,$X637))</f>
        <v/>
      </c>
      <c r="AC637" s="13" t="str">
        <f>IF($X637="","",SUMIFS(TARIFF_PROFILES!$H:$H,TARIFF_PROFILES!$A:$A,$X637))</f>
        <v/>
      </c>
      <c r="AD637" s="13" t="str">
        <f>IF($X637="","",INDEX(TARIFF_PROFILES!$J:$J,MATCH($X637,TARIFF_PROFILES!$A:$A,0)))</f>
        <v/>
      </c>
      <c r="AE637" s="13" t="str">
        <f>IF($X637="","",INDEX(TARIFF_PROFILES!$K:$K,MATCH($X637,TARIFF_PROFILES!$A:$A,0)))</f>
        <v/>
      </c>
      <c r="AH637" t="str">
        <f>IF($AG637="","",SUMIFS(OPERATING_COEFFS!$C:$C,OPERATING_COEFFS!$A:$A,"DistanceClass",OPERATING_COEFFS!$B:$B,$AG637))</f>
        <v/>
      </c>
      <c r="AJ637" t="str">
        <f>IF($AI637="","",SUMIFS(OPERATING_COEFFS!$C:$C,OPERATING_COEFFS!$A:$A,"SeasonClass",OPERATING_COEFFS!$B:$B,$AI637))</f>
        <v/>
      </c>
      <c r="AL637" t="str">
        <f>IF($AK637="","",SUMIFS(OPERATING_COEFFS!$C:$C,OPERATING_COEFFS!$A:$A,"UrgencyClass",OPERATING_COEFFS!$B:$B,$AK637))</f>
        <v/>
      </c>
      <c r="AN637" t="str">
        <f>IF($AM637="","",INDEX(TAX_MODES!$B:$B,MATCH($AM637,TAX_MODES!$A:$A,0)))</f>
        <v/>
      </c>
    </row>
    <row r="638" spans="24:40" x14ac:dyDescent="0.3">
      <c r="X638" s="13"/>
      <c r="Y638" s="13" t="str">
        <f>IF($X638="","",SUMIFS(TARIFF_PROFILES!$D:$D,TARIFF_PROFILES!$A:$A,$X638))</f>
        <v/>
      </c>
      <c r="Z638" s="13" t="str">
        <f>IF($X638="","",SUMIFS(TARIFF_PROFILES!$E:$E,TARIFF_PROFILES!$A:$A,$X638))</f>
        <v/>
      </c>
      <c r="AA638" s="13" t="str">
        <f>IF($X638="","",SUMIFS(TARIFF_PROFILES!$F:$F,TARIFF_PROFILES!$A:$A,$X638))</f>
        <v/>
      </c>
      <c r="AB638" s="13" t="str">
        <f>IF($X638="","",SUMIFS(TARIFF_PROFILES!$G:$G,TARIFF_PROFILES!$A:$A,$X638))</f>
        <v/>
      </c>
      <c r="AC638" s="13" t="str">
        <f>IF($X638="","",SUMIFS(TARIFF_PROFILES!$H:$H,TARIFF_PROFILES!$A:$A,$X638))</f>
        <v/>
      </c>
      <c r="AD638" s="13" t="str">
        <f>IF($X638="","",INDEX(TARIFF_PROFILES!$J:$J,MATCH($X638,TARIFF_PROFILES!$A:$A,0)))</f>
        <v/>
      </c>
      <c r="AE638" s="13" t="str">
        <f>IF($X638="","",INDEX(TARIFF_PROFILES!$K:$K,MATCH($X638,TARIFF_PROFILES!$A:$A,0)))</f>
        <v/>
      </c>
      <c r="AH638" t="str">
        <f>IF($AG638="","",SUMIFS(OPERATING_COEFFS!$C:$C,OPERATING_COEFFS!$A:$A,"DistanceClass",OPERATING_COEFFS!$B:$B,$AG638))</f>
        <v/>
      </c>
      <c r="AJ638" t="str">
        <f>IF($AI638="","",SUMIFS(OPERATING_COEFFS!$C:$C,OPERATING_COEFFS!$A:$A,"SeasonClass",OPERATING_COEFFS!$B:$B,$AI638))</f>
        <v/>
      </c>
      <c r="AL638" t="str">
        <f>IF($AK638="","",SUMIFS(OPERATING_COEFFS!$C:$C,OPERATING_COEFFS!$A:$A,"UrgencyClass",OPERATING_COEFFS!$B:$B,$AK638))</f>
        <v/>
      </c>
      <c r="AN638" t="str">
        <f>IF($AM638="","",INDEX(TAX_MODES!$B:$B,MATCH($AM638,TAX_MODES!$A:$A,0)))</f>
        <v/>
      </c>
    </row>
    <row r="639" spans="24:40" x14ac:dyDescent="0.3">
      <c r="X639" s="13"/>
      <c r="Y639" s="13" t="str">
        <f>IF($X639="","",SUMIFS(TARIFF_PROFILES!$D:$D,TARIFF_PROFILES!$A:$A,$X639))</f>
        <v/>
      </c>
      <c r="Z639" s="13" t="str">
        <f>IF($X639="","",SUMIFS(TARIFF_PROFILES!$E:$E,TARIFF_PROFILES!$A:$A,$X639))</f>
        <v/>
      </c>
      <c r="AA639" s="13" t="str">
        <f>IF($X639="","",SUMIFS(TARIFF_PROFILES!$F:$F,TARIFF_PROFILES!$A:$A,$X639))</f>
        <v/>
      </c>
      <c r="AB639" s="13" t="str">
        <f>IF($X639="","",SUMIFS(TARIFF_PROFILES!$G:$G,TARIFF_PROFILES!$A:$A,$X639))</f>
        <v/>
      </c>
      <c r="AC639" s="13" t="str">
        <f>IF($X639="","",SUMIFS(TARIFF_PROFILES!$H:$H,TARIFF_PROFILES!$A:$A,$X639))</f>
        <v/>
      </c>
      <c r="AD639" s="13" t="str">
        <f>IF($X639="","",INDEX(TARIFF_PROFILES!$J:$J,MATCH($X639,TARIFF_PROFILES!$A:$A,0)))</f>
        <v/>
      </c>
      <c r="AE639" s="13" t="str">
        <f>IF($X639="","",INDEX(TARIFF_PROFILES!$K:$K,MATCH($X639,TARIFF_PROFILES!$A:$A,0)))</f>
        <v/>
      </c>
      <c r="AH639" t="str">
        <f>IF($AG639="","",SUMIFS(OPERATING_COEFFS!$C:$C,OPERATING_COEFFS!$A:$A,"DistanceClass",OPERATING_COEFFS!$B:$B,$AG639))</f>
        <v/>
      </c>
      <c r="AJ639" t="str">
        <f>IF($AI639="","",SUMIFS(OPERATING_COEFFS!$C:$C,OPERATING_COEFFS!$A:$A,"SeasonClass",OPERATING_COEFFS!$B:$B,$AI639))</f>
        <v/>
      </c>
      <c r="AL639" t="str">
        <f>IF($AK639="","",SUMIFS(OPERATING_COEFFS!$C:$C,OPERATING_COEFFS!$A:$A,"UrgencyClass",OPERATING_COEFFS!$B:$B,$AK639))</f>
        <v/>
      </c>
      <c r="AN639" t="str">
        <f>IF($AM639="","",INDEX(TAX_MODES!$B:$B,MATCH($AM639,TAX_MODES!$A:$A,0)))</f>
        <v/>
      </c>
    </row>
    <row r="640" spans="24:40" x14ac:dyDescent="0.3">
      <c r="X640" s="13"/>
      <c r="Y640" s="13" t="str">
        <f>IF($X640="","",SUMIFS(TARIFF_PROFILES!$D:$D,TARIFF_PROFILES!$A:$A,$X640))</f>
        <v/>
      </c>
      <c r="Z640" s="13" t="str">
        <f>IF($X640="","",SUMIFS(TARIFF_PROFILES!$E:$E,TARIFF_PROFILES!$A:$A,$X640))</f>
        <v/>
      </c>
      <c r="AA640" s="13" t="str">
        <f>IF($X640="","",SUMIFS(TARIFF_PROFILES!$F:$F,TARIFF_PROFILES!$A:$A,$X640))</f>
        <v/>
      </c>
      <c r="AB640" s="13" t="str">
        <f>IF($X640="","",SUMIFS(TARIFF_PROFILES!$G:$G,TARIFF_PROFILES!$A:$A,$X640))</f>
        <v/>
      </c>
      <c r="AC640" s="13" t="str">
        <f>IF($X640="","",SUMIFS(TARIFF_PROFILES!$H:$H,TARIFF_PROFILES!$A:$A,$X640))</f>
        <v/>
      </c>
      <c r="AD640" s="13" t="str">
        <f>IF($X640="","",INDEX(TARIFF_PROFILES!$J:$J,MATCH($X640,TARIFF_PROFILES!$A:$A,0)))</f>
        <v/>
      </c>
      <c r="AE640" s="13" t="str">
        <f>IF($X640="","",INDEX(TARIFF_PROFILES!$K:$K,MATCH($X640,TARIFF_PROFILES!$A:$A,0)))</f>
        <v/>
      </c>
      <c r="AH640" t="str">
        <f>IF($AG640="","",SUMIFS(OPERATING_COEFFS!$C:$C,OPERATING_COEFFS!$A:$A,"DistanceClass",OPERATING_COEFFS!$B:$B,$AG640))</f>
        <v/>
      </c>
      <c r="AJ640" t="str">
        <f>IF($AI640="","",SUMIFS(OPERATING_COEFFS!$C:$C,OPERATING_COEFFS!$A:$A,"SeasonClass",OPERATING_COEFFS!$B:$B,$AI640))</f>
        <v/>
      </c>
      <c r="AL640" t="str">
        <f>IF($AK640="","",SUMIFS(OPERATING_COEFFS!$C:$C,OPERATING_COEFFS!$A:$A,"UrgencyClass",OPERATING_COEFFS!$B:$B,$AK640))</f>
        <v/>
      </c>
      <c r="AN640" t="str">
        <f>IF($AM640="","",INDEX(TAX_MODES!$B:$B,MATCH($AM640,TAX_MODES!$A:$A,0)))</f>
        <v/>
      </c>
    </row>
    <row r="641" spans="24:40" x14ac:dyDescent="0.3">
      <c r="X641" s="13"/>
      <c r="Y641" s="13" t="str">
        <f>IF($X641="","",SUMIFS(TARIFF_PROFILES!$D:$D,TARIFF_PROFILES!$A:$A,$X641))</f>
        <v/>
      </c>
      <c r="Z641" s="13" t="str">
        <f>IF($X641="","",SUMIFS(TARIFF_PROFILES!$E:$E,TARIFF_PROFILES!$A:$A,$X641))</f>
        <v/>
      </c>
      <c r="AA641" s="13" t="str">
        <f>IF($X641="","",SUMIFS(TARIFF_PROFILES!$F:$F,TARIFF_PROFILES!$A:$A,$X641))</f>
        <v/>
      </c>
      <c r="AB641" s="13" t="str">
        <f>IF($X641="","",SUMIFS(TARIFF_PROFILES!$G:$G,TARIFF_PROFILES!$A:$A,$X641))</f>
        <v/>
      </c>
      <c r="AC641" s="13" t="str">
        <f>IF($X641="","",SUMIFS(TARIFF_PROFILES!$H:$H,TARIFF_PROFILES!$A:$A,$X641))</f>
        <v/>
      </c>
      <c r="AD641" s="13" t="str">
        <f>IF($X641="","",INDEX(TARIFF_PROFILES!$J:$J,MATCH($X641,TARIFF_PROFILES!$A:$A,0)))</f>
        <v/>
      </c>
      <c r="AE641" s="13" t="str">
        <f>IF($X641="","",INDEX(TARIFF_PROFILES!$K:$K,MATCH($X641,TARIFF_PROFILES!$A:$A,0)))</f>
        <v/>
      </c>
      <c r="AH641" t="str">
        <f>IF($AG641="","",SUMIFS(OPERATING_COEFFS!$C:$C,OPERATING_COEFFS!$A:$A,"DistanceClass",OPERATING_COEFFS!$B:$B,$AG641))</f>
        <v/>
      </c>
      <c r="AJ641" t="str">
        <f>IF($AI641="","",SUMIFS(OPERATING_COEFFS!$C:$C,OPERATING_COEFFS!$A:$A,"SeasonClass",OPERATING_COEFFS!$B:$B,$AI641))</f>
        <v/>
      </c>
      <c r="AL641" t="str">
        <f>IF($AK641="","",SUMIFS(OPERATING_COEFFS!$C:$C,OPERATING_COEFFS!$A:$A,"UrgencyClass",OPERATING_COEFFS!$B:$B,$AK641))</f>
        <v/>
      </c>
      <c r="AN641" t="str">
        <f>IF($AM641="","",INDEX(TAX_MODES!$B:$B,MATCH($AM641,TAX_MODES!$A:$A,0)))</f>
        <v/>
      </c>
    </row>
    <row r="642" spans="24:40" x14ac:dyDescent="0.3">
      <c r="X642" s="13"/>
      <c r="Y642" s="13" t="str">
        <f>IF($X642="","",SUMIFS(TARIFF_PROFILES!$D:$D,TARIFF_PROFILES!$A:$A,$X642))</f>
        <v/>
      </c>
      <c r="Z642" s="13" t="str">
        <f>IF($X642="","",SUMIFS(TARIFF_PROFILES!$E:$E,TARIFF_PROFILES!$A:$A,$X642))</f>
        <v/>
      </c>
      <c r="AA642" s="13" t="str">
        <f>IF($X642="","",SUMIFS(TARIFF_PROFILES!$F:$F,TARIFF_PROFILES!$A:$A,$X642))</f>
        <v/>
      </c>
      <c r="AB642" s="13" t="str">
        <f>IF($X642="","",SUMIFS(TARIFF_PROFILES!$G:$G,TARIFF_PROFILES!$A:$A,$X642))</f>
        <v/>
      </c>
      <c r="AC642" s="13" t="str">
        <f>IF($X642="","",SUMIFS(TARIFF_PROFILES!$H:$H,TARIFF_PROFILES!$A:$A,$X642))</f>
        <v/>
      </c>
      <c r="AD642" s="13" t="str">
        <f>IF($X642="","",INDEX(TARIFF_PROFILES!$J:$J,MATCH($X642,TARIFF_PROFILES!$A:$A,0)))</f>
        <v/>
      </c>
      <c r="AE642" s="13" t="str">
        <f>IF($X642="","",INDEX(TARIFF_PROFILES!$K:$K,MATCH($X642,TARIFF_PROFILES!$A:$A,0)))</f>
        <v/>
      </c>
      <c r="AH642" t="str">
        <f>IF($AG642="","",SUMIFS(OPERATING_COEFFS!$C:$C,OPERATING_COEFFS!$A:$A,"DistanceClass",OPERATING_COEFFS!$B:$B,$AG642))</f>
        <v/>
      </c>
      <c r="AJ642" t="str">
        <f>IF($AI642="","",SUMIFS(OPERATING_COEFFS!$C:$C,OPERATING_COEFFS!$A:$A,"SeasonClass",OPERATING_COEFFS!$B:$B,$AI642))</f>
        <v/>
      </c>
      <c r="AL642" t="str">
        <f>IF($AK642="","",SUMIFS(OPERATING_COEFFS!$C:$C,OPERATING_COEFFS!$A:$A,"UrgencyClass",OPERATING_COEFFS!$B:$B,$AK642))</f>
        <v/>
      </c>
      <c r="AN642" t="str">
        <f>IF($AM642="","",INDEX(TAX_MODES!$B:$B,MATCH($AM642,TAX_MODES!$A:$A,0)))</f>
        <v/>
      </c>
    </row>
    <row r="643" spans="24:40" x14ac:dyDescent="0.3">
      <c r="X643" s="13"/>
      <c r="Y643" s="13" t="str">
        <f>IF($X643="","",SUMIFS(TARIFF_PROFILES!$D:$D,TARIFF_PROFILES!$A:$A,$X643))</f>
        <v/>
      </c>
      <c r="Z643" s="13" t="str">
        <f>IF($X643="","",SUMIFS(TARIFF_PROFILES!$E:$E,TARIFF_PROFILES!$A:$A,$X643))</f>
        <v/>
      </c>
      <c r="AA643" s="13" t="str">
        <f>IF($X643="","",SUMIFS(TARIFF_PROFILES!$F:$F,TARIFF_PROFILES!$A:$A,$X643))</f>
        <v/>
      </c>
      <c r="AB643" s="13" t="str">
        <f>IF($X643="","",SUMIFS(TARIFF_PROFILES!$G:$G,TARIFF_PROFILES!$A:$A,$X643))</f>
        <v/>
      </c>
      <c r="AC643" s="13" t="str">
        <f>IF($X643="","",SUMIFS(TARIFF_PROFILES!$H:$H,TARIFF_PROFILES!$A:$A,$X643))</f>
        <v/>
      </c>
      <c r="AD643" s="13" t="str">
        <f>IF($X643="","",INDEX(TARIFF_PROFILES!$J:$J,MATCH($X643,TARIFF_PROFILES!$A:$A,0)))</f>
        <v/>
      </c>
      <c r="AE643" s="13" t="str">
        <f>IF($X643="","",INDEX(TARIFF_PROFILES!$K:$K,MATCH($X643,TARIFF_PROFILES!$A:$A,0)))</f>
        <v/>
      </c>
      <c r="AH643" t="str">
        <f>IF($AG643="","",SUMIFS(OPERATING_COEFFS!$C:$C,OPERATING_COEFFS!$A:$A,"DistanceClass",OPERATING_COEFFS!$B:$B,$AG643))</f>
        <v/>
      </c>
      <c r="AJ643" t="str">
        <f>IF($AI643="","",SUMIFS(OPERATING_COEFFS!$C:$C,OPERATING_COEFFS!$A:$A,"SeasonClass",OPERATING_COEFFS!$B:$B,$AI643))</f>
        <v/>
      </c>
      <c r="AL643" t="str">
        <f>IF($AK643="","",SUMIFS(OPERATING_COEFFS!$C:$C,OPERATING_COEFFS!$A:$A,"UrgencyClass",OPERATING_COEFFS!$B:$B,$AK643))</f>
        <v/>
      </c>
      <c r="AN643" t="str">
        <f>IF($AM643="","",INDEX(TAX_MODES!$B:$B,MATCH($AM643,TAX_MODES!$A:$A,0)))</f>
        <v/>
      </c>
    </row>
    <row r="644" spans="24:40" x14ac:dyDescent="0.3">
      <c r="X644" s="13"/>
      <c r="Y644" s="13" t="str">
        <f>IF($X644="","",SUMIFS(TARIFF_PROFILES!$D:$D,TARIFF_PROFILES!$A:$A,$X644))</f>
        <v/>
      </c>
      <c r="Z644" s="13" t="str">
        <f>IF($X644="","",SUMIFS(TARIFF_PROFILES!$E:$E,TARIFF_PROFILES!$A:$A,$X644))</f>
        <v/>
      </c>
      <c r="AA644" s="13" t="str">
        <f>IF($X644="","",SUMIFS(TARIFF_PROFILES!$F:$F,TARIFF_PROFILES!$A:$A,$X644))</f>
        <v/>
      </c>
      <c r="AB644" s="13" t="str">
        <f>IF($X644="","",SUMIFS(TARIFF_PROFILES!$G:$G,TARIFF_PROFILES!$A:$A,$X644))</f>
        <v/>
      </c>
      <c r="AC644" s="13" t="str">
        <f>IF($X644="","",SUMIFS(TARIFF_PROFILES!$H:$H,TARIFF_PROFILES!$A:$A,$X644))</f>
        <v/>
      </c>
      <c r="AD644" s="13" t="str">
        <f>IF($X644="","",INDEX(TARIFF_PROFILES!$J:$J,MATCH($X644,TARIFF_PROFILES!$A:$A,0)))</f>
        <v/>
      </c>
      <c r="AE644" s="13" t="str">
        <f>IF($X644="","",INDEX(TARIFF_PROFILES!$K:$K,MATCH($X644,TARIFF_PROFILES!$A:$A,0)))</f>
        <v/>
      </c>
      <c r="AH644" t="str">
        <f>IF($AG644="","",SUMIFS(OPERATING_COEFFS!$C:$C,OPERATING_COEFFS!$A:$A,"DistanceClass",OPERATING_COEFFS!$B:$B,$AG644))</f>
        <v/>
      </c>
      <c r="AJ644" t="str">
        <f>IF($AI644="","",SUMIFS(OPERATING_COEFFS!$C:$C,OPERATING_COEFFS!$A:$A,"SeasonClass",OPERATING_COEFFS!$B:$B,$AI644))</f>
        <v/>
      </c>
      <c r="AL644" t="str">
        <f>IF($AK644="","",SUMIFS(OPERATING_COEFFS!$C:$C,OPERATING_COEFFS!$A:$A,"UrgencyClass",OPERATING_COEFFS!$B:$B,$AK644))</f>
        <v/>
      </c>
      <c r="AN644" t="str">
        <f>IF($AM644="","",INDEX(TAX_MODES!$B:$B,MATCH($AM644,TAX_MODES!$A:$A,0)))</f>
        <v/>
      </c>
    </row>
    <row r="645" spans="24:40" x14ac:dyDescent="0.3">
      <c r="X645" s="13"/>
      <c r="Y645" s="13" t="str">
        <f>IF($X645="","",SUMIFS(TARIFF_PROFILES!$D:$D,TARIFF_PROFILES!$A:$A,$X645))</f>
        <v/>
      </c>
      <c r="Z645" s="13" t="str">
        <f>IF($X645="","",SUMIFS(TARIFF_PROFILES!$E:$E,TARIFF_PROFILES!$A:$A,$X645))</f>
        <v/>
      </c>
      <c r="AA645" s="13" t="str">
        <f>IF($X645="","",SUMIFS(TARIFF_PROFILES!$F:$F,TARIFF_PROFILES!$A:$A,$X645))</f>
        <v/>
      </c>
      <c r="AB645" s="13" t="str">
        <f>IF($X645="","",SUMIFS(TARIFF_PROFILES!$G:$G,TARIFF_PROFILES!$A:$A,$X645))</f>
        <v/>
      </c>
      <c r="AC645" s="13" t="str">
        <f>IF($X645="","",SUMIFS(TARIFF_PROFILES!$H:$H,TARIFF_PROFILES!$A:$A,$X645))</f>
        <v/>
      </c>
      <c r="AD645" s="13" t="str">
        <f>IF($X645="","",INDEX(TARIFF_PROFILES!$J:$J,MATCH($X645,TARIFF_PROFILES!$A:$A,0)))</f>
        <v/>
      </c>
      <c r="AE645" s="13" t="str">
        <f>IF($X645="","",INDEX(TARIFF_PROFILES!$K:$K,MATCH($X645,TARIFF_PROFILES!$A:$A,0)))</f>
        <v/>
      </c>
      <c r="AH645" t="str">
        <f>IF($AG645="","",SUMIFS(OPERATING_COEFFS!$C:$C,OPERATING_COEFFS!$A:$A,"DistanceClass",OPERATING_COEFFS!$B:$B,$AG645))</f>
        <v/>
      </c>
      <c r="AJ645" t="str">
        <f>IF($AI645="","",SUMIFS(OPERATING_COEFFS!$C:$C,OPERATING_COEFFS!$A:$A,"SeasonClass",OPERATING_COEFFS!$B:$B,$AI645))</f>
        <v/>
      </c>
      <c r="AL645" t="str">
        <f>IF($AK645="","",SUMIFS(OPERATING_COEFFS!$C:$C,OPERATING_COEFFS!$A:$A,"UrgencyClass",OPERATING_COEFFS!$B:$B,$AK645))</f>
        <v/>
      </c>
      <c r="AN645" t="str">
        <f>IF($AM645="","",INDEX(TAX_MODES!$B:$B,MATCH($AM645,TAX_MODES!$A:$A,0)))</f>
        <v/>
      </c>
    </row>
    <row r="646" spans="24:40" x14ac:dyDescent="0.3">
      <c r="X646" s="13"/>
      <c r="Y646" s="13" t="str">
        <f>IF($X646="","",SUMIFS(TARIFF_PROFILES!$D:$D,TARIFF_PROFILES!$A:$A,$X646))</f>
        <v/>
      </c>
      <c r="Z646" s="13" t="str">
        <f>IF($X646="","",SUMIFS(TARIFF_PROFILES!$E:$E,TARIFF_PROFILES!$A:$A,$X646))</f>
        <v/>
      </c>
      <c r="AA646" s="13" t="str">
        <f>IF($X646="","",SUMIFS(TARIFF_PROFILES!$F:$F,TARIFF_PROFILES!$A:$A,$X646))</f>
        <v/>
      </c>
      <c r="AB646" s="13" t="str">
        <f>IF($X646="","",SUMIFS(TARIFF_PROFILES!$G:$G,TARIFF_PROFILES!$A:$A,$X646))</f>
        <v/>
      </c>
      <c r="AC646" s="13" t="str">
        <f>IF($X646="","",SUMIFS(TARIFF_PROFILES!$H:$H,TARIFF_PROFILES!$A:$A,$X646))</f>
        <v/>
      </c>
      <c r="AD646" s="13" t="str">
        <f>IF($X646="","",INDEX(TARIFF_PROFILES!$J:$J,MATCH($X646,TARIFF_PROFILES!$A:$A,0)))</f>
        <v/>
      </c>
      <c r="AE646" s="13" t="str">
        <f>IF($X646="","",INDEX(TARIFF_PROFILES!$K:$K,MATCH($X646,TARIFF_PROFILES!$A:$A,0)))</f>
        <v/>
      </c>
      <c r="AH646" t="str">
        <f>IF($AG646="","",SUMIFS(OPERATING_COEFFS!$C:$C,OPERATING_COEFFS!$A:$A,"DistanceClass",OPERATING_COEFFS!$B:$B,$AG646))</f>
        <v/>
      </c>
      <c r="AJ646" t="str">
        <f>IF($AI646="","",SUMIFS(OPERATING_COEFFS!$C:$C,OPERATING_COEFFS!$A:$A,"SeasonClass",OPERATING_COEFFS!$B:$B,$AI646))</f>
        <v/>
      </c>
      <c r="AL646" t="str">
        <f>IF($AK646="","",SUMIFS(OPERATING_COEFFS!$C:$C,OPERATING_COEFFS!$A:$A,"UrgencyClass",OPERATING_COEFFS!$B:$B,$AK646))</f>
        <v/>
      </c>
      <c r="AN646" t="str">
        <f>IF($AM646="","",INDEX(TAX_MODES!$B:$B,MATCH($AM646,TAX_MODES!$A:$A,0)))</f>
        <v/>
      </c>
    </row>
    <row r="647" spans="24:40" x14ac:dyDescent="0.3">
      <c r="X647" s="13"/>
      <c r="Y647" s="13" t="str">
        <f>IF($X647="","",SUMIFS(TARIFF_PROFILES!$D:$D,TARIFF_PROFILES!$A:$A,$X647))</f>
        <v/>
      </c>
      <c r="Z647" s="13" t="str">
        <f>IF($X647="","",SUMIFS(TARIFF_PROFILES!$E:$E,TARIFF_PROFILES!$A:$A,$X647))</f>
        <v/>
      </c>
      <c r="AA647" s="13" t="str">
        <f>IF($X647="","",SUMIFS(TARIFF_PROFILES!$F:$F,TARIFF_PROFILES!$A:$A,$X647))</f>
        <v/>
      </c>
      <c r="AB647" s="13" t="str">
        <f>IF($X647="","",SUMIFS(TARIFF_PROFILES!$G:$G,TARIFF_PROFILES!$A:$A,$X647))</f>
        <v/>
      </c>
      <c r="AC647" s="13" t="str">
        <f>IF($X647="","",SUMIFS(TARIFF_PROFILES!$H:$H,TARIFF_PROFILES!$A:$A,$X647))</f>
        <v/>
      </c>
      <c r="AD647" s="13" t="str">
        <f>IF($X647="","",INDEX(TARIFF_PROFILES!$J:$J,MATCH($X647,TARIFF_PROFILES!$A:$A,0)))</f>
        <v/>
      </c>
      <c r="AE647" s="13" t="str">
        <f>IF($X647="","",INDEX(TARIFF_PROFILES!$K:$K,MATCH($X647,TARIFF_PROFILES!$A:$A,0)))</f>
        <v/>
      </c>
      <c r="AH647" t="str">
        <f>IF($AG647="","",SUMIFS(OPERATING_COEFFS!$C:$C,OPERATING_COEFFS!$A:$A,"DistanceClass",OPERATING_COEFFS!$B:$B,$AG647))</f>
        <v/>
      </c>
      <c r="AJ647" t="str">
        <f>IF($AI647="","",SUMIFS(OPERATING_COEFFS!$C:$C,OPERATING_COEFFS!$A:$A,"SeasonClass",OPERATING_COEFFS!$B:$B,$AI647))</f>
        <v/>
      </c>
      <c r="AL647" t="str">
        <f>IF($AK647="","",SUMIFS(OPERATING_COEFFS!$C:$C,OPERATING_COEFFS!$A:$A,"UrgencyClass",OPERATING_COEFFS!$B:$B,$AK647))</f>
        <v/>
      </c>
      <c r="AN647" t="str">
        <f>IF($AM647="","",INDEX(TAX_MODES!$B:$B,MATCH($AM647,TAX_MODES!$A:$A,0)))</f>
        <v/>
      </c>
    </row>
    <row r="648" spans="24:40" x14ac:dyDescent="0.3">
      <c r="X648" s="13"/>
      <c r="Y648" s="13" t="str">
        <f>IF($X648="","",SUMIFS(TARIFF_PROFILES!$D:$D,TARIFF_PROFILES!$A:$A,$X648))</f>
        <v/>
      </c>
      <c r="Z648" s="13" t="str">
        <f>IF($X648="","",SUMIFS(TARIFF_PROFILES!$E:$E,TARIFF_PROFILES!$A:$A,$X648))</f>
        <v/>
      </c>
      <c r="AA648" s="13" t="str">
        <f>IF($X648="","",SUMIFS(TARIFF_PROFILES!$F:$F,TARIFF_PROFILES!$A:$A,$X648))</f>
        <v/>
      </c>
      <c r="AB648" s="13" t="str">
        <f>IF($X648="","",SUMIFS(TARIFF_PROFILES!$G:$G,TARIFF_PROFILES!$A:$A,$X648))</f>
        <v/>
      </c>
      <c r="AC648" s="13" t="str">
        <f>IF($X648="","",SUMIFS(TARIFF_PROFILES!$H:$H,TARIFF_PROFILES!$A:$A,$X648))</f>
        <v/>
      </c>
      <c r="AD648" s="13" t="str">
        <f>IF($X648="","",INDEX(TARIFF_PROFILES!$J:$J,MATCH($X648,TARIFF_PROFILES!$A:$A,0)))</f>
        <v/>
      </c>
      <c r="AE648" s="13" t="str">
        <f>IF($X648="","",INDEX(TARIFF_PROFILES!$K:$K,MATCH($X648,TARIFF_PROFILES!$A:$A,0)))</f>
        <v/>
      </c>
      <c r="AH648" t="str">
        <f>IF($AG648="","",SUMIFS(OPERATING_COEFFS!$C:$C,OPERATING_COEFFS!$A:$A,"DistanceClass",OPERATING_COEFFS!$B:$B,$AG648))</f>
        <v/>
      </c>
      <c r="AJ648" t="str">
        <f>IF($AI648="","",SUMIFS(OPERATING_COEFFS!$C:$C,OPERATING_COEFFS!$A:$A,"SeasonClass",OPERATING_COEFFS!$B:$B,$AI648))</f>
        <v/>
      </c>
      <c r="AL648" t="str">
        <f>IF($AK648="","",SUMIFS(OPERATING_COEFFS!$C:$C,OPERATING_COEFFS!$A:$A,"UrgencyClass",OPERATING_COEFFS!$B:$B,$AK648))</f>
        <v/>
      </c>
      <c r="AN648" t="str">
        <f>IF($AM648="","",INDEX(TAX_MODES!$B:$B,MATCH($AM648,TAX_MODES!$A:$A,0)))</f>
        <v/>
      </c>
    </row>
    <row r="649" spans="24:40" x14ac:dyDescent="0.3">
      <c r="X649" s="13"/>
      <c r="Y649" s="13" t="str">
        <f>IF($X649="","",SUMIFS(TARIFF_PROFILES!$D:$D,TARIFF_PROFILES!$A:$A,$X649))</f>
        <v/>
      </c>
      <c r="Z649" s="13" t="str">
        <f>IF($X649="","",SUMIFS(TARIFF_PROFILES!$E:$E,TARIFF_PROFILES!$A:$A,$X649))</f>
        <v/>
      </c>
      <c r="AA649" s="13" t="str">
        <f>IF($X649="","",SUMIFS(TARIFF_PROFILES!$F:$F,TARIFF_PROFILES!$A:$A,$X649))</f>
        <v/>
      </c>
      <c r="AB649" s="13" t="str">
        <f>IF($X649="","",SUMIFS(TARIFF_PROFILES!$G:$G,TARIFF_PROFILES!$A:$A,$X649))</f>
        <v/>
      </c>
      <c r="AC649" s="13" t="str">
        <f>IF($X649="","",SUMIFS(TARIFF_PROFILES!$H:$H,TARIFF_PROFILES!$A:$A,$X649))</f>
        <v/>
      </c>
      <c r="AD649" s="13" t="str">
        <f>IF($X649="","",INDEX(TARIFF_PROFILES!$J:$J,MATCH($X649,TARIFF_PROFILES!$A:$A,0)))</f>
        <v/>
      </c>
      <c r="AE649" s="13" t="str">
        <f>IF($X649="","",INDEX(TARIFF_PROFILES!$K:$K,MATCH($X649,TARIFF_PROFILES!$A:$A,0)))</f>
        <v/>
      </c>
      <c r="AH649" t="str">
        <f>IF($AG649="","",SUMIFS(OPERATING_COEFFS!$C:$C,OPERATING_COEFFS!$A:$A,"DistanceClass",OPERATING_COEFFS!$B:$B,$AG649))</f>
        <v/>
      </c>
      <c r="AJ649" t="str">
        <f>IF($AI649="","",SUMIFS(OPERATING_COEFFS!$C:$C,OPERATING_COEFFS!$A:$A,"SeasonClass",OPERATING_COEFFS!$B:$B,$AI649))</f>
        <v/>
      </c>
      <c r="AL649" t="str">
        <f>IF($AK649="","",SUMIFS(OPERATING_COEFFS!$C:$C,OPERATING_COEFFS!$A:$A,"UrgencyClass",OPERATING_COEFFS!$B:$B,$AK649))</f>
        <v/>
      </c>
      <c r="AN649" t="str">
        <f>IF($AM649="","",INDEX(TAX_MODES!$B:$B,MATCH($AM649,TAX_MODES!$A:$A,0)))</f>
        <v/>
      </c>
    </row>
    <row r="650" spans="24:40" x14ac:dyDescent="0.3">
      <c r="X650" s="13"/>
      <c r="Y650" s="13" t="str">
        <f>IF($X650="","",SUMIFS(TARIFF_PROFILES!$D:$D,TARIFF_PROFILES!$A:$A,$X650))</f>
        <v/>
      </c>
      <c r="Z650" s="13" t="str">
        <f>IF($X650="","",SUMIFS(TARIFF_PROFILES!$E:$E,TARIFF_PROFILES!$A:$A,$X650))</f>
        <v/>
      </c>
      <c r="AA650" s="13" t="str">
        <f>IF($X650="","",SUMIFS(TARIFF_PROFILES!$F:$F,TARIFF_PROFILES!$A:$A,$X650))</f>
        <v/>
      </c>
      <c r="AB650" s="13" t="str">
        <f>IF($X650="","",SUMIFS(TARIFF_PROFILES!$G:$G,TARIFF_PROFILES!$A:$A,$X650))</f>
        <v/>
      </c>
      <c r="AC650" s="13" t="str">
        <f>IF($X650="","",SUMIFS(TARIFF_PROFILES!$H:$H,TARIFF_PROFILES!$A:$A,$X650))</f>
        <v/>
      </c>
      <c r="AD650" s="13" t="str">
        <f>IF($X650="","",INDEX(TARIFF_PROFILES!$J:$J,MATCH($X650,TARIFF_PROFILES!$A:$A,0)))</f>
        <v/>
      </c>
      <c r="AE650" s="13" t="str">
        <f>IF($X650="","",INDEX(TARIFF_PROFILES!$K:$K,MATCH($X650,TARIFF_PROFILES!$A:$A,0)))</f>
        <v/>
      </c>
      <c r="AH650" t="str">
        <f>IF($AG650="","",SUMIFS(OPERATING_COEFFS!$C:$C,OPERATING_COEFFS!$A:$A,"DistanceClass",OPERATING_COEFFS!$B:$B,$AG650))</f>
        <v/>
      </c>
      <c r="AJ650" t="str">
        <f>IF($AI650="","",SUMIFS(OPERATING_COEFFS!$C:$C,OPERATING_COEFFS!$A:$A,"SeasonClass",OPERATING_COEFFS!$B:$B,$AI650))</f>
        <v/>
      </c>
      <c r="AL650" t="str">
        <f>IF($AK650="","",SUMIFS(OPERATING_COEFFS!$C:$C,OPERATING_COEFFS!$A:$A,"UrgencyClass",OPERATING_COEFFS!$B:$B,$AK650))</f>
        <v/>
      </c>
      <c r="AN650" t="str">
        <f>IF($AM650="","",INDEX(TAX_MODES!$B:$B,MATCH($AM650,TAX_MODES!$A:$A,0)))</f>
        <v/>
      </c>
    </row>
    <row r="651" spans="24:40" x14ac:dyDescent="0.3">
      <c r="X651" s="13"/>
      <c r="Y651" s="13" t="str">
        <f>IF($X651="","",SUMIFS(TARIFF_PROFILES!$D:$D,TARIFF_PROFILES!$A:$A,$X651))</f>
        <v/>
      </c>
      <c r="Z651" s="13" t="str">
        <f>IF($X651="","",SUMIFS(TARIFF_PROFILES!$E:$E,TARIFF_PROFILES!$A:$A,$X651))</f>
        <v/>
      </c>
      <c r="AA651" s="13" t="str">
        <f>IF($X651="","",SUMIFS(TARIFF_PROFILES!$F:$F,TARIFF_PROFILES!$A:$A,$X651))</f>
        <v/>
      </c>
      <c r="AB651" s="13" t="str">
        <f>IF($X651="","",SUMIFS(TARIFF_PROFILES!$G:$G,TARIFF_PROFILES!$A:$A,$X651))</f>
        <v/>
      </c>
      <c r="AC651" s="13" t="str">
        <f>IF($X651="","",SUMIFS(TARIFF_PROFILES!$H:$H,TARIFF_PROFILES!$A:$A,$X651))</f>
        <v/>
      </c>
      <c r="AD651" s="13" t="str">
        <f>IF($X651="","",INDEX(TARIFF_PROFILES!$J:$J,MATCH($X651,TARIFF_PROFILES!$A:$A,0)))</f>
        <v/>
      </c>
      <c r="AE651" s="13" t="str">
        <f>IF($X651="","",INDEX(TARIFF_PROFILES!$K:$K,MATCH($X651,TARIFF_PROFILES!$A:$A,0)))</f>
        <v/>
      </c>
      <c r="AH651" t="str">
        <f>IF($AG651="","",SUMIFS(OPERATING_COEFFS!$C:$C,OPERATING_COEFFS!$A:$A,"DistanceClass",OPERATING_COEFFS!$B:$B,$AG651))</f>
        <v/>
      </c>
      <c r="AJ651" t="str">
        <f>IF($AI651="","",SUMIFS(OPERATING_COEFFS!$C:$C,OPERATING_COEFFS!$A:$A,"SeasonClass",OPERATING_COEFFS!$B:$B,$AI651))</f>
        <v/>
      </c>
      <c r="AL651" t="str">
        <f>IF($AK651="","",SUMIFS(OPERATING_COEFFS!$C:$C,OPERATING_COEFFS!$A:$A,"UrgencyClass",OPERATING_COEFFS!$B:$B,$AK651))</f>
        <v/>
      </c>
      <c r="AN651" t="str">
        <f>IF($AM651="","",INDEX(TAX_MODES!$B:$B,MATCH($AM651,TAX_MODES!$A:$A,0)))</f>
        <v/>
      </c>
    </row>
    <row r="652" spans="24:40" x14ac:dyDescent="0.3">
      <c r="X652" s="13"/>
      <c r="Y652" s="13" t="str">
        <f>IF($X652="","",SUMIFS(TARIFF_PROFILES!$D:$D,TARIFF_PROFILES!$A:$A,$X652))</f>
        <v/>
      </c>
      <c r="Z652" s="13" t="str">
        <f>IF($X652="","",SUMIFS(TARIFF_PROFILES!$E:$E,TARIFF_PROFILES!$A:$A,$X652))</f>
        <v/>
      </c>
      <c r="AA652" s="13" t="str">
        <f>IF($X652="","",SUMIFS(TARIFF_PROFILES!$F:$F,TARIFF_PROFILES!$A:$A,$X652))</f>
        <v/>
      </c>
      <c r="AB652" s="13" t="str">
        <f>IF($X652="","",SUMIFS(TARIFF_PROFILES!$G:$G,TARIFF_PROFILES!$A:$A,$X652))</f>
        <v/>
      </c>
      <c r="AC652" s="13" t="str">
        <f>IF($X652="","",SUMIFS(TARIFF_PROFILES!$H:$H,TARIFF_PROFILES!$A:$A,$X652))</f>
        <v/>
      </c>
      <c r="AD652" s="13" t="str">
        <f>IF($X652="","",INDEX(TARIFF_PROFILES!$J:$J,MATCH($X652,TARIFF_PROFILES!$A:$A,0)))</f>
        <v/>
      </c>
      <c r="AE652" s="13" t="str">
        <f>IF($X652="","",INDEX(TARIFF_PROFILES!$K:$K,MATCH($X652,TARIFF_PROFILES!$A:$A,0)))</f>
        <v/>
      </c>
      <c r="AH652" t="str">
        <f>IF($AG652="","",SUMIFS(OPERATING_COEFFS!$C:$C,OPERATING_COEFFS!$A:$A,"DistanceClass",OPERATING_COEFFS!$B:$B,$AG652))</f>
        <v/>
      </c>
      <c r="AJ652" t="str">
        <f>IF($AI652="","",SUMIFS(OPERATING_COEFFS!$C:$C,OPERATING_COEFFS!$A:$A,"SeasonClass",OPERATING_COEFFS!$B:$B,$AI652))</f>
        <v/>
      </c>
      <c r="AL652" t="str">
        <f>IF($AK652="","",SUMIFS(OPERATING_COEFFS!$C:$C,OPERATING_COEFFS!$A:$A,"UrgencyClass",OPERATING_COEFFS!$B:$B,$AK652))</f>
        <v/>
      </c>
      <c r="AN652" t="str">
        <f>IF($AM652="","",INDEX(TAX_MODES!$B:$B,MATCH($AM652,TAX_MODES!$A:$A,0)))</f>
        <v/>
      </c>
    </row>
    <row r="653" spans="24:40" x14ac:dyDescent="0.3">
      <c r="X653" s="13"/>
      <c r="Y653" s="13" t="str">
        <f>IF($X653="","",SUMIFS(TARIFF_PROFILES!$D:$D,TARIFF_PROFILES!$A:$A,$X653))</f>
        <v/>
      </c>
      <c r="Z653" s="13" t="str">
        <f>IF($X653="","",SUMIFS(TARIFF_PROFILES!$E:$E,TARIFF_PROFILES!$A:$A,$X653))</f>
        <v/>
      </c>
      <c r="AA653" s="13" t="str">
        <f>IF($X653="","",SUMIFS(TARIFF_PROFILES!$F:$F,TARIFF_PROFILES!$A:$A,$X653))</f>
        <v/>
      </c>
      <c r="AB653" s="13" t="str">
        <f>IF($X653="","",SUMIFS(TARIFF_PROFILES!$G:$G,TARIFF_PROFILES!$A:$A,$X653))</f>
        <v/>
      </c>
      <c r="AC653" s="13" t="str">
        <f>IF($X653="","",SUMIFS(TARIFF_PROFILES!$H:$H,TARIFF_PROFILES!$A:$A,$X653))</f>
        <v/>
      </c>
      <c r="AD653" s="13" t="str">
        <f>IF($X653="","",INDEX(TARIFF_PROFILES!$J:$J,MATCH($X653,TARIFF_PROFILES!$A:$A,0)))</f>
        <v/>
      </c>
      <c r="AE653" s="13" t="str">
        <f>IF($X653="","",INDEX(TARIFF_PROFILES!$K:$K,MATCH($X653,TARIFF_PROFILES!$A:$A,0)))</f>
        <v/>
      </c>
      <c r="AH653" t="str">
        <f>IF($AG653="","",SUMIFS(OPERATING_COEFFS!$C:$C,OPERATING_COEFFS!$A:$A,"DistanceClass",OPERATING_COEFFS!$B:$B,$AG653))</f>
        <v/>
      </c>
      <c r="AJ653" t="str">
        <f>IF($AI653="","",SUMIFS(OPERATING_COEFFS!$C:$C,OPERATING_COEFFS!$A:$A,"SeasonClass",OPERATING_COEFFS!$B:$B,$AI653))</f>
        <v/>
      </c>
      <c r="AL653" t="str">
        <f>IF($AK653="","",SUMIFS(OPERATING_COEFFS!$C:$C,OPERATING_COEFFS!$A:$A,"UrgencyClass",OPERATING_COEFFS!$B:$B,$AK653))</f>
        <v/>
      </c>
      <c r="AN653" t="str">
        <f>IF($AM653="","",INDEX(TAX_MODES!$B:$B,MATCH($AM653,TAX_MODES!$A:$A,0)))</f>
        <v/>
      </c>
    </row>
    <row r="654" spans="24:40" x14ac:dyDescent="0.3">
      <c r="X654" s="13"/>
      <c r="Y654" s="13" t="str">
        <f>IF($X654="","",SUMIFS(TARIFF_PROFILES!$D:$D,TARIFF_PROFILES!$A:$A,$X654))</f>
        <v/>
      </c>
      <c r="Z654" s="13" t="str">
        <f>IF($X654="","",SUMIFS(TARIFF_PROFILES!$E:$E,TARIFF_PROFILES!$A:$A,$X654))</f>
        <v/>
      </c>
      <c r="AA654" s="13" t="str">
        <f>IF($X654="","",SUMIFS(TARIFF_PROFILES!$F:$F,TARIFF_PROFILES!$A:$A,$X654))</f>
        <v/>
      </c>
      <c r="AB654" s="13" t="str">
        <f>IF($X654="","",SUMIFS(TARIFF_PROFILES!$G:$G,TARIFF_PROFILES!$A:$A,$X654))</f>
        <v/>
      </c>
      <c r="AC654" s="13" t="str">
        <f>IF($X654="","",SUMIFS(TARIFF_PROFILES!$H:$H,TARIFF_PROFILES!$A:$A,$X654))</f>
        <v/>
      </c>
      <c r="AD654" s="13" t="str">
        <f>IF($X654="","",INDEX(TARIFF_PROFILES!$J:$J,MATCH($X654,TARIFF_PROFILES!$A:$A,0)))</f>
        <v/>
      </c>
      <c r="AE654" s="13" t="str">
        <f>IF($X654="","",INDEX(TARIFF_PROFILES!$K:$K,MATCH($X654,TARIFF_PROFILES!$A:$A,0)))</f>
        <v/>
      </c>
      <c r="AH654" t="str">
        <f>IF($AG654="","",SUMIFS(OPERATING_COEFFS!$C:$C,OPERATING_COEFFS!$A:$A,"DistanceClass",OPERATING_COEFFS!$B:$B,$AG654))</f>
        <v/>
      </c>
      <c r="AJ654" t="str">
        <f>IF($AI654="","",SUMIFS(OPERATING_COEFFS!$C:$C,OPERATING_COEFFS!$A:$A,"SeasonClass",OPERATING_COEFFS!$B:$B,$AI654))</f>
        <v/>
      </c>
      <c r="AL654" t="str">
        <f>IF($AK654="","",SUMIFS(OPERATING_COEFFS!$C:$C,OPERATING_COEFFS!$A:$A,"UrgencyClass",OPERATING_COEFFS!$B:$B,$AK654))</f>
        <v/>
      </c>
      <c r="AN654" t="str">
        <f>IF($AM654="","",INDEX(TAX_MODES!$B:$B,MATCH($AM654,TAX_MODES!$A:$A,0)))</f>
        <v/>
      </c>
    </row>
    <row r="655" spans="24:40" x14ac:dyDescent="0.3">
      <c r="X655" s="13"/>
      <c r="Y655" s="13" t="str">
        <f>IF($X655="","",SUMIFS(TARIFF_PROFILES!$D:$D,TARIFF_PROFILES!$A:$A,$X655))</f>
        <v/>
      </c>
      <c r="Z655" s="13" t="str">
        <f>IF($X655="","",SUMIFS(TARIFF_PROFILES!$E:$E,TARIFF_PROFILES!$A:$A,$X655))</f>
        <v/>
      </c>
      <c r="AA655" s="13" t="str">
        <f>IF($X655="","",SUMIFS(TARIFF_PROFILES!$F:$F,TARIFF_PROFILES!$A:$A,$X655))</f>
        <v/>
      </c>
      <c r="AB655" s="13" t="str">
        <f>IF($X655="","",SUMIFS(TARIFF_PROFILES!$G:$G,TARIFF_PROFILES!$A:$A,$X655))</f>
        <v/>
      </c>
      <c r="AC655" s="13" t="str">
        <f>IF($X655="","",SUMIFS(TARIFF_PROFILES!$H:$H,TARIFF_PROFILES!$A:$A,$X655))</f>
        <v/>
      </c>
      <c r="AD655" s="13" t="str">
        <f>IF($X655="","",INDEX(TARIFF_PROFILES!$J:$J,MATCH($X655,TARIFF_PROFILES!$A:$A,0)))</f>
        <v/>
      </c>
      <c r="AE655" s="13" t="str">
        <f>IF($X655="","",INDEX(TARIFF_PROFILES!$K:$K,MATCH($X655,TARIFF_PROFILES!$A:$A,0)))</f>
        <v/>
      </c>
      <c r="AH655" t="str">
        <f>IF($AG655="","",SUMIFS(OPERATING_COEFFS!$C:$C,OPERATING_COEFFS!$A:$A,"DistanceClass",OPERATING_COEFFS!$B:$B,$AG655))</f>
        <v/>
      </c>
      <c r="AJ655" t="str">
        <f>IF($AI655="","",SUMIFS(OPERATING_COEFFS!$C:$C,OPERATING_COEFFS!$A:$A,"SeasonClass",OPERATING_COEFFS!$B:$B,$AI655))</f>
        <v/>
      </c>
      <c r="AL655" t="str">
        <f>IF($AK655="","",SUMIFS(OPERATING_COEFFS!$C:$C,OPERATING_COEFFS!$A:$A,"UrgencyClass",OPERATING_COEFFS!$B:$B,$AK655))</f>
        <v/>
      </c>
      <c r="AN655" t="str">
        <f>IF($AM655="","",INDEX(TAX_MODES!$B:$B,MATCH($AM655,TAX_MODES!$A:$A,0)))</f>
        <v/>
      </c>
    </row>
    <row r="656" spans="24:40" x14ac:dyDescent="0.3">
      <c r="X656" s="13"/>
      <c r="Y656" s="13" t="str">
        <f>IF($X656="","",SUMIFS(TARIFF_PROFILES!$D:$D,TARIFF_PROFILES!$A:$A,$X656))</f>
        <v/>
      </c>
      <c r="Z656" s="13" t="str">
        <f>IF($X656="","",SUMIFS(TARIFF_PROFILES!$E:$E,TARIFF_PROFILES!$A:$A,$X656))</f>
        <v/>
      </c>
      <c r="AA656" s="13" t="str">
        <f>IF($X656="","",SUMIFS(TARIFF_PROFILES!$F:$F,TARIFF_PROFILES!$A:$A,$X656))</f>
        <v/>
      </c>
      <c r="AB656" s="13" t="str">
        <f>IF($X656="","",SUMIFS(TARIFF_PROFILES!$G:$G,TARIFF_PROFILES!$A:$A,$X656))</f>
        <v/>
      </c>
      <c r="AC656" s="13" t="str">
        <f>IF($X656="","",SUMIFS(TARIFF_PROFILES!$H:$H,TARIFF_PROFILES!$A:$A,$X656))</f>
        <v/>
      </c>
      <c r="AD656" s="13" t="str">
        <f>IF($X656="","",INDEX(TARIFF_PROFILES!$J:$J,MATCH($X656,TARIFF_PROFILES!$A:$A,0)))</f>
        <v/>
      </c>
      <c r="AE656" s="13" t="str">
        <f>IF($X656="","",INDEX(TARIFF_PROFILES!$K:$K,MATCH($X656,TARIFF_PROFILES!$A:$A,0)))</f>
        <v/>
      </c>
      <c r="AH656" t="str">
        <f>IF($AG656="","",SUMIFS(OPERATING_COEFFS!$C:$C,OPERATING_COEFFS!$A:$A,"DistanceClass",OPERATING_COEFFS!$B:$B,$AG656))</f>
        <v/>
      </c>
      <c r="AJ656" t="str">
        <f>IF($AI656="","",SUMIFS(OPERATING_COEFFS!$C:$C,OPERATING_COEFFS!$A:$A,"SeasonClass",OPERATING_COEFFS!$B:$B,$AI656))</f>
        <v/>
      </c>
      <c r="AL656" t="str">
        <f>IF($AK656="","",SUMIFS(OPERATING_COEFFS!$C:$C,OPERATING_COEFFS!$A:$A,"UrgencyClass",OPERATING_COEFFS!$B:$B,$AK656))</f>
        <v/>
      </c>
      <c r="AN656" t="str">
        <f>IF($AM656="","",INDEX(TAX_MODES!$B:$B,MATCH($AM656,TAX_MODES!$A:$A,0)))</f>
        <v/>
      </c>
    </row>
    <row r="657" spans="24:40" x14ac:dyDescent="0.3">
      <c r="X657" s="13"/>
      <c r="Y657" s="13" t="str">
        <f>IF($X657="","",SUMIFS(TARIFF_PROFILES!$D:$D,TARIFF_PROFILES!$A:$A,$X657))</f>
        <v/>
      </c>
      <c r="Z657" s="13" t="str">
        <f>IF($X657="","",SUMIFS(TARIFF_PROFILES!$E:$E,TARIFF_PROFILES!$A:$A,$X657))</f>
        <v/>
      </c>
      <c r="AA657" s="13" t="str">
        <f>IF($X657="","",SUMIFS(TARIFF_PROFILES!$F:$F,TARIFF_PROFILES!$A:$A,$X657))</f>
        <v/>
      </c>
      <c r="AB657" s="13" t="str">
        <f>IF($X657="","",SUMIFS(TARIFF_PROFILES!$G:$G,TARIFF_PROFILES!$A:$A,$X657))</f>
        <v/>
      </c>
      <c r="AC657" s="13" t="str">
        <f>IF($X657="","",SUMIFS(TARIFF_PROFILES!$H:$H,TARIFF_PROFILES!$A:$A,$X657))</f>
        <v/>
      </c>
      <c r="AD657" s="13" t="str">
        <f>IF($X657="","",INDEX(TARIFF_PROFILES!$J:$J,MATCH($X657,TARIFF_PROFILES!$A:$A,0)))</f>
        <v/>
      </c>
      <c r="AE657" s="13" t="str">
        <f>IF($X657="","",INDEX(TARIFF_PROFILES!$K:$K,MATCH($X657,TARIFF_PROFILES!$A:$A,0)))</f>
        <v/>
      </c>
      <c r="AH657" t="str">
        <f>IF($AG657="","",SUMIFS(OPERATING_COEFFS!$C:$C,OPERATING_COEFFS!$A:$A,"DistanceClass",OPERATING_COEFFS!$B:$B,$AG657))</f>
        <v/>
      </c>
      <c r="AJ657" t="str">
        <f>IF($AI657="","",SUMIFS(OPERATING_COEFFS!$C:$C,OPERATING_COEFFS!$A:$A,"SeasonClass",OPERATING_COEFFS!$B:$B,$AI657))</f>
        <v/>
      </c>
      <c r="AL657" t="str">
        <f>IF($AK657="","",SUMIFS(OPERATING_COEFFS!$C:$C,OPERATING_COEFFS!$A:$A,"UrgencyClass",OPERATING_COEFFS!$B:$B,$AK657))</f>
        <v/>
      </c>
      <c r="AN657" t="str">
        <f>IF($AM657="","",INDEX(TAX_MODES!$B:$B,MATCH($AM657,TAX_MODES!$A:$A,0)))</f>
        <v/>
      </c>
    </row>
    <row r="658" spans="24:40" x14ac:dyDescent="0.3">
      <c r="X658" s="13"/>
      <c r="Y658" s="13" t="str">
        <f>IF($X658="","",SUMIFS(TARIFF_PROFILES!$D:$D,TARIFF_PROFILES!$A:$A,$X658))</f>
        <v/>
      </c>
      <c r="Z658" s="13" t="str">
        <f>IF($X658="","",SUMIFS(TARIFF_PROFILES!$E:$E,TARIFF_PROFILES!$A:$A,$X658))</f>
        <v/>
      </c>
      <c r="AA658" s="13" t="str">
        <f>IF($X658="","",SUMIFS(TARIFF_PROFILES!$F:$F,TARIFF_PROFILES!$A:$A,$X658))</f>
        <v/>
      </c>
      <c r="AB658" s="13" t="str">
        <f>IF($X658="","",SUMIFS(TARIFF_PROFILES!$G:$G,TARIFF_PROFILES!$A:$A,$X658))</f>
        <v/>
      </c>
      <c r="AC658" s="13" t="str">
        <f>IF($X658="","",SUMIFS(TARIFF_PROFILES!$H:$H,TARIFF_PROFILES!$A:$A,$X658))</f>
        <v/>
      </c>
      <c r="AD658" s="13" t="str">
        <f>IF($X658="","",INDEX(TARIFF_PROFILES!$J:$J,MATCH($X658,TARIFF_PROFILES!$A:$A,0)))</f>
        <v/>
      </c>
      <c r="AE658" s="13" t="str">
        <f>IF($X658="","",INDEX(TARIFF_PROFILES!$K:$K,MATCH($X658,TARIFF_PROFILES!$A:$A,0)))</f>
        <v/>
      </c>
      <c r="AH658" t="str">
        <f>IF($AG658="","",SUMIFS(OPERATING_COEFFS!$C:$C,OPERATING_COEFFS!$A:$A,"DistanceClass",OPERATING_COEFFS!$B:$B,$AG658))</f>
        <v/>
      </c>
      <c r="AJ658" t="str">
        <f>IF($AI658="","",SUMIFS(OPERATING_COEFFS!$C:$C,OPERATING_COEFFS!$A:$A,"SeasonClass",OPERATING_COEFFS!$B:$B,$AI658))</f>
        <v/>
      </c>
      <c r="AL658" t="str">
        <f>IF($AK658="","",SUMIFS(OPERATING_COEFFS!$C:$C,OPERATING_COEFFS!$A:$A,"UrgencyClass",OPERATING_COEFFS!$B:$B,$AK658))</f>
        <v/>
      </c>
      <c r="AN658" t="str">
        <f>IF($AM658="","",INDEX(TAX_MODES!$B:$B,MATCH($AM658,TAX_MODES!$A:$A,0)))</f>
        <v/>
      </c>
    </row>
    <row r="659" spans="24:40" x14ac:dyDescent="0.3">
      <c r="X659" s="13"/>
      <c r="Y659" s="13" t="str">
        <f>IF($X659="","",SUMIFS(TARIFF_PROFILES!$D:$D,TARIFF_PROFILES!$A:$A,$X659))</f>
        <v/>
      </c>
      <c r="Z659" s="13" t="str">
        <f>IF($X659="","",SUMIFS(TARIFF_PROFILES!$E:$E,TARIFF_PROFILES!$A:$A,$X659))</f>
        <v/>
      </c>
      <c r="AA659" s="13" t="str">
        <f>IF($X659="","",SUMIFS(TARIFF_PROFILES!$F:$F,TARIFF_PROFILES!$A:$A,$X659))</f>
        <v/>
      </c>
      <c r="AB659" s="13" t="str">
        <f>IF($X659="","",SUMIFS(TARIFF_PROFILES!$G:$G,TARIFF_PROFILES!$A:$A,$X659))</f>
        <v/>
      </c>
      <c r="AC659" s="13" t="str">
        <f>IF($X659="","",SUMIFS(TARIFF_PROFILES!$H:$H,TARIFF_PROFILES!$A:$A,$X659))</f>
        <v/>
      </c>
      <c r="AD659" s="13" t="str">
        <f>IF($X659="","",INDEX(TARIFF_PROFILES!$J:$J,MATCH($X659,TARIFF_PROFILES!$A:$A,0)))</f>
        <v/>
      </c>
      <c r="AE659" s="13" t="str">
        <f>IF($X659="","",INDEX(TARIFF_PROFILES!$K:$K,MATCH($X659,TARIFF_PROFILES!$A:$A,0)))</f>
        <v/>
      </c>
      <c r="AH659" t="str">
        <f>IF($AG659="","",SUMIFS(OPERATING_COEFFS!$C:$C,OPERATING_COEFFS!$A:$A,"DistanceClass",OPERATING_COEFFS!$B:$B,$AG659))</f>
        <v/>
      </c>
      <c r="AJ659" t="str">
        <f>IF($AI659="","",SUMIFS(OPERATING_COEFFS!$C:$C,OPERATING_COEFFS!$A:$A,"SeasonClass",OPERATING_COEFFS!$B:$B,$AI659))</f>
        <v/>
      </c>
      <c r="AL659" t="str">
        <f>IF($AK659="","",SUMIFS(OPERATING_COEFFS!$C:$C,OPERATING_COEFFS!$A:$A,"UrgencyClass",OPERATING_COEFFS!$B:$B,$AK659))</f>
        <v/>
      </c>
      <c r="AN659" t="str">
        <f>IF($AM659="","",INDEX(TAX_MODES!$B:$B,MATCH($AM659,TAX_MODES!$A:$A,0)))</f>
        <v/>
      </c>
    </row>
    <row r="660" spans="24:40" x14ac:dyDescent="0.3">
      <c r="X660" s="13"/>
      <c r="Y660" s="13" t="str">
        <f>IF($X660="","",SUMIFS(TARIFF_PROFILES!$D:$D,TARIFF_PROFILES!$A:$A,$X660))</f>
        <v/>
      </c>
      <c r="Z660" s="13" t="str">
        <f>IF($X660="","",SUMIFS(TARIFF_PROFILES!$E:$E,TARIFF_PROFILES!$A:$A,$X660))</f>
        <v/>
      </c>
      <c r="AA660" s="13" t="str">
        <f>IF($X660="","",SUMIFS(TARIFF_PROFILES!$F:$F,TARIFF_PROFILES!$A:$A,$X660))</f>
        <v/>
      </c>
      <c r="AB660" s="13" t="str">
        <f>IF($X660="","",SUMIFS(TARIFF_PROFILES!$G:$G,TARIFF_PROFILES!$A:$A,$X660))</f>
        <v/>
      </c>
      <c r="AC660" s="13" t="str">
        <f>IF($X660="","",SUMIFS(TARIFF_PROFILES!$H:$H,TARIFF_PROFILES!$A:$A,$X660))</f>
        <v/>
      </c>
      <c r="AD660" s="13" t="str">
        <f>IF($X660="","",INDEX(TARIFF_PROFILES!$J:$J,MATCH($X660,TARIFF_PROFILES!$A:$A,0)))</f>
        <v/>
      </c>
      <c r="AE660" s="13" t="str">
        <f>IF($X660="","",INDEX(TARIFF_PROFILES!$K:$K,MATCH($X660,TARIFF_PROFILES!$A:$A,0)))</f>
        <v/>
      </c>
      <c r="AH660" t="str">
        <f>IF($AG660="","",SUMIFS(OPERATING_COEFFS!$C:$C,OPERATING_COEFFS!$A:$A,"DistanceClass",OPERATING_COEFFS!$B:$B,$AG660))</f>
        <v/>
      </c>
      <c r="AJ660" t="str">
        <f>IF($AI660="","",SUMIFS(OPERATING_COEFFS!$C:$C,OPERATING_COEFFS!$A:$A,"SeasonClass",OPERATING_COEFFS!$B:$B,$AI660))</f>
        <v/>
      </c>
      <c r="AL660" t="str">
        <f>IF($AK660="","",SUMIFS(OPERATING_COEFFS!$C:$C,OPERATING_COEFFS!$A:$A,"UrgencyClass",OPERATING_COEFFS!$B:$B,$AK660))</f>
        <v/>
      </c>
      <c r="AN660" t="str">
        <f>IF($AM660="","",INDEX(TAX_MODES!$B:$B,MATCH($AM660,TAX_MODES!$A:$A,0)))</f>
        <v/>
      </c>
    </row>
    <row r="661" spans="24:40" x14ac:dyDescent="0.3">
      <c r="X661" s="13"/>
      <c r="Y661" s="13" t="str">
        <f>IF($X661="","",SUMIFS(TARIFF_PROFILES!$D:$D,TARIFF_PROFILES!$A:$A,$X661))</f>
        <v/>
      </c>
      <c r="Z661" s="13" t="str">
        <f>IF($X661="","",SUMIFS(TARIFF_PROFILES!$E:$E,TARIFF_PROFILES!$A:$A,$X661))</f>
        <v/>
      </c>
      <c r="AA661" s="13" t="str">
        <f>IF($X661="","",SUMIFS(TARIFF_PROFILES!$F:$F,TARIFF_PROFILES!$A:$A,$X661))</f>
        <v/>
      </c>
      <c r="AB661" s="13" t="str">
        <f>IF($X661="","",SUMIFS(TARIFF_PROFILES!$G:$G,TARIFF_PROFILES!$A:$A,$X661))</f>
        <v/>
      </c>
      <c r="AC661" s="13" t="str">
        <f>IF($X661="","",SUMIFS(TARIFF_PROFILES!$H:$H,TARIFF_PROFILES!$A:$A,$X661))</f>
        <v/>
      </c>
      <c r="AD661" s="13" t="str">
        <f>IF($X661="","",INDEX(TARIFF_PROFILES!$J:$J,MATCH($X661,TARIFF_PROFILES!$A:$A,0)))</f>
        <v/>
      </c>
      <c r="AE661" s="13" t="str">
        <f>IF($X661="","",INDEX(TARIFF_PROFILES!$K:$K,MATCH($X661,TARIFF_PROFILES!$A:$A,0)))</f>
        <v/>
      </c>
      <c r="AH661" t="str">
        <f>IF($AG661="","",SUMIFS(OPERATING_COEFFS!$C:$C,OPERATING_COEFFS!$A:$A,"DistanceClass",OPERATING_COEFFS!$B:$B,$AG661))</f>
        <v/>
      </c>
      <c r="AJ661" t="str">
        <f>IF($AI661="","",SUMIFS(OPERATING_COEFFS!$C:$C,OPERATING_COEFFS!$A:$A,"SeasonClass",OPERATING_COEFFS!$B:$B,$AI661))</f>
        <v/>
      </c>
      <c r="AL661" t="str">
        <f>IF($AK661="","",SUMIFS(OPERATING_COEFFS!$C:$C,OPERATING_COEFFS!$A:$A,"UrgencyClass",OPERATING_COEFFS!$B:$B,$AK661))</f>
        <v/>
      </c>
      <c r="AN661" t="str">
        <f>IF($AM661="","",INDEX(TAX_MODES!$B:$B,MATCH($AM661,TAX_MODES!$A:$A,0)))</f>
        <v/>
      </c>
    </row>
    <row r="662" spans="24:40" x14ac:dyDescent="0.3">
      <c r="X662" s="13"/>
      <c r="Y662" s="13" t="str">
        <f>IF($X662="","",SUMIFS(TARIFF_PROFILES!$D:$D,TARIFF_PROFILES!$A:$A,$X662))</f>
        <v/>
      </c>
      <c r="Z662" s="13" t="str">
        <f>IF($X662="","",SUMIFS(TARIFF_PROFILES!$E:$E,TARIFF_PROFILES!$A:$A,$X662))</f>
        <v/>
      </c>
      <c r="AA662" s="13" t="str">
        <f>IF($X662="","",SUMIFS(TARIFF_PROFILES!$F:$F,TARIFF_PROFILES!$A:$A,$X662))</f>
        <v/>
      </c>
      <c r="AB662" s="13" t="str">
        <f>IF($X662="","",SUMIFS(TARIFF_PROFILES!$G:$G,TARIFF_PROFILES!$A:$A,$X662))</f>
        <v/>
      </c>
      <c r="AC662" s="13" t="str">
        <f>IF($X662="","",SUMIFS(TARIFF_PROFILES!$H:$H,TARIFF_PROFILES!$A:$A,$X662))</f>
        <v/>
      </c>
      <c r="AD662" s="13" t="str">
        <f>IF($X662="","",INDEX(TARIFF_PROFILES!$J:$J,MATCH($X662,TARIFF_PROFILES!$A:$A,0)))</f>
        <v/>
      </c>
      <c r="AE662" s="13" t="str">
        <f>IF($X662="","",INDEX(TARIFF_PROFILES!$K:$K,MATCH($X662,TARIFF_PROFILES!$A:$A,0)))</f>
        <v/>
      </c>
      <c r="AH662" t="str">
        <f>IF($AG662="","",SUMIFS(OPERATING_COEFFS!$C:$C,OPERATING_COEFFS!$A:$A,"DistanceClass",OPERATING_COEFFS!$B:$B,$AG662))</f>
        <v/>
      </c>
      <c r="AJ662" t="str">
        <f>IF($AI662="","",SUMIFS(OPERATING_COEFFS!$C:$C,OPERATING_COEFFS!$A:$A,"SeasonClass",OPERATING_COEFFS!$B:$B,$AI662))</f>
        <v/>
      </c>
      <c r="AL662" t="str">
        <f>IF($AK662="","",SUMIFS(OPERATING_COEFFS!$C:$C,OPERATING_COEFFS!$A:$A,"UrgencyClass",OPERATING_COEFFS!$B:$B,$AK662))</f>
        <v/>
      </c>
      <c r="AN662" t="str">
        <f>IF($AM662="","",INDEX(TAX_MODES!$B:$B,MATCH($AM662,TAX_MODES!$A:$A,0)))</f>
        <v/>
      </c>
    </row>
    <row r="663" spans="24:40" x14ac:dyDescent="0.3">
      <c r="X663" s="13"/>
      <c r="Y663" s="13" t="str">
        <f>IF($X663="","",SUMIFS(TARIFF_PROFILES!$D:$D,TARIFF_PROFILES!$A:$A,$X663))</f>
        <v/>
      </c>
      <c r="Z663" s="13" t="str">
        <f>IF($X663="","",SUMIFS(TARIFF_PROFILES!$E:$E,TARIFF_PROFILES!$A:$A,$X663))</f>
        <v/>
      </c>
      <c r="AA663" s="13" t="str">
        <f>IF($X663="","",SUMIFS(TARIFF_PROFILES!$F:$F,TARIFF_PROFILES!$A:$A,$X663))</f>
        <v/>
      </c>
      <c r="AB663" s="13" t="str">
        <f>IF($X663="","",SUMIFS(TARIFF_PROFILES!$G:$G,TARIFF_PROFILES!$A:$A,$X663))</f>
        <v/>
      </c>
      <c r="AC663" s="13" t="str">
        <f>IF($X663="","",SUMIFS(TARIFF_PROFILES!$H:$H,TARIFF_PROFILES!$A:$A,$X663))</f>
        <v/>
      </c>
      <c r="AD663" s="13" t="str">
        <f>IF($X663="","",INDEX(TARIFF_PROFILES!$J:$J,MATCH($X663,TARIFF_PROFILES!$A:$A,0)))</f>
        <v/>
      </c>
      <c r="AE663" s="13" t="str">
        <f>IF($X663="","",INDEX(TARIFF_PROFILES!$K:$K,MATCH($X663,TARIFF_PROFILES!$A:$A,0)))</f>
        <v/>
      </c>
      <c r="AH663" t="str">
        <f>IF($AG663="","",SUMIFS(OPERATING_COEFFS!$C:$C,OPERATING_COEFFS!$A:$A,"DistanceClass",OPERATING_COEFFS!$B:$B,$AG663))</f>
        <v/>
      </c>
      <c r="AJ663" t="str">
        <f>IF($AI663="","",SUMIFS(OPERATING_COEFFS!$C:$C,OPERATING_COEFFS!$A:$A,"SeasonClass",OPERATING_COEFFS!$B:$B,$AI663))</f>
        <v/>
      </c>
      <c r="AL663" t="str">
        <f>IF($AK663="","",SUMIFS(OPERATING_COEFFS!$C:$C,OPERATING_COEFFS!$A:$A,"UrgencyClass",OPERATING_COEFFS!$B:$B,$AK663))</f>
        <v/>
      </c>
      <c r="AN663" t="str">
        <f>IF($AM663="","",INDEX(TAX_MODES!$B:$B,MATCH($AM663,TAX_MODES!$A:$A,0)))</f>
        <v/>
      </c>
    </row>
    <row r="664" spans="24:40" x14ac:dyDescent="0.3">
      <c r="X664" s="13"/>
      <c r="Y664" s="13" t="str">
        <f>IF($X664="","",SUMIFS(TARIFF_PROFILES!$D:$D,TARIFF_PROFILES!$A:$A,$X664))</f>
        <v/>
      </c>
      <c r="Z664" s="13" t="str">
        <f>IF($X664="","",SUMIFS(TARIFF_PROFILES!$E:$E,TARIFF_PROFILES!$A:$A,$X664))</f>
        <v/>
      </c>
      <c r="AA664" s="13" t="str">
        <f>IF($X664="","",SUMIFS(TARIFF_PROFILES!$F:$F,TARIFF_PROFILES!$A:$A,$X664))</f>
        <v/>
      </c>
      <c r="AB664" s="13" t="str">
        <f>IF($X664="","",SUMIFS(TARIFF_PROFILES!$G:$G,TARIFF_PROFILES!$A:$A,$X664))</f>
        <v/>
      </c>
      <c r="AC664" s="13" t="str">
        <f>IF($X664="","",SUMIFS(TARIFF_PROFILES!$H:$H,TARIFF_PROFILES!$A:$A,$X664))</f>
        <v/>
      </c>
      <c r="AD664" s="13" t="str">
        <f>IF($X664="","",INDEX(TARIFF_PROFILES!$J:$J,MATCH($X664,TARIFF_PROFILES!$A:$A,0)))</f>
        <v/>
      </c>
      <c r="AE664" s="13" t="str">
        <f>IF($X664="","",INDEX(TARIFF_PROFILES!$K:$K,MATCH($X664,TARIFF_PROFILES!$A:$A,0)))</f>
        <v/>
      </c>
      <c r="AH664" t="str">
        <f>IF($AG664="","",SUMIFS(OPERATING_COEFFS!$C:$C,OPERATING_COEFFS!$A:$A,"DistanceClass",OPERATING_COEFFS!$B:$B,$AG664))</f>
        <v/>
      </c>
      <c r="AJ664" t="str">
        <f>IF($AI664="","",SUMIFS(OPERATING_COEFFS!$C:$C,OPERATING_COEFFS!$A:$A,"SeasonClass",OPERATING_COEFFS!$B:$B,$AI664))</f>
        <v/>
      </c>
      <c r="AL664" t="str">
        <f>IF($AK664="","",SUMIFS(OPERATING_COEFFS!$C:$C,OPERATING_COEFFS!$A:$A,"UrgencyClass",OPERATING_COEFFS!$B:$B,$AK664))</f>
        <v/>
      </c>
      <c r="AN664" t="str">
        <f>IF($AM664="","",INDEX(TAX_MODES!$B:$B,MATCH($AM664,TAX_MODES!$A:$A,0)))</f>
        <v/>
      </c>
    </row>
    <row r="665" spans="24:40" x14ac:dyDescent="0.3">
      <c r="X665" s="13"/>
      <c r="Y665" s="13" t="str">
        <f>IF($X665="","",SUMIFS(TARIFF_PROFILES!$D:$D,TARIFF_PROFILES!$A:$A,$X665))</f>
        <v/>
      </c>
      <c r="Z665" s="13" t="str">
        <f>IF($X665="","",SUMIFS(TARIFF_PROFILES!$E:$E,TARIFF_PROFILES!$A:$A,$X665))</f>
        <v/>
      </c>
      <c r="AA665" s="13" t="str">
        <f>IF($X665="","",SUMIFS(TARIFF_PROFILES!$F:$F,TARIFF_PROFILES!$A:$A,$X665))</f>
        <v/>
      </c>
      <c r="AB665" s="13" t="str">
        <f>IF($X665="","",SUMIFS(TARIFF_PROFILES!$G:$G,TARIFF_PROFILES!$A:$A,$X665))</f>
        <v/>
      </c>
      <c r="AC665" s="13" t="str">
        <f>IF($X665="","",SUMIFS(TARIFF_PROFILES!$H:$H,TARIFF_PROFILES!$A:$A,$X665))</f>
        <v/>
      </c>
      <c r="AD665" s="13" t="str">
        <f>IF($X665="","",INDEX(TARIFF_PROFILES!$J:$J,MATCH($X665,TARIFF_PROFILES!$A:$A,0)))</f>
        <v/>
      </c>
      <c r="AE665" s="13" t="str">
        <f>IF($X665="","",INDEX(TARIFF_PROFILES!$K:$K,MATCH($X665,TARIFF_PROFILES!$A:$A,0)))</f>
        <v/>
      </c>
      <c r="AH665" t="str">
        <f>IF($AG665="","",SUMIFS(OPERATING_COEFFS!$C:$C,OPERATING_COEFFS!$A:$A,"DistanceClass",OPERATING_COEFFS!$B:$B,$AG665))</f>
        <v/>
      </c>
      <c r="AJ665" t="str">
        <f>IF($AI665="","",SUMIFS(OPERATING_COEFFS!$C:$C,OPERATING_COEFFS!$A:$A,"SeasonClass",OPERATING_COEFFS!$B:$B,$AI665))</f>
        <v/>
      </c>
      <c r="AL665" t="str">
        <f>IF($AK665="","",SUMIFS(OPERATING_COEFFS!$C:$C,OPERATING_COEFFS!$A:$A,"UrgencyClass",OPERATING_COEFFS!$B:$B,$AK665))</f>
        <v/>
      </c>
      <c r="AN665" t="str">
        <f>IF($AM665="","",INDEX(TAX_MODES!$B:$B,MATCH($AM665,TAX_MODES!$A:$A,0)))</f>
        <v/>
      </c>
    </row>
    <row r="666" spans="24:40" x14ac:dyDescent="0.3">
      <c r="X666" s="13"/>
      <c r="Y666" s="13" t="str">
        <f>IF($X666="","",SUMIFS(TARIFF_PROFILES!$D:$D,TARIFF_PROFILES!$A:$A,$X666))</f>
        <v/>
      </c>
      <c r="Z666" s="13" t="str">
        <f>IF($X666="","",SUMIFS(TARIFF_PROFILES!$E:$E,TARIFF_PROFILES!$A:$A,$X666))</f>
        <v/>
      </c>
      <c r="AA666" s="13" t="str">
        <f>IF($X666="","",SUMIFS(TARIFF_PROFILES!$F:$F,TARIFF_PROFILES!$A:$A,$X666))</f>
        <v/>
      </c>
      <c r="AB666" s="13" t="str">
        <f>IF($X666="","",SUMIFS(TARIFF_PROFILES!$G:$G,TARIFF_PROFILES!$A:$A,$X666))</f>
        <v/>
      </c>
      <c r="AC666" s="13" t="str">
        <f>IF($X666="","",SUMIFS(TARIFF_PROFILES!$H:$H,TARIFF_PROFILES!$A:$A,$X666))</f>
        <v/>
      </c>
      <c r="AD666" s="13" t="str">
        <f>IF($X666="","",INDEX(TARIFF_PROFILES!$J:$J,MATCH($X666,TARIFF_PROFILES!$A:$A,0)))</f>
        <v/>
      </c>
      <c r="AE666" s="13" t="str">
        <f>IF($X666="","",INDEX(TARIFF_PROFILES!$K:$K,MATCH($X666,TARIFF_PROFILES!$A:$A,0)))</f>
        <v/>
      </c>
      <c r="AH666" t="str">
        <f>IF($AG666="","",SUMIFS(OPERATING_COEFFS!$C:$C,OPERATING_COEFFS!$A:$A,"DistanceClass",OPERATING_COEFFS!$B:$B,$AG666))</f>
        <v/>
      </c>
      <c r="AJ666" t="str">
        <f>IF($AI666="","",SUMIFS(OPERATING_COEFFS!$C:$C,OPERATING_COEFFS!$A:$A,"SeasonClass",OPERATING_COEFFS!$B:$B,$AI666))</f>
        <v/>
      </c>
      <c r="AL666" t="str">
        <f>IF($AK666="","",SUMIFS(OPERATING_COEFFS!$C:$C,OPERATING_COEFFS!$A:$A,"UrgencyClass",OPERATING_COEFFS!$B:$B,$AK666))</f>
        <v/>
      </c>
      <c r="AN666" t="str">
        <f>IF($AM666="","",INDEX(TAX_MODES!$B:$B,MATCH($AM666,TAX_MODES!$A:$A,0)))</f>
        <v/>
      </c>
    </row>
    <row r="667" spans="24:40" x14ac:dyDescent="0.3">
      <c r="X667" s="13"/>
      <c r="Y667" s="13" t="str">
        <f>IF($X667="","",SUMIFS(TARIFF_PROFILES!$D:$D,TARIFF_PROFILES!$A:$A,$X667))</f>
        <v/>
      </c>
      <c r="Z667" s="13" t="str">
        <f>IF($X667="","",SUMIFS(TARIFF_PROFILES!$E:$E,TARIFF_PROFILES!$A:$A,$X667))</f>
        <v/>
      </c>
      <c r="AA667" s="13" t="str">
        <f>IF($X667="","",SUMIFS(TARIFF_PROFILES!$F:$F,TARIFF_PROFILES!$A:$A,$X667))</f>
        <v/>
      </c>
      <c r="AB667" s="13" t="str">
        <f>IF($X667="","",SUMIFS(TARIFF_PROFILES!$G:$G,TARIFF_PROFILES!$A:$A,$X667))</f>
        <v/>
      </c>
      <c r="AC667" s="13" t="str">
        <f>IF($X667="","",SUMIFS(TARIFF_PROFILES!$H:$H,TARIFF_PROFILES!$A:$A,$X667))</f>
        <v/>
      </c>
      <c r="AD667" s="13" t="str">
        <f>IF($X667="","",INDEX(TARIFF_PROFILES!$J:$J,MATCH($X667,TARIFF_PROFILES!$A:$A,0)))</f>
        <v/>
      </c>
      <c r="AE667" s="13" t="str">
        <f>IF($X667="","",INDEX(TARIFF_PROFILES!$K:$K,MATCH($X667,TARIFF_PROFILES!$A:$A,0)))</f>
        <v/>
      </c>
      <c r="AH667" t="str">
        <f>IF($AG667="","",SUMIFS(OPERATING_COEFFS!$C:$C,OPERATING_COEFFS!$A:$A,"DistanceClass",OPERATING_COEFFS!$B:$B,$AG667))</f>
        <v/>
      </c>
      <c r="AJ667" t="str">
        <f>IF($AI667="","",SUMIFS(OPERATING_COEFFS!$C:$C,OPERATING_COEFFS!$A:$A,"SeasonClass",OPERATING_COEFFS!$B:$B,$AI667))</f>
        <v/>
      </c>
      <c r="AL667" t="str">
        <f>IF($AK667="","",SUMIFS(OPERATING_COEFFS!$C:$C,OPERATING_COEFFS!$A:$A,"UrgencyClass",OPERATING_COEFFS!$B:$B,$AK667))</f>
        <v/>
      </c>
      <c r="AN667" t="str">
        <f>IF($AM667="","",INDEX(TAX_MODES!$B:$B,MATCH($AM667,TAX_MODES!$A:$A,0)))</f>
        <v/>
      </c>
    </row>
    <row r="668" spans="24:40" x14ac:dyDescent="0.3">
      <c r="X668" s="13"/>
      <c r="Y668" s="13" t="str">
        <f>IF($X668="","",SUMIFS(TARIFF_PROFILES!$D:$D,TARIFF_PROFILES!$A:$A,$X668))</f>
        <v/>
      </c>
      <c r="Z668" s="13" t="str">
        <f>IF($X668="","",SUMIFS(TARIFF_PROFILES!$E:$E,TARIFF_PROFILES!$A:$A,$X668))</f>
        <v/>
      </c>
      <c r="AA668" s="13" t="str">
        <f>IF($X668="","",SUMIFS(TARIFF_PROFILES!$F:$F,TARIFF_PROFILES!$A:$A,$X668))</f>
        <v/>
      </c>
      <c r="AB668" s="13" t="str">
        <f>IF($X668="","",SUMIFS(TARIFF_PROFILES!$G:$G,TARIFF_PROFILES!$A:$A,$X668))</f>
        <v/>
      </c>
      <c r="AC668" s="13" t="str">
        <f>IF($X668="","",SUMIFS(TARIFF_PROFILES!$H:$H,TARIFF_PROFILES!$A:$A,$X668))</f>
        <v/>
      </c>
      <c r="AD668" s="13" t="str">
        <f>IF($X668="","",INDEX(TARIFF_PROFILES!$J:$J,MATCH($X668,TARIFF_PROFILES!$A:$A,0)))</f>
        <v/>
      </c>
      <c r="AE668" s="13" t="str">
        <f>IF($X668="","",INDEX(TARIFF_PROFILES!$K:$K,MATCH($X668,TARIFF_PROFILES!$A:$A,0)))</f>
        <v/>
      </c>
      <c r="AH668" t="str">
        <f>IF($AG668="","",SUMIFS(OPERATING_COEFFS!$C:$C,OPERATING_COEFFS!$A:$A,"DistanceClass",OPERATING_COEFFS!$B:$B,$AG668))</f>
        <v/>
      </c>
      <c r="AJ668" t="str">
        <f>IF($AI668="","",SUMIFS(OPERATING_COEFFS!$C:$C,OPERATING_COEFFS!$A:$A,"SeasonClass",OPERATING_COEFFS!$B:$B,$AI668))</f>
        <v/>
      </c>
      <c r="AL668" t="str">
        <f>IF($AK668="","",SUMIFS(OPERATING_COEFFS!$C:$C,OPERATING_COEFFS!$A:$A,"UrgencyClass",OPERATING_COEFFS!$B:$B,$AK668))</f>
        <v/>
      </c>
      <c r="AN668" t="str">
        <f>IF($AM668="","",INDEX(TAX_MODES!$B:$B,MATCH($AM668,TAX_MODES!$A:$A,0)))</f>
        <v/>
      </c>
    </row>
    <row r="669" spans="24:40" x14ac:dyDescent="0.3">
      <c r="X669" s="13"/>
      <c r="Y669" s="13" t="str">
        <f>IF($X669="","",SUMIFS(TARIFF_PROFILES!$D:$D,TARIFF_PROFILES!$A:$A,$X669))</f>
        <v/>
      </c>
      <c r="Z669" s="13" t="str">
        <f>IF($X669="","",SUMIFS(TARIFF_PROFILES!$E:$E,TARIFF_PROFILES!$A:$A,$X669))</f>
        <v/>
      </c>
      <c r="AA669" s="13" t="str">
        <f>IF($X669="","",SUMIFS(TARIFF_PROFILES!$F:$F,TARIFF_PROFILES!$A:$A,$X669))</f>
        <v/>
      </c>
      <c r="AB669" s="13" t="str">
        <f>IF($X669="","",SUMIFS(TARIFF_PROFILES!$G:$G,TARIFF_PROFILES!$A:$A,$X669))</f>
        <v/>
      </c>
      <c r="AC669" s="13" t="str">
        <f>IF($X669="","",SUMIFS(TARIFF_PROFILES!$H:$H,TARIFF_PROFILES!$A:$A,$X669))</f>
        <v/>
      </c>
      <c r="AD669" s="13" t="str">
        <f>IF($X669="","",INDEX(TARIFF_PROFILES!$J:$J,MATCH($X669,TARIFF_PROFILES!$A:$A,0)))</f>
        <v/>
      </c>
      <c r="AE669" s="13" t="str">
        <f>IF($X669="","",INDEX(TARIFF_PROFILES!$K:$K,MATCH($X669,TARIFF_PROFILES!$A:$A,0)))</f>
        <v/>
      </c>
      <c r="AH669" t="str">
        <f>IF($AG669="","",SUMIFS(OPERATING_COEFFS!$C:$C,OPERATING_COEFFS!$A:$A,"DistanceClass",OPERATING_COEFFS!$B:$B,$AG669))</f>
        <v/>
      </c>
      <c r="AJ669" t="str">
        <f>IF($AI669="","",SUMIFS(OPERATING_COEFFS!$C:$C,OPERATING_COEFFS!$A:$A,"SeasonClass",OPERATING_COEFFS!$B:$B,$AI669))</f>
        <v/>
      </c>
      <c r="AL669" t="str">
        <f>IF($AK669="","",SUMIFS(OPERATING_COEFFS!$C:$C,OPERATING_COEFFS!$A:$A,"UrgencyClass",OPERATING_COEFFS!$B:$B,$AK669))</f>
        <v/>
      </c>
      <c r="AN669" t="str">
        <f>IF($AM669="","",INDEX(TAX_MODES!$B:$B,MATCH($AM669,TAX_MODES!$A:$A,0)))</f>
        <v/>
      </c>
    </row>
    <row r="670" spans="24:40" x14ac:dyDescent="0.3">
      <c r="X670" s="13"/>
      <c r="Y670" s="13" t="str">
        <f>IF($X670="","",SUMIFS(TARIFF_PROFILES!$D:$D,TARIFF_PROFILES!$A:$A,$X670))</f>
        <v/>
      </c>
      <c r="Z670" s="13" t="str">
        <f>IF($X670="","",SUMIFS(TARIFF_PROFILES!$E:$E,TARIFF_PROFILES!$A:$A,$X670))</f>
        <v/>
      </c>
      <c r="AA670" s="13" t="str">
        <f>IF($X670="","",SUMIFS(TARIFF_PROFILES!$F:$F,TARIFF_PROFILES!$A:$A,$X670))</f>
        <v/>
      </c>
      <c r="AB670" s="13" t="str">
        <f>IF($X670="","",SUMIFS(TARIFF_PROFILES!$G:$G,TARIFF_PROFILES!$A:$A,$X670))</f>
        <v/>
      </c>
      <c r="AC670" s="13" t="str">
        <f>IF($X670="","",SUMIFS(TARIFF_PROFILES!$H:$H,TARIFF_PROFILES!$A:$A,$X670))</f>
        <v/>
      </c>
      <c r="AD670" s="13" t="str">
        <f>IF($X670="","",INDEX(TARIFF_PROFILES!$J:$J,MATCH($X670,TARIFF_PROFILES!$A:$A,0)))</f>
        <v/>
      </c>
      <c r="AE670" s="13" t="str">
        <f>IF($X670="","",INDEX(TARIFF_PROFILES!$K:$K,MATCH($X670,TARIFF_PROFILES!$A:$A,0)))</f>
        <v/>
      </c>
      <c r="AH670" t="str">
        <f>IF($AG670="","",SUMIFS(OPERATING_COEFFS!$C:$C,OPERATING_COEFFS!$A:$A,"DistanceClass",OPERATING_COEFFS!$B:$B,$AG670))</f>
        <v/>
      </c>
      <c r="AJ670" t="str">
        <f>IF($AI670="","",SUMIFS(OPERATING_COEFFS!$C:$C,OPERATING_COEFFS!$A:$A,"SeasonClass",OPERATING_COEFFS!$B:$B,$AI670))</f>
        <v/>
      </c>
      <c r="AL670" t="str">
        <f>IF($AK670="","",SUMIFS(OPERATING_COEFFS!$C:$C,OPERATING_COEFFS!$A:$A,"UrgencyClass",OPERATING_COEFFS!$B:$B,$AK670))</f>
        <v/>
      </c>
      <c r="AN670" t="str">
        <f>IF($AM670="","",INDEX(TAX_MODES!$B:$B,MATCH($AM670,TAX_MODES!$A:$A,0)))</f>
        <v/>
      </c>
    </row>
    <row r="671" spans="24:40" x14ac:dyDescent="0.3">
      <c r="X671" s="13"/>
      <c r="Y671" s="13" t="str">
        <f>IF($X671="","",SUMIFS(TARIFF_PROFILES!$D:$D,TARIFF_PROFILES!$A:$A,$X671))</f>
        <v/>
      </c>
      <c r="Z671" s="13" t="str">
        <f>IF($X671="","",SUMIFS(TARIFF_PROFILES!$E:$E,TARIFF_PROFILES!$A:$A,$X671))</f>
        <v/>
      </c>
      <c r="AA671" s="13" t="str">
        <f>IF($X671="","",SUMIFS(TARIFF_PROFILES!$F:$F,TARIFF_PROFILES!$A:$A,$X671))</f>
        <v/>
      </c>
      <c r="AB671" s="13" t="str">
        <f>IF($X671="","",SUMIFS(TARIFF_PROFILES!$G:$G,TARIFF_PROFILES!$A:$A,$X671))</f>
        <v/>
      </c>
      <c r="AC671" s="13" t="str">
        <f>IF($X671="","",SUMIFS(TARIFF_PROFILES!$H:$H,TARIFF_PROFILES!$A:$A,$X671))</f>
        <v/>
      </c>
      <c r="AD671" s="13" t="str">
        <f>IF($X671="","",INDEX(TARIFF_PROFILES!$J:$J,MATCH($X671,TARIFF_PROFILES!$A:$A,0)))</f>
        <v/>
      </c>
      <c r="AE671" s="13" t="str">
        <f>IF($X671="","",INDEX(TARIFF_PROFILES!$K:$K,MATCH($X671,TARIFF_PROFILES!$A:$A,0)))</f>
        <v/>
      </c>
      <c r="AH671" t="str">
        <f>IF($AG671="","",SUMIFS(OPERATING_COEFFS!$C:$C,OPERATING_COEFFS!$A:$A,"DistanceClass",OPERATING_COEFFS!$B:$B,$AG671))</f>
        <v/>
      </c>
      <c r="AJ671" t="str">
        <f>IF($AI671="","",SUMIFS(OPERATING_COEFFS!$C:$C,OPERATING_COEFFS!$A:$A,"SeasonClass",OPERATING_COEFFS!$B:$B,$AI671))</f>
        <v/>
      </c>
      <c r="AL671" t="str">
        <f>IF($AK671="","",SUMIFS(OPERATING_COEFFS!$C:$C,OPERATING_COEFFS!$A:$A,"UrgencyClass",OPERATING_COEFFS!$B:$B,$AK671))</f>
        <v/>
      </c>
      <c r="AN671" t="str">
        <f>IF($AM671="","",INDEX(TAX_MODES!$B:$B,MATCH($AM671,TAX_MODES!$A:$A,0)))</f>
        <v/>
      </c>
    </row>
    <row r="672" spans="24:40" x14ac:dyDescent="0.3">
      <c r="X672" s="13"/>
      <c r="Y672" s="13" t="str">
        <f>IF($X672="","",SUMIFS(TARIFF_PROFILES!$D:$D,TARIFF_PROFILES!$A:$A,$X672))</f>
        <v/>
      </c>
      <c r="Z672" s="13" t="str">
        <f>IF($X672="","",SUMIFS(TARIFF_PROFILES!$E:$E,TARIFF_PROFILES!$A:$A,$X672))</f>
        <v/>
      </c>
      <c r="AA672" s="13" t="str">
        <f>IF($X672="","",SUMIFS(TARIFF_PROFILES!$F:$F,TARIFF_PROFILES!$A:$A,$X672))</f>
        <v/>
      </c>
      <c r="AB672" s="13" t="str">
        <f>IF($X672="","",SUMIFS(TARIFF_PROFILES!$G:$G,TARIFF_PROFILES!$A:$A,$X672))</f>
        <v/>
      </c>
      <c r="AC672" s="13" t="str">
        <f>IF($X672="","",SUMIFS(TARIFF_PROFILES!$H:$H,TARIFF_PROFILES!$A:$A,$X672))</f>
        <v/>
      </c>
      <c r="AD672" s="13" t="str">
        <f>IF($X672="","",INDEX(TARIFF_PROFILES!$J:$J,MATCH($X672,TARIFF_PROFILES!$A:$A,0)))</f>
        <v/>
      </c>
      <c r="AE672" s="13" t="str">
        <f>IF($X672="","",INDEX(TARIFF_PROFILES!$K:$K,MATCH($X672,TARIFF_PROFILES!$A:$A,0)))</f>
        <v/>
      </c>
      <c r="AH672" t="str">
        <f>IF($AG672="","",SUMIFS(OPERATING_COEFFS!$C:$C,OPERATING_COEFFS!$A:$A,"DistanceClass",OPERATING_COEFFS!$B:$B,$AG672))</f>
        <v/>
      </c>
      <c r="AJ672" t="str">
        <f>IF($AI672="","",SUMIFS(OPERATING_COEFFS!$C:$C,OPERATING_COEFFS!$A:$A,"SeasonClass",OPERATING_COEFFS!$B:$B,$AI672))</f>
        <v/>
      </c>
      <c r="AL672" t="str">
        <f>IF($AK672="","",SUMIFS(OPERATING_COEFFS!$C:$C,OPERATING_COEFFS!$A:$A,"UrgencyClass",OPERATING_COEFFS!$B:$B,$AK672))</f>
        <v/>
      </c>
      <c r="AN672" t="str">
        <f>IF($AM672="","",INDEX(TAX_MODES!$B:$B,MATCH($AM672,TAX_MODES!$A:$A,0)))</f>
        <v/>
      </c>
    </row>
    <row r="673" spans="24:40" x14ac:dyDescent="0.3">
      <c r="X673" s="13"/>
      <c r="Y673" s="13" t="str">
        <f>IF($X673="","",SUMIFS(TARIFF_PROFILES!$D:$D,TARIFF_PROFILES!$A:$A,$X673))</f>
        <v/>
      </c>
      <c r="Z673" s="13" t="str">
        <f>IF($X673="","",SUMIFS(TARIFF_PROFILES!$E:$E,TARIFF_PROFILES!$A:$A,$X673))</f>
        <v/>
      </c>
      <c r="AA673" s="13" t="str">
        <f>IF($X673="","",SUMIFS(TARIFF_PROFILES!$F:$F,TARIFF_PROFILES!$A:$A,$X673))</f>
        <v/>
      </c>
      <c r="AB673" s="13" t="str">
        <f>IF($X673="","",SUMIFS(TARIFF_PROFILES!$G:$G,TARIFF_PROFILES!$A:$A,$X673))</f>
        <v/>
      </c>
      <c r="AC673" s="13" t="str">
        <f>IF($X673="","",SUMIFS(TARIFF_PROFILES!$H:$H,TARIFF_PROFILES!$A:$A,$X673))</f>
        <v/>
      </c>
      <c r="AD673" s="13" t="str">
        <f>IF($X673="","",INDEX(TARIFF_PROFILES!$J:$J,MATCH($X673,TARIFF_PROFILES!$A:$A,0)))</f>
        <v/>
      </c>
      <c r="AE673" s="13" t="str">
        <f>IF($X673="","",INDEX(TARIFF_PROFILES!$K:$K,MATCH($X673,TARIFF_PROFILES!$A:$A,0)))</f>
        <v/>
      </c>
      <c r="AH673" t="str">
        <f>IF($AG673="","",SUMIFS(OPERATING_COEFFS!$C:$C,OPERATING_COEFFS!$A:$A,"DistanceClass",OPERATING_COEFFS!$B:$B,$AG673))</f>
        <v/>
      </c>
      <c r="AJ673" t="str">
        <f>IF($AI673="","",SUMIFS(OPERATING_COEFFS!$C:$C,OPERATING_COEFFS!$A:$A,"SeasonClass",OPERATING_COEFFS!$B:$B,$AI673))</f>
        <v/>
      </c>
      <c r="AL673" t="str">
        <f>IF($AK673="","",SUMIFS(OPERATING_COEFFS!$C:$C,OPERATING_COEFFS!$A:$A,"UrgencyClass",OPERATING_COEFFS!$B:$B,$AK673))</f>
        <v/>
      </c>
      <c r="AN673" t="str">
        <f>IF($AM673="","",INDEX(TAX_MODES!$B:$B,MATCH($AM673,TAX_MODES!$A:$A,0)))</f>
        <v/>
      </c>
    </row>
    <row r="674" spans="24:40" x14ac:dyDescent="0.3">
      <c r="X674" s="13"/>
      <c r="Y674" s="13" t="str">
        <f>IF($X674="","",SUMIFS(TARIFF_PROFILES!$D:$D,TARIFF_PROFILES!$A:$A,$X674))</f>
        <v/>
      </c>
      <c r="Z674" s="13" t="str">
        <f>IF($X674="","",SUMIFS(TARIFF_PROFILES!$E:$E,TARIFF_PROFILES!$A:$A,$X674))</f>
        <v/>
      </c>
      <c r="AA674" s="13" t="str">
        <f>IF($X674="","",SUMIFS(TARIFF_PROFILES!$F:$F,TARIFF_PROFILES!$A:$A,$X674))</f>
        <v/>
      </c>
      <c r="AB674" s="13" t="str">
        <f>IF($X674="","",SUMIFS(TARIFF_PROFILES!$G:$G,TARIFF_PROFILES!$A:$A,$X674))</f>
        <v/>
      </c>
      <c r="AC674" s="13" t="str">
        <f>IF($X674="","",SUMIFS(TARIFF_PROFILES!$H:$H,TARIFF_PROFILES!$A:$A,$X674))</f>
        <v/>
      </c>
      <c r="AD674" s="13" t="str">
        <f>IF($X674="","",INDEX(TARIFF_PROFILES!$J:$J,MATCH($X674,TARIFF_PROFILES!$A:$A,0)))</f>
        <v/>
      </c>
      <c r="AE674" s="13" t="str">
        <f>IF($X674="","",INDEX(TARIFF_PROFILES!$K:$K,MATCH($X674,TARIFF_PROFILES!$A:$A,0)))</f>
        <v/>
      </c>
      <c r="AH674" t="str">
        <f>IF($AG674="","",SUMIFS(OPERATING_COEFFS!$C:$C,OPERATING_COEFFS!$A:$A,"DistanceClass",OPERATING_COEFFS!$B:$B,$AG674))</f>
        <v/>
      </c>
      <c r="AJ674" t="str">
        <f>IF($AI674="","",SUMIFS(OPERATING_COEFFS!$C:$C,OPERATING_COEFFS!$A:$A,"SeasonClass",OPERATING_COEFFS!$B:$B,$AI674))</f>
        <v/>
      </c>
      <c r="AL674" t="str">
        <f>IF($AK674="","",SUMIFS(OPERATING_COEFFS!$C:$C,OPERATING_COEFFS!$A:$A,"UrgencyClass",OPERATING_COEFFS!$B:$B,$AK674))</f>
        <v/>
      </c>
      <c r="AN674" t="str">
        <f>IF($AM674="","",INDEX(TAX_MODES!$B:$B,MATCH($AM674,TAX_MODES!$A:$A,0)))</f>
        <v/>
      </c>
    </row>
    <row r="675" spans="24:40" x14ac:dyDescent="0.3">
      <c r="X675" s="13"/>
      <c r="Y675" s="13" t="str">
        <f>IF($X675="","",SUMIFS(TARIFF_PROFILES!$D:$D,TARIFF_PROFILES!$A:$A,$X675))</f>
        <v/>
      </c>
      <c r="Z675" s="13" t="str">
        <f>IF($X675="","",SUMIFS(TARIFF_PROFILES!$E:$E,TARIFF_PROFILES!$A:$A,$X675))</f>
        <v/>
      </c>
      <c r="AA675" s="13" t="str">
        <f>IF($X675="","",SUMIFS(TARIFF_PROFILES!$F:$F,TARIFF_PROFILES!$A:$A,$X675))</f>
        <v/>
      </c>
      <c r="AB675" s="13" t="str">
        <f>IF($X675="","",SUMIFS(TARIFF_PROFILES!$G:$G,TARIFF_PROFILES!$A:$A,$X675))</f>
        <v/>
      </c>
      <c r="AC675" s="13" t="str">
        <f>IF($X675="","",SUMIFS(TARIFF_PROFILES!$H:$H,TARIFF_PROFILES!$A:$A,$X675))</f>
        <v/>
      </c>
      <c r="AD675" s="13" t="str">
        <f>IF($X675="","",INDEX(TARIFF_PROFILES!$J:$J,MATCH($X675,TARIFF_PROFILES!$A:$A,0)))</f>
        <v/>
      </c>
      <c r="AE675" s="13" t="str">
        <f>IF($X675="","",INDEX(TARIFF_PROFILES!$K:$K,MATCH($X675,TARIFF_PROFILES!$A:$A,0)))</f>
        <v/>
      </c>
      <c r="AH675" t="str">
        <f>IF($AG675="","",SUMIFS(OPERATING_COEFFS!$C:$C,OPERATING_COEFFS!$A:$A,"DistanceClass",OPERATING_COEFFS!$B:$B,$AG675))</f>
        <v/>
      </c>
      <c r="AJ675" t="str">
        <f>IF($AI675="","",SUMIFS(OPERATING_COEFFS!$C:$C,OPERATING_COEFFS!$A:$A,"SeasonClass",OPERATING_COEFFS!$B:$B,$AI675))</f>
        <v/>
      </c>
      <c r="AL675" t="str">
        <f>IF($AK675="","",SUMIFS(OPERATING_COEFFS!$C:$C,OPERATING_COEFFS!$A:$A,"UrgencyClass",OPERATING_COEFFS!$B:$B,$AK675))</f>
        <v/>
      </c>
      <c r="AN675" t="str">
        <f>IF($AM675="","",INDEX(TAX_MODES!$B:$B,MATCH($AM675,TAX_MODES!$A:$A,0)))</f>
        <v/>
      </c>
    </row>
    <row r="676" spans="24:40" x14ac:dyDescent="0.3">
      <c r="X676" s="13"/>
      <c r="Y676" s="13" t="str">
        <f>IF($X676="","",SUMIFS(TARIFF_PROFILES!$D:$D,TARIFF_PROFILES!$A:$A,$X676))</f>
        <v/>
      </c>
      <c r="Z676" s="13" t="str">
        <f>IF($X676="","",SUMIFS(TARIFF_PROFILES!$E:$E,TARIFF_PROFILES!$A:$A,$X676))</f>
        <v/>
      </c>
      <c r="AA676" s="13" t="str">
        <f>IF($X676="","",SUMIFS(TARIFF_PROFILES!$F:$F,TARIFF_PROFILES!$A:$A,$X676))</f>
        <v/>
      </c>
      <c r="AB676" s="13" t="str">
        <f>IF($X676="","",SUMIFS(TARIFF_PROFILES!$G:$G,TARIFF_PROFILES!$A:$A,$X676))</f>
        <v/>
      </c>
      <c r="AC676" s="13" t="str">
        <f>IF($X676="","",SUMIFS(TARIFF_PROFILES!$H:$H,TARIFF_PROFILES!$A:$A,$X676))</f>
        <v/>
      </c>
      <c r="AD676" s="13" t="str">
        <f>IF($X676="","",INDEX(TARIFF_PROFILES!$J:$J,MATCH($X676,TARIFF_PROFILES!$A:$A,0)))</f>
        <v/>
      </c>
      <c r="AE676" s="13" t="str">
        <f>IF($X676="","",INDEX(TARIFF_PROFILES!$K:$K,MATCH($X676,TARIFF_PROFILES!$A:$A,0)))</f>
        <v/>
      </c>
      <c r="AH676" t="str">
        <f>IF($AG676="","",SUMIFS(OPERATING_COEFFS!$C:$C,OPERATING_COEFFS!$A:$A,"DistanceClass",OPERATING_COEFFS!$B:$B,$AG676))</f>
        <v/>
      </c>
      <c r="AJ676" t="str">
        <f>IF($AI676="","",SUMIFS(OPERATING_COEFFS!$C:$C,OPERATING_COEFFS!$A:$A,"SeasonClass",OPERATING_COEFFS!$B:$B,$AI676))</f>
        <v/>
      </c>
      <c r="AL676" t="str">
        <f>IF($AK676="","",SUMIFS(OPERATING_COEFFS!$C:$C,OPERATING_COEFFS!$A:$A,"UrgencyClass",OPERATING_COEFFS!$B:$B,$AK676))</f>
        <v/>
      </c>
      <c r="AN676" t="str">
        <f>IF($AM676="","",INDEX(TAX_MODES!$B:$B,MATCH($AM676,TAX_MODES!$A:$A,0)))</f>
        <v/>
      </c>
    </row>
    <row r="677" spans="24:40" x14ac:dyDescent="0.3">
      <c r="X677" s="13"/>
      <c r="Y677" s="13" t="str">
        <f>IF($X677="","",SUMIFS(TARIFF_PROFILES!$D:$D,TARIFF_PROFILES!$A:$A,$X677))</f>
        <v/>
      </c>
      <c r="Z677" s="13" t="str">
        <f>IF($X677="","",SUMIFS(TARIFF_PROFILES!$E:$E,TARIFF_PROFILES!$A:$A,$X677))</f>
        <v/>
      </c>
      <c r="AA677" s="13" t="str">
        <f>IF($X677="","",SUMIFS(TARIFF_PROFILES!$F:$F,TARIFF_PROFILES!$A:$A,$X677))</f>
        <v/>
      </c>
      <c r="AB677" s="13" t="str">
        <f>IF($X677="","",SUMIFS(TARIFF_PROFILES!$G:$G,TARIFF_PROFILES!$A:$A,$X677))</f>
        <v/>
      </c>
      <c r="AC677" s="13" t="str">
        <f>IF($X677="","",SUMIFS(TARIFF_PROFILES!$H:$H,TARIFF_PROFILES!$A:$A,$X677))</f>
        <v/>
      </c>
      <c r="AD677" s="13" t="str">
        <f>IF($X677="","",INDEX(TARIFF_PROFILES!$J:$J,MATCH($X677,TARIFF_PROFILES!$A:$A,0)))</f>
        <v/>
      </c>
      <c r="AE677" s="13" t="str">
        <f>IF($X677="","",INDEX(TARIFF_PROFILES!$K:$K,MATCH($X677,TARIFF_PROFILES!$A:$A,0)))</f>
        <v/>
      </c>
      <c r="AH677" t="str">
        <f>IF($AG677="","",SUMIFS(OPERATING_COEFFS!$C:$C,OPERATING_COEFFS!$A:$A,"DistanceClass",OPERATING_COEFFS!$B:$B,$AG677))</f>
        <v/>
      </c>
      <c r="AJ677" t="str">
        <f>IF($AI677="","",SUMIFS(OPERATING_COEFFS!$C:$C,OPERATING_COEFFS!$A:$A,"SeasonClass",OPERATING_COEFFS!$B:$B,$AI677))</f>
        <v/>
      </c>
      <c r="AL677" t="str">
        <f>IF($AK677="","",SUMIFS(OPERATING_COEFFS!$C:$C,OPERATING_COEFFS!$A:$A,"UrgencyClass",OPERATING_COEFFS!$B:$B,$AK677))</f>
        <v/>
      </c>
      <c r="AN677" t="str">
        <f>IF($AM677="","",INDEX(TAX_MODES!$B:$B,MATCH($AM677,TAX_MODES!$A:$A,0)))</f>
        <v/>
      </c>
    </row>
    <row r="678" spans="24:40" x14ac:dyDescent="0.3">
      <c r="X678" s="13"/>
      <c r="Y678" s="13" t="str">
        <f>IF($X678="","",SUMIFS(TARIFF_PROFILES!$D:$D,TARIFF_PROFILES!$A:$A,$X678))</f>
        <v/>
      </c>
      <c r="Z678" s="13" t="str">
        <f>IF($X678="","",SUMIFS(TARIFF_PROFILES!$E:$E,TARIFF_PROFILES!$A:$A,$X678))</f>
        <v/>
      </c>
      <c r="AA678" s="13" t="str">
        <f>IF($X678="","",SUMIFS(TARIFF_PROFILES!$F:$F,TARIFF_PROFILES!$A:$A,$X678))</f>
        <v/>
      </c>
      <c r="AB678" s="13" t="str">
        <f>IF($X678="","",SUMIFS(TARIFF_PROFILES!$G:$G,TARIFF_PROFILES!$A:$A,$X678))</f>
        <v/>
      </c>
      <c r="AC678" s="13" t="str">
        <f>IF($X678="","",SUMIFS(TARIFF_PROFILES!$H:$H,TARIFF_PROFILES!$A:$A,$X678))</f>
        <v/>
      </c>
      <c r="AD678" s="13" t="str">
        <f>IF($X678="","",INDEX(TARIFF_PROFILES!$J:$J,MATCH($X678,TARIFF_PROFILES!$A:$A,0)))</f>
        <v/>
      </c>
      <c r="AE678" s="13" t="str">
        <f>IF($X678="","",INDEX(TARIFF_PROFILES!$K:$K,MATCH($X678,TARIFF_PROFILES!$A:$A,0)))</f>
        <v/>
      </c>
      <c r="AH678" t="str">
        <f>IF($AG678="","",SUMIFS(OPERATING_COEFFS!$C:$C,OPERATING_COEFFS!$A:$A,"DistanceClass",OPERATING_COEFFS!$B:$B,$AG678))</f>
        <v/>
      </c>
      <c r="AJ678" t="str">
        <f>IF($AI678="","",SUMIFS(OPERATING_COEFFS!$C:$C,OPERATING_COEFFS!$A:$A,"SeasonClass",OPERATING_COEFFS!$B:$B,$AI678))</f>
        <v/>
      </c>
      <c r="AL678" t="str">
        <f>IF($AK678="","",SUMIFS(OPERATING_COEFFS!$C:$C,OPERATING_COEFFS!$A:$A,"UrgencyClass",OPERATING_COEFFS!$B:$B,$AK678))</f>
        <v/>
      </c>
      <c r="AN678" t="str">
        <f>IF($AM678="","",INDEX(TAX_MODES!$B:$B,MATCH($AM678,TAX_MODES!$A:$A,0)))</f>
        <v/>
      </c>
    </row>
    <row r="679" spans="24:40" x14ac:dyDescent="0.3">
      <c r="X679" s="13"/>
      <c r="Y679" s="13" t="str">
        <f>IF($X679="","",SUMIFS(TARIFF_PROFILES!$D:$D,TARIFF_PROFILES!$A:$A,$X679))</f>
        <v/>
      </c>
      <c r="Z679" s="13" t="str">
        <f>IF($X679="","",SUMIFS(TARIFF_PROFILES!$E:$E,TARIFF_PROFILES!$A:$A,$X679))</f>
        <v/>
      </c>
      <c r="AA679" s="13" t="str">
        <f>IF($X679="","",SUMIFS(TARIFF_PROFILES!$F:$F,TARIFF_PROFILES!$A:$A,$X679))</f>
        <v/>
      </c>
      <c r="AB679" s="13" t="str">
        <f>IF($X679="","",SUMIFS(TARIFF_PROFILES!$G:$G,TARIFF_PROFILES!$A:$A,$X679))</f>
        <v/>
      </c>
      <c r="AC679" s="13" t="str">
        <f>IF($X679="","",SUMIFS(TARIFF_PROFILES!$H:$H,TARIFF_PROFILES!$A:$A,$X679))</f>
        <v/>
      </c>
      <c r="AD679" s="13" t="str">
        <f>IF($X679="","",INDEX(TARIFF_PROFILES!$J:$J,MATCH($X679,TARIFF_PROFILES!$A:$A,0)))</f>
        <v/>
      </c>
      <c r="AE679" s="13" t="str">
        <f>IF($X679="","",INDEX(TARIFF_PROFILES!$K:$K,MATCH($X679,TARIFF_PROFILES!$A:$A,0)))</f>
        <v/>
      </c>
      <c r="AH679" t="str">
        <f>IF($AG679="","",SUMIFS(OPERATING_COEFFS!$C:$C,OPERATING_COEFFS!$A:$A,"DistanceClass",OPERATING_COEFFS!$B:$B,$AG679))</f>
        <v/>
      </c>
      <c r="AJ679" t="str">
        <f>IF($AI679="","",SUMIFS(OPERATING_COEFFS!$C:$C,OPERATING_COEFFS!$A:$A,"SeasonClass",OPERATING_COEFFS!$B:$B,$AI679))</f>
        <v/>
      </c>
      <c r="AL679" t="str">
        <f>IF($AK679="","",SUMIFS(OPERATING_COEFFS!$C:$C,OPERATING_COEFFS!$A:$A,"UrgencyClass",OPERATING_COEFFS!$B:$B,$AK679))</f>
        <v/>
      </c>
      <c r="AN679" t="str">
        <f>IF($AM679="","",INDEX(TAX_MODES!$B:$B,MATCH($AM679,TAX_MODES!$A:$A,0)))</f>
        <v/>
      </c>
    </row>
    <row r="680" spans="24:40" x14ac:dyDescent="0.3">
      <c r="X680" s="13"/>
      <c r="Y680" s="13" t="str">
        <f>IF($X680="","",SUMIFS(TARIFF_PROFILES!$D:$D,TARIFF_PROFILES!$A:$A,$X680))</f>
        <v/>
      </c>
      <c r="Z680" s="13" t="str">
        <f>IF($X680="","",SUMIFS(TARIFF_PROFILES!$E:$E,TARIFF_PROFILES!$A:$A,$X680))</f>
        <v/>
      </c>
      <c r="AA680" s="13" t="str">
        <f>IF($X680="","",SUMIFS(TARIFF_PROFILES!$F:$F,TARIFF_PROFILES!$A:$A,$X680))</f>
        <v/>
      </c>
      <c r="AB680" s="13" t="str">
        <f>IF($X680="","",SUMIFS(TARIFF_PROFILES!$G:$G,TARIFF_PROFILES!$A:$A,$X680))</f>
        <v/>
      </c>
      <c r="AC680" s="13" t="str">
        <f>IF($X680="","",SUMIFS(TARIFF_PROFILES!$H:$H,TARIFF_PROFILES!$A:$A,$X680))</f>
        <v/>
      </c>
      <c r="AD680" s="13" t="str">
        <f>IF($X680="","",INDEX(TARIFF_PROFILES!$J:$J,MATCH($X680,TARIFF_PROFILES!$A:$A,0)))</f>
        <v/>
      </c>
      <c r="AE680" s="13" t="str">
        <f>IF($X680="","",INDEX(TARIFF_PROFILES!$K:$K,MATCH($X680,TARIFF_PROFILES!$A:$A,0)))</f>
        <v/>
      </c>
      <c r="AH680" t="str">
        <f>IF($AG680="","",SUMIFS(OPERATING_COEFFS!$C:$C,OPERATING_COEFFS!$A:$A,"DistanceClass",OPERATING_COEFFS!$B:$B,$AG680))</f>
        <v/>
      </c>
      <c r="AJ680" t="str">
        <f>IF($AI680="","",SUMIFS(OPERATING_COEFFS!$C:$C,OPERATING_COEFFS!$A:$A,"SeasonClass",OPERATING_COEFFS!$B:$B,$AI680))</f>
        <v/>
      </c>
      <c r="AL680" t="str">
        <f>IF($AK680="","",SUMIFS(OPERATING_COEFFS!$C:$C,OPERATING_COEFFS!$A:$A,"UrgencyClass",OPERATING_COEFFS!$B:$B,$AK680))</f>
        <v/>
      </c>
      <c r="AN680" t="str">
        <f>IF($AM680="","",INDEX(TAX_MODES!$B:$B,MATCH($AM680,TAX_MODES!$A:$A,0)))</f>
        <v/>
      </c>
    </row>
    <row r="681" spans="24:40" x14ac:dyDescent="0.3">
      <c r="X681" s="13"/>
      <c r="Y681" s="13" t="str">
        <f>IF($X681="","",SUMIFS(TARIFF_PROFILES!$D:$D,TARIFF_PROFILES!$A:$A,$X681))</f>
        <v/>
      </c>
      <c r="Z681" s="13" t="str">
        <f>IF($X681="","",SUMIFS(TARIFF_PROFILES!$E:$E,TARIFF_PROFILES!$A:$A,$X681))</f>
        <v/>
      </c>
      <c r="AA681" s="13" t="str">
        <f>IF($X681="","",SUMIFS(TARIFF_PROFILES!$F:$F,TARIFF_PROFILES!$A:$A,$X681))</f>
        <v/>
      </c>
      <c r="AB681" s="13" t="str">
        <f>IF($X681="","",SUMIFS(TARIFF_PROFILES!$G:$G,TARIFF_PROFILES!$A:$A,$X681))</f>
        <v/>
      </c>
      <c r="AC681" s="13" t="str">
        <f>IF($X681="","",SUMIFS(TARIFF_PROFILES!$H:$H,TARIFF_PROFILES!$A:$A,$X681))</f>
        <v/>
      </c>
      <c r="AD681" s="13" t="str">
        <f>IF($X681="","",INDEX(TARIFF_PROFILES!$J:$J,MATCH($X681,TARIFF_PROFILES!$A:$A,0)))</f>
        <v/>
      </c>
      <c r="AE681" s="13" t="str">
        <f>IF($X681="","",INDEX(TARIFF_PROFILES!$K:$K,MATCH($X681,TARIFF_PROFILES!$A:$A,0)))</f>
        <v/>
      </c>
      <c r="AH681" t="str">
        <f>IF($AG681="","",SUMIFS(OPERATING_COEFFS!$C:$C,OPERATING_COEFFS!$A:$A,"DistanceClass",OPERATING_COEFFS!$B:$B,$AG681))</f>
        <v/>
      </c>
      <c r="AJ681" t="str">
        <f>IF($AI681="","",SUMIFS(OPERATING_COEFFS!$C:$C,OPERATING_COEFFS!$A:$A,"SeasonClass",OPERATING_COEFFS!$B:$B,$AI681))</f>
        <v/>
      </c>
      <c r="AL681" t="str">
        <f>IF($AK681="","",SUMIFS(OPERATING_COEFFS!$C:$C,OPERATING_COEFFS!$A:$A,"UrgencyClass",OPERATING_COEFFS!$B:$B,$AK681))</f>
        <v/>
      </c>
      <c r="AN681" t="str">
        <f>IF($AM681="","",INDEX(TAX_MODES!$B:$B,MATCH($AM681,TAX_MODES!$A:$A,0)))</f>
        <v/>
      </c>
    </row>
    <row r="682" spans="24:40" x14ac:dyDescent="0.3">
      <c r="X682" s="13"/>
      <c r="Y682" s="13" t="str">
        <f>IF($X682="","",SUMIFS(TARIFF_PROFILES!$D:$D,TARIFF_PROFILES!$A:$A,$X682))</f>
        <v/>
      </c>
      <c r="Z682" s="13" t="str">
        <f>IF($X682="","",SUMIFS(TARIFF_PROFILES!$E:$E,TARIFF_PROFILES!$A:$A,$X682))</f>
        <v/>
      </c>
      <c r="AA682" s="13" t="str">
        <f>IF($X682="","",SUMIFS(TARIFF_PROFILES!$F:$F,TARIFF_PROFILES!$A:$A,$X682))</f>
        <v/>
      </c>
      <c r="AB682" s="13" t="str">
        <f>IF($X682="","",SUMIFS(TARIFF_PROFILES!$G:$G,TARIFF_PROFILES!$A:$A,$X682))</f>
        <v/>
      </c>
      <c r="AC682" s="13" t="str">
        <f>IF($X682="","",SUMIFS(TARIFF_PROFILES!$H:$H,TARIFF_PROFILES!$A:$A,$X682))</f>
        <v/>
      </c>
      <c r="AD682" s="13" t="str">
        <f>IF($X682="","",INDEX(TARIFF_PROFILES!$J:$J,MATCH($X682,TARIFF_PROFILES!$A:$A,0)))</f>
        <v/>
      </c>
      <c r="AE682" s="13" t="str">
        <f>IF($X682="","",INDEX(TARIFF_PROFILES!$K:$K,MATCH($X682,TARIFF_PROFILES!$A:$A,0)))</f>
        <v/>
      </c>
      <c r="AH682" t="str">
        <f>IF($AG682="","",SUMIFS(OPERATING_COEFFS!$C:$C,OPERATING_COEFFS!$A:$A,"DistanceClass",OPERATING_COEFFS!$B:$B,$AG682))</f>
        <v/>
      </c>
      <c r="AJ682" t="str">
        <f>IF($AI682="","",SUMIFS(OPERATING_COEFFS!$C:$C,OPERATING_COEFFS!$A:$A,"SeasonClass",OPERATING_COEFFS!$B:$B,$AI682))</f>
        <v/>
      </c>
      <c r="AL682" t="str">
        <f>IF($AK682="","",SUMIFS(OPERATING_COEFFS!$C:$C,OPERATING_COEFFS!$A:$A,"UrgencyClass",OPERATING_COEFFS!$B:$B,$AK682))</f>
        <v/>
      </c>
      <c r="AN682" t="str">
        <f>IF($AM682="","",INDEX(TAX_MODES!$B:$B,MATCH($AM682,TAX_MODES!$A:$A,0)))</f>
        <v/>
      </c>
    </row>
    <row r="683" spans="24:40" x14ac:dyDescent="0.3">
      <c r="X683" s="13"/>
      <c r="Y683" s="13" t="str">
        <f>IF($X683="","",SUMIFS(TARIFF_PROFILES!$D:$D,TARIFF_PROFILES!$A:$A,$X683))</f>
        <v/>
      </c>
      <c r="Z683" s="13" t="str">
        <f>IF($X683="","",SUMIFS(TARIFF_PROFILES!$E:$E,TARIFF_PROFILES!$A:$A,$X683))</f>
        <v/>
      </c>
      <c r="AA683" s="13" t="str">
        <f>IF($X683="","",SUMIFS(TARIFF_PROFILES!$F:$F,TARIFF_PROFILES!$A:$A,$X683))</f>
        <v/>
      </c>
      <c r="AB683" s="13" t="str">
        <f>IF($X683="","",SUMIFS(TARIFF_PROFILES!$G:$G,TARIFF_PROFILES!$A:$A,$X683))</f>
        <v/>
      </c>
      <c r="AC683" s="13" t="str">
        <f>IF($X683="","",SUMIFS(TARIFF_PROFILES!$H:$H,TARIFF_PROFILES!$A:$A,$X683))</f>
        <v/>
      </c>
      <c r="AD683" s="13" t="str">
        <f>IF($X683="","",INDEX(TARIFF_PROFILES!$J:$J,MATCH($X683,TARIFF_PROFILES!$A:$A,0)))</f>
        <v/>
      </c>
      <c r="AE683" s="13" t="str">
        <f>IF($X683="","",INDEX(TARIFF_PROFILES!$K:$K,MATCH($X683,TARIFF_PROFILES!$A:$A,0)))</f>
        <v/>
      </c>
      <c r="AH683" t="str">
        <f>IF($AG683="","",SUMIFS(OPERATING_COEFFS!$C:$C,OPERATING_COEFFS!$A:$A,"DistanceClass",OPERATING_COEFFS!$B:$B,$AG683))</f>
        <v/>
      </c>
      <c r="AJ683" t="str">
        <f>IF($AI683="","",SUMIFS(OPERATING_COEFFS!$C:$C,OPERATING_COEFFS!$A:$A,"SeasonClass",OPERATING_COEFFS!$B:$B,$AI683))</f>
        <v/>
      </c>
      <c r="AL683" t="str">
        <f>IF($AK683="","",SUMIFS(OPERATING_COEFFS!$C:$C,OPERATING_COEFFS!$A:$A,"UrgencyClass",OPERATING_COEFFS!$B:$B,$AK683))</f>
        <v/>
      </c>
      <c r="AN683" t="str">
        <f>IF($AM683="","",INDEX(TAX_MODES!$B:$B,MATCH($AM683,TAX_MODES!$A:$A,0)))</f>
        <v/>
      </c>
    </row>
    <row r="684" spans="24:40" x14ac:dyDescent="0.3">
      <c r="X684" s="13"/>
      <c r="Y684" s="13" t="str">
        <f>IF($X684="","",SUMIFS(TARIFF_PROFILES!$D:$D,TARIFF_PROFILES!$A:$A,$X684))</f>
        <v/>
      </c>
      <c r="Z684" s="13" t="str">
        <f>IF($X684="","",SUMIFS(TARIFF_PROFILES!$E:$E,TARIFF_PROFILES!$A:$A,$X684))</f>
        <v/>
      </c>
      <c r="AA684" s="13" t="str">
        <f>IF($X684="","",SUMIFS(TARIFF_PROFILES!$F:$F,TARIFF_PROFILES!$A:$A,$X684))</f>
        <v/>
      </c>
      <c r="AB684" s="13" t="str">
        <f>IF($X684="","",SUMIFS(TARIFF_PROFILES!$G:$G,TARIFF_PROFILES!$A:$A,$X684))</f>
        <v/>
      </c>
      <c r="AC684" s="13" t="str">
        <f>IF($X684="","",SUMIFS(TARIFF_PROFILES!$H:$H,TARIFF_PROFILES!$A:$A,$X684))</f>
        <v/>
      </c>
      <c r="AD684" s="13" t="str">
        <f>IF($X684="","",INDEX(TARIFF_PROFILES!$J:$J,MATCH($X684,TARIFF_PROFILES!$A:$A,0)))</f>
        <v/>
      </c>
      <c r="AE684" s="13" t="str">
        <f>IF($X684="","",INDEX(TARIFF_PROFILES!$K:$K,MATCH($X684,TARIFF_PROFILES!$A:$A,0)))</f>
        <v/>
      </c>
      <c r="AH684" t="str">
        <f>IF($AG684="","",SUMIFS(OPERATING_COEFFS!$C:$C,OPERATING_COEFFS!$A:$A,"DistanceClass",OPERATING_COEFFS!$B:$B,$AG684))</f>
        <v/>
      </c>
      <c r="AJ684" t="str">
        <f>IF($AI684="","",SUMIFS(OPERATING_COEFFS!$C:$C,OPERATING_COEFFS!$A:$A,"SeasonClass",OPERATING_COEFFS!$B:$B,$AI684))</f>
        <v/>
      </c>
      <c r="AL684" t="str">
        <f>IF($AK684="","",SUMIFS(OPERATING_COEFFS!$C:$C,OPERATING_COEFFS!$A:$A,"UrgencyClass",OPERATING_COEFFS!$B:$B,$AK684))</f>
        <v/>
      </c>
      <c r="AN684" t="str">
        <f>IF($AM684="","",INDEX(TAX_MODES!$B:$B,MATCH($AM684,TAX_MODES!$A:$A,0)))</f>
        <v/>
      </c>
    </row>
    <row r="685" spans="24:40" x14ac:dyDescent="0.3">
      <c r="X685" s="13"/>
      <c r="Y685" s="13" t="str">
        <f>IF($X685="","",SUMIFS(TARIFF_PROFILES!$D:$D,TARIFF_PROFILES!$A:$A,$X685))</f>
        <v/>
      </c>
      <c r="Z685" s="13" t="str">
        <f>IF($X685="","",SUMIFS(TARIFF_PROFILES!$E:$E,TARIFF_PROFILES!$A:$A,$X685))</f>
        <v/>
      </c>
      <c r="AA685" s="13" t="str">
        <f>IF($X685="","",SUMIFS(TARIFF_PROFILES!$F:$F,TARIFF_PROFILES!$A:$A,$X685))</f>
        <v/>
      </c>
      <c r="AB685" s="13" t="str">
        <f>IF($X685="","",SUMIFS(TARIFF_PROFILES!$G:$G,TARIFF_PROFILES!$A:$A,$X685))</f>
        <v/>
      </c>
      <c r="AC685" s="13" t="str">
        <f>IF($X685="","",SUMIFS(TARIFF_PROFILES!$H:$H,TARIFF_PROFILES!$A:$A,$X685))</f>
        <v/>
      </c>
      <c r="AD685" s="13" t="str">
        <f>IF($X685="","",INDEX(TARIFF_PROFILES!$J:$J,MATCH($X685,TARIFF_PROFILES!$A:$A,0)))</f>
        <v/>
      </c>
      <c r="AE685" s="13" t="str">
        <f>IF($X685="","",INDEX(TARIFF_PROFILES!$K:$K,MATCH($X685,TARIFF_PROFILES!$A:$A,0)))</f>
        <v/>
      </c>
      <c r="AH685" t="str">
        <f>IF($AG685="","",SUMIFS(OPERATING_COEFFS!$C:$C,OPERATING_COEFFS!$A:$A,"DistanceClass",OPERATING_COEFFS!$B:$B,$AG685))</f>
        <v/>
      </c>
      <c r="AJ685" t="str">
        <f>IF($AI685="","",SUMIFS(OPERATING_COEFFS!$C:$C,OPERATING_COEFFS!$A:$A,"SeasonClass",OPERATING_COEFFS!$B:$B,$AI685))</f>
        <v/>
      </c>
      <c r="AL685" t="str">
        <f>IF($AK685="","",SUMIFS(OPERATING_COEFFS!$C:$C,OPERATING_COEFFS!$A:$A,"UrgencyClass",OPERATING_COEFFS!$B:$B,$AK685))</f>
        <v/>
      </c>
      <c r="AN685" t="str">
        <f>IF($AM685="","",INDEX(TAX_MODES!$B:$B,MATCH($AM685,TAX_MODES!$A:$A,0)))</f>
        <v/>
      </c>
    </row>
    <row r="686" spans="24:40" x14ac:dyDescent="0.3">
      <c r="X686" s="13"/>
      <c r="Y686" s="13" t="str">
        <f>IF($X686="","",SUMIFS(TARIFF_PROFILES!$D:$D,TARIFF_PROFILES!$A:$A,$X686))</f>
        <v/>
      </c>
      <c r="Z686" s="13" t="str">
        <f>IF($X686="","",SUMIFS(TARIFF_PROFILES!$E:$E,TARIFF_PROFILES!$A:$A,$X686))</f>
        <v/>
      </c>
      <c r="AA686" s="13" t="str">
        <f>IF($X686="","",SUMIFS(TARIFF_PROFILES!$F:$F,TARIFF_PROFILES!$A:$A,$X686))</f>
        <v/>
      </c>
      <c r="AB686" s="13" t="str">
        <f>IF($X686="","",SUMIFS(TARIFF_PROFILES!$G:$G,TARIFF_PROFILES!$A:$A,$X686))</f>
        <v/>
      </c>
      <c r="AC686" s="13" t="str">
        <f>IF($X686="","",SUMIFS(TARIFF_PROFILES!$H:$H,TARIFF_PROFILES!$A:$A,$X686))</f>
        <v/>
      </c>
      <c r="AD686" s="13" t="str">
        <f>IF($X686="","",INDEX(TARIFF_PROFILES!$J:$J,MATCH($X686,TARIFF_PROFILES!$A:$A,0)))</f>
        <v/>
      </c>
      <c r="AE686" s="13" t="str">
        <f>IF($X686="","",INDEX(TARIFF_PROFILES!$K:$K,MATCH($X686,TARIFF_PROFILES!$A:$A,0)))</f>
        <v/>
      </c>
      <c r="AH686" t="str">
        <f>IF($AG686="","",SUMIFS(OPERATING_COEFFS!$C:$C,OPERATING_COEFFS!$A:$A,"DistanceClass",OPERATING_COEFFS!$B:$B,$AG686))</f>
        <v/>
      </c>
      <c r="AJ686" t="str">
        <f>IF($AI686="","",SUMIFS(OPERATING_COEFFS!$C:$C,OPERATING_COEFFS!$A:$A,"SeasonClass",OPERATING_COEFFS!$B:$B,$AI686))</f>
        <v/>
      </c>
      <c r="AL686" t="str">
        <f>IF($AK686="","",SUMIFS(OPERATING_COEFFS!$C:$C,OPERATING_COEFFS!$A:$A,"UrgencyClass",OPERATING_COEFFS!$B:$B,$AK686))</f>
        <v/>
      </c>
      <c r="AN686" t="str">
        <f>IF($AM686="","",INDEX(TAX_MODES!$B:$B,MATCH($AM686,TAX_MODES!$A:$A,0)))</f>
        <v/>
      </c>
    </row>
    <row r="687" spans="24:40" x14ac:dyDescent="0.3">
      <c r="X687" s="13"/>
      <c r="Y687" s="13" t="str">
        <f>IF($X687="","",SUMIFS(TARIFF_PROFILES!$D:$D,TARIFF_PROFILES!$A:$A,$X687))</f>
        <v/>
      </c>
      <c r="Z687" s="13" t="str">
        <f>IF($X687="","",SUMIFS(TARIFF_PROFILES!$E:$E,TARIFF_PROFILES!$A:$A,$X687))</f>
        <v/>
      </c>
      <c r="AA687" s="13" t="str">
        <f>IF($X687="","",SUMIFS(TARIFF_PROFILES!$F:$F,TARIFF_PROFILES!$A:$A,$X687))</f>
        <v/>
      </c>
      <c r="AB687" s="13" t="str">
        <f>IF($X687="","",SUMIFS(TARIFF_PROFILES!$G:$G,TARIFF_PROFILES!$A:$A,$X687))</f>
        <v/>
      </c>
      <c r="AC687" s="13" t="str">
        <f>IF($X687="","",SUMIFS(TARIFF_PROFILES!$H:$H,TARIFF_PROFILES!$A:$A,$X687))</f>
        <v/>
      </c>
      <c r="AD687" s="13" t="str">
        <f>IF($X687="","",INDEX(TARIFF_PROFILES!$J:$J,MATCH($X687,TARIFF_PROFILES!$A:$A,0)))</f>
        <v/>
      </c>
      <c r="AE687" s="13" t="str">
        <f>IF($X687="","",INDEX(TARIFF_PROFILES!$K:$K,MATCH($X687,TARIFF_PROFILES!$A:$A,0)))</f>
        <v/>
      </c>
      <c r="AH687" t="str">
        <f>IF($AG687="","",SUMIFS(OPERATING_COEFFS!$C:$C,OPERATING_COEFFS!$A:$A,"DistanceClass",OPERATING_COEFFS!$B:$B,$AG687))</f>
        <v/>
      </c>
      <c r="AJ687" t="str">
        <f>IF($AI687="","",SUMIFS(OPERATING_COEFFS!$C:$C,OPERATING_COEFFS!$A:$A,"SeasonClass",OPERATING_COEFFS!$B:$B,$AI687))</f>
        <v/>
      </c>
      <c r="AL687" t="str">
        <f>IF($AK687="","",SUMIFS(OPERATING_COEFFS!$C:$C,OPERATING_COEFFS!$A:$A,"UrgencyClass",OPERATING_COEFFS!$B:$B,$AK687))</f>
        <v/>
      </c>
      <c r="AN687" t="str">
        <f>IF($AM687="","",INDEX(TAX_MODES!$B:$B,MATCH($AM687,TAX_MODES!$A:$A,0)))</f>
        <v/>
      </c>
    </row>
    <row r="688" spans="24:40" x14ac:dyDescent="0.3">
      <c r="X688" s="13"/>
      <c r="Y688" s="13" t="str">
        <f>IF($X688="","",SUMIFS(TARIFF_PROFILES!$D:$D,TARIFF_PROFILES!$A:$A,$X688))</f>
        <v/>
      </c>
      <c r="Z688" s="13" t="str">
        <f>IF($X688="","",SUMIFS(TARIFF_PROFILES!$E:$E,TARIFF_PROFILES!$A:$A,$X688))</f>
        <v/>
      </c>
      <c r="AA688" s="13" t="str">
        <f>IF($X688="","",SUMIFS(TARIFF_PROFILES!$F:$F,TARIFF_PROFILES!$A:$A,$X688))</f>
        <v/>
      </c>
      <c r="AB688" s="13" t="str">
        <f>IF($X688="","",SUMIFS(TARIFF_PROFILES!$G:$G,TARIFF_PROFILES!$A:$A,$X688))</f>
        <v/>
      </c>
      <c r="AC688" s="13" t="str">
        <f>IF($X688="","",SUMIFS(TARIFF_PROFILES!$H:$H,TARIFF_PROFILES!$A:$A,$X688))</f>
        <v/>
      </c>
      <c r="AD688" s="13" t="str">
        <f>IF($X688="","",INDEX(TARIFF_PROFILES!$J:$J,MATCH($X688,TARIFF_PROFILES!$A:$A,0)))</f>
        <v/>
      </c>
      <c r="AE688" s="13" t="str">
        <f>IF($X688="","",INDEX(TARIFF_PROFILES!$K:$K,MATCH($X688,TARIFF_PROFILES!$A:$A,0)))</f>
        <v/>
      </c>
      <c r="AH688" t="str">
        <f>IF($AG688="","",SUMIFS(OPERATING_COEFFS!$C:$C,OPERATING_COEFFS!$A:$A,"DistanceClass",OPERATING_COEFFS!$B:$B,$AG688))</f>
        <v/>
      </c>
      <c r="AJ688" t="str">
        <f>IF($AI688="","",SUMIFS(OPERATING_COEFFS!$C:$C,OPERATING_COEFFS!$A:$A,"SeasonClass",OPERATING_COEFFS!$B:$B,$AI688))</f>
        <v/>
      </c>
      <c r="AL688" t="str">
        <f>IF($AK688="","",SUMIFS(OPERATING_COEFFS!$C:$C,OPERATING_COEFFS!$A:$A,"UrgencyClass",OPERATING_COEFFS!$B:$B,$AK688))</f>
        <v/>
      </c>
      <c r="AN688" t="str">
        <f>IF($AM688="","",INDEX(TAX_MODES!$B:$B,MATCH($AM688,TAX_MODES!$A:$A,0)))</f>
        <v/>
      </c>
    </row>
    <row r="689" spans="24:40" x14ac:dyDescent="0.3">
      <c r="X689" s="13"/>
      <c r="Y689" s="13" t="str">
        <f>IF($X689="","",SUMIFS(TARIFF_PROFILES!$D:$D,TARIFF_PROFILES!$A:$A,$X689))</f>
        <v/>
      </c>
      <c r="Z689" s="13" t="str">
        <f>IF($X689="","",SUMIFS(TARIFF_PROFILES!$E:$E,TARIFF_PROFILES!$A:$A,$X689))</f>
        <v/>
      </c>
      <c r="AA689" s="13" t="str">
        <f>IF($X689="","",SUMIFS(TARIFF_PROFILES!$F:$F,TARIFF_PROFILES!$A:$A,$X689))</f>
        <v/>
      </c>
      <c r="AB689" s="13" t="str">
        <f>IF($X689="","",SUMIFS(TARIFF_PROFILES!$G:$G,TARIFF_PROFILES!$A:$A,$X689))</f>
        <v/>
      </c>
      <c r="AC689" s="13" t="str">
        <f>IF($X689="","",SUMIFS(TARIFF_PROFILES!$H:$H,TARIFF_PROFILES!$A:$A,$X689))</f>
        <v/>
      </c>
      <c r="AD689" s="13" t="str">
        <f>IF($X689="","",INDEX(TARIFF_PROFILES!$J:$J,MATCH($X689,TARIFF_PROFILES!$A:$A,0)))</f>
        <v/>
      </c>
      <c r="AE689" s="13" t="str">
        <f>IF($X689="","",INDEX(TARIFF_PROFILES!$K:$K,MATCH($X689,TARIFF_PROFILES!$A:$A,0)))</f>
        <v/>
      </c>
      <c r="AH689" t="str">
        <f>IF($AG689="","",SUMIFS(OPERATING_COEFFS!$C:$C,OPERATING_COEFFS!$A:$A,"DistanceClass",OPERATING_COEFFS!$B:$B,$AG689))</f>
        <v/>
      </c>
      <c r="AJ689" t="str">
        <f>IF($AI689="","",SUMIFS(OPERATING_COEFFS!$C:$C,OPERATING_COEFFS!$A:$A,"SeasonClass",OPERATING_COEFFS!$B:$B,$AI689))</f>
        <v/>
      </c>
      <c r="AL689" t="str">
        <f>IF($AK689="","",SUMIFS(OPERATING_COEFFS!$C:$C,OPERATING_COEFFS!$A:$A,"UrgencyClass",OPERATING_COEFFS!$B:$B,$AK689))</f>
        <v/>
      </c>
      <c r="AN689" t="str">
        <f>IF($AM689="","",INDEX(TAX_MODES!$B:$B,MATCH($AM689,TAX_MODES!$A:$A,0)))</f>
        <v/>
      </c>
    </row>
    <row r="690" spans="24:40" x14ac:dyDescent="0.3">
      <c r="X690" s="13"/>
      <c r="Y690" s="13" t="str">
        <f>IF($X690="","",SUMIFS(TARIFF_PROFILES!$D:$D,TARIFF_PROFILES!$A:$A,$X690))</f>
        <v/>
      </c>
      <c r="Z690" s="13" t="str">
        <f>IF($X690="","",SUMIFS(TARIFF_PROFILES!$E:$E,TARIFF_PROFILES!$A:$A,$X690))</f>
        <v/>
      </c>
      <c r="AA690" s="13" t="str">
        <f>IF($X690="","",SUMIFS(TARIFF_PROFILES!$F:$F,TARIFF_PROFILES!$A:$A,$X690))</f>
        <v/>
      </c>
      <c r="AB690" s="13" t="str">
        <f>IF($X690="","",SUMIFS(TARIFF_PROFILES!$G:$G,TARIFF_PROFILES!$A:$A,$X690))</f>
        <v/>
      </c>
      <c r="AC690" s="13" t="str">
        <f>IF($X690="","",SUMIFS(TARIFF_PROFILES!$H:$H,TARIFF_PROFILES!$A:$A,$X690))</f>
        <v/>
      </c>
      <c r="AD690" s="13" t="str">
        <f>IF($X690="","",INDEX(TARIFF_PROFILES!$J:$J,MATCH($X690,TARIFF_PROFILES!$A:$A,0)))</f>
        <v/>
      </c>
      <c r="AE690" s="13" t="str">
        <f>IF($X690="","",INDEX(TARIFF_PROFILES!$K:$K,MATCH($X690,TARIFF_PROFILES!$A:$A,0)))</f>
        <v/>
      </c>
      <c r="AH690" t="str">
        <f>IF($AG690="","",SUMIFS(OPERATING_COEFFS!$C:$C,OPERATING_COEFFS!$A:$A,"DistanceClass",OPERATING_COEFFS!$B:$B,$AG690))</f>
        <v/>
      </c>
      <c r="AJ690" t="str">
        <f>IF($AI690="","",SUMIFS(OPERATING_COEFFS!$C:$C,OPERATING_COEFFS!$A:$A,"SeasonClass",OPERATING_COEFFS!$B:$B,$AI690))</f>
        <v/>
      </c>
      <c r="AL690" t="str">
        <f>IF($AK690="","",SUMIFS(OPERATING_COEFFS!$C:$C,OPERATING_COEFFS!$A:$A,"UrgencyClass",OPERATING_COEFFS!$B:$B,$AK690))</f>
        <v/>
      </c>
      <c r="AN690" t="str">
        <f>IF($AM690="","",INDEX(TAX_MODES!$B:$B,MATCH($AM690,TAX_MODES!$A:$A,0)))</f>
        <v/>
      </c>
    </row>
    <row r="691" spans="24:40" x14ac:dyDescent="0.3">
      <c r="X691" s="13"/>
      <c r="Y691" s="13" t="str">
        <f>IF($X691="","",SUMIFS(TARIFF_PROFILES!$D:$D,TARIFF_PROFILES!$A:$A,$X691))</f>
        <v/>
      </c>
      <c r="Z691" s="13" t="str">
        <f>IF($X691="","",SUMIFS(TARIFF_PROFILES!$E:$E,TARIFF_PROFILES!$A:$A,$X691))</f>
        <v/>
      </c>
      <c r="AA691" s="13" t="str">
        <f>IF($X691="","",SUMIFS(TARIFF_PROFILES!$F:$F,TARIFF_PROFILES!$A:$A,$X691))</f>
        <v/>
      </c>
      <c r="AB691" s="13" t="str">
        <f>IF($X691="","",SUMIFS(TARIFF_PROFILES!$G:$G,TARIFF_PROFILES!$A:$A,$X691))</f>
        <v/>
      </c>
      <c r="AC691" s="13" t="str">
        <f>IF($X691="","",SUMIFS(TARIFF_PROFILES!$H:$H,TARIFF_PROFILES!$A:$A,$X691))</f>
        <v/>
      </c>
      <c r="AD691" s="13" t="str">
        <f>IF($X691="","",INDEX(TARIFF_PROFILES!$J:$J,MATCH($X691,TARIFF_PROFILES!$A:$A,0)))</f>
        <v/>
      </c>
      <c r="AE691" s="13" t="str">
        <f>IF($X691="","",INDEX(TARIFF_PROFILES!$K:$K,MATCH($X691,TARIFF_PROFILES!$A:$A,0)))</f>
        <v/>
      </c>
      <c r="AH691" t="str">
        <f>IF($AG691="","",SUMIFS(OPERATING_COEFFS!$C:$C,OPERATING_COEFFS!$A:$A,"DistanceClass",OPERATING_COEFFS!$B:$B,$AG691))</f>
        <v/>
      </c>
      <c r="AJ691" t="str">
        <f>IF($AI691="","",SUMIFS(OPERATING_COEFFS!$C:$C,OPERATING_COEFFS!$A:$A,"SeasonClass",OPERATING_COEFFS!$B:$B,$AI691))</f>
        <v/>
      </c>
      <c r="AL691" t="str">
        <f>IF($AK691="","",SUMIFS(OPERATING_COEFFS!$C:$C,OPERATING_COEFFS!$A:$A,"UrgencyClass",OPERATING_COEFFS!$B:$B,$AK691))</f>
        <v/>
      </c>
      <c r="AN691" t="str">
        <f>IF($AM691="","",INDEX(TAX_MODES!$B:$B,MATCH($AM691,TAX_MODES!$A:$A,0)))</f>
        <v/>
      </c>
    </row>
    <row r="692" spans="24:40" x14ac:dyDescent="0.3">
      <c r="X692" s="13"/>
      <c r="Y692" s="13" t="str">
        <f>IF($X692="","",SUMIFS(TARIFF_PROFILES!$D:$D,TARIFF_PROFILES!$A:$A,$X692))</f>
        <v/>
      </c>
      <c r="Z692" s="13" t="str">
        <f>IF($X692="","",SUMIFS(TARIFF_PROFILES!$E:$E,TARIFF_PROFILES!$A:$A,$X692))</f>
        <v/>
      </c>
      <c r="AA692" s="13" t="str">
        <f>IF($X692="","",SUMIFS(TARIFF_PROFILES!$F:$F,TARIFF_PROFILES!$A:$A,$X692))</f>
        <v/>
      </c>
      <c r="AB692" s="13" t="str">
        <f>IF($X692="","",SUMIFS(TARIFF_PROFILES!$G:$G,TARIFF_PROFILES!$A:$A,$X692))</f>
        <v/>
      </c>
      <c r="AC692" s="13" t="str">
        <f>IF($X692="","",SUMIFS(TARIFF_PROFILES!$H:$H,TARIFF_PROFILES!$A:$A,$X692))</f>
        <v/>
      </c>
      <c r="AD692" s="13" t="str">
        <f>IF($X692="","",INDEX(TARIFF_PROFILES!$J:$J,MATCH($X692,TARIFF_PROFILES!$A:$A,0)))</f>
        <v/>
      </c>
      <c r="AE692" s="13" t="str">
        <f>IF($X692="","",INDEX(TARIFF_PROFILES!$K:$K,MATCH($X692,TARIFF_PROFILES!$A:$A,0)))</f>
        <v/>
      </c>
      <c r="AH692" t="str">
        <f>IF($AG692="","",SUMIFS(OPERATING_COEFFS!$C:$C,OPERATING_COEFFS!$A:$A,"DistanceClass",OPERATING_COEFFS!$B:$B,$AG692))</f>
        <v/>
      </c>
      <c r="AJ692" t="str">
        <f>IF($AI692="","",SUMIFS(OPERATING_COEFFS!$C:$C,OPERATING_COEFFS!$A:$A,"SeasonClass",OPERATING_COEFFS!$B:$B,$AI692))</f>
        <v/>
      </c>
      <c r="AL692" t="str">
        <f>IF($AK692="","",SUMIFS(OPERATING_COEFFS!$C:$C,OPERATING_COEFFS!$A:$A,"UrgencyClass",OPERATING_COEFFS!$B:$B,$AK692))</f>
        <v/>
      </c>
      <c r="AN692" t="str">
        <f>IF($AM692="","",INDEX(TAX_MODES!$B:$B,MATCH($AM692,TAX_MODES!$A:$A,0)))</f>
        <v/>
      </c>
    </row>
    <row r="693" spans="24:40" x14ac:dyDescent="0.3">
      <c r="X693" s="13"/>
      <c r="Y693" s="13" t="str">
        <f>IF($X693="","",SUMIFS(TARIFF_PROFILES!$D:$D,TARIFF_PROFILES!$A:$A,$X693))</f>
        <v/>
      </c>
      <c r="Z693" s="13" t="str">
        <f>IF($X693="","",SUMIFS(TARIFF_PROFILES!$E:$E,TARIFF_PROFILES!$A:$A,$X693))</f>
        <v/>
      </c>
      <c r="AA693" s="13" t="str">
        <f>IF($X693="","",SUMIFS(TARIFF_PROFILES!$F:$F,TARIFF_PROFILES!$A:$A,$X693))</f>
        <v/>
      </c>
      <c r="AB693" s="13" t="str">
        <f>IF($X693="","",SUMIFS(TARIFF_PROFILES!$G:$G,TARIFF_PROFILES!$A:$A,$X693))</f>
        <v/>
      </c>
      <c r="AC693" s="13" t="str">
        <f>IF($X693="","",SUMIFS(TARIFF_PROFILES!$H:$H,TARIFF_PROFILES!$A:$A,$X693))</f>
        <v/>
      </c>
      <c r="AD693" s="13" t="str">
        <f>IF($X693="","",INDEX(TARIFF_PROFILES!$J:$J,MATCH($X693,TARIFF_PROFILES!$A:$A,0)))</f>
        <v/>
      </c>
      <c r="AE693" s="13" t="str">
        <f>IF($X693="","",INDEX(TARIFF_PROFILES!$K:$K,MATCH($X693,TARIFF_PROFILES!$A:$A,0)))</f>
        <v/>
      </c>
      <c r="AH693" t="str">
        <f>IF($AG693="","",SUMIFS(OPERATING_COEFFS!$C:$C,OPERATING_COEFFS!$A:$A,"DistanceClass",OPERATING_COEFFS!$B:$B,$AG693))</f>
        <v/>
      </c>
      <c r="AJ693" t="str">
        <f>IF($AI693="","",SUMIFS(OPERATING_COEFFS!$C:$C,OPERATING_COEFFS!$A:$A,"SeasonClass",OPERATING_COEFFS!$B:$B,$AI693))</f>
        <v/>
      </c>
      <c r="AL693" t="str">
        <f>IF($AK693="","",SUMIFS(OPERATING_COEFFS!$C:$C,OPERATING_COEFFS!$A:$A,"UrgencyClass",OPERATING_COEFFS!$B:$B,$AK693))</f>
        <v/>
      </c>
      <c r="AN693" t="str">
        <f>IF($AM693="","",INDEX(TAX_MODES!$B:$B,MATCH($AM693,TAX_MODES!$A:$A,0)))</f>
        <v/>
      </c>
    </row>
    <row r="694" spans="24:40" x14ac:dyDescent="0.3">
      <c r="X694" s="13"/>
      <c r="Y694" s="13" t="str">
        <f>IF($X694="","",SUMIFS(TARIFF_PROFILES!$D:$D,TARIFF_PROFILES!$A:$A,$X694))</f>
        <v/>
      </c>
      <c r="Z694" s="13" t="str">
        <f>IF($X694="","",SUMIFS(TARIFF_PROFILES!$E:$E,TARIFF_PROFILES!$A:$A,$X694))</f>
        <v/>
      </c>
      <c r="AA694" s="13" t="str">
        <f>IF($X694="","",SUMIFS(TARIFF_PROFILES!$F:$F,TARIFF_PROFILES!$A:$A,$X694))</f>
        <v/>
      </c>
      <c r="AB694" s="13" t="str">
        <f>IF($X694="","",SUMIFS(TARIFF_PROFILES!$G:$G,TARIFF_PROFILES!$A:$A,$X694))</f>
        <v/>
      </c>
      <c r="AC694" s="13" t="str">
        <f>IF($X694="","",SUMIFS(TARIFF_PROFILES!$H:$H,TARIFF_PROFILES!$A:$A,$X694))</f>
        <v/>
      </c>
      <c r="AD694" s="13" t="str">
        <f>IF($X694="","",INDEX(TARIFF_PROFILES!$J:$J,MATCH($X694,TARIFF_PROFILES!$A:$A,0)))</f>
        <v/>
      </c>
      <c r="AE694" s="13" t="str">
        <f>IF($X694="","",INDEX(TARIFF_PROFILES!$K:$K,MATCH($X694,TARIFF_PROFILES!$A:$A,0)))</f>
        <v/>
      </c>
      <c r="AH694" t="str">
        <f>IF($AG694="","",SUMIFS(OPERATING_COEFFS!$C:$C,OPERATING_COEFFS!$A:$A,"DistanceClass",OPERATING_COEFFS!$B:$B,$AG694))</f>
        <v/>
      </c>
      <c r="AJ694" t="str">
        <f>IF($AI694="","",SUMIFS(OPERATING_COEFFS!$C:$C,OPERATING_COEFFS!$A:$A,"SeasonClass",OPERATING_COEFFS!$B:$B,$AI694))</f>
        <v/>
      </c>
      <c r="AL694" t="str">
        <f>IF($AK694="","",SUMIFS(OPERATING_COEFFS!$C:$C,OPERATING_COEFFS!$A:$A,"UrgencyClass",OPERATING_COEFFS!$B:$B,$AK694))</f>
        <v/>
      </c>
      <c r="AN694" t="str">
        <f>IF($AM694="","",INDEX(TAX_MODES!$B:$B,MATCH($AM694,TAX_MODES!$A:$A,0)))</f>
        <v/>
      </c>
    </row>
    <row r="695" spans="24:40" x14ac:dyDescent="0.3">
      <c r="X695" s="13"/>
      <c r="Y695" s="13" t="str">
        <f>IF($X695="","",SUMIFS(TARIFF_PROFILES!$D:$D,TARIFF_PROFILES!$A:$A,$X695))</f>
        <v/>
      </c>
      <c r="Z695" s="13" t="str">
        <f>IF($X695="","",SUMIFS(TARIFF_PROFILES!$E:$E,TARIFF_PROFILES!$A:$A,$X695))</f>
        <v/>
      </c>
      <c r="AA695" s="13" t="str">
        <f>IF($X695="","",SUMIFS(TARIFF_PROFILES!$F:$F,TARIFF_PROFILES!$A:$A,$X695))</f>
        <v/>
      </c>
      <c r="AB695" s="13" t="str">
        <f>IF($X695="","",SUMIFS(TARIFF_PROFILES!$G:$G,TARIFF_PROFILES!$A:$A,$X695))</f>
        <v/>
      </c>
      <c r="AC695" s="13" t="str">
        <f>IF($X695="","",SUMIFS(TARIFF_PROFILES!$H:$H,TARIFF_PROFILES!$A:$A,$X695))</f>
        <v/>
      </c>
      <c r="AD695" s="13" t="str">
        <f>IF($X695="","",INDEX(TARIFF_PROFILES!$J:$J,MATCH($X695,TARIFF_PROFILES!$A:$A,0)))</f>
        <v/>
      </c>
      <c r="AE695" s="13" t="str">
        <f>IF($X695="","",INDEX(TARIFF_PROFILES!$K:$K,MATCH($X695,TARIFF_PROFILES!$A:$A,0)))</f>
        <v/>
      </c>
      <c r="AH695" t="str">
        <f>IF($AG695="","",SUMIFS(OPERATING_COEFFS!$C:$C,OPERATING_COEFFS!$A:$A,"DistanceClass",OPERATING_COEFFS!$B:$B,$AG695))</f>
        <v/>
      </c>
      <c r="AJ695" t="str">
        <f>IF($AI695="","",SUMIFS(OPERATING_COEFFS!$C:$C,OPERATING_COEFFS!$A:$A,"SeasonClass",OPERATING_COEFFS!$B:$B,$AI695))</f>
        <v/>
      </c>
      <c r="AL695" t="str">
        <f>IF($AK695="","",SUMIFS(OPERATING_COEFFS!$C:$C,OPERATING_COEFFS!$A:$A,"UrgencyClass",OPERATING_COEFFS!$B:$B,$AK695))</f>
        <v/>
      </c>
      <c r="AN695" t="str">
        <f>IF($AM695="","",INDEX(TAX_MODES!$B:$B,MATCH($AM695,TAX_MODES!$A:$A,0)))</f>
        <v/>
      </c>
    </row>
    <row r="696" spans="24:40" x14ac:dyDescent="0.3">
      <c r="X696" s="13"/>
      <c r="Y696" s="13" t="str">
        <f>IF($X696="","",SUMIFS(TARIFF_PROFILES!$D:$D,TARIFF_PROFILES!$A:$A,$X696))</f>
        <v/>
      </c>
      <c r="Z696" s="13" t="str">
        <f>IF($X696="","",SUMIFS(TARIFF_PROFILES!$E:$E,TARIFF_PROFILES!$A:$A,$X696))</f>
        <v/>
      </c>
      <c r="AA696" s="13" t="str">
        <f>IF($X696="","",SUMIFS(TARIFF_PROFILES!$F:$F,TARIFF_PROFILES!$A:$A,$X696))</f>
        <v/>
      </c>
      <c r="AB696" s="13" t="str">
        <f>IF($X696="","",SUMIFS(TARIFF_PROFILES!$G:$G,TARIFF_PROFILES!$A:$A,$X696))</f>
        <v/>
      </c>
      <c r="AC696" s="13" t="str">
        <f>IF($X696="","",SUMIFS(TARIFF_PROFILES!$H:$H,TARIFF_PROFILES!$A:$A,$X696))</f>
        <v/>
      </c>
      <c r="AD696" s="13" t="str">
        <f>IF($X696="","",INDEX(TARIFF_PROFILES!$J:$J,MATCH($X696,TARIFF_PROFILES!$A:$A,0)))</f>
        <v/>
      </c>
      <c r="AE696" s="13" t="str">
        <f>IF($X696="","",INDEX(TARIFF_PROFILES!$K:$K,MATCH($X696,TARIFF_PROFILES!$A:$A,0)))</f>
        <v/>
      </c>
      <c r="AH696" t="str">
        <f>IF($AG696="","",SUMIFS(OPERATING_COEFFS!$C:$C,OPERATING_COEFFS!$A:$A,"DistanceClass",OPERATING_COEFFS!$B:$B,$AG696))</f>
        <v/>
      </c>
      <c r="AJ696" t="str">
        <f>IF($AI696="","",SUMIFS(OPERATING_COEFFS!$C:$C,OPERATING_COEFFS!$A:$A,"SeasonClass",OPERATING_COEFFS!$B:$B,$AI696))</f>
        <v/>
      </c>
      <c r="AL696" t="str">
        <f>IF($AK696="","",SUMIFS(OPERATING_COEFFS!$C:$C,OPERATING_COEFFS!$A:$A,"UrgencyClass",OPERATING_COEFFS!$B:$B,$AK696))</f>
        <v/>
      </c>
      <c r="AN696" t="str">
        <f>IF($AM696="","",INDEX(TAX_MODES!$B:$B,MATCH($AM696,TAX_MODES!$A:$A,0)))</f>
        <v/>
      </c>
    </row>
    <row r="697" spans="24:40" x14ac:dyDescent="0.3">
      <c r="X697" s="13"/>
      <c r="Y697" s="13" t="str">
        <f>IF($X697="","",SUMIFS(TARIFF_PROFILES!$D:$D,TARIFF_PROFILES!$A:$A,$X697))</f>
        <v/>
      </c>
      <c r="Z697" s="13" t="str">
        <f>IF($X697="","",SUMIFS(TARIFF_PROFILES!$E:$E,TARIFF_PROFILES!$A:$A,$X697))</f>
        <v/>
      </c>
      <c r="AA697" s="13" t="str">
        <f>IF($X697="","",SUMIFS(TARIFF_PROFILES!$F:$F,TARIFF_PROFILES!$A:$A,$X697))</f>
        <v/>
      </c>
      <c r="AB697" s="13" t="str">
        <f>IF($X697="","",SUMIFS(TARIFF_PROFILES!$G:$G,TARIFF_PROFILES!$A:$A,$X697))</f>
        <v/>
      </c>
      <c r="AC697" s="13" t="str">
        <f>IF($X697="","",SUMIFS(TARIFF_PROFILES!$H:$H,TARIFF_PROFILES!$A:$A,$X697))</f>
        <v/>
      </c>
      <c r="AD697" s="13" t="str">
        <f>IF($X697="","",INDEX(TARIFF_PROFILES!$J:$J,MATCH($X697,TARIFF_PROFILES!$A:$A,0)))</f>
        <v/>
      </c>
      <c r="AE697" s="13" t="str">
        <f>IF($X697="","",INDEX(TARIFF_PROFILES!$K:$K,MATCH($X697,TARIFF_PROFILES!$A:$A,0)))</f>
        <v/>
      </c>
      <c r="AH697" t="str">
        <f>IF($AG697="","",SUMIFS(OPERATING_COEFFS!$C:$C,OPERATING_COEFFS!$A:$A,"DistanceClass",OPERATING_COEFFS!$B:$B,$AG697))</f>
        <v/>
      </c>
      <c r="AJ697" t="str">
        <f>IF($AI697="","",SUMIFS(OPERATING_COEFFS!$C:$C,OPERATING_COEFFS!$A:$A,"SeasonClass",OPERATING_COEFFS!$B:$B,$AI697))</f>
        <v/>
      </c>
      <c r="AL697" t="str">
        <f>IF($AK697="","",SUMIFS(OPERATING_COEFFS!$C:$C,OPERATING_COEFFS!$A:$A,"UrgencyClass",OPERATING_COEFFS!$B:$B,$AK697))</f>
        <v/>
      </c>
      <c r="AN697" t="str">
        <f>IF($AM697="","",INDEX(TAX_MODES!$B:$B,MATCH($AM697,TAX_MODES!$A:$A,0)))</f>
        <v/>
      </c>
    </row>
    <row r="698" spans="24:40" x14ac:dyDescent="0.3">
      <c r="X698" s="13"/>
      <c r="Y698" s="13" t="str">
        <f>IF($X698="","",SUMIFS(TARIFF_PROFILES!$D:$D,TARIFF_PROFILES!$A:$A,$X698))</f>
        <v/>
      </c>
      <c r="Z698" s="13" t="str">
        <f>IF($X698="","",SUMIFS(TARIFF_PROFILES!$E:$E,TARIFF_PROFILES!$A:$A,$X698))</f>
        <v/>
      </c>
      <c r="AA698" s="13" t="str">
        <f>IF($X698="","",SUMIFS(TARIFF_PROFILES!$F:$F,TARIFF_PROFILES!$A:$A,$X698))</f>
        <v/>
      </c>
      <c r="AB698" s="13" t="str">
        <f>IF($X698="","",SUMIFS(TARIFF_PROFILES!$G:$G,TARIFF_PROFILES!$A:$A,$X698))</f>
        <v/>
      </c>
      <c r="AC698" s="13" t="str">
        <f>IF($X698="","",SUMIFS(TARIFF_PROFILES!$H:$H,TARIFF_PROFILES!$A:$A,$X698))</f>
        <v/>
      </c>
      <c r="AD698" s="13" t="str">
        <f>IF($X698="","",INDEX(TARIFF_PROFILES!$J:$J,MATCH($X698,TARIFF_PROFILES!$A:$A,0)))</f>
        <v/>
      </c>
      <c r="AE698" s="13" t="str">
        <f>IF($X698="","",INDEX(TARIFF_PROFILES!$K:$K,MATCH($X698,TARIFF_PROFILES!$A:$A,0)))</f>
        <v/>
      </c>
      <c r="AH698" t="str">
        <f>IF($AG698="","",SUMIFS(OPERATING_COEFFS!$C:$C,OPERATING_COEFFS!$A:$A,"DistanceClass",OPERATING_COEFFS!$B:$B,$AG698))</f>
        <v/>
      </c>
      <c r="AJ698" t="str">
        <f>IF($AI698="","",SUMIFS(OPERATING_COEFFS!$C:$C,OPERATING_COEFFS!$A:$A,"SeasonClass",OPERATING_COEFFS!$B:$B,$AI698))</f>
        <v/>
      </c>
      <c r="AL698" t="str">
        <f>IF($AK698="","",SUMIFS(OPERATING_COEFFS!$C:$C,OPERATING_COEFFS!$A:$A,"UrgencyClass",OPERATING_COEFFS!$B:$B,$AK698))</f>
        <v/>
      </c>
      <c r="AN698" t="str">
        <f>IF($AM698="","",INDEX(TAX_MODES!$B:$B,MATCH($AM698,TAX_MODES!$A:$A,0)))</f>
        <v/>
      </c>
    </row>
    <row r="699" spans="24:40" x14ac:dyDescent="0.3">
      <c r="X699" s="13"/>
      <c r="Y699" s="13" t="str">
        <f>IF($X699="","",SUMIFS(TARIFF_PROFILES!$D:$D,TARIFF_PROFILES!$A:$A,$X699))</f>
        <v/>
      </c>
      <c r="Z699" s="13" t="str">
        <f>IF($X699="","",SUMIFS(TARIFF_PROFILES!$E:$E,TARIFF_PROFILES!$A:$A,$X699))</f>
        <v/>
      </c>
      <c r="AA699" s="13" t="str">
        <f>IF($X699="","",SUMIFS(TARIFF_PROFILES!$F:$F,TARIFF_PROFILES!$A:$A,$X699))</f>
        <v/>
      </c>
      <c r="AB699" s="13" t="str">
        <f>IF($X699="","",SUMIFS(TARIFF_PROFILES!$G:$G,TARIFF_PROFILES!$A:$A,$X699))</f>
        <v/>
      </c>
      <c r="AC699" s="13" t="str">
        <f>IF($X699="","",SUMIFS(TARIFF_PROFILES!$H:$H,TARIFF_PROFILES!$A:$A,$X699))</f>
        <v/>
      </c>
      <c r="AD699" s="13" t="str">
        <f>IF($X699="","",INDEX(TARIFF_PROFILES!$J:$J,MATCH($X699,TARIFF_PROFILES!$A:$A,0)))</f>
        <v/>
      </c>
      <c r="AE699" s="13" t="str">
        <f>IF($X699="","",INDEX(TARIFF_PROFILES!$K:$K,MATCH($X699,TARIFF_PROFILES!$A:$A,0)))</f>
        <v/>
      </c>
      <c r="AH699" t="str">
        <f>IF($AG699="","",SUMIFS(OPERATING_COEFFS!$C:$C,OPERATING_COEFFS!$A:$A,"DistanceClass",OPERATING_COEFFS!$B:$B,$AG699))</f>
        <v/>
      </c>
      <c r="AJ699" t="str">
        <f>IF($AI699="","",SUMIFS(OPERATING_COEFFS!$C:$C,OPERATING_COEFFS!$A:$A,"SeasonClass",OPERATING_COEFFS!$B:$B,$AI699))</f>
        <v/>
      </c>
      <c r="AL699" t="str">
        <f>IF($AK699="","",SUMIFS(OPERATING_COEFFS!$C:$C,OPERATING_COEFFS!$A:$A,"UrgencyClass",OPERATING_COEFFS!$B:$B,$AK699))</f>
        <v/>
      </c>
      <c r="AN699" t="str">
        <f>IF($AM699="","",INDEX(TAX_MODES!$B:$B,MATCH($AM699,TAX_MODES!$A:$A,0)))</f>
        <v/>
      </c>
    </row>
    <row r="700" spans="24:40" x14ac:dyDescent="0.3">
      <c r="X700" s="13"/>
      <c r="Y700" s="13" t="str">
        <f>IF($X700="","",SUMIFS(TARIFF_PROFILES!$D:$D,TARIFF_PROFILES!$A:$A,$X700))</f>
        <v/>
      </c>
      <c r="Z700" s="13" t="str">
        <f>IF($X700="","",SUMIFS(TARIFF_PROFILES!$E:$E,TARIFF_PROFILES!$A:$A,$X700))</f>
        <v/>
      </c>
      <c r="AA700" s="13" t="str">
        <f>IF($X700="","",SUMIFS(TARIFF_PROFILES!$F:$F,TARIFF_PROFILES!$A:$A,$X700))</f>
        <v/>
      </c>
      <c r="AB700" s="13" t="str">
        <f>IF($X700="","",SUMIFS(TARIFF_PROFILES!$G:$G,TARIFF_PROFILES!$A:$A,$X700))</f>
        <v/>
      </c>
      <c r="AC700" s="13" t="str">
        <f>IF($X700="","",SUMIFS(TARIFF_PROFILES!$H:$H,TARIFF_PROFILES!$A:$A,$X700))</f>
        <v/>
      </c>
      <c r="AD700" s="13" t="str">
        <f>IF($X700="","",INDEX(TARIFF_PROFILES!$J:$J,MATCH($X700,TARIFF_PROFILES!$A:$A,0)))</f>
        <v/>
      </c>
      <c r="AE700" s="13" t="str">
        <f>IF($X700="","",INDEX(TARIFF_PROFILES!$K:$K,MATCH($X700,TARIFF_PROFILES!$A:$A,0)))</f>
        <v/>
      </c>
      <c r="AH700" t="str">
        <f>IF($AG700="","",SUMIFS(OPERATING_COEFFS!$C:$C,OPERATING_COEFFS!$A:$A,"DistanceClass",OPERATING_COEFFS!$B:$B,$AG700))</f>
        <v/>
      </c>
      <c r="AJ700" t="str">
        <f>IF($AI700="","",SUMIFS(OPERATING_COEFFS!$C:$C,OPERATING_COEFFS!$A:$A,"SeasonClass",OPERATING_COEFFS!$B:$B,$AI700))</f>
        <v/>
      </c>
      <c r="AL700" t="str">
        <f>IF($AK700="","",SUMIFS(OPERATING_COEFFS!$C:$C,OPERATING_COEFFS!$A:$A,"UrgencyClass",OPERATING_COEFFS!$B:$B,$AK700))</f>
        <v/>
      </c>
      <c r="AN700" t="str">
        <f>IF($AM700="","",INDEX(TAX_MODES!$B:$B,MATCH($AM700,TAX_MODES!$A:$A,0)))</f>
        <v/>
      </c>
    </row>
    <row r="701" spans="24:40" x14ac:dyDescent="0.3">
      <c r="X701" s="13"/>
      <c r="Y701" s="13" t="str">
        <f>IF($X701="","",SUMIFS(TARIFF_PROFILES!$D:$D,TARIFF_PROFILES!$A:$A,$X701))</f>
        <v/>
      </c>
      <c r="Z701" s="13" t="str">
        <f>IF($X701="","",SUMIFS(TARIFF_PROFILES!$E:$E,TARIFF_PROFILES!$A:$A,$X701))</f>
        <v/>
      </c>
      <c r="AA701" s="13" t="str">
        <f>IF($X701="","",SUMIFS(TARIFF_PROFILES!$F:$F,TARIFF_PROFILES!$A:$A,$X701))</f>
        <v/>
      </c>
      <c r="AB701" s="13" t="str">
        <f>IF($X701="","",SUMIFS(TARIFF_PROFILES!$G:$G,TARIFF_PROFILES!$A:$A,$X701))</f>
        <v/>
      </c>
      <c r="AC701" s="13" t="str">
        <f>IF($X701="","",SUMIFS(TARIFF_PROFILES!$H:$H,TARIFF_PROFILES!$A:$A,$X701))</f>
        <v/>
      </c>
      <c r="AD701" s="13" t="str">
        <f>IF($X701="","",INDEX(TARIFF_PROFILES!$J:$J,MATCH($X701,TARIFF_PROFILES!$A:$A,0)))</f>
        <v/>
      </c>
      <c r="AE701" s="13" t="str">
        <f>IF($X701="","",INDEX(TARIFF_PROFILES!$K:$K,MATCH($X701,TARIFF_PROFILES!$A:$A,0)))</f>
        <v/>
      </c>
      <c r="AH701" t="str">
        <f>IF($AG701="","",SUMIFS(OPERATING_COEFFS!$C:$C,OPERATING_COEFFS!$A:$A,"DistanceClass",OPERATING_COEFFS!$B:$B,$AG701))</f>
        <v/>
      </c>
      <c r="AJ701" t="str">
        <f>IF($AI701="","",SUMIFS(OPERATING_COEFFS!$C:$C,OPERATING_COEFFS!$A:$A,"SeasonClass",OPERATING_COEFFS!$B:$B,$AI701))</f>
        <v/>
      </c>
      <c r="AL701" t="str">
        <f>IF($AK701="","",SUMIFS(OPERATING_COEFFS!$C:$C,OPERATING_COEFFS!$A:$A,"UrgencyClass",OPERATING_COEFFS!$B:$B,$AK701))</f>
        <v/>
      </c>
      <c r="AN701" t="str">
        <f>IF($AM701="","",INDEX(TAX_MODES!$B:$B,MATCH($AM701,TAX_MODES!$A:$A,0)))</f>
        <v/>
      </c>
    </row>
    <row r="702" spans="24:40" x14ac:dyDescent="0.3">
      <c r="X702" s="13"/>
      <c r="Y702" s="13" t="str">
        <f>IF($X702="","",SUMIFS(TARIFF_PROFILES!$D:$D,TARIFF_PROFILES!$A:$A,$X702))</f>
        <v/>
      </c>
      <c r="Z702" s="13" t="str">
        <f>IF($X702="","",SUMIFS(TARIFF_PROFILES!$E:$E,TARIFF_PROFILES!$A:$A,$X702))</f>
        <v/>
      </c>
      <c r="AA702" s="13" t="str">
        <f>IF($X702="","",SUMIFS(TARIFF_PROFILES!$F:$F,TARIFF_PROFILES!$A:$A,$X702))</f>
        <v/>
      </c>
      <c r="AB702" s="13" t="str">
        <f>IF($X702="","",SUMIFS(TARIFF_PROFILES!$G:$G,TARIFF_PROFILES!$A:$A,$X702))</f>
        <v/>
      </c>
      <c r="AC702" s="13" t="str">
        <f>IF($X702="","",SUMIFS(TARIFF_PROFILES!$H:$H,TARIFF_PROFILES!$A:$A,$X702))</f>
        <v/>
      </c>
      <c r="AD702" s="13" t="str">
        <f>IF($X702="","",INDEX(TARIFF_PROFILES!$J:$J,MATCH($X702,TARIFF_PROFILES!$A:$A,0)))</f>
        <v/>
      </c>
      <c r="AE702" s="13" t="str">
        <f>IF($X702="","",INDEX(TARIFF_PROFILES!$K:$K,MATCH($X702,TARIFF_PROFILES!$A:$A,0)))</f>
        <v/>
      </c>
      <c r="AH702" t="str">
        <f>IF($AG702="","",SUMIFS(OPERATING_COEFFS!$C:$C,OPERATING_COEFFS!$A:$A,"DistanceClass",OPERATING_COEFFS!$B:$B,$AG702))</f>
        <v/>
      </c>
      <c r="AJ702" t="str">
        <f>IF($AI702="","",SUMIFS(OPERATING_COEFFS!$C:$C,OPERATING_COEFFS!$A:$A,"SeasonClass",OPERATING_COEFFS!$B:$B,$AI702))</f>
        <v/>
      </c>
      <c r="AL702" t="str">
        <f>IF($AK702="","",SUMIFS(OPERATING_COEFFS!$C:$C,OPERATING_COEFFS!$A:$A,"UrgencyClass",OPERATING_COEFFS!$B:$B,$AK702))</f>
        <v/>
      </c>
      <c r="AN702" t="str">
        <f>IF($AM702="","",INDEX(TAX_MODES!$B:$B,MATCH($AM702,TAX_MODES!$A:$A,0)))</f>
        <v/>
      </c>
    </row>
    <row r="703" spans="24:40" x14ac:dyDescent="0.3">
      <c r="X703" s="13"/>
      <c r="Y703" s="13" t="str">
        <f>IF($X703="","",SUMIFS(TARIFF_PROFILES!$D:$D,TARIFF_PROFILES!$A:$A,$X703))</f>
        <v/>
      </c>
      <c r="Z703" s="13" t="str">
        <f>IF($X703="","",SUMIFS(TARIFF_PROFILES!$E:$E,TARIFF_PROFILES!$A:$A,$X703))</f>
        <v/>
      </c>
      <c r="AA703" s="13" t="str">
        <f>IF($X703="","",SUMIFS(TARIFF_PROFILES!$F:$F,TARIFF_PROFILES!$A:$A,$X703))</f>
        <v/>
      </c>
      <c r="AB703" s="13" t="str">
        <f>IF($X703="","",SUMIFS(TARIFF_PROFILES!$G:$G,TARIFF_PROFILES!$A:$A,$X703))</f>
        <v/>
      </c>
      <c r="AC703" s="13" t="str">
        <f>IF($X703="","",SUMIFS(TARIFF_PROFILES!$H:$H,TARIFF_PROFILES!$A:$A,$X703))</f>
        <v/>
      </c>
      <c r="AD703" s="13" t="str">
        <f>IF($X703="","",INDEX(TARIFF_PROFILES!$J:$J,MATCH($X703,TARIFF_PROFILES!$A:$A,0)))</f>
        <v/>
      </c>
      <c r="AE703" s="13" t="str">
        <f>IF($X703="","",INDEX(TARIFF_PROFILES!$K:$K,MATCH($X703,TARIFF_PROFILES!$A:$A,0)))</f>
        <v/>
      </c>
      <c r="AH703" t="str">
        <f>IF($AG703="","",SUMIFS(OPERATING_COEFFS!$C:$C,OPERATING_COEFFS!$A:$A,"DistanceClass",OPERATING_COEFFS!$B:$B,$AG703))</f>
        <v/>
      </c>
      <c r="AJ703" t="str">
        <f>IF($AI703="","",SUMIFS(OPERATING_COEFFS!$C:$C,OPERATING_COEFFS!$A:$A,"SeasonClass",OPERATING_COEFFS!$B:$B,$AI703))</f>
        <v/>
      </c>
      <c r="AL703" t="str">
        <f>IF($AK703="","",SUMIFS(OPERATING_COEFFS!$C:$C,OPERATING_COEFFS!$A:$A,"UrgencyClass",OPERATING_COEFFS!$B:$B,$AK703))</f>
        <v/>
      </c>
      <c r="AN703" t="str">
        <f>IF($AM703="","",INDEX(TAX_MODES!$B:$B,MATCH($AM703,TAX_MODES!$A:$A,0)))</f>
        <v/>
      </c>
    </row>
    <row r="704" spans="24:40" x14ac:dyDescent="0.3">
      <c r="X704" s="13"/>
      <c r="Y704" s="13" t="str">
        <f>IF($X704="","",SUMIFS(TARIFF_PROFILES!$D:$D,TARIFF_PROFILES!$A:$A,$X704))</f>
        <v/>
      </c>
      <c r="Z704" s="13" t="str">
        <f>IF($X704="","",SUMIFS(TARIFF_PROFILES!$E:$E,TARIFF_PROFILES!$A:$A,$X704))</f>
        <v/>
      </c>
      <c r="AA704" s="13" t="str">
        <f>IF($X704="","",SUMIFS(TARIFF_PROFILES!$F:$F,TARIFF_PROFILES!$A:$A,$X704))</f>
        <v/>
      </c>
      <c r="AB704" s="13" t="str">
        <f>IF($X704="","",SUMIFS(TARIFF_PROFILES!$G:$G,TARIFF_PROFILES!$A:$A,$X704))</f>
        <v/>
      </c>
      <c r="AC704" s="13" t="str">
        <f>IF($X704="","",SUMIFS(TARIFF_PROFILES!$H:$H,TARIFF_PROFILES!$A:$A,$X704))</f>
        <v/>
      </c>
      <c r="AD704" s="13" t="str">
        <f>IF($X704="","",INDEX(TARIFF_PROFILES!$J:$J,MATCH($X704,TARIFF_PROFILES!$A:$A,0)))</f>
        <v/>
      </c>
      <c r="AE704" s="13" t="str">
        <f>IF($X704="","",INDEX(TARIFF_PROFILES!$K:$K,MATCH($X704,TARIFF_PROFILES!$A:$A,0)))</f>
        <v/>
      </c>
      <c r="AH704" t="str">
        <f>IF($AG704="","",SUMIFS(OPERATING_COEFFS!$C:$C,OPERATING_COEFFS!$A:$A,"DistanceClass",OPERATING_COEFFS!$B:$B,$AG704))</f>
        <v/>
      </c>
      <c r="AJ704" t="str">
        <f>IF($AI704="","",SUMIFS(OPERATING_COEFFS!$C:$C,OPERATING_COEFFS!$A:$A,"SeasonClass",OPERATING_COEFFS!$B:$B,$AI704))</f>
        <v/>
      </c>
      <c r="AL704" t="str">
        <f>IF($AK704="","",SUMIFS(OPERATING_COEFFS!$C:$C,OPERATING_COEFFS!$A:$A,"UrgencyClass",OPERATING_COEFFS!$B:$B,$AK704))</f>
        <v/>
      </c>
      <c r="AN704" t="str">
        <f>IF($AM704="","",INDEX(TAX_MODES!$B:$B,MATCH($AM704,TAX_MODES!$A:$A,0)))</f>
        <v/>
      </c>
    </row>
    <row r="705" spans="24:40" x14ac:dyDescent="0.3">
      <c r="X705" s="13"/>
      <c r="Y705" s="13" t="str">
        <f>IF($X705="","",SUMIFS(TARIFF_PROFILES!$D:$D,TARIFF_PROFILES!$A:$A,$X705))</f>
        <v/>
      </c>
      <c r="Z705" s="13" t="str">
        <f>IF($X705="","",SUMIFS(TARIFF_PROFILES!$E:$E,TARIFF_PROFILES!$A:$A,$X705))</f>
        <v/>
      </c>
      <c r="AA705" s="13" t="str">
        <f>IF($X705="","",SUMIFS(TARIFF_PROFILES!$F:$F,TARIFF_PROFILES!$A:$A,$X705))</f>
        <v/>
      </c>
      <c r="AB705" s="13" t="str">
        <f>IF($X705="","",SUMIFS(TARIFF_PROFILES!$G:$G,TARIFF_PROFILES!$A:$A,$X705))</f>
        <v/>
      </c>
      <c r="AC705" s="13" t="str">
        <f>IF($X705="","",SUMIFS(TARIFF_PROFILES!$H:$H,TARIFF_PROFILES!$A:$A,$X705))</f>
        <v/>
      </c>
      <c r="AD705" s="13" t="str">
        <f>IF($X705="","",INDEX(TARIFF_PROFILES!$J:$J,MATCH($X705,TARIFF_PROFILES!$A:$A,0)))</f>
        <v/>
      </c>
      <c r="AE705" s="13" t="str">
        <f>IF($X705="","",INDEX(TARIFF_PROFILES!$K:$K,MATCH($X705,TARIFF_PROFILES!$A:$A,0)))</f>
        <v/>
      </c>
      <c r="AH705" t="str">
        <f>IF($AG705="","",SUMIFS(OPERATING_COEFFS!$C:$C,OPERATING_COEFFS!$A:$A,"DistanceClass",OPERATING_COEFFS!$B:$B,$AG705))</f>
        <v/>
      </c>
      <c r="AJ705" t="str">
        <f>IF($AI705="","",SUMIFS(OPERATING_COEFFS!$C:$C,OPERATING_COEFFS!$A:$A,"SeasonClass",OPERATING_COEFFS!$B:$B,$AI705))</f>
        <v/>
      </c>
      <c r="AL705" t="str">
        <f>IF($AK705="","",SUMIFS(OPERATING_COEFFS!$C:$C,OPERATING_COEFFS!$A:$A,"UrgencyClass",OPERATING_COEFFS!$B:$B,$AK705))</f>
        <v/>
      </c>
      <c r="AN705" t="str">
        <f>IF($AM705="","",INDEX(TAX_MODES!$B:$B,MATCH($AM705,TAX_MODES!$A:$A,0)))</f>
        <v/>
      </c>
    </row>
    <row r="706" spans="24:40" x14ac:dyDescent="0.3">
      <c r="X706" s="13"/>
      <c r="Y706" s="13" t="str">
        <f>IF($X706="","",SUMIFS(TARIFF_PROFILES!$D:$D,TARIFF_PROFILES!$A:$A,$X706))</f>
        <v/>
      </c>
      <c r="Z706" s="13" t="str">
        <f>IF($X706="","",SUMIFS(TARIFF_PROFILES!$E:$E,TARIFF_PROFILES!$A:$A,$X706))</f>
        <v/>
      </c>
      <c r="AA706" s="13" t="str">
        <f>IF($X706="","",SUMIFS(TARIFF_PROFILES!$F:$F,TARIFF_PROFILES!$A:$A,$X706))</f>
        <v/>
      </c>
      <c r="AB706" s="13" t="str">
        <f>IF($X706="","",SUMIFS(TARIFF_PROFILES!$G:$G,TARIFF_PROFILES!$A:$A,$X706))</f>
        <v/>
      </c>
      <c r="AC706" s="13" t="str">
        <f>IF($X706="","",SUMIFS(TARIFF_PROFILES!$H:$H,TARIFF_PROFILES!$A:$A,$X706))</f>
        <v/>
      </c>
      <c r="AD706" s="13" t="str">
        <f>IF($X706="","",INDEX(TARIFF_PROFILES!$J:$J,MATCH($X706,TARIFF_PROFILES!$A:$A,0)))</f>
        <v/>
      </c>
      <c r="AE706" s="13" t="str">
        <f>IF($X706="","",INDEX(TARIFF_PROFILES!$K:$K,MATCH($X706,TARIFF_PROFILES!$A:$A,0)))</f>
        <v/>
      </c>
      <c r="AH706" t="str">
        <f>IF($AG706="","",SUMIFS(OPERATING_COEFFS!$C:$C,OPERATING_COEFFS!$A:$A,"DistanceClass",OPERATING_COEFFS!$B:$B,$AG706))</f>
        <v/>
      </c>
      <c r="AJ706" t="str">
        <f>IF($AI706="","",SUMIFS(OPERATING_COEFFS!$C:$C,OPERATING_COEFFS!$A:$A,"SeasonClass",OPERATING_COEFFS!$B:$B,$AI706))</f>
        <v/>
      </c>
      <c r="AL706" t="str">
        <f>IF($AK706="","",SUMIFS(OPERATING_COEFFS!$C:$C,OPERATING_COEFFS!$A:$A,"UrgencyClass",OPERATING_COEFFS!$B:$B,$AK706))</f>
        <v/>
      </c>
      <c r="AN706" t="str">
        <f>IF($AM706="","",INDEX(TAX_MODES!$B:$B,MATCH($AM706,TAX_MODES!$A:$A,0)))</f>
        <v/>
      </c>
    </row>
    <row r="707" spans="24:40" x14ac:dyDescent="0.3">
      <c r="X707" s="13"/>
      <c r="Y707" s="13" t="str">
        <f>IF($X707="","",SUMIFS(TARIFF_PROFILES!$D:$D,TARIFF_PROFILES!$A:$A,$X707))</f>
        <v/>
      </c>
      <c r="Z707" s="13" t="str">
        <f>IF($X707="","",SUMIFS(TARIFF_PROFILES!$E:$E,TARIFF_PROFILES!$A:$A,$X707))</f>
        <v/>
      </c>
      <c r="AA707" s="13" t="str">
        <f>IF($X707="","",SUMIFS(TARIFF_PROFILES!$F:$F,TARIFF_PROFILES!$A:$A,$X707))</f>
        <v/>
      </c>
      <c r="AB707" s="13" t="str">
        <f>IF($X707="","",SUMIFS(TARIFF_PROFILES!$G:$G,TARIFF_PROFILES!$A:$A,$X707))</f>
        <v/>
      </c>
      <c r="AC707" s="13" t="str">
        <f>IF($X707="","",SUMIFS(TARIFF_PROFILES!$H:$H,TARIFF_PROFILES!$A:$A,$X707))</f>
        <v/>
      </c>
      <c r="AD707" s="13" t="str">
        <f>IF($X707="","",INDEX(TARIFF_PROFILES!$J:$J,MATCH($X707,TARIFF_PROFILES!$A:$A,0)))</f>
        <v/>
      </c>
      <c r="AE707" s="13" t="str">
        <f>IF($X707="","",INDEX(TARIFF_PROFILES!$K:$K,MATCH($X707,TARIFF_PROFILES!$A:$A,0)))</f>
        <v/>
      </c>
      <c r="AH707" t="str">
        <f>IF($AG707="","",SUMIFS(OPERATING_COEFFS!$C:$C,OPERATING_COEFFS!$A:$A,"DistanceClass",OPERATING_COEFFS!$B:$B,$AG707))</f>
        <v/>
      </c>
      <c r="AJ707" t="str">
        <f>IF($AI707="","",SUMIFS(OPERATING_COEFFS!$C:$C,OPERATING_COEFFS!$A:$A,"SeasonClass",OPERATING_COEFFS!$B:$B,$AI707))</f>
        <v/>
      </c>
      <c r="AL707" t="str">
        <f>IF($AK707="","",SUMIFS(OPERATING_COEFFS!$C:$C,OPERATING_COEFFS!$A:$A,"UrgencyClass",OPERATING_COEFFS!$B:$B,$AK707))</f>
        <v/>
      </c>
      <c r="AN707" t="str">
        <f>IF($AM707="","",INDEX(TAX_MODES!$B:$B,MATCH($AM707,TAX_MODES!$A:$A,0)))</f>
        <v/>
      </c>
    </row>
    <row r="708" spans="24:40" x14ac:dyDescent="0.3">
      <c r="X708" s="13"/>
      <c r="Y708" s="13" t="str">
        <f>IF($X708="","",SUMIFS(TARIFF_PROFILES!$D:$D,TARIFF_PROFILES!$A:$A,$X708))</f>
        <v/>
      </c>
      <c r="Z708" s="13" t="str">
        <f>IF($X708="","",SUMIFS(TARIFF_PROFILES!$E:$E,TARIFF_PROFILES!$A:$A,$X708))</f>
        <v/>
      </c>
      <c r="AA708" s="13" t="str">
        <f>IF($X708="","",SUMIFS(TARIFF_PROFILES!$F:$F,TARIFF_PROFILES!$A:$A,$X708))</f>
        <v/>
      </c>
      <c r="AB708" s="13" t="str">
        <f>IF($X708="","",SUMIFS(TARIFF_PROFILES!$G:$G,TARIFF_PROFILES!$A:$A,$X708))</f>
        <v/>
      </c>
      <c r="AC708" s="13" t="str">
        <f>IF($X708="","",SUMIFS(TARIFF_PROFILES!$H:$H,TARIFF_PROFILES!$A:$A,$X708))</f>
        <v/>
      </c>
      <c r="AD708" s="13" t="str">
        <f>IF($X708="","",INDEX(TARIFF_PROFILES!$J:$J,MATCH($X708,TARIFF_PROFILES!$A:$A,0)))</f>
        <v/>
      </c>
      <c r="AE708" s="13" t="str">
        <f>IF($X708="","",INDEX(TARIFF_PROFILES!$K:$K,MATCH($X708,TARIFF_PROFILES!$A:$A,0)))</f>
        <v/>
      </c>
      <c r="AH708" t="str">
        <f>IF($AG708="","",SUMIFS(OPERATING_COEFFS!$C:$C,OPERATING_COEFFS!$A:$A,"DistanceClass",OPERATING_COEFFS!$B:$B,$AG708))</f>
        <v/>
      </c>
      <c r="AJ708" t="str">
        <f>IF($AI708="","",SUMIFS(OPERATING_COEFFS!$C:$C,OPERATING_COEFFS!$A:$A,"SeasonClass",OPERATING_COEFFS!$B:$B,$AI708))</f>
        <v/>
      </c>
      <c r="AL708" t="str">
        <f>IF($AK708="","",SUMIFS(OPERATING_COEFFS!$C:$C,OPERATING_COEFFS!$A:$A,"UrgencyClass",OPERATING_COEFFS!$B:$B,$AK708))</f>
        <v/>
      </c>
      <c r="AN708" t="str">
        <f>IF($AM708="","",INDEX(TAX_MODES!$B:$B,MATCH($AM708,TAX_MODES!$A:$A,0)))</f>
        <v/>
      </c>
    </row>
    <row r="709" spans="24:40" x14ac:dyDescent="0.3">
      <c r="X709" s="13"/>
      <c r="Y709" s="13" t="str">
        <f>IF($X709="","",SUMIFS(TARIFF_PROFILES!$D:$D,TARIFF_PROFILES!$A:$A,$X709))</f>
        <v/>
      </c>
      <c r="Z709" s="13" t="str">
        <f>IF($X709="","",SUMIFS(TARIFF_PROFILES!$E:$E,TARIFF_PROFILES!$A:$A,$X709))</f>
        <v/>
      </c>
      <c r="AA709" s="13" t="str">
        <f>IF($X709="","",SUMIFS(TARIFF_PROFILES!$F:$F,TARIFF_PROFILES!$A:$A,$X709))</f>
        <v/>
      </c>
      <c r="AB709" s="13" t="str">
        <f>IF($X709="","",SUMIFS(TARIFF_PROFILES!$G:$G,TARIFF_PROFILES!$A:$A,$X709))</f>
        <v/>
      </c>
      <c r="AC709" s="13" t="str">
        <f>IF($X709="","",SUMIFS(TARIFF_PROFILES!$H:$H,TARIFF_PROFILES!$A:$A,$X709))</f>
        <v/>
      </c>
      <c r="AD709" s="13" t="str">
        <f>IF($X709="","",INDEX(TARIFF_PROFILES!$J:$J,MATCH($X709,TARIFF_PROFILES!$A:$A,0)))</f>
        <v/>
      </c>
      <c r="AE709" s="13" t="str">
        <f>IF($X709="","",INDEX(TARIFF_PROFILES!$K:$K,MATCH($X709,TARIFF_PROFILES!$A:$A,0)))</f>
        <v/>
      </c>
      <c r="AH709" t="str">
        <f>IF($AG709="","",SUMIFS(OPERATING_COEFFS!$C:$C,OPERATING_COEFFS!$A:$A,"DistanceClass",OPERATING_COEFFS!$B:$B,$AG709))</f>
        <v/>
      </c>
      <c r="AJ709" t="str">
        <f>IF($AI709="","",SUMIFS(OPERATING_COEFFS!$C:$C,OPERATING_COEFFS!$A:$A,"SeasonClass",OPERATING_COEFFS!$B:$B,$AI709))</f>
        <v/>
      </c>
      <c r="AL709" t="str">
        <f>IF($AK709="","",SUMIFS(OPERATING_COEFFS!$C:$C,OPERATING_COEFFS!$A:$A,"UrgencyClass",OPERATING_COEFFS!$B:$B,$AK709))</f>
        <v/>
      </c>
      <c r="AN709" t="str">
        <f>IF($AM709="","",INDEX(TAX_MODES!$B:$B,MATCH($AM709,TAX_MODES!$A:$A,0)))</f>
        <v/>
      </c>
    </row>
    <row r="710" spans="24:40" x14ac:dyDescent="0.3">
      <c r="X710" s="13"/>
      <c r="Y710" s="13" t="str">
        <f>IF($X710="","",SUMIFS(TARIFF_PROFILES!$D:$D,TARIFF_PROFILES!$A:$A,$X710))</f>
        <v/>
      </c>
      <c r="Z710" s="13" t="str">
        <f>IF($X710="","",SUMIFS(TARIFF_PROFILES!$E:$E,TARIFF_PROFILES!$A:$A,$X710))</f>
        <v/>
      </c>
      <c r="AA710" s="13" t="str">
        <f>IF($X710="","",SUMIFS(TARIFF_PROFILES!$F:$F,TARIFF_PROFILES!$A:$A,$X710))</f>
        <v/>
      </c>
      <c r="AB710" s="13" t="str">
        <f>IF($X710="","",SUMIFS(TARIFF_PROFILES!$G:$G,TARIFF_PROFILES!$A:$A,$X710))</f>
        <v/>
      </c>
      <c r="AC710" s="13" t="str">
        <f>IF($X710="","",SUMIFS(TARIFF_PROFILES!$H:$H,TARIFF_PROFILES!$A:$A,$X710))</f>
        <v/>
      </c>
      <c r="AD710" s="13" t="str">
        <f>IF($X710="","",INDEX(TARIFF_PROFILES!$J:$J,MATCH($X710,TARIFF_PROFILES!$A:$A,0)))</f>
        <v/>
      </c>
      <c r="AE710" s="13" t="str">
        <f>IF($X710="","",INDEX(TARIFF_PROFILES!$K:$K,MATCH($X710,TARIFF_PROFILES!$A:$A,0)))</f>
        <v/>
      </c>
      <c r="AH710" t="str">
        <f>IF($AG710="","",SUMIFS(OPERATING_COEFFS!$C:$C,OPERATING_COEFFS!$A:$A,"DistanceClass",OPERATING_COEFFS!$B:$B,$AG710))</f>
        <v/>
      </c>
      <c r="AJ710" t="str">
        <f>IF($AI710="","",SUMIFS(OPERATING_COEFFS!$C:$C,OPERATING_COEFFS!$A:$A,"SeasonClass",OPERATING_COEFFS!$B:$B,$AI710))</f>
        <v/>
      </c>
      <c r="AL710" t="str">
        <f>IF($AK710="","",SUMIFS(OPERATING_COEFFS!$C:$C,OPERATING_COEFFS!$A:$A,"UrgencyClass",OPERATING_COEFFS!$B:$B,$AK710))</f>
        <v/>
      </c>
      <c r="AN710" t="str">
        <f>IF($AM710="","",INDEX(TAX_MODES!$B:$B,MATCH($AM710,TAX_MODES!$A:$A,0)))</f>
        <v/>
      </c>
    </row>
    <row r="711" spans="24:40" x14ac:dyDescent="0.3">
      <c r="X711" s="13"/>
      <c r="Y711" s="13" t="str">
        <f>IF($X711="","",SUMIFS(TARIFF_PROFILES!$D:$D,TARIFF_PROFILES!$A:$A,$X711))</f>
        <v/>
      </c>
      <c r="Z711" s="13" t="str">
        <f>IF($X711="","",SUMIFS(TARIFF_PROFILES!$E:$E,TARIFF_PROFILES!$A:$A,$X711))</f>
        <v/>
      </c>
      <c r="AA711" s="13" t="str">
        <f>IF($X711="","",SUMIFS(TARIFF_PROFILES!$F:$F,TARIFF_PROFILES!$A:$A,$X711))</f>
        <v/>
      </c>
      <c r="AB711" s="13" t="str">
        <f>IF($X711="","",SUMIFS(TARIFF_PROFILES!$G:$G,TARIFF_PROFILES!$A:$A,$X711))</f>
        <v/>
      </c>
      <c r="AC711" s="13" t="str">
        <f>IF($X711="","",SUMIFS(TARIFF_PROFILES!$H:$H,TARIFF_PROFILES!$A:$A,$X711))</f>
        <v/>
      </c>
      <c r="AD711" s="13" t="str">
        <f>IF($X711="","",INDEX(TARIFF_PROFILES!$J:$J,MATCH($X711,TARIFF_PROFILES!$A:$A,0)))</f>
        <v/>
      </c>
      <c r="AE711" s="13" t="str">
        <f>IF($X711="","",INDEX(TARIFF_PROFILES!$K:$K,MATCH($X711,TARIFF_PROFILES!$A:$A,0)))</f>
        <v/>
      </c>
      <c r="AH711" t="str">
        <f>IF($AG711="","",SUMIFS(OPERATING_COEFFS!$C:$C,OPERATING_COEFFS!$A:$A,"DistanceClass",OPERATING_COEFFS!$B:$B,$AG711))</f>
        <v/>
      </c>
      <c r="AJ711" t="str">
        <f>IF($AI711="","",SUMIFS(OPERATING_COEFFS!$C:$C,OPERATING_COEFFS!$A:$A,"SeasonClass",OPERATING_COEFFS!$B:$B,$AI711))</f>
        <v/>
      </c>
      <c r="AL711" t="str">
        <f>IF($AK711="","",SUMIFS(OPERATING_COEFFS!$C:$C,OPERATING_COEFFS!$A:$A,"UrgencyClass",OPERATING_COEFFS!$B:$B,$AK711))</f>
        <v/>
      </c>
      <c r="AN711" t="str">
        <f>IF($AM711="","",INDEX(TAX_MODES!$B:$B,MATCH($AM711,TAX_MODES!$A:$A,0)))</f>
        <v/>
      </c>
    </row>
    <row r="712" spans="24:40" x14ac:dyDescent="0.3">
      <c r="X712" s="13"/>
      <c r="Y712" s="13" t="str">
        <f>IF($X712="","",SUMIFS(TARIFF_PROFILES!$D:$D,TARIFF_PROFILES!$A:$A,$X712))</f>
        <v/>
      </c>
      <c r="Z712" s="13" t="str">
        <f>IF($X712="","",SUMIFS(TARIFF_PROFILES!$E:$E,TARIFF_PROFILES!$A:$A,$X712))</f>
        <v/>
      </c>
      <c r="AA712" s="13" t="str">
        <f>IF($X712="","",SUMIFS(TARIFF_PROFILES!$F:$F,TARIFF_PROFILES!$A:$A,$X712))</f>
        <v/>
      </c>
      <c r="AB712" s="13" t="str">
        <f>IF($X712="","",SUMIFS(TARIFF_PROFILES!$G:$G,TARIFF_PROFILES!$A:$A,$X712))</f>
        <v/>
      </c>
      <c r="AC712" s="13" t="str">
        <f>IF($X712="","",SUMIFS(TARIFF_PROFILES!$H:$H,TARIFF_PROFILES!$A:$A,$X712))</f>
        <v/>
      </c>
      <c r="AD712" s="13" t="str">
        <f>IF($X712="","",INDEX(TARIFF_PROFILES!$J:$J,MATCH($X712,TARIFF_PROFILES!$A:$A,0)))</f>
        <v/>
      </c>
      <c r="AE712" s="13" t="str">
        <f>IF($X712="","",INDEX(TARIFF_PROFILES!$K:$K,MATCH($X712,TARIFF_PROFILES!$A:$A,0)))</f>
        <v/>
      </c>
      <c r="AH712" t="str">
        <f>IF($AG712="","",SUMIFS(OPERATING_COEFFS!$C:$C,OPERATING_COEFFS!$A:$A,"DistanceClass",OPERATING_COEFFS!$B:$B,$AG712))</f>
        <v/>
      </c>
      <c r="AJ712" t="str">
        <f>IF($AI712="","",SUMIFS(OPERATING_COEFFS!$C:$C,OPERATING_COEFFS!$A:$A,"SeasonClass",OPERATING_COEFFS!$B:$B,$AI712))</f>
        <v/>
      </c>
      <c r="AL712" t="str">
        <f>IF($AK712="","",SUMIFS(OPERATING_COEFFS!$C:$C,OPERATING_COEFFS!$A:$A,"UrgencyClass",OPERATING_COEFFS!$B:$B,$AK712))</f>
        <v/>
      </c>
      <c r="AN712" t="str">
        <f>IF($AM712="","",INDEX(TAX_MODES!$B:$B,MATCH($AM712,TAX_MODES!$A:$A,0)))</f>
        <v/>
      </c>
    </row>
    <row r="713" spans="24:40" x14ac:dyDescent="0.3">
      <c r="X713" s="13"/>
      <c r="Y713" s="13" t="str">
        <f>IF($X713="","",SUMIFS(TARIFF_PROFILES!$D:$D,TARIFF_PROFILES!$A:$A,$X713))</f>
        <v/>
      </c>
      <c r="Z713" s="13" t="str">
        <f>IF($X713="","",SUMIFS(TARIFF_PROFILES!$E:$E,TARIFF_PROFILES!$A:$A,$X713))</f>
        <v/>
      </c>
      <c r="AA713" s="13" t="str">
        <f>IF($X713="","",SUMIFS(TARIFF_PROFILES!$F:$F,TARIFF_PROFILES!$A:$A,$X713))</f>
        <v/>
      </c>
      <c r="AB713" s="13" t="str">
        <f>IF($X713="","",SUMIFS(TARIFF_PROFILES!$G:$G,TARIFF_PROFILES!$A:$A,$X713))</f>
        <v/>
      </c>
      <c r="AC713" s="13" t="str">
        <f>IF($X713="","",SUMIFS(TARIFF_PROFILES!$H:$H,TARIFF_PROFILES!$A:$A,$X713))</f>
        <v/>
      </c>
      <c r="AD713" s="13" t="str">
        <f>IF($X713="","",INDEX(TARIFF_PROFILES!$J:$J,MATCH($X713,TARIFF_PROFILES!$A:$A,0)))</f>
        <v/>
      </c>
      <c r="AE713" s="13" t="str">
        <f>IF($X713="","",INDEX(TARIFF_PROFILES!$K:$K,MATCH($X713,TARIFF_PROFILES!$A:$A,0)))</f>
        <v/>
      </c>
      <c r="AH713" t="str">
        <f>IF($AG713="","",SUMIFS(OPERATING_COEFFS!$C:$C,OPERATING_COEFFS!$A:$A,"DistanceClass",OPERATING_COEFFS!$B:$B,$AG713))</f>
        <v/>
      </c>
      <c r="AJ713" t="str">
        <f>IF($AI713="","",SUMIFS(OPERATING_COEFFS!$C:$C,OPERATING_COEFFS!$A:$A,"SeasonClass",OPERATING_COEFFS!$B:$B,$AI713))</f>
        <v/>
      </c>
      <c r="AL713" t="str">
        <f>IF($AK713="","",SUMIFS(OPERATING_COEFFS!$C:$C,OPERATING_COEFFS!$A:$A,"UrgencyClass",OPERATING_COEFFS!$B:$B,$AK713))</f>
        <v/>
      </c>
      <c r="AN713" t="str">
        <f>IF($AM713="","",INDEX(TAX_MODES!$B:$B,MATCH($AM713,TAX_MODES!$A:$A,0)))</f>
        <v/>
      </c>
    </row>
    <row r="714" spans="24:40" x14ac:dyDescent="0.3">
      <c r="X714" s="13"/>
      <c r="Y714" s="13" t="str">
        <f>IF($X714="","",SUMIFS(TARIFF_PROFILES!$D:$D,TARIFF_PROFILES!$A:$A,$X714))</f>
        <v/>
      </c>
      <c r="Z714" s="13" t="str">
        <f>IF($X714="","",SUMIFS(TARIFF_PROFILES!$E:$E,TARIFF_PROFILES!$A:$A,$X714))</f>
        <v/>
      </c>
      <c r="AA714" s="13" t="str">
        <f>IF($X714="","",SUMIFS(TARIFF_PROFILES!$F:$F,TARIFF_PROFILES!$A:$A,$X714))</f>
        <v/>
      </c>
      <c r="AB714" s="13" t="str">
        <f>IF($X714="","",SUMIFS(TARIFF_PROFILES!$G:$G,TARIFF_PROFILES!$A:$A,$X714))</f>
        <v/>
      </c>
      <c r="AC714" s="13" t="str">
        <f>IF($X714="","",SUMIFS(TARIFF_PROFILES!$H:$H,TARIFF_PROFILES!$A:$A,$X714))</f>
        <v/>
      </c>
      <c r="AD714" s="13" t="str">
        <f>IF($X714="","",INDEX(TARIFF_PROFILES!$J:$J,MATCH($X714,TARIFF_PROFILES!$A:$A,0)))</f>
        <v/>
      </c>
      <c r="AE714" s="13" t="str">
        <f>IF($X714="","",INDEX(TARIFF_PROFILES!$K:$K,MATCH($X714,TARIFF_PROFILES!$A:$A,0)))</f>
        <v/>
      </c>
      <c r="AH714" t="str">
        <f>IF($AG714="","",SUMIFS(OPERATING_COEFFS!$C:$C,OPERATING_COEFFS!$A:$A,"DistanceClass",OPERATING_COEFFS!$B:$B,$AG714))</f>
        <v/>
      </c>
      <c r="AJ714" t="str">
        <f>IF($AI714="","",SUMIFS(OPERATING_COEFFS!$C:$C,OPERATING_COEFFS!$A:$A,"SeasonClass",OPERATING_COEFFS!$B:$B,$AI714))</f>
        <v/>
      </c>
      <c r="AL714" t="str">
        <f>IF($AK714="","",SUMIFS(OPERATING_COEFFS!$C:$C,OPERATING_COEFFS!$A:$A,"UrgencyClass",OPERATING_COEFFS!$B:$B,$AK714))</f>
        <v/>
      </c>
      <c r="AN714" t="str">
        <f>IF($AM714="","",INDEX(TAX_MODES!$B:$B,MATCH($AM714,TAX_MODES!$A:$A,0)))</f>
        <v/>
      </c>
    </row>
    <row r="715" spans="24:40" x14ac:dyDescent="0.3">
      <c r="X715" s="13"/>
      <c r="Y715" s="13" t="str">
        <f>IF($X715="","",SUMIFS(TARIFF_PROFILES!$D:$D,TARIFF_PROFILES!$A:$A,$X715))</f>
        <v/>
      </c>
      <c r="Z715" s="13" t="str">
        <f>IF($X715="","",SUMIFS(TARIFF_PROFILES!$E:$E,TARIFF_PROFILES!$A:$A,$X715))</f>
        <v/>
      </c>
      <c r="AA715" s="13" t="str">
        <f>IF($X715="","",SUMIFS(TARIFF_PROFILES!$F:$F,TARIFF_PROFILES!$A:$A,$X715))</f>
        <v/>
      </c>
      <c r="AB715" s="13" t="str">
        <f>IF($X715="","",SUMIFS(TARIFF_PROFILES!$G:$G,TARIFF_PROFILES!$A:$A,$X715))</f>
        <v/>
      </c>
      <c r="AC715" s="13" t="str">
        <f>IF($X715="","",SUMIFS(TARIFF_PROFILES!$H:$H,TARIFF_PROFILES!$A:$A,$X715))</f>
        <v/>
      </c>
      <c r="AD715" s="13" t="str">
        <f>IF($X715="","",INDEX(TARIFF_PROFILES!$J:$J,MATCH($X715,TARIFF_PROFILES!$A:$A,0)))</f>
        <v/>
      </c>
      <c r="AE715" s="13" t="str">
        <f>IF($X715="","",INDEX(TARIFF_PROFILES!$K:$K,MATCH($X715,TARIFF_PROFILES!$A:$A,0)))</f>
        <v/>
      </c>
      <c r="AH715" t="str">
        <f>IF($AG715="","",SUMIFS(OPERATING_COEFFS!$C:$C,OPERATING_COEFFS!$A:$A,"DistanceClass",OPERATING_COEFFS!$B:$B,$AG715))</f>
        <v/>
      </c>
      <c r="AJ715" t="str">
        <f>IF($AI715="","",SUMIFS(OPERATING_COEFFS!$C:$C,OPERATING_COEFFS!$A:$A,"SeasonClass",OPERATING_COEFFS!$B:$B,$AI715))</f>
        <v/>
      </c>
      <c r="AL715" t="str">
        <f>IF($AK715="","",SUMIFS(OPERATING_COEFFS!$C:$C,OPERATING_COEFFS!$A:$A,"UrgencyClass",OPERATING_COEFFS!$B:$B,$AK715))</f>
        <v/>
      </c>
      <c r="AN715" t="str">
        <f>IF($AM715="","",INDEX(TAX_MODES!$B:$B,MATCH($AM715,TAX_MODES!$A:$A,0)))</f>
        <v/>
      </c>
    </row>
    <row r="716" spans="24:40" x14ac:dyDescent="0.3">
      <c r="X716" s="13"/>
      <c r="Y716" s="13" t="str">
        <f>IF($X716="","",SUMIFS(TARIFF_PROFILES!$D:$D,TARIFF_PROFILES!$A:$A,$X716))</f>
        <v/>
      </c>
      <c r="Z716" s="13" t="str">
        <f>IF($X716="","",SUMIFS(TARIFF_PROFILES!$E:$E,TARIFF_PROFILES!$A:$A,$X716))</f>
        <v/>
      </c>
      <c r="AA716" s="13" t="str">
        <f>IF($X716="","",SUMIFS(TARIFF_PROFILES!$F:$F,TARIFF_PROFILES!$A:$A,$X716))</f>
        <v/>
      </c>
      <c r="AB716" s="13" t="str">
        <f>IF($X716="","",SUMIFS(TARIFF_PROFILES!$G:$G,TARIFF_PROFILES!$A:$A,$X716))</f>
        <v/>
      </c>
      <c r="AC716" s="13" t="str">
        <f>IF($X716="","",SUMIFS(TARIFF_PROFILES!$H:$H,TARIFF_PROFILES!$A:$A,$X716))</f>
        <v/>
      </c>
      <c r="AD716" s="13" t="str">
        <f>IF($X716="","",INDEX(TARIFF_PROFILES!$J:$J,MATCH($X716,TARIFF_PROFILES!$A:$A,0)))</f>
        <v/>
      </c>
      <c r="AE716" s="13" t="str">
        <f>IF($X716="","",INDEX(TARIFF_PROFILES!$K:$K,MATCH($X716,TARIFF_PROFILES!$A:$A,0)))</f>
        <v/>
      </c>
      <c r="AH716" t="str">
        <f>IF($AG716="","",SUMIFS(OPERATING_COEFFS!$C:$C,OPERATING_COEFFS!$A:$A,"DistanceClass",OPERATING_COEFFS!$B:$B,$AG716))</f>
        <v/>
      </c>
      <c r="AJ716" t="str">
        <f>IF($AI716="","",SUMIFS(OPERATING_COEFFS!$C:$C,OPERATING_COEFFS!$A:$A,"SeasonClass",OPERATING_COEFFS!$B:$B,$AI716))</f>
        <v/>
      </c>
      <c r="AL716" t="str">
        <f>IF($AK716="","",SUMIFS(OPERATING_COEFFS!$C:$C,OPERATING_COEFFS!$A:$A,"UrgencyClass",OPERATING_COEFFS!$B:$B,$AK716))</f>
        <v/>
      </c>
      <c r="AN716" t="str">
        <f>IF($AM716="","",INDEX(TAX_MODES!$B:$B,MATCH($AM716,TAX_MODES!$A:$A,0)))</f>
        <v/>
      </c>
    </row>
    <row r="717" spans="24:40" x14ac:dyDescent="0.3">
      <c r="X717" s="13"/>
      <c r="Y717" s="13" t="str">
        <f>IF($X717="","",SUMIFS(TARIFF_PROFILES!$D:$D,TARIFF_PROFILES!$A:$A,$X717))</f>
        <v/>
      </c>
      <c r="Z717" s="13" t="str">
        <f>IF($X717="","",SUMIFS(TARIFF_PROFILES!$E:$E,TARIFF_PROFILES!$A:$A,$X717))</f>
        <v/>
      </c>
      <c r="AA717" s="13" t="str">
        <f>IF($X717="","",SUMIFS(TARIFF_PROFILES!$F:$F,TARIFF_PROFILES!$A:$A,$X717))</f>
        <v/>
      </c>
      <c r="AB717" s="13" t="str">
        <f>IF($X717="","",SUMIFS(TARIFF_PROFILES!$G:$G,TARIFF_PROFILES!$A:$A,$X717))</f>
        <v/>
      </c>
      <c r="AC717" s="13" t="str">
        <f>IF($X717="","",SUMIFS(TARIFF_PROFILES!$H:$H,TARIFF_PROFILES!$A:$A,$X717))</f>
        <v/>
      </c>
      <c r="AD717" s="13" t="str">
        <f>IF($X717="","",INDEX(TARIFF_PROFILES!$J:$J,MATCH($X717,TARIFF_PROFILES!$A:$A,0)))</f>
        <v/>
      </c>
      <c r="AE717" s="13" t="str">
        <f>IF($X717="","",INDEX(TARIFF_PROFILES!$K:$K,MATCH($X717,TARIFF_PROFILES!$A:$A,0)))</f>
        <v/>
      </c>
      <c r="AH717" t="str">
        <f>IF($AG717="","",SUMIFS(OPERATING_COEFFS!$C:$C,OPERATING_COEFFS!$A:$A,"DistanceClass",OPERATING_COEFFS!$B:$B,$AG717))</f>
        <v/>
      </c>
      <c r="AJ717" t="str">
        <f>IF($AI717="","",SUMIFS(OPERATING_COEFFS!$C:$C,OPERATING_COEFFS!$A:$A,"SeasonClass",OPERATING_COEFFS!$B:$B,$AI717))</f>
        <v/>
      </c>
      <c r="AL717" t="str">
        <f>IF($AK717="","",SUMIFS(OPERATING_COEFFS!$C:$C,OPERATING_COEFFS!$A:$A,"UrgencyClass",OPERATING_COEFFS!$B:$B,$AK717))</f>
        <v/>
      </c>
      <c r="AN717" t="str">
        <f>IF($AM717="","",INDEX(TAX_MODES!$B:$B,MATCH($AM717,TAX_MODES!$A:$A,0)))</f>
        <v/>
      </c>
    </row>
    <row r="718" spans="24:40" x14ac:dyDescent="0.3">
      <c r="X718" s="13"/>
      <c r="Y718" s="13" t="str">
        <f>IF($X718="","",SUMIFS(TARIFF_PROFILES!$D:$D,TARIFF_PROFILES!$A:$A,$X718))</f>
        <v/>
      </c>
      <c r="Z718" s="13" t="str">
        <f>IF($X718="","",SUMIFS(TARIFF_PROFILES!$E:$E,TARIFF_PROFILES!$A:$A,$X718))</f>
        <v/>
      </c>
      <c r="AA718" s="13" t="str">
        <f>IF($X718="","",SUMIFS(TARIFF_PROFILES!$F:$F,TARIFF_PROFILES!$A:$A,$X718))</f>
        <v/>
      </c>
      <c r="AB718" s="13" t="str">
        <f>IF($X718="","",SUMIFS(TARIFF_PROFILES!$G:$G,TARIFF_PROFILES!$A:$A,$X718))</f>
        <v/>
      </c>
      <c r="AC718" s="13" t="str">
        <f>IF($X718="","",SUMIFS(TARIFF_PROFILES!$H:$H,TARIFF_PROFILES!$A:$A,$X718))</f>
        <v/>
      </c>
      <c r="AD718" s="13" t="str">
        <f>IF($X718="","",INDEX(TARIFF_PROFILES!$J:$J,MATCH($X718,TARIFF_PROFILES!$A:$A,0)))</f>
        <v/>
      </c>
      <c r="AE718" s="13" t="str">
        <f>IF($X718="","",INDEX(TARIFF_PROFILES!$K:$K,MATCH($X718,TARIFF_PROFILES!$A:$A,0)))</f>
        <v/>
      </c>
      <c r="AH718" t="str">
        <f>IF($AG718="","",SUMIFS(OPERATING_COEFFS!$C:$C,OPERATING_COEFFS!$A:$A,"DistanceClass",OPERATING_COEFFS!$B:$B,$AG718))</f>
        <v/>
      </c>
      <c r="AJ718" t="str">
        <f>IF($AI718="","",SUMIFS(OPERATING_COEFFS!$C:$C,OPERATING_COEFFS!$A:$A,"SeasonClass",OPERATING_COEFFS!$B:$B,$AI718))</f>
        <v/>
      </c>
      <c r="AL718" t="str">
        <f>IF($AK718="","",SUMIFS(OPERATING_COEFFS!$C:$C,OPERATING_COEFFS!$A:$A,"UrgencyClass",OPERATING_COEFFS!$B:$B,$AK718))</f>
        <v/>
      </c>
      <c r="AN718" t="str">
        <f>IF($AM718="","",INDEX(TAX_MODES!$B:$B,MATCH($AM718,TAX_MODES!$A:$A,0)))</f>
        <v/>
      </c>
    </row>
    <row r="719" spans="24:40" x14ac:dyDescent="0.3">
      <c r="X719" s="13"/>
      <c r="Y719" s="13" t="str">
        <f>IF($X719="","",SUMIFS(TARIFF_PROFILES!$D:$D,TARIFF_PROFILES!$A:$A,$X719))</f>
        <v/>
      </c>
      <c r="Z719" s="13" t="str">
        <f>IF($X719="","",SUMIFS(TARIFF_PROFILES!$E:$E,TARIFF_PROFILES!$A:$A,$X719))</f>
        <v/>
      </c>
      <c r="AA719" s="13" t="str">
        <f>IF($X719="","",SUMIFS(TARIFF_PROFILES!$F:$F,TARIFF_PROFILES!$A:$A,$X719))</f>
        <v/>
      </c>
      <c r="AB719" s="13" t="str">
        <f>IF($X719="","",SUMIFS(TARIFF_PROFILES!$G:$G,TARIFF_PROFILES!$A:$A,$X719))</f>
        <v/>
      </c>
      <c r="AC719" s="13" t="str">
        <f>IF($X719="","",SUMIFS(TARIFF_PROFILES!$H:$H,TARIFF_PROFILES!$A:$A,$X719))</f>
        <v/>
      </c>
      <c r="AD719" s="13" t="str">
        <f>IF($X719="","",INDEX(TARIFF_PROFILES!$J:$J,MATCH($X719,TARIFF_PROFILES!$A:$A,0)))</f>
        <v/>
      </c>
      <c r="AE719" s="13" t="str">
        <f>IF($X719="","",INDEX(TARIFF_PROFILES!$K:$K,MATCH($X719,TARIFF_PROFILES!$A:$A,0)))</f>
        <v/>
      </c>
      <c r="AH719" t="str">
        <f>IF($AG719="","",SUMIFS(OPERATING_COEFFS!$C:$C,OPERATING_COEFFS!$A:$A,"DistanceClass",OPERATING_COEFFS!$B:$B,$AG719))</f>
        <v/>
      </c>
      <c r="AJ719" t="str">
        <f>IF($AI719="","",SUMIFS(OPERATING_COEFFS!$C:$C,OPERATING_COEFFS!$A:$A,"SeasonClass",OPERATING_COEFFS!$B:$B,$AI719))</f>
        <v/>
      </c>
      <c r="AL719" t="str">
        <f>IF($AK719="","",SUMIFS(OPERATING_COEFFS!$C:$C,OPERATING_COEFFS!$A:$A,"UrgencyClass",OPERATING_COEFFS!$B:$B,$AK719))</f>
        <v/>
      </c>
      <c r="AN719" t="str">
        <f>IF($AM719="","",INDEX(TAX_MODES!$B:$B,MATCH($AM719,TAX_MODES!$A:$A,0)))</f>
        <v/>
      </c>
    </row>
    <row r="720" spans="24:40" x14ac:dyDescent="0.3">
      <c r="X720" s="13"/>
      <c r="Y720" s="13" t="str">
        <f>IF($X720="","",SUMIFS(TARIFF_PROFILES!$D:$D,TARIFF_PROFILES!$A:$A,$X720))</f>
        <v/>
      </c>
      <c r="Z720" s="13" t="str">
        <f>IF($X720="","",SUMIFS(TARIFF_PROFILES!$E:$E,TARIFF_PROFILES!$A:$A,$X720))</f>
        <v/>
      </c>
      <c r="AA720" s="13" t="str">
        <f>IF($X720="","",SUMIFS(TARIFF_PROFILES!$F:$F,TARIFF_PROFILES!$A:$A,$X720))</f>
        <v/>
      </c>
      <c r="AB720" s="13" t="str">
        <f>IF($X720="","",SUMIFS(TARIFF_PROFILES!$G:$G,TARIFF_PROFILES!$A:$A,$X720))</f>
        <v/>
      </c>
      <c r="AC720" s="13" t="str">
        <f>IF($X720="","",SUMIFS(TARIFF_PROFILES!$H:$H,TARIFF_PROFILES!$A:$A,$X720))</f>
        <v/>
      </c>
      <c r="AD720" s="13" t="str">
        <f>IF($X720="","",INDEX(TARIFF_PROFILES!$J:$J,MATCH($X720,TARIFF_PROFILES!$A:$A,0)))</f>
        <v/>
      </c>
      <c r="AE720" s="13" t="str">
        <f>IF($X720="","",INDEX(TARIFF_PROFILES!$K:$K,MATCH($X720,TARIFF_PROFILES!$A:$A,0)))</f>
        <v/>
      </c>
      <c r="AH720" t="str">
        <f>IF($AG720="","",SUMIFS(OPERATING_COEFFS!$C:$C,OPERATING_COEFFS!$A:$A,"DistanceClass",OPERATING_COEFFS!$B:$B,$AG720))</f>
        <v/>
      </c>
      <c r="AJ720" t="str">
        <f>IF($AI720="","",SUMIFS(OPERATING_COEFFS!$C:$C,OPERATING_COEFFS!$A:$A,"SeasonClass",OPERATING_COEFFS!$B:$B,$AI720))</f>
        <v/>
      </c>
      <c r="AL720" t="str">
        <f>IF($AK720="","",SUMIFS(OPERATING_COEFFS!$C:$C,OPERATING_COEFFS!$A:$A,"UrgencyClass",OPERATING_COEFFS!$B:$B,$AK720))</f>
        <v/>
      </c>
      <c r="AN720" t="str">
        <f>IF($AM720="","",INDEX(TAX_MODES!$B:$B,MATCH($AM720,TAX_MODES!$A:$A,0)))</f>
        <v/>
      </c>
    </row>
    <row r="721" spans="24:40" x14ac:dyDescent="0.3">
      <c r="X721" s="13"/>
      <c r="Y721" s="13" t="str">
        <f>IF($X721="","",SUMIFS(TARIFF_PROFILES!$D:$D,TARIFF_PROFILES!$A:$A,$X721))</f>
        <v/>
      </c>
      <c r="Z721" s="13" t="str">
        <f>IF($X721="","",SUMIFS(TARIFF_PROFILES!$E:$E,TARIFF_PROFILES!$A:$A,$X721))</f>
        <v/>
      </c>
      <c r="AA721" s="13" t="str">
        <f>IF($X721="","",SUMIFS(TARIFF_PROFILES!$F:$F,TARIFF_PROFILES!$A:$A,$X721))</f>
        <v/>
      </c>
      <c r="AB721" s="13" t="str">
        <f>IF($X721="","",SUMIFS(TARIFF_PROFILES!$G:$G,TARIFF_PROFILES!$A:$A,$X721))</f>
        <v/>
      </c>
      <c r="AC721" s="13" t="str">
        <f>IF($X721="","",SUMIFS(TARIFF_PROFILES!$H:$H,TARIFF_PROFILES!$A:$A,$X721))</f>
        <v/>
      </c>
      <c r="AD721" s="13" t="str">
        <f>IF($X721="","",INDEX(TARIFF_PROFILES!$J:$J,MATCH($X721,TARIFF_PROFILES!$A:$A,0)))</f>
        <v/>
      </c>
      <c r="AE721" s="13" t="str">
        <f>IF($X721="","",INDEX(TARIFF_PROFILES!$K:$K,MATCH($X721,TARIFF_PROFILES!$A:$A,0)))</f>
        <v/>
      </c>
      <c r="AH721" t="str">
        <f>IF($AG721="","",SUMIFS(OPERATING_COEFFS!$C:$C,OPERATING_COEFFS!$A:$A,"DistanceClass",OPERATING_COEFFS!$B:$B,$AG721))</f>
        <v/>
      </c>
      <c r="AJ721" t="str">
        <f>IF($AI721="","",SUMIFS(OPERATING_COEFFS!$C:$C,OPERATING_COEFFS!$A:$A,"SeasonClass",OPERATING_COEFFS!$B:$B,$AI721))</f>
        <v/>
      </c>
      <c r="AL721" t="str">
        <f>IF($AK721="","",SUMIFS(OPERATING_COEFFS!$C:$C,OPERATING_COEFFS!$A:$A,"UrgencyClass",OPERATING_COEFFS!$B:$B,$AK721))</f>
        <v/>
      </c>
      <c r="AN721" t="str">
        <f>IF($AM721="","",INDEX(TAX_MODES!$B:$B,MATCH($AM721,TAX_MODES!$A:$A,0)))</f>
        <v/>
      </c>
    </row>
    <row r="722" spans="24:40" x14ac:dyDescent="0.3">
      <c r="X722" s="13"/>
      <c r="Y722" s="13" t="str">
        <f>IF($X722="","",SUMIFS(TARIFF_PROFILES!$D:$D,TARIFF_PROFILES!$A:$A,$X722))</f>
        <v/>
      </c>
      <c r="Z722" s="13" t="str">
        <f>IF($X722="","",SUMIFS(TARIFF_PROFILES!$E:$E,TARIFF_PROFILES!$A:$A,$X722))</f>
        <v/>
      </c>
      <c r="AA722" s="13" t="str">
        <f>IF($X722="","",SUMIFS(TARIFF_PROFILES!$F:$F,TARIFF_PROFILES!$A:$A,$X722))</f>
        <v/>
      </c>
      <c r="AB722" s="13" t="str">
        <f>IF($X722="","",SUMIFS(TARIFF_PROFILES!$G:$G,TARIFF_PROFILES!$A:$A,$X722))</f>
        <v/>
      </c>
      <c r="AC722" s="13" t="str">
        <f>IF($X722="","",SUMIFS(TARIFF_PROFILES!$H:$H,TARIFF_PROFILES!$A:$A,$X722))</f>
        <v/>
      </c>
      <c r="AD722" s="13" t="str">
        <f>IF($X722="","",INDEX(TARIFF_PROFILES!$J:$J,MATCH($X722,TARIFF_PROFILES!$A:$A,0)))</f>
        <v/>
      </c>
      <c r="AE722" s="13" t="str">
        <f>IF($X722="","",INDEX(TARIFF_PROFILES!$K:$K,MATCH($X722,TARIFF_PROFILES!$A:$A,0)))</f>
        <v/>
      </c>
      <c r="AH722" t="str">
        <f>IF($AG722="","",SUMIFS(OPERATING_COEFFS!$C:$C,OPERATING_COEFFS!$A:$A,"DistanceClass",OPERATING_COEFFS!$B:$B,$AG722))</f>
        <v/>
      </c>
      <c r="AJ722" t="str">
        <f>IF($AI722="","",SUMIFS(OPERATING_COEFFS!$C:$C,OPERATING_COEFFS!$A:$A,"SeasonClass",OPERATING_COEFFS!$B:$B,$AI722))</f>
        <v/>
      </c>
      <c r="AL722" t="str">
        <f>IF($AK722="","",SUMIFS(OPERATING_COEFFS!$C:$C,OPERATING_COEFFS!$A:$A,"UrgencyClass",OPERATING_COEFFS!$B:$B,$AK722))</f>
        <v/>
      </c>
      <c r="AN722" t="str">
        <f>IF($AM722="","",INDEX(TAX_MODES!$B:$B,MATCH($AM722,TAX_MODES!$A:$A,0)))</f>
        <v/>
      </c>
    </row>
    <row r="723" spans="24:40" x14ac:dyDescent="0.3">
      <c r="X723" s="13"/>
      <c r="Y723" s="13" t="str">
        <f>IF($X723="","",SUMIFS(TARIFF_PROFILES!$D:$D,TARIFF_PROFILES!$A:$A,$X723))</f>
        <v/>
      </c>
      <c r="Z723" s="13" t="str">
        <f>IF($X723="","",SUMIFS(TARIFF_PROFILES!$E:$E,TARIFF_PROFILES!$A:$A,$X723))</f>
        <v/>
      </c>
      <c r="AA723" s="13" t="str">
        <f>IF($X723="","",SUMIFS(TARIFF_PROFILES!$F:$F,TARIFF_PROFILES!$A:$A,$X723))</f>
        <v/>
      </c>
      <c r="AB723" s="13" t="str">
        <f>IF($X723="","",SUMIFS(TARIFF_PROFILES!$G:$G,TARIFF_PROFILES!$A:$A,$X723))</f>
        <v/>
      </c>
      <c r="AC723" s="13" t="str">
        <f>IF($X723="","",SUMIFS(TARIFF_PROFILES!$H:$H,TARIFF_PROFILES!$A:$A,$X723))</f>
        <v/>
      </c>
      <c r="AD723" s="13" t="str">
        <f>IF($X723="","",INDEX(TARIFF_PROFILES!$J:$J,MATCH($X723,TARIFF_PROFILES!$A:$A,0)))</f>
        <v/>
      </c>
      <c r="AE723" s="13" t="str">
        <f>IF($X723="","",INDEX(TARIFF_PROFILES!$K:$K,MATCH($X723,TARIFF_PROFILES!$A:$A,0)))</f>
        <v/>
      </c>
      <c r="AH723" t="str">
        <f>IF($AG723="","",SUMIFS(OPERATING_COEFFS!$C:$C,OPERATING_COEFFS!$A:$A,"DistanceClass",OPERATING_COEFFS!$B:$B,$AG723))</f>
        <v/>
      </c>
      <c r="AJ723" t="str">
        <f>IF($AI723="","",SUMIFS(OPERATING_COEFFS!$C:$C,OPERATING_COEFFS!$A:$A,"SeasonClass",OPERATING_COEFFS!$B:$B,$AI723))</f>
        <v/>
      </c>
      <c r="AL723" t="str">
        <f>IF($AK723="","",SUMIFS(OPERATING_COEFFS!$C:$C,OPERATING_COEFFS!$A:$A,"UrgencyClass",OPERATING_COEFFS!$B:$B,$AK723))</f>
        <v/>
      </c>
      <c r="AN723" t="str">
        <f>IF($AM723="","",INDEX(TAX_MODES!$B:$B,MATCH($AM723,TAX_MODES!$A:$A,0)))</f>
        <v/>
      </c>
    </row>
    <row r="724" spans="24:40" x14ac:dyDescent="0.3">
      <c r="X724" s="13"/>
      <c r="Y724" s="13" t="str">
        <f>IF($X724="","",SUMIFS(TARIFF_PROFILES!$D:$D,TARIFF_PROFILES!$A:$A,$X724))</f>
        <v/>
      </c>
      <c r="Z724" s="13" t="str">
        <f>IF($X724="","",SUMIFS(TARIFF_PROFILES!$E:$E,TARIFF_PROFILES!$A:$A,$X724))</f>
        <v/>
      </c>
      <c r="AA724" s="13" t="str">
        <f>IF($X724="","",SUMIFS(TARIFF_PROFILES!$F:$F,TARIFF_PROFILES!$A:$A,$X724))</f>
        <v/>
      </c>
      <c r="AB724" s="13" t="str">
        <f>IF($X724="","",SUMIFS(TARIFF_PROFILES!$G:$G,TARIFF_PROFILES!$A:$A,$X724))</f>
        <v/>
      </c>
      <c r="AC724" s="13" t="str">
        <f>IF($X724="","",SUMIFS(TARIFF_PROFILES!$H:$H,TARIFF_PROFILES!$A:$A,$X724))</f>
        <v/>
      </c>
      <c r="AD724" s="13" t="str">
        <f>IF($X724="","",INDEX(TARIFF_PROFILES!$J:$J,MATCH($X724,TARIFF_PROFILES!$A:$A,0)))</f>
        <v/>
      </c>
      <c r="AE724" s="13" t="str">
        <f>IF($X724="","",INDEX(TARIFF_PROFILES!$K:$K,MATCH($X724,TARIFF_PROFILES!$A:$A,0)))</f>
        <v/>
      </c>
      <c r="AH724" t="str">
        <f>IF($AG724="","",SUMIFS(OPERATING_COEFFS!$C:$C,OPERATING_COEFFS!$A:$A,"DistanceClass",OPERATING_COEFFS!$B:$B,$AG724))</f>
        <v/>
      </c>
      <c r="AJ724" t="str">
        <f>IF($AI724="","",SUMIFS(OPERATING_COEFFS!$C:$C,OPERATING_COEFFS!$A:$A,"SeasonClass",OPERATING_COEFFS!$B:$B,$AI724))</f>
        <v/>
      </c>
      <c r="AL724" t="str">
        <f>IF($AK724="","",SUMIFS(OPERATING_COEFFS!$C:$C,OPERATING_COEFFS!$A:$A,"UrgencyClass",OPERATING_COEFFS!$B:$B,$AK724))</f>
        <v/>
      </c>
      <c r="AN724" t="str">
        <f>IF($AM724="","",INDEX(TAX_MODES!$B:$B,MATCH($AM724,TAX_MODES!$A:$A,0)))</f>
        <v/>
      </c>
    </row>
    <row r="725" spans="24:40" x14ac:dyDescent="0.3">
      <c r="X725" s="13"/>
      <c r="Y725" s="13" t="str">
        <f>IF($X725="","",SUMIFS(TARIFF_PROFILES!$D:$D,TARIFF_PROFILES!$A:$A,$X725))</f>
        <v/>
      </c>
      <c r="Z725" s="13" t="str">
        <f>IF($X725="","",SUMIFS(TARIFF_PROFILES!$E:$E,TARIFF_PROFILES!$A:$A,$X725))</f>
        <v/>
      </c>
      <c r="AA725" s="13" t="str">
        <f>IF($X725="","",SUMIFS(TARIFF_PROFILES!$F:$F,TARIFF_PROFILES!$A:$A,$X725))</f>
        <v/>
      </c>
      <c r="AB725" s="13" t="str">
        <f>IF($X725="","",SUMIFS(TARIFF_PROFILES!$G:$G,TARIFF_PROFILES!$A:$A,$X725))</f>
        <v/>
      </c>
      <c r="AC725" s="13" t="str">
        <f>IF($X725="","",SUMIFS(TARIFF_PROFILES!$H:$H,TARIFF_PROFILES!$A:$A,$X725))</f>
        <v/>
      </c>
      <c r="AD725" s="13" t="str">
        <f>IF($X725="","",INDEX(TARIFF_PROFILES!$J:$J,MATCH($X725,TARIFF_PROFILES!$A:$A,0)))</f>
        <v/>
      </c>
      <c r="AE725" s="13" t="str">
        <f>IF($X725="","",INDEX(TARIFF_PROFILES!$K:$K,MATCH($X725,TARIFF_PROFILES!$A:$A,0)))</f>
        <v/>
      </c>
      <c r="AH725" t="str">
        <f>IF($AG725="","",SUMIFS(OPERATING_COEFFS!$C:$C,OPERATING_COEFFS!$A:$A,"DistanceClass",OPERATING_COEFFS!$B:$B,$AG725))</f>
        <v/>
      </c>
      <c r="AJ725" t="str">
        <f>IF($AI725="","",SUMIFS(OPERATING_COEFFS!$C:$C,OPERATING_COEFFS!$A:$A,"SeasonClass",OPERATING_COEFFS!$B:$B,$AI725))</f>
        <v/>
      </c>
      <c r="AL725" t="str">
        <f>IF($AK725="","",SUMIFS(OPERATING_COEFFS!$C:$C,OPERATING_COEFFS!$A:$A,"UrgencyClass",OPERATING_COEFFS!$B:$B,$AK725))</f>
        <v/>
      </c>
      <c r="AN725" t="str">
        <f>IF($AM725="","",INDEX(TAX_MODES!$B:$B,MATCH($AM725,TAX_MODES!$A:$A,0)))</f>
        <v/>
      </c>
    </row>
    <row r="726" spans="24:40" x14ac:dyDescent="0.3">
      <c r="X726" s="13"/>
      <c r="Y726" s="13" t="str">
        <f>IF($X726="","",SUMIFS(TARIFF_PROFILES!$D:$D,TARIFF_PROFILES!$A:$A,$X726))</f>
        <v/>
      </c>
      <c r="Z726" s="13" t="str">
        <f>IF($X726="","",SUMIFS(TARIFF_PROFILES!$E:$E,TARIFF_PROFILES!$A:$A,$X726))</f>
        <v/>
      </c>
      <c r="AA726" s="13" t="str">
        <f>IF($X726="","",SUMIFS(TARIFF_PROFILES!$F:$F,TARIFF_PROFILES!$A:$A,$X726))</f>
        <v/>
      </c>
      <c r="AB726" s="13" t="str">
        <f>IF($X726="","",SUMIFS(TARIFF_PROFILES!$G:$G,TARIFF_PROFILES!$A:$A,$X726))</f>
        <v/>
      </c>
      <c r="AC726" s="13" t="str">
        <f>IF($X726="","",SUMIFS(TARIFF_PROFILES!$H:$H,TARIFF_PROFILES!$A:$A,$X726))</f>
        <v/>
      </c>
      <c r="AD726" s="13" t="str">
        <f>IF($X726="","",INDEX(TARIFF_PROFILES!$J:$J,MATCH($X726,TARIFF_PROFILES!$A:$A,0)))</f>
        <v/>
      </c>
      <c r="AE726" s="13" t="str">
        <f>IF($X726="","",INDEX(TARIFF_PROFILES!$K:$K,MATCH($X726,TARIFF_PROFILES!$A:$A,0)))</f>
        <v/>
      </c>
      <c r="AH726" t="str">
        <f>IF($AG726="","",SUMIFS(OPERATING_COEFFS!$C:$C,OPERATING_COEFFS!$A:$A,"DistanceClass",OPERATING_COEFFS!$B:$B,$AG726))</f>
        <v/>
      </c>
      <c r="AJ726" t="str">
        <f>IF($AI726="","",SUMIFS(OPERATING_COEFFS!$C:$C,OPERATING_COEFFS!$A:$A,"SeasonClass",OPERATING_COEFFS!$B:$B,$AI726))</f>
        <v/>
      </c>
      <c r="AL726" t="str">
        <f>IF($AK726="","",SUMIFS(OPERATING_COEFFS!$C:$C,OPERATING_COEFFS!$A:$A,"UrgencyClass",OPERATING_COEFFS!$B:$B,$AK726))</f>
        <v/>
      </c>
      <c r="AN726" t="str">
        <f>IF($AM726="","",INDEX(TAX_MODES!$B:$B,MATCH($AM726,TAX_MODES!$A:$A,0)))</f>
        <v/>
      </c>
    </row>
    <row r="727" spans="24:40" x14ac:dyDescent="0.3">
      <c r="X727" s="13"/>
      <c r="Y727" s="13" t="str">
        <f>IF($X727="","",SUMIFS(TARIFF_PROFILES!$D:$D,TARIFF_PROFILES!$A:$A,$X727))</f>
        <v/>
      </c>
      <c r="Z727" s="13" t="str">
        <f>IF($X727="","",SUMIFS(TARIFF_PROFILES!$E:$E,TARIFF_PROFILES!$A:$A,$X727))</f>
        <v/>
      </c>
      <c r="AA727" s="13" t="str">
        <f>IF($X727="","",SUMIFS(TARIFF_PROFILES!$F:$F,TARIFF_PROFILES!$A:$A,$X727))</f>
        <v/>
      </c>
      <c r="AB727" s="13" t="str">
        <f>IF($X727="","",SUMIFS(TARIFF_PROFILES!$G:$G,TARIFF_PROFILES!$A:$A,$X727))</f>
        <v/>
      </c>
      <c r="AC727" s="13" t="str">
        <f>IF($X727="","",SUMIFS(TARIFF_PROFILES!$H:$H,TARIFF_PROFILES!$A:$A,$X727))</f>
        <v/>
      </c>
      <c r="AD727" s="13" t="str">
        <f>IF($X727="","",INDEX(TARIFF_PROFILES!$J:$J,MATCH($X727,TARIFF_PROFILES!$A:$A,0)))</f>
        <v/>
      </c>
      <c r="AE727" s="13" t="str">
        <f>IF($X727="","",INDEX(TARIFF_PROFILES!$K:$K,MATCH($X727,TARIFF_PROFILES!$A:$A,0)))</f>
        <v/>
      </c>
      <c r="AH727" t="str">
        <f>IF($AG727="","",SUMIFS(OPERATING_COEFFS!$C:$C,OPERATING_COEFFS!$A:$A,"DistanceClass",OPERATING_COEFFS!$B:$B,$AG727))</f>
        <v/>
      </c>
      <c r="AJ727" t="str">
        <f>IF($AI727="","",SUMIFS(OPERATING_COEFFS!$C:$C,OPERATING_COEFFS!$A:$A,"SeasonClass",OPERATING_COEFFS!$B:$B,$AI727))</f>
        <v/>
      </c>
      <c r="AL727" t="str">
        <f>IF($AK727="","",SUMIFS(OPERATING_COEFFS!$C:$C,OPERATING_COEFFS!$A:$A,"UrgencyClass",OPERATING_COEFFS!$B:$B,$AK727))</f>
        <v/>
      </c>
      <c r="AN727" t="str">
        <f>IF($AM727="","",INDEX(TAX_MODES!$B:$B,MATCH($AM727,TAX_MODES!$A:$A,0)))</f>
        <v/>
      </c>
    </row>
    <row r="728" spans="24:40" x14ac:dyDescent="0.3">
      <c r="X728" s="13"/>
      <c r="Y728" s="13" t="str">
        <f>IF($X728="","",SUMIFS(TARIFF_PROFILES!$D:$D,TARIFF_PROFILES!$A:$A,$X728))</f>
        <v/>
      </c>
      <c r="Z728" s="13" t="str">
        <f>IF($X728="","",SUMIFS(TARIFF_PROFILES!$E:$E,TARIFF_PROFILES!$A:$A,$X728))</f>
        <v/>
      </c>
      <c r="AA728" s="13" t="str">
        <f>IF($X728="","",SUMIFS(TARIFF_PROFILES!$F:$F,TARIFF_PROFILES!$A:$A,$X728))</f>
        <v/>
      </c>
      <c r="AB728" s="13" t="str">
        <f>IF($X728="","",SUMIFS(TARIFF_PROFILES!$G:$G,TARIFF_PROFILES!$A:$A,$X728))</f>
        <v/>
      </c>
      <c r="AC728" s="13" t="str">
        <f>IF($X728="","",SUMIFS(TARIFF_PROFILES!$H:$H,TARIFF_PROFILES!$A:$A,$X728))</f>
        <v/>
      </c>
      <c r="AD728" s="13" t="str">
        <f>IF($X728="","",INDEX(TARIFF_PROFILES!$J:$J,MATCH($X728,TARIFF_PROFILES!$A:$A,0)))</f>
        <v/>
      </c>
      <c r="AE728" s="13" t="str">
        <f>IF($X728="","",INDEX(TARIFF_PROFILES!$K:$K,MATCH($X728,TARIFF_PROFILES!$A:$A,0)))</f>
        <v/>
      </c>
      <c r="AH728" t="str">
        <f>IF($AG728="","",SUMIFS(OPERATING_COEFFS!$C:$C,OPERATING_COEFFS!$A:$A,"DistanceClass",OPERATING_COEFFS!$B:$B,$AG728))</f>
        <v/>
      </c>
      <c r="AJ728" t="str">
        <f>IF($AI728="","",SUMIFS(OPERATING_COEFFS!$C:$C,OPERATING_COEFFS!$A:$A,"SeasonClass",OPERATING_COEFFS!$B:$B,$AI728))</f>
        <v/>
      </c>
      <c r="AL728" t="str">
        <f>IF($AK728="","",SUMIFS(OPERATING_COEFFS!$C:$C,OPERATING_COEFFS!$A:$A,"UrgencyClass",OPERATING_COEFFS!$B:$B,$AK728))</f>
        <v/>
      </c>
      <c r="AN728" t="str">
        <f>IF($AM728="","",INDEX(TAX_MODES!$B:$B,MATCH($AM728,TAX_MODES!$A:$A,0)))</f>
        <v/>
      </c>
    </row>
    <row r="729" spans="24:40" x14ac:dyDescent="0.3">
      <c r="X729" s="13"/>
      <c r="Y729" s="13" t="str">
        <f>IF($X729="","",SUMIFS(TARIFF_PROFILES!$D:$D,TARIFF_PROFILES!$A:$A,$X729))</f>
        <v/>
      </c>
      <c r="Z729" s="13" t="str">
        <f>IF($X729="","",SUMIFS(TARIFF_PROFILES!$E:$E,TARIFF_PROFILES!$A:$A,$X729))</f>
        <v/>
      </c>
      <c r="AA729" s="13" t="str">
        <f>IF($X729="","",SUMIFS(TARIFF_PROFILES!$F:$F,TARIFF_PROFILES!$A:$A,$X729))</f>
        <v/>
      </c>
      <c r="AB729" s="13" t="str">
        <f>IF($X729="","",SUMIFS(TARIFF_PROFILES!$G:$G,TARIFF_PROFILES!$A:$A,$X729))</f>
        <v/>
      </c>
      <c r="AC729" s="13" t="str">
        <f>IF($X729="","",SUMIFS(TARIFF_PROFILES!$H:$H,TARIFF_PROFILES!$A:$A,$X729))</f>
        <v/>
      </c>
      <c r="AD729" s="13" t="str">
        <f>IF($X729="","",INDEX(TARIFF_PROFILES!$J:$J,MATCH($X729,TARIFF_PROFILES!$A:$A,0)))</f>
        <v/>
      </c>
      <c r="AE729" s="13" t="str">
        <f>IF($X729="","",INDEX(TARIFF_PROFILES!$K:$K,MATCH($X729,TARIFF_PROFILES!$A:$A,0)))</f>
        <v/>
      </c>
      <c r="AH729" t="str">
        <f>IF($AG729="","",SUMIFS(OPERATING_COEFFS!$C:$C,OPERATING_COEFFS!$A:$A,"DistanceClass",OPERATING_COEFFS!$B:$B,$AG729))</f>
        <v/>
      </c>
      <c r="AJ729" t="str">
        <f>IF($AI729="","",SUMIFS(OPERATING_COEFFS!$C:$C,OPERATING_COEFFS!$A:$A,"SeasonClass",OPERATING_COEFFS!$B:$B,$AI729))</f>
        <v/>
      </c>
      <c r="AL729" t="str">
        <f>IF($AK729="","",SUMIFS(OPERATING_COEFFS!$C:$C,OPERATING_COEFFS!$A:$A,"UrgencyClass",OPERATING_COEFFS!$B:$B,$AK729))</f>
        <v/>
      </c>
      <c r="AN729" t="str">
        <f>IF($AM729="","",INDEX(TAX_MODES!$B:$B,MATCH($AM729,TAX_MODES!$A:$A,0)))</f>
        <v/>
      </c>
    </row>
    <row r="730" spans="24:40" x14ac:dyDescent="0.3">
      <c r="X730" s="13"/>
      <c r="Y730" s="13" t="str">
        <f>IF($X730="","",SUMIFS(TARIFF_PROFILES!$D:$D,TARIFF_PROFILES!$A:$A,$X730))</f>
        <v/>
      </c>
      <c r="Z730" s="13" t="str">
        <f>IF($X730="","",SUMIFS(TARIFF_PROFILES!$E:$E,TARIFF_PROFILES!$A:$A,$X730))</f>
        <v/>
      </c>
      <c r="AA730" s="13" t="str">
        <f>IF($X730="","",SUMIFS(TARIFF_PROFILES!$F:$F,TARIFF_PROFILES!$A:$A,$X730))</f>
        <v/>
      </c>
      <c r="AB730" s="13" t="str">
        <f>IF($X730="","",SUMIFS(TARIFF_PROFILES!$G:$G,TARIFF_PROFILES!$A:$A,$X730))</f>
        <v/>
      </c>
      <c r="AC730" s="13" t="str">
        <f>IF($X730="","",SUMIFS(TARIFF_PROFILES!$H:$H,TARIFF_PROFILES!$A:$A,$X730))</f>
        <v/>
      </c>
      <c r="AD730" s="13" t="str">
        <f>IF($X730="","",INDEX(TARIFF_PROFILES!$J:$J,MATCH($X730,TARIFF_PROFILES!$A:$A,0)))</f>
        <v/>
      </c>
      <c r="AE730" s="13" t="str">
        <f>IF($X730="","",INDEX(TARIFF_PROFILES!$K:$K,MATCH($X730,TARIFF_PROFILES!$A:$A,0)))</f>
        <v/>
      </c>
      <c r="AH730" t="str">
        <f>IF($AG730="","",SUMIFS(OPERATING_COEFFS!$C:$C,OPERATING_COEFFS!$A:$A,"DistanceClass",OPERATING_COEFFS!$B:$B,$AG730))</f>
        <v/>
      </c>
      <c r="AJ730" t="str">
        <f>IF($AI730="","",SUMIFS(OPERATING_COEFFS!$C:$C,OPERATING_COEFFS!$A:$A,"SeasonClass",OPERATING_COEFFS!$B:$B,$AI730))</f>
        <v/>
      </c>
      <c r="AL730" t="str">
        <f>IF($AK730="","",SUMIFS(OPERATING_COEFFS!$C:$C,OPERATING_COEFFS!$A:$A,"UrgencyClass",OPERATING_COEFFS!$B:$B,$AK730))</f>
        <v/>
      </c>
      <c r="AN730" t="str">
        <f>IF($AM730="","",INDEX(TAX_MODES!$B:$B,MATCH($AM730,TAX_MODES!$A:$A,0)))</f>
        <v/>
      </c>
    </row>
    <row r="731" spans="24:40" x14ac:dyDescent="0.3">
      <c r="X731" s="13"/>
      <c r="Y731" s="13" t="str">
        <f>IF($X731="","",SUMIFS(TARIFF_PROFILES!$D:$D,TARIFF_PROFILES!$A:$A,$X731))</f>
        <v/>
      </c>
      <c r="Z731" s="13" t="str">
        <f>IF($X731="","",SUMIFS(TARIFF_PROFILES!$E:$E,TARIFF_PROFILES!$A:$A,$X731))</f>
        <v/>
      </c>
      <c r="AA731" s="13" t="str">
        <f>IF($X731="","",SUMIFS(TARIFF_PROFILES!$F:$F,TARIFF_PROFILES!$A:$A,$X731))</f>
        <v/>
      </c>
      <c r="AB731" s="13" t="str">
        <f>IF($X731="","",SUMIFS(TARIFF_PROFILES!$G:$G,TARIFF_PROFILES!$A:$A,$X731))</f>
        <v/>
      </c>
      <c r="AC731" s="13" t="str">
        <f>IF($X731="","",SUMIFS(TARIFF_PROFILES!$H:$H,TARIFF_PROFILES!$A:$A,$X731))</f>
        <v/>
      </c>
      <c r="AD731" s="13" t="str">
        <f>IF($X731="","",INDEX(TARIFF_PROFILES!$J:$J,MATCH($X731,TARIFF_PROFILES!$A:$A,0)))</f>
        <v/>
      </c>
      <c r="AE731" s="13" t="str">
        <f>IF($X731="","",INDEX(TARIFF_PROFILES!$K:$K,MATCH($X731,TARIFF_PROFILES!$A:$A,0)))</f>
        <v/>
      </c>
      <c r="AH731" t="str">
        <f>IF($AG731="","",SUMIFS(OPERATING_COEFFS!$C:$C,OPERATING_COEFFS!$A:$A,"DistanceClass",OPERATING_COEFFS!$B:$B,$AG731))</f>
        <v/>
      </c>
      <c r="AJ731" t="str">
        <f>IF($AI731="","",SUMIFS(OPERATING_COEFFS!$C:$C,OPERATING_COEFFS!$A:$A,"SeasonClass",OPERATING_COEFFS!$B:$B,$AI731))</f>
        <v/>
      </c>
      <c r="AL731" t="str">
        <f>IF($AK731="","",SUMIFS(OPERATING_COEFFS!$C:$C,OPERATING_COEFFS!$A:$A,"UrgencyClass",OPERATING_COEFFS!$B:$B,$AK731))</f>
        <v/>
      </c>
      <c r="AN731" t="str">
        <f>IF($AM731="","",INDEX(TAX_MODES!$B:$B,MATCH($AM731,TAX_MODES!$A:$A,0)))</f>
        <v/>
      </c>
    </row>
    <row r="732" spans="24:40" x14ac:dyDescent="0.3">
      <c r="X732" s="13"/>
      <c r="Y732" s="13" t="str">
        <f>IF($X732="","",SUMIFS(TARIFF_PROFILES!$D:$D,TARIFF_PROFILES!$A:$A,$X732))</f>
        <v/>
      </c>
      <c r="Z732" s="13" t="str">
        <f>IF($X732="","",SUMIFS(TARIFF_PROFILES!$E:$E,TARIFF_PROFILES!$A:$A,$X732))</f>
        <v/>
      </c>
      <c r="AA732" s="13" t="str">
        <f>IF($X732="","",SUMIFS(TARIFF_PROFILES!$F:$F,TARIFF_PROFILES!$A:$A,$X732))</f>
        <v/>
      </c>
      <c r="AB732" s="13" t="str">
        <f>IF($X732="","",SUMIFS(TARIFF_PROFILES!$G:$G,TARIFF_PROFILES!$A:$A,$X732))</f>
        <v/>
      </c>
      <c r="AC732" s="13" t="str">
        <f>IF($X732="","",SUMIFS(TARIFF_PROFILES!$H:$H,TARIFF_PROFILES!$A:$A,$X732))</f>
        <v/>
      </c>
      <c r="AD732" s="13" t="str">
        <f>IF($X732="","",INDEX(TARIFF_PROFILES!$J:$J,MATCH($X732,TARIFF_PROFILES!$A:$A,0)))</f>
        <v/>
      </c>
      <c r="AE732" s="13" t="str">
        <f>IF($X732="","",INDEX(TARIFF_PROFILES!$K:$K,MATCH($X732,TARIFF_PROFILES!$A:$A,0)))</f>
        <v/>
      </c>
      <c r="AH732" t="str">
        <f>IF($AG732="","",SUMIFS(OPERATING_COEFFS!$C:$C,OPERATING_COEFFS!$A:$A,"DistanceClass",OPERATING_COEFFS!$B:$B,$AG732))</f>
        <v/>
      </c>
      <c r="AJ732" t="str">
        <f>IF($AI732="","",SUMIFS(OPERATING_COEFFS!$C:$C,OPERATING_COEFFS!$A:$A,"SeasonClass",OPERATING_COEFFS!$B:$B,$AI732))</f>
        <v/>
      </c>
      <c r="AL732" t="str">
        <f>IF($AK732="","",SUMIFS(OPERATING_COEFFS!$C:$C,OPERATING_COEFFS!$A:$A,"UrgencyClass",OPERATING_COEFFS!$B:$B,$AK732))</f>
        <v/>
      </c>
      <c r="AN732" t="str">
        <f>IF($AM732="","",INDEX(TAX_MODES!$B:$B,MATCH($AM732,TAX_MODES!$A:$A,0)))</f>
        <v/>
      </c>
    </row>
    <row r="733" spans="24:40" x14ac:dyDescent="0.3">
      <c r="X733" s="13"/>
      <c r="Y733" s="13" t="str">
        <f>IF($X733="","",SUMIFS(TARIFF_PROFILES!$D:$D,TARIFF_PROFILES!$A:$A,$X733))</f>
        <v/>
      </c>
      <c r="Z733" s="13" t="str">
        <f>IF($X733="","",SUMIFS(TARIFF_PROFILES!$E:$E,TARIFF_PROFILES!$A:$A,$X733))</f>
        <v/>
      </c>
      <c r="AA733" s="13" t="str">
        <f>IF($X733="","",SUMIFS(TARIFF_PROFILES!$F:$F,TARIFF_PROFILES!$A:$A,$X733))</f>
        <v/>
      </c>
      <c r="AB733" s="13" t="str">
        <f>IF($X733="","",SUMIFS(TARIFF_PROFILES!$G:$G,TARIFF_PROFILES!$A:$A,$X733))</f>
        <v/>
      </c>
      <c r="AC733" s="13" t="str">
        <f>IF($X733="","",SUMIFS(TARIFF_PROFILES!$H:$H,TARIFF_PROFILES!$A:$A,$X733))</f>
        <v/>
      </c>
      <c r="AD733" s="13" t="str">
        <f>IF($X733="","",INDEX(TARIFF_PROFILES!$J:$J,MATCH($X733,TARIFF_PROFILES!$A:$A,0)))</f>
        <v/>
      </c>
      <c r="AE733" s="13" t="str">
        <f>IF($X733="","",INDEX(TARIFF_PROFILES!$K:$K,MATCH($X733,TARIFF_PROFILES!$A:$A,0)))</f>
        <v/>
      </c>
      <c r="AH733" t="str">
        <f>IF($AG733="","",SUMIFS(OPERATING_COEFFS!$C:$C,OPERATING_COEFFS!$A:$A,"DistanceClass",OPERATING_COEFFS!$B:$B,$AG733))</f>
        <v/>
      </c>
      <c r="AJ733" t="str">
        <f>IF($AI733="","",SUMIFS(OPERATING_COEFFS!$C:$C,OPERATING_COEFFS!$A:$A,"SeasonClass",OPERATING_COEFFS!$B:$B,$AI733))</f>
        <v/>
      </c>
      <c r="AL733" t="str">
        <f>IF($AK733="","",SUMIFS(OPERATING_COEFFS!$C:$C,OPERATING_COEFFS!$A:$A,"UrgencyClass",OPERATING_COEFFS!$B:$B,$AK733))</f>
        <v/>
      </c>
      <c r="AN733" t="str">
        <f>IF($AM733="","",INDEX(TAX_MODES!$B:$B,MATCH($AM733,TAX_MODES!$A:$A,0)))</f>
        <v/>
      </c>
    </row>
    <row r="734" spans="24:40" x14ac:dyDescent="0.3">
      <c r="X734" s="13"/>
      <c r="Y734" s="13" t="str">
        <f>IF($X734="","",SUMIFS(TARIFF_PROFILES!$D:$D,TARIFF_PROFILES!$A:$A,$X734))</f>
        <v/>
      </c>
      <c r="Z734" s="13" t="str">
        <f>IF($X734="","",SUMIFS(TARIFF_PROFILES!$E:$E,TARIFF_PROFILES!$A:$A,$X734))</f>
        <v/>
      </c>
      <c r="AA734" s="13" t="str">
        <f>IF($X734="","",SUMIFS(TARIFF_PROFILES!$F:$F,TARIFF_PROFILES!$A:$A,$X734))</f>
        <v/>
      </c>
      <c r="AB734" s="13" t="str">
        <f>IF($X734="","",SUMIFS(TARIFF_PROFILES!$G:$G,TARIFF_PROFILES!$A:$A,$X734))</f>
        <v/>
      </c>
      <c r="AC734" s="13" t="str">
        <f>IF($X734="","",SUMIFS(TARIFF_PROFILES!$H:$H,TARIFF_PROFILES!$A:$A,$X734))</f>
        <v/>
      </c>
      <c r="AD734" s="13" t="str">
        <f>IF($X734="","",INDEX(TARIFF_PROFILES!$J:$J,MATCH($X734,TARIFF_PROFILES!$A:$A,0)))</f>
        <v/>
      </c>
      <c r="AE734" s="13" t="str">
        <f>IF($X734="","",INDEX(TARIFF_PROFILES!$K:$K,MATCH($X734,TARIFF_PROFILES!$A:$A,0)))</f>
        <v/>
      </c>
      <c r="AH734" t="str">
        <f>IF($AG734="","",SUMIFS(OPERATING_COEFFS!$C:$C,OPERATING_COEFFS!$A:$A,"DistanceClass",OPERATING_COEFFS!$B:$B,$AG734))</f>
        <v/>
      </c>
      <c r="AJ734" t="str">
        <f>IF($AI734="","",SUMIFS(OPERATING_COEFFS!$C:$C,OPERATING_COEFFS!$A:$A,"SeasonClass",OPERATING_COEFFS!$B:$B,$AI734))</f>
        <v/>
      </c>
      <c r="AL734" t="str">
        <f>IF($AK734="","",SUMIFS(OPERATING_COEFFS!$C:$C,OPERATING_COEFFS!$A:$A,"UrgencyClass",OPERATING_COEFFS!$B:$B,$AK734))</f>
        <v/>
      </c>
      <c r="AN734" t="str">
        <f>IF($AM734="","",INDEX(TAX_MODES!$B:$B,MATCH($AM734,TAX_MODES!$A:$A,0)))</f>
        <v/>
      </c>
    </row>
    <row r="735" spans="24:40" x14ac:dyDescent="0.3">
      <c r="X735" s="13"/>
      <c r="Y735" s="13" t="str">
        <f>IF($X735="","",SUMIFS(TARIFF_PROFILES!$D:$D,TARIFF_PROFILES!$A:$A,$X735))</f>
        <v/>
      </c>
      <c r="Z735" s="13" t="str">
        <f>IF($X735="","",SUMIFS(TARIFF_PROFILES!$E:$E,TARIFF_PROFILES!$A:$A,$X735))</f>
        <v/>
      </c>
      <c r="AA735" s="13" t="str">
        <f>IF($X735="","",SUMIFS(TARIFF_PROFILES!$F:$F,TARIFF_PROFILES!$A:$A,$X735))</f>
        <v/>
      </c>
      <c r="AB735" s="13" t="str">
        <f>IF($X735="","",SUMIFS(TARIFF_PROFILES!$G:$G,TARIFF_PROFILES!$A:$A,$X735))</f>
        <v/>
      </c>
      <c r="AC735" s="13" t="str">
        <f>IF($X735="","",SUMIFS(TARIFF_PROFILES!$H:$H,TARIFF_PROFILES!$A:$A,$X735))</f>
        <v/>
      </c>
      <c r="AD735" s="13" t="str">
        <f>IF($X735="","",INDEX(TARIFF_PROFILES!$J:$J,MATCH($X735,TARIFF_PROFILES!$A:$A,0)))</f>
        <v/>
      </c>
      <c r="AE735" s="13" t="str">
        <f>IF($X735="","",INDEX(TARIFF_PROFILES!$K:$K,MATCH($X735,TARIFF_PROFILES!$A:$A,0)))</f>
        <v/>
      </c>
      <c r="AH735" t="str">
        <f>IF($AG735="","",SUMIFS(OPERATING_COEFFS!$C:$C,OPERATING_COEFFS!$A:$A,"DistanceClass",OPERATING_COEFFS!$B:$B,$AG735))</f>
        <v/>
      </c>
      <c r="AJ735" t="str">
        <f>IF($AI735="","",SUMIFS(OPERATING_COEFFS!$C:$C,OPERATING_COEFFS!$A:$A,"SeasonClass",OPERATING_COEFFS!$B:$B,$AI735))</f>
        <v/>
      </c>
      <c r="AL735" t="str">
        <f>IF($AK735="","",SUMIFS(OPERATING_COEFFS!$C:$C,OPERATING_COEFFS!$A:$A,"UrgencyClass",OPERATING_COEFFS!$B:$B,$AK735))</f>
        <v/>
      </c>
      <c r="AN735" t="str">
        <f>IF($AM735="","",INDEX(TAX_MODES!$B:$B,MATCH($AM735,TAX_MODES!$A:$A,0)))</f>
        <v/>
      </c>
    </row>
    <row r="736" spans="24:40" x14ac:dyDescent="0.3">
      <c r="X736" s="13"/>
      <c r="Y736" s="13" t="str">
        <f>IF($X736="","",SUMIFS(TARIFF_PROFILES!$D:$D,TARIFF_PROFILES!$A:$A,$X736))</f>
        <v/>
      </c>
      <c r="Z736" s="13" t="str">
        <f>IF($X736="","",SUMIFS(TARIFF_PROFILES!$E:$E,TARIFF_PROFILES!$A:$A,$X736))</f>
        <v/>
      </c>
      <c r="AA736" s="13" t="str">
        <f>IF($X736="","",SUMIFS(TARIFF_PROFILES!$F:$F,TARIFF_PROFILES!$A:$A,$X736))</f>
        <v/>
      </c>
      <c r="AB736" s="13" t="str">
        <f>IF($X736="","",SUMIFS(TARIFF_PROFILES!$G:$G,TARIFF_PROFILES!$A:$A,$X736))</f>
        <v/>
      </c>
      <c r="AC736" s="13" t="str">
        <f>IF($X736="","",SUMIFS(TARIFF_PROFILES!$H:$H,TARIFF_PROFILES!$A:$A,$X736))</f>
        <v/>
      </c>
      <c r="AD736" s="13" t="str">
        <f>IF($X736="","",INDEX(TARIFF_PROFILES!$J:$J,MATCH($X736,TARIFF_PROFILES!$A:$A,0)))</f>
        <v/>
      </c>
      <c r="AE736" s="13" t="str">
        <f>IF($X736="","",INDEX(TARIFF_PROFILES!$K:$K,MATCH($X736,TARIFF_PROFILES!$A:$A,0)))</f>
        <v/>
      </c>
      <c r="AH736" t="str">
        <f>IF($AG736="","",SUMIFS(OPERATING_COEFFS!$C:$C,OPERATING_COEFFS!$A:$A,"DistanceClass",OPERATING_COEFFS!$B:$B,$AG736))</f>
        <v/>
      </c>
      <c r="AJ736" t="str">
        <f>IF($AI736="","",SUMIFS(OPERATING_COEFFS!$C:$C,OPERATING_COEFFS!$A:$A,"SeasonClass",OPERATING_COEFFS!$B:$B,$AI736))</f>
        <v/>
      </c>
      <c r="AL736" t="str">
        <f>IF($AK736="","",SUMIFS(OPERATING_COEFFS!$C:$C,OPERATING_COEFFS!$A:$A,"UrgencyClass",OPERATING_COEFFS!$B:$B,$AK736))</f>
        <v/>
      </c>
      <c r="AN736" t="str">
        <f>IF($AM736="","",INDEX(TAX_MODES!$B:$B,MATCH($AM736,TAX_MODES!$A:$A,0)))</f>
        <v/>
      </c>
    </row>
    <row r="737" spans="24:40" x14ac:dyDescent="0.3">
      <c r="X737" s="13"/>
      <c r="Y737" s="13" t="str">
        <f>IF($X737="","",SUMIFS(TARIFF_PROFILES!$D:$D,TARIFF_PROFILES!$A:$A,$X737))</f>
        <v/>
      </c>
      <c r="Z737" s="13" t="str">
        <f>IF($X737="","",SUMIFS(TARIFF_PROFILES!$E:$E,TARIFF_PROFILES!$A:$A,$X737))</f>
        <v/>
      </c>
      <c r="AA737" s="13" t="str">
        <f>IF($X737="","",SUMIFS(TARIFF_PROFILES!$F:$F,TARIFF_PROFILES!$A:$A,$X737))</f>
        <v/>
      </c>
      <c r="AB737" s="13" t="str">
        <f>IF($X737="","",SUMIFS(TARIFF_PROFILES!$G:$G,TARIFF_PROFILES!$A:$A,$X737))</f>
        <v/>
      </c>
      <c r="AC737" s="13" t="str">
        <f>IF($X737="","",SUMIFS(TARIFF_PROFILES!$H:$H,TARIFF_PROFILES!$A:$A,$X737))</f>
        <v/>
      </c>
      <c r="AD737" s="13" t="str">
        <f>IF($X737="","",INDEX(TARIFF_PROFILES!$J:$J,MATCH($X737,TARIFF_PROFILES!$A:$A,0)))</f>
        <v/>
      </c>
      <c r="AE737" s="13" t="str">
        <f>IF($X737="","",INDEX(TARIFF_PROFILES!$K:$K,MATCH($X737,TARIFF_PROFILES!$A:$A,0)))</f>
        <v/>
      </c>
      <c r="AH737" t="str">
        <f>IF($AG737="","",SUMIFS(OPERATING_COEFFS!$C:$C,OPERATING_COEFFS!$A:$A,"DistanceClass",OPERATING_COEFFS!$B:$B,$AG737))</f>
        <v/>
      </c>
      <c r="AJ737" t="str">
        <f>IF($AI737="","",SUMIFS(OPERATING_COEFFS!$C:$C,OPERATING_COEFFS!$A:$A,"SeasonClass",OPERATING_COEFFS!$B:$B,$AI737))</f>
        <v/>
      </c>
      <c r="AL737" t="str">
        <f>IF($AK737="","",SUMIFS(OPERATING_COEFFS!$C:$C,OPERATING_COEFFS!$A:$A,"UrgencyClass",OPERATING_COEFFS!$B:$B,$AK737))</f>
        <v/>
      </c>
      <c r="AN737" t="str">
        <f>IF($AM737="","",INDEX(TAX_MODES!$B:$B,MATCH($AM737,TAX_MODES!$A:$A,0)))</f>
        <v/>
      </c>
    </row>
    <row r="738" spans="24:40" x14ac:dyDescent="0.3">
      <c r="X738" s="13"/>
      <c r="Y738" s="13" t="str">
        <f>IF($X738="","",SUMIFS(TARIFF_PROFILES!$D:$D,TARIFF_PROFILES!$A:$A,$X738))</f>
        <v/>
      </c>
      <c r="Z738" s="13" t="str">
        <f>IF($X738="","",SUMIFS(TARIFF_PROFILES!$E:$E,TARIFF_PROFILES!$A:$A,$X738))</f>
        <v/>
      </c>
      <c r="AA738" s="13" t="str">
        <f>IF($X738="","",SUMIFS(TARIFF_PROFILES!$F:$F,TARIFF_PROFILES!$A:$A,$X738))</f>
        <v/>
      </c>
      <c r="AB738" s="13" t="str">
        <f>IF($X738="","",SUMIFS(TARIFF_PROFILES!$G:$G,TARIFF_PROFILES!$A:$A,$X738))</f>
        <v/>
      </c>
      <c r="AC738" s="13" t="str">
        <f>IF($X738="","",SUMIFS(TARIFF_PROFILES!$H:$H,TARIFF_PROFILES!$A:$A,$X738))</f>
        <v/>
      </c>
      <c r="AD738" s="13" t="str">
        <f>IF($X738="","",INDEX(TARIFF_PROFILES!$J:$J,MATCH($X738,TARIFF_PROFILES!$A:$A,0)))</f>
        <v/>
      </c>
      <c r="AE738" s="13" t="str">
        <f>IF($X738="","",INDEX(TARIFF_PROFILES!$K:$K,MATCH($X738,TARIFF_PROFILES!$A:$A,0)))</f>
        <v/>
      </c>
      <c r="AH738" t="str">
        <f>IF($AG738="","",SUMIFS(OPERATING_COEFFS!$C:$C,OPERATING_COEFFS!$A:$A,"DistanceClass",OPERATING_COEFFS!$B:$B,$AG738))</f>
        <v/>
      </c>
      <c r="AJ738" t="str">
        <f>IF($AI738="","",SUMIFS(OPERATING_COEFFS!$C:$C,OPERATING_COEFFS!$A:$A,"SeasonClass",OPERATING_COEFFS!$B:$B,$AI738))</f>
        <v/>
      </c>
      <c r="AL738" t="str">
        <f>IF($AK738="","",SUMIFS(OPERATING_COEFFS!$C:$C,OPERATING_COEFFS!$A:$A,"UrgencyClass",OPERATING_COEFFS!$B:$B,$AK738))</f>
        <v/>
      </c>
      <c r="AN738" t="str">
        <f>IF($AM738="","",INDEX(TAX_MODES!$B:$B,MATCH($AM738,TAX_MODES!$A:$A,0)))</f>
        <v/>
      </c>
    </row>
    <row r="739" spans="24:40" x14ac:dyDescent="0.3">
      <c r="X739" s="13"/>
      <c r="Y739" s="13" t="str">
        <f>IF($X739="","",SUMIFS(TARIFF_PROFILES!$D:$D,TARIFF_PROFILES!$A:$A,$X739))</f>
        <v/>
      </c>
      <c r="Z739" s="13" t="str">
        <f>IF($X739="","",SUMIFS(TARIFF_PROFILES!$E:$E,TARIFF_PROFILES!$A:$A,$X739))</f>
        <v/>
      </c>
      <c r="AA739" s="13" t="str">
        <f>IF($X739="","",SUMIFS(TARIFF_PROFILES!$F:$F,TARIFF_PROFILES!$A:$A,$X739))</f>
        <v/>
      </c>
      <c r="AB739" s="13" t="str">
        <f>IF($X739="","",SUMIFS(TARIFF_PROFILES!$G:$G,TARIFF_PROFILES!$A:$A,$X739))</f>
        <v/>
      </c>
      <c r="AC739" s="13" t="str">
        <f>IF($X739="","",SUMIFS(TARIFF_PROFILES!$H:$H,TARIFF_PROFILES!$A:$A,$X739))</f>
        <v/>
      </c>
      <c r="AD739" s="13" t="str">
        <f>IF($X739="","",INDEX(TARIFF_PROFILES!$J:$J,MATCH($X739,TARIFF_PROFILES!$A:$A,0)))</f>
        <v/>
      </c>
      <c r="AE739" s="13" t="str">
        <f>IF($X739="","",INDEX(TARIFF_PROFILES!$K:$K,MATCH($X739,TARIFF_PROFILES!$A:$A,0)))</f>
        <v/>
      </c>
      <c r="AH739" t="str">
        <f>IF($AG739="","",SUMIFS(OPERATING_COEFFS!$C:$C,OPERATING_COEFFS!$A:$A,"DistanceClass",OPERATING_COEFFS!$B:$B,$AG739))</f>
        <v/>
      </c>
      <c r="AJ739" t="str">
        <f>IF($AI739="","",SUMIFS(OPERATING_COEFFS!$C:$C,OPERATING_COEFFS!$A:$A,"SeasonClass",OPERATING_COEFFS!$B:$B,$AI739))</f>
        <v/>
      </c>
      <c r="AL739" t="str">
        <f>IF($AK739="","",SUMIFS(OPERATING_COEFFS!$C:$C,OPERATING_COEFFS!$A:$A,"UrgencyClass",OPERATING_COEFFS!$B:$B,$AK739))</f>
        <v/>
      </c>
      <c r="AN739" t="str">
        <f>IF($AM739="","",INDEX(TAX_MODES!$B:$B,MATCH($AM739,TAX_MODES!$A:$A,0)))</f>
        <v/>
      </c>
    </row>
    <row r="740" spans="24:40" x14ac:dyDescent="0.3">
      <c r="X740" s="13"/>
      <c r="Y740" s="13" t="str">
        <f>IF($X740="","",SUMIFS(TARIFF_PROFILES!$D:$D,TARIFF_PROFILES!$A:$A,$X740))</f>
        <v/>
      </c>
      <c r="Z740" s="13" t="str">
        <f>IF($X740="","",SUMIFS(TARIFF_PROFILES!$E:$E,TARIFF_PROFILES!$A:$A,$X740))</f>
        <v/>
      </c>
      <c r="AA740" s="13" t="str">
        <f>IF($X740="","",SUMIFS(TARIFF_PROFILES!$F:$F,TARIFF_PROFILES!$A:$A,$X740))</f>
        <v/>
      </c>
      <c r="AB740" s="13" t="str">
        <f>IF($X740="","",SUMIFS(TARIFF_PROFILES!$G:$G,TARIFF_PROFILES!$A:$A,$X740))</f>
        <v/>
      </c>
      <c r="AC740" s="13" t="str">
        <f>IF($X740="","",SUMIFS(TARIFF_PROFILES!$H:$H,TARIFF_PROFILES!$A:$A,$X740))</f>
        <v/>
      </c>
      <c r="AD740" s="13" t="str">
        <f>IF($X740="","",INDEX(TARIFF_PROFILES!$J:$J,MATCH($X740,TARIFF_PROFILES!$A:$A,0)))</f>
        <v/>
      </c>
      <c r="AE740" s="13" t="str">
        <f>IF($X740="","",INDEX(TARIFF_PROFILES!$K:$K,MATCH($X740,TARIFF_PROFILES!$A:$A,0)))</f>
        <v/>
      </c>
      <c r="AH740" t="str">
        <f>IF($AG740="","",SUMIFS(OPERATING_COEFFS!$C:$C,OPERATING_COEFFS!$A:$A,"DistanceClass",OPERATING_COEFFS!$B:$B,$AG740))</f>
        <v/>
      </c>
      <c r="AJ740" t="str">
        <f>IF($AI740="","",SUMIFS(OPERATING_COEFFS!$C:$C,OPERATING_COEFFS!$A:$A,"SeasonClass",OPERATING_COEFFS!$B:$B,$AI740))</f>
        <v/>
      </c>
      <c r="AL740" t="str">
        <f>IF($AK740="","",SUMIFS(OPERATING_COEFFS!$C:$C,OPERATING_COEFFS!$A:$A,"UrgencyClass",OPERATING_COEFFS!$B:$B,$AK740))</f>
        <v/>
      </c>
      <c r="AN740" t="str">
        <f>IF($AM740="","",INDEX(TAX_MODES!$B:$B,MATCH($AM740,TAX_MODES!$A:$A,0)))</f>
        <v/>
      </c>
    </row>
    <row r="741" spans="24:40" x14ac:dyDescent="0.3">
      <c r="X741" s="13"/>
      <c r="Y741" s="13" t="str">
        <f>IF($X741="","",SUMIFS(TARIFF_PROFILES!$D:$D,TARIFF_PROFILES!$A:$A,$X741))</f>
        <v/>
      </c>
      <c r="Z741" s="13" t="str">
        <f>IF($X741="","",SUMIFS(TARIFF_PROFILES!$E:$E,TARIFF_PROFILES!$A:$A,$X741))</f>
        <v/>
      </c>
      <c r="AA741" s="13" t="str">
        <f>IF($X741="","",SUMIFS(TARIFF_PROFILES!$F:$F,TARIFF_PROFILES!$A:$A,$X741))</f>
        <v/>
      </c>
      <c r="AB741" s="13" t="str">
        <f>IF($X741="","",SUMIFS(TARIFF_PROFILES!$G:$G,TARIFF_PROFILES!$A:$A,$X741))</f>
        <v/>
      </c>
      <c r="AC741" s="13" t="str">
        <f>IF($X741="","",SUMIFS(TARIFF_PROFILES!$H:$H,TARIFF_PROFILES!$A:$A,$X741))</f>
        <v/>
      </c>
      <c r="AD741" s="13" t="str">
        <f>IF($X741="","",INDEX(TARIFF_PROFILES!$J:$J,MATCH($X741,TARIFF_PROFILES!$A:$A,0)))</f>
        <v/>
      </c>
      <c r="AE741" s="13" t="str">
        <f>IF($X741="","",INDEX(TARIFF_PROFILES!$K:$K,MATCH($X741,TARIFF_PROFILES!$A:$A,0)))</f>
        <v/>
      </c>
      <c r="AH741" t="str">
        <f>IF($AG741="","",SUMIFS(OPERATING_COEFFS!$C:$C,OPERATING_COEFFS!$A:$A,"DistanceClass",OPERATING_COEFFS!$B:$B,$AG741))</f>
        <v/>
      </c>
      <c r="AJ741" t="str">
        <f>IF($AI741="","",SUMIFS(OPERATING_COEFFS!$C:$C,OPERATING_COEFFS!$A:$A,"SeasonClass",OPERATING_COEFFS!$B:$B,$AI741))</f>
        <v/>
      </c>
      <c r="AL741" t="str">
        <f>IF($AK741="","",SUMIFS(OPERATING_COEFFS!$C:$C,OPERATING_COEFFS!$A:$A,"UrgencyClass",OPERATING_COEFFS!$B:$B,$AK741))</f>
        <v/>
      </c>
      <c r="AN741" t="str">
        <f>IF($AM741="","",INDEX(TAX_MODES!$B:$B,MATCH($AM741,TAX_MODES!$A:$A,0)))</f>
        <v/>
      </c>
    </row>
    <row r="742" spans="24:40" x14ac:dyDescent="0.3">
      <c r="X742" s="13"/>
      <c r="Y742" s="13" t="str">
        <f>IF($X742="","",SUMIFS(TARIFF_PROFILES!$D:$D,TARIFF_PROFILES!$A:$A,$X742))</f>
        <v/>
      </c>
      <c r="Z742" s="13" t="str">
        <f>IF($X742="","",SUMIFS(TARIFF_PROFILES!$E:$E,TARIFF_PROFILES!$A:$A,$X742))</f>
        <v/>
      </c>
      <c r="AA742" s="13" t="str">
        <f>IF($X742="","",SUMIFS(TARIFF_PROFILES!$F:$F,TARIFF_PROFILES!$A:$A,$X742))</f>
        <v/>
      </c>
      <c r="AB742" s="13" t="str">
        <f>IF($X742="","",SUMIFS(TARIFF_PROFILES!$G:$G,TARIFF_PROFILES!$A:$A,$X742))</f>
        <v/>
      </c>
      <c r="AC742" s="13" t="str">
        <f>IF($X742="","",SUMIFS(TARIFF_PROFILES!$H:$H,TARIFF_PROFILES!$A:$A,$X742))</f>
        <v/>
      </c>
      <c r="AD742" s="13" t="str">
        <f>IF($X742="","",INDEX(TARIFF_PROFILES!$J:$J,MATCH($X742,TARIFF_PROFILES!$A:$A,0)))</f>
        <v/>
      </c>
      <c r="AE742" s="13" t="str">
        <f>IF($X742="","",INDEX(TARIFF_PROFILES!$K:$K,MATCH($X742,TARIFF_PROFILES!$A:$A,0)))</f>
        <v/>
      </c>
      <c r="AH742" t="str">
        <f>IF($AG742="","",SUMIFS(OPERATING_COEFFS!$C:$C,OPERATING_COEFFS!$A:$A,"DistanceClass",OPERATING_COEFFS!$B:$B,$AG742))</f>
        <v/>
      </c>
      <c r="AJ742" t="str">
        <f>IF($AI742="","",SUMIFS(OPERATING_COEFFS!$C:$C,OPERATING_COEFFS!$A:$A,"SeasonClass",OPERATING_COEFFS!$B:$B,$AI742))</f>
        <v/>
      </c>
      <c r="AL742" t="str">
        <f>IF($AK742="","",SUMIFS(OPERATING_COEFFS!$C:$C,OPERATING_COEFFS!$A:$A,"UrgencyClass",OPERATING_COEFFS!$B:$B,$AK742))</f>
        <v/>
      </c>
      <c r="AN742" t="str">
        <f>IF($AM742="","",INDEX(TAX_MODES!$B:$B,MATCH($AM742,TAX_MODES!$A:$A,0)))</f>
        <v/>
      </c>
    </row>
    <row r="743" spans="24:40" x14ac:dyDescent="0.3">
      <c r="X743" s="13"/>
      <c r="Y743" s="13" t="str">
        <f>IF($X743="","",SUMIFS(TARIFF_PROFILES!$D:$D,TARIFF_PROFILES!$A:$A,$X743))</f>
        <v/>
      </c>
      <c r="Z743" s="13" t="str">
        <f>IF($X743="","",SUMIFS(TARIFF_PROFILES!$E:$E,TARIFF_PROFILES!$A:$A,$X743))</f>
        <v/>
      </c>
      <c r="AA743" s="13" t="str">
        <f>IF($X743="","",SUMIFS(TARIFF_PROFILES!$F:$F,TARIFF_PROFILES!$A:$A,$X743))</f>
        <v/>
      </c>
      <c r="AB743" s="13" t="str">
        <f>IF($X743="","",SUMIFS(TARIFF_PROFILES!$G:$G,TARIFF_PROFILES!$A:$A,$X743))</f>
        <v/>
      </c>
      <c r="AC743" s="13" t="str">
        <f>IF($X743="","",SUMIFS(TARIFF_PROFILES!$H:$H,TARIFF_PROFILES!$A:$A,$X743))</f>
        <v/>
      </c>
      <c r="AD743" s="13" t="str">
        <f>IF($X743="","",INDEX(TARIFF_PROFILES!$J:$J,MATCH($X743,TARIFF_PROFILES!$A:$A,0)))</f>
        <v/>
      </c>
      <c r="AE743" s="13" t="str">
        <f>IF($X743="","",INDEX(TARIFF_PROFILES!$K:$K,MATCH($X743,TARIFF_PROFILES!$A:$A,0)))</f>
        <v/>
      </c>
      <c r="AH743" t="str">
        <f>IF($AG743="","",SUMIFS(OPERATING_COEFFS!$C:$C,OPERATING_COEFFS!$A:$A,"DistanceClass",OPERATING_COEFFS!$B:$B,$AG743))</f>
        <v/>
      </c>
      <c r="AJ743" t="str">
        <f>IF($AI743="","",SUMIFS(OPERATING_COEFFS!$C:$C,OPERATING_COEFFS!$A:$A,"SeasonClass",OPERATING_COEFFS!$B:$B,$AI743))</f>
        <v/>
      </c>
      <c r="AL743" t="str">
        <f>IF($AK743="","",SUMIFS(OPERATING_COEFFS!$C:$C,OPERATING_COEFFS!$A:$A,"UrgencyClass",OPERATING_COEFFS!$B:$B,$AK743))</f>
        <v/>
      </c>
      <c r="AN743" t="str">
        <f>IF($AM743="","",INDEX(TAX_MODES!$B:$B,MATCH($AM743,TAX_MODES!$A:$A,0)))</f>
        <v/>
      </c>
    </row>
    <row r="744" spans="24:40" x14ac:dyDescent="0.3">
      <c r="X744" s="13"/>
      <c r="Y744" s="13" t="str">
        <f>IF($X744="","",SUMIFS(TARIFF_PROFILES!$D:$D,TARIFF_PROFILES!$A:$A,$X744))</f>
        <v/>
      </c>
      <c r="Z744" s="13" t="str">
        <f>IF($X744="","",SUMIFS(TARIFF_PROFILES!$E:$E,TARIFF_PROFILES!$A:$A,$X744))</f>
        <v/>
      </c>
      <c r="AA744" s="13" t="str">
        <f>IF($X744="","",SUMIFS(TARIFF_PROFILES!$F:$F,TARIFF_PROFILES!$A:$A,$X744))</f>
        <v/>
      </c>
      <c r="AB744" s="13" t="str">
        <f>IF($X744="","",SUMIFS(TARIFF_PROFILES!$G:$G,TARIFF_PROFILES!$A:$A,$X744))</f>
        <v/>
      </c>
      <c r="AC744" s="13" t="str">
        <f>IF($X744="","",SUMIFS(TARIFF_PROFILES!$H:$H,TARIFF_PROFILES!$A:$A,$X744))</f>
        <v/>
      </c>
      <c r="AD744" s="13" t="str">
        <f>IF($X744="","",INDEX(TARIFF_PROFILES!$J:$J,MATCH($X744,TARIFF_PROFILES!$A:$A,0)))</f>
        <v/>
      </c>
      <c r="AE744" s="13" t="str">
        <f>IF($X744="","",INDEX(TARIFF_PROFILES!$K:$K,MATCH($X744,TARIFF_PROFILES!$A:$A,0)))</f>
        <v/>
      </c>
      <c r="AH744" t="str">
        <f>IF($AG744="","",SUMIFS(OPERATING_COEFFS!$C:$C,OPERATING_COEFFS!$A:$A,"DistanceClass",OPERATING_COEFFS!$B:$B,$AG744))</f>
        <v/>
      </c>
      <c r="AJ744" t="str">
        <f>IF($AI744="","",SUMIFS(OPERATING_COEFFS!$C:$C,OPERATING_COEFFS!$A:$A,"SeasonClass",OPERATING_COEFFS!$B:$B,$AI744))</f>
        <v/>
      </c>
      <c r="AL744" t="str">
        <f>IF($AK744="","",SUMIFS(OPERATING_COEFFS!$C:$C,OPERATING_COEFFS!$A:$A,"UrgencyClass",OPERATING_COEFFS!$B:$B,$AK744))</f>
        <v/>
      </c>
      <c r="AN744" t="str">
        <f>IF($AM744="","",INDEX(TAX_MODES!$B:$B,MATCH($AM744,TAX_MODES!$A:$A,0)))</f>
        <v/>
      </c>
    </row>
    <row r="745" spans="24:40" x14ac:dyDescent="0.3">
      <c r="X745" s="13"/>
      <c r="Y745" s="13" t="str">
        <f>IF($X745="","",SUMIFS(TARIFF_PROFILES!$D:$D,TARIFF_PROFILES!$A:$A,$X745))</f>
        <v/>
      </c>
      <c r="Z745" s="13" t="str">
        <f>IF($X745="","",SUMIFS(TARIFF_PROFILES!$E:$E,TARIFF_PROFILES!$A:$A,$X745))</f>
        <v/>
      </c>
      <c r="AA745" s="13" t="str">
        <f>IF($X745="","",SUMIFS(TARIFF_PROFILES!$F:$F,TARIFF_PROFILES!$A:$A,$X745))</f>
        <v/>
      </c>
      <c r="AB745" s="13" t="str">
        <f>IF($X745="","",SUMIFS(TARIFF_PROFILES!$G:$G,TARIFF_PROFILES!$A:$A,$X745))</f>
        <v/>
      </c>
      <c r="AC745" s="13" t="str">
        <f>IF($X745="","",SUMIFS(TARIFF_PROFILES!$H:$H,TARIFF_PROFILES!$A:$A,$X745))</f>
        <v/>
      </c>
      <c r="AD745" s="13" t="str">
        <f>IF($X745="","",INDEX(TARIFF_PROFILES!$J:$J,MATCH($X745,TARIFF_PROFILES!$A:$A,0)))</f>
        <v/>
      </c>
      <c r="AE745" s="13" t="str">
        <f>IF($X745="","",INDEX(TARIFF_PROFILES!$K:$K,MATCH($X745,TARIFF_PROFILES!$A:$A,0)))</f>
        <v/>
      </c>
      <c r="AH745" t="str">
        <f>IF($AG745="","",SUMIFS(OPERATING_COEFFS!$C:$C,OPERATING_COEFFS!$A:$A,"DistanceClass",OPERATING_COEFFS!$B:$B,$AG745))</f>
        <v/>
      </c>
      <c r="AJ745" t="str">
        <f>IF($AI745="","",SUMIFS(OPERATING_COEFFS!$C:$C,OPERATING_COEFFS!$A:$A,"SeasonClass",OPERATING_COEFFS!$B:$B,$AI745))</f>
        <v/>
      </c>
      <c r="AL745" t="str">
        <f>IF($AK745="","",SUMIFS(OPERATING_COEFFS!$C:$C,OPERATING_COEFFS!$A:$A,"UrgencyClass",OPERATING_COEFFS!$B:$B,$AK745))</f>
        <v/>
      </c>
      <c r="AN745" t="str">
        <f>IF($AM745="","",INDEX(TAX_MODES!$B:$B,MATCH($AM745,TAX_MODES!$A:$A,0)))</f>
        <v/>
      </c>
    </row>
    <row r="746" spans="24:40" x14ac:dyDescent="0.3">
      <c r="X746" s="13"/>
      <c r="Y746" s="13" t="str">
        <f>IF($X746="","",SUMIFS(TARIFF_PROFILES!$D:$D,TARIFF_PROFILES!$A:$A,$X746))</f>
        <v/>
      </c>
      <c r="Z746" s="13" t="str">
        <f>IF($X746="","",SUMIFS(TARIFF_PROFILES!$E:$E,TARIFF_PROFILES!$A:$A,$X746))</f>
        <v/>
      </c>
      <c r="AA746" s="13" t="str">
        <f>IF($X746="","",SUMIFS(TARIFF_PROFILES!$F:$F,TARIFF_PROFILES!$A:$A,$X746))</f>
        <v/>
      </c>
      <c r="AB746" s="13" t="str">
        <f>IF($X746="","",SUMIFS(TARIFF_PROFILES!$G:$G,TARIFF_PROFILES!$A:$A,$X746))</f>
        <v/>
      </c>
      <c r="AC746" s="13" t="str">
        <f>IF($X746="","",SUMIFS(TARIFF_PROFILES!$H:$H,TARIFF_PROFILES!$A:$A,$X746))</f>
        <v/>
      </c>
      <c r="AD746" s="13" t="str">
        <f>IF($X746="","",INDEX(TARIFF_PROFILES!$J:$J,MATCH($X746,TARIFF_PROFILES!$A:$A,0)))</f>
        <v/>
      </c>
      <c r="AE746" s="13" t="str">
        <f>IF($X746="","",INDEX(TARIFF_PROFILES!$K:$K,MATCH($X746,TARIFF_PROFILES!$A:$A,0)))</f>
        <v/>
      </c>
      <c r="AH746" t="str">
        <f>IF($AG746="","",SUMIFS(OPERATING_COEFFS!$C:$C,OPERATING_COEFFS!$A:$A,"DistanceClass",OPERATING_COEFFS!$B:$B,$AG746))</f>
        <v/>
      </c>
      <c r="AJ746" t="str">
        <f>IF($AI746="","",SUMIFS(OPERATING_COEFFS!$C:$C,OPERATING_COEFFS!$A:$A,"SeasonClass",OPERATING_COEFFS!$B:$B,$AI746))</f>
        <v/>
      </c>
      <c r="AL746" t="str">
        <f>IF($AK746="","",SUMIFS(OPERATING_COEFFS!$C:$C,OPERATING_COEFFS!$A:$A,"UrgencyClass",OPERATING_COEFFS!$B:$B,$AK746))</f>
        <v/>
      </c>
      <c r="AN746" t="str">
        <f>IF($AM746="","",INDEX(TAX_MODES!$B:$B,MATCH($AM746,TAX_MODES!$A:$A,0)))</f>
        <v/>
      </c>
    </row>
    <row r="747" spans="24:40" x14ac:dyDescent="0.3">
      <c r="X747" s="13"/>
      <c r="Y747" s="13" t="str">
        <f>IF($X747="","",SUMIFS(TARIFF_PROFILES!$D:$D,TARIFF_PROFILES!$A:$A,$X747))</f>
        <v/>
      </c>
      <c r="Z747" s="13" t="str">
        <f>IF($X747="","",SUMIFS(TARIFF_PROFILES!$E:$E,TARIFF_PROFILES!$A:$A,$X747))</f>
        <v/>
      </c>
      <c r="AA747" s="13" t="str">
        <f>IF($X747="","",SUMIFS(TARIFF_PROFILES!$F:$F,TARIFF_PROFILES!$A:$A,$X747))</f>
        <v/>
      </c>
      <c r="AB747" s="13" t="str">
        <f>IF($X747="","",SUMIFS(TARIFF_PROFILES!$G:$G,TARIFF_PROFILES!$A:$A,$X747))</f>
        <v/>
      </c>
      <c r="AC747" s="13" t="str">
        <f>IF($X747="","",SUMIFS(TARIFF_PROFILES!$H:$H,TARIFF_PROFILES!$A:$A,$X747))</f>
        <v/>
      </c>
      <c r="AD747" s="13" t="str">
        <f>IF($X747="","",INDEX(TARIFF_PROFILES!$J:$J,MATCH($X747,TARIFF_PROFILES!$A:$A,0)))</f>
        <v/>
      </c>
      <c r="AE747" s="13" t="str">
        <f>IF($X747="","",INDEX(TARIFF_PROFILES!$K:$K,MATCH($X747,TARIFF_PROFILES!$A:$A,0)))</f>
        <v/>
      </c>
      <c r="AH747" t="str">
        <f>IF($AG747="","",SUMIFS(OPERATING_COEFFS!$C:$C,OPERATING_COEFFS!$A:$A,"DistanceClass",OPERATING_COEFFS!$B:$B,$AG747))</f>
        <v/>
      </c>
      <c r="AJ747" t="str">
        <f>IF($AI747="","",SUMIFS(OPERATING_COEFFS!$C:$C,OPERATING_COEFFS!$A:$A,"SeasonClass",OPERATING_COEFFS!$B:$B,$AI747))</f>
        <v/>
      </c>
      <c r="AL747" t="str">
        <f>IF($AK747="","",SUMIFS(OPERATING_COEFFS!$C:$C,OPERATING_COEFFS!$A:$A,"UrgencyClass",OPERATING_COEFFS!$B:$B,$AK747))</f>
        <v/>
      </c>
      <c r="AN747" t="str">
        <f>IF($AM747="","",INDEX(TAX_MODES!$B:$B,MATCH($AM747,TAX_MODES!$A:$A,0)))</f>
        <v/>
      </c>
    </row>
    <row r="748" spans="24:40" x14ac:dyDescent="0.3">
      <c r="X748" s="13"/>
      <c r="Y748" s="13" t="str">
        <f>IF($X748="","",SUMIFS(TARIFF_PROFILES!$D:$D,TARIFF_PROFILES!$A:$A,$X748))</f>
        <v/>
      </c>
      <c r="Z748" s="13" t="str">
        <f>IF($X748="","",SUMIFS(TARIFF_PROFILES!$E:$E,TARIFF_PROFILES!$A:$A,$X748))</f>
        <v/>
      </c>
      <c r="AA748" s="13" t="str">
        <f>IF($X748="","",SUMIFS(TARIFF_PROFILES!$F:$F,TARIFF_PROFILES!$A:$A,$X748))</f>
        <v/>
      </c>
      <c r="AB748" s="13" t="str">
        <f>IF($X748="","",SUMIFS(TARIFF_PROFILES!$G:$G,TARIFF_PROFILES!$A:$A,$X748))</f>
        <v/>
      </c>
      <c r="AC748" s="13" t="str">
        <f>IF($X748="","",SUMIFS(TARIFF_PROFILES!$H:$H,TARIFF_PROFILES!$A:$A,$X748))</f>
        <v/>
      </c>
      <c r="AD748" s="13" t="str">
        <f>IF($X748="","",INDEX(TARIFF_PROFILES!$J:$J,MATCH($X748,TARIFF_PROFILES!$A:$A,0)))</f>
        <v/>
      </c>
      <c r="AE748" s="13" t="str">
        <f>IF($X748="","",INDEX(TARIFF_PROFILES!$K:$K,MATCH($X748,TARIFF_PROFILES!$A:$A,0)))</f>
        <v/>
      </c>
      <c r="AH748" t="str">
        <f>IF($AG748="","",SUMIFS(OPERATING_COEFFS!$C:$C,OPERATING_COEFFS!$A:$A,"DistanceClass",OPERATING_COEFFS!$B:$B,$AG748))</f>
        <v/>
      </c>
      <c r="AJ748" t="str">
        <f>IF($AI748="","",SUMIFS(OPERATING_COEFFS!$C:$C,OPERATING_COEFFS!$A:$A,"SeasonClass",OPERATING_COEFFS!$B:$B,$AI748))</f>
        <v/>
      </c>
      <c r="AL748" t="str">
        <f>IF($AK748="","",SUMIFS(OPERATING_COEFFS!$C:$C,OPERATING_COEFFS!$A:$A,"UrgencyClass",OPERATING_COEFFS!$B:$B,$AK748))</f>
        <v/>
      </c>
      <c r="AN748" t="str">
        <f>IF($AM748="","",INDEX(TAX_MODES!$B:$B,MATCH($AM748,TAX_MODES!$A:$A,0)))</f>
        <v/>
      </c>
    </row>
    <row r="749" spans="24:40" x14ac:dyDescent="0.3">
      <c r="X749" s="13"/>
      <c r="Y749" s="13" t="str">
        <f>IF($X749="","",SUMIFS(TARIFF_PROFILES!$D:$D,TARIFF_PROFILES!$A:$A,$X749))</f>
        <v/>
      </c>
      <c r="Z749" s="13" t="str">
        <f>IF($X749="","",SUMIFS(TARIFF_PROFILES!$E:$E,TARIFF_PROFILES!$A:$A,$X749))</f>
        <v/>
      </c>
      <c r="AA749" s="13" t="str">
        <f>IF($X749="","",SUMIFS(TARIFF_PROFILES!$F:$F,TARIFF_PROFILES!$A:$A,$X749))</f>
        <v/>
      </c>
      <c r="AB749" s="13" t="str">
        <f>IF($X749="","",SUMIFS(TARIFF_PROFILES!$G:$G,TARIFF_PROFILES!$A:$A,$X749))</f>
        <v/>
      </c>
      <c r="AC749" s="13" t="str">
        <f>IF($X749="","",SUMIFS(TARIFF_PROFILES!$H:$H,TARIFF_PROFILES!$A:$A,$X749))</f>
        <v/>
      </c>
      <c r="AD749" s="13" t="str">
        <f>IF($X749="","",INDEX(TARIFF_PROFILES!$J:$J,MATCH($X749,TARIFF_PROFILES!$A:$A,0)))</f>
        <v/>
      </c>
      <c r="AE749" s="13" t="str">
        <f>IF($X749="","",INDEX(TARIFF_PROFILES!$K:$K,MATCH($X749,TARIFF_PROFILES!$A:$A,0)))</f>
        <v/>
      </c>
      <c r="AH749" t="str">
        <f>IF($AG749="","",SUMIFS(OPERATING_COEFFS!$C:$C,OPERATING_COEFFS!$A:$A,"DistanceClass",OPERATING_COEFFS!$B:$B,$AG749))</f>
        <v/>
      </c>
      <c r="AJ749" t="str">
        <f>IF($AI749="","",SUMIFS(OPERATING_COEFFS!$C:$C,OPERATING_COEFFS!$A:$A,"SeasonClass",OPERATING_COEFFS!$B:$B,$AI749))</f>
        <v/>
      </c>
      <c r="AL749" t="str">
        <f>IF($AK749="","",SUMIFS(OPERATING_COEFFS!$C:$C,OPERATING_COEFFS!$A:$A,"UrgencyClass",OPERATING_COEFFS!$B:$B,$AK749))</f>
        <v/>
      </c>
      <c r="AN749" t="str">
        <f>IF($AM749="","",INDEX(TAX_MODES!$B:$B,MATCH($AM749,TAX_MODES!$A:$A,0)))</f>
        <v/>
      </c>
    </row>
    <row r="750" spans="24:40" x14ac:dyDescent="0.3">
      <c r="X750" s="13"/>
      <c r="Y750" s="13" t="str">
        <f>IF($X750="","",SUMIFS(TARIFF_PROFILES!$D:$D,TARIFF_PROFILES!$A:$A,$X750))</f>
        <v/>
      </c>
      <c r="Z750" s="13" t="str">
        <f>IF($X750="","",SUMIFS(TARIFF_PROFILES!$E:$E,TARIFF_PROFILES!$A:$A,$X750))</f>
        <v/>
      </c>
      <c r="AA750" s="13" t="str">
        <f>IF($X750="","",SUMIFS(TARIFF_PROFILES!$F:$F,TARIFF_PROFILES!$A:$A,$X750))</f>
        <v/>
      </c>
      <c r="AB750" s="13" t="str">
        <f>IF($X750="","",SUMIFS(TARIFF_PROFILES!$G:$G,TARIFF_PROFILES!$A:$A,$X750))</f>
        <v/>
      </c>
      <c r="AC750" s="13" t="str">
        <f>IF($X750="","",SUMIFS(TARIFF_PROFILES!$H:$H,TARIFF_PROFILES!$A:$A,$X750))</f>
        <v/>
      </c>
      <c r="AD750" s="13" t="str">
        <f>IF($X750="","",INDEX(TARIFF_PROFILES!$J:$J,MATCH($X750,TARIFF_PROFILES!$A:$A,0)))</f>
        <v/>
      </c>
      <c r="AE750" s="13" t="str">
        <f>IF($X750="","",INDEX(TARIFF_PROFILES!$K:$K,MATCH($X750,TARIFF_PROFILES!$A:$A,0)))</f>
        <v/>
      </c>
      <c r="AH750" t="str">
        <f>IF($AG750="","",SUMIFS(OPERATING_COEFFS!$C:$C,OPERATING_COEFFS!$A:$A,"DistanceClass",OPERATING_COEFFS!$B:$B,$AG750))</f>
        <v/>
      </c>
      <c r="AJ750" t="str">
        <f>IF($AI750="","",SUMIFS(OPERATING_COEFFS!$C:$C,OPERATING_COEFFS!$A:$A,"SeasonClass",OPERATING_COEFFS!$B:$B,$AI750))</f>
        <v/>
      </c>
      <c r="AL750" t="str">
        <f>IF($AK750="","",SUMIFS(OPERATING_COEFFS!$C:$C,OPERATING_COEFFS!$A:$A,"UrgencyClass",OPERATING_COEFFS!$B:$B,$AK750))</f>
        <v/>
      </c>
      <c r="AN750" t="str">
        <f>IF($AM750="","",INDEX(TAX_MODES!$B:$B,MATCH($AM750,TAX_MODES!$A:$A,0)))</f>
        <v/>
      </c>
    </row>
    <row r="751" spans="24:40" x14ac:dyDescent="0.3">
      <c r="X751" s="13"/>
      <c r="Y751" s="13" t="str">
        <f>IF($X751="","",SUMIFS(TARIFF_PROFILES!$D:$D,TARIFF_PROFILES!$A:$A,$X751))</f>
        <v/>
      </c>
      <c r="Z751" s="13" t="str">
        <f>IF($X751="","",SUMIFS(TARIFF_PROFILES!$E:$E,TARIFF_PROFILES!$A:$A,$X751))</f>
        <v/>
      </c>
      <c r="AA751" s="13" t="str">
        <f>IF($X751="","",SUMIFS(TARIFF_PROFILES!$F:$F,TARIFF_PROFILES!$A:$A,$X751))</f>
        <v/>
      </c>
      <c r="AB751" s="13" t="str">
        <f>IF($X751="","",SUMIFS(TARIFF_PROFILES!$G:$G,TARIFF_PROFILES!$A:$A,$X751))</f>
        <v/>
      </c>
      <c r="AC751" s="13" t="str">
        <f>IF($X751="","",SUMIFS(TARIFF_PROFILES!$H:$H,TARIFF_PROFILES!$A:$A,$X751))</f>
        <v/>
      </c>
      <c r="AD751" s="13" t="str">
        <f>IF($X751="","",INDEX(TARIFF_PROFILES!$J:$J,MATCH($X751,TARIFF_PROFILES!$A:$A,0)))</f>
        <v/>
      </c>
      <c r="AE751" s="13" t="str">
        <f>IF($X751="","",INDEX(TARIFF_PROFILES!$K:$K,MATCH($X751,TARIFF_PROFILES!$A:$A,0)))</f>
        <v/>
      </c>
      <c r="AH751" t="str">
        <f>IF($AG751="","",SUMIFS(OPERATING_COEFFS!$C:$C,OPERATING_COEFFS!$A:$A,"DistanceClass",OPERATING_COEFFS!$B:$B,$AG751))</f>
        <v/>
      </c>
      <c r="AJ751" t="str">
        <f>IF($AI751="","",SUMIFS(OPERATING_COEFFS!$C:$C,OPERATING_COEFFS!$A:$A,"SeasonClass",OPERATING_COEFFS!$B:$B,$AI751))</f>
        <v/>
      </c>
      <c r="AL751" t="str">
        <f>IF($AK751="","",SUMIFS(OPERATING_COEFFS!$C:$C,OPERATING_COEFFS!$A:$A,"UrgencyClass",OPERATING_COEFFS!$B:$B,$AK751))</f>
        <v/>
      </c>
      <c r="AN751" t="str">
        <f>IF($AM751="","",INDEX(TAX_MODES!$B:$B,MATCH($AM751,TAX_MODES!$A:$A,0)))</f>
        <v/>
      </c>
    </row>
    <row r="752" spans="24:40" x14ac:dyDescent="0.3">
      <c r="X752" s="13"/>
      <c r="Y752" s="13" t="str">
        <f>IF($X752="","",SUMIFS(TARIFF_PROFILES!$D:$D,TARIFF_PROFILES!$A:$A,$X752))</f>
        <v/>
      </c>
      <c r="Z752" s="13" t="str">
        <f>IF($X752="","",SUMIFS(TARIFF_PROFILES!$E:$E,TARIFF_PROFILES!$A:$A,$X752))</f>
        <v/>
      </c>
      <c r="AA752" s="13" t="str">
        <f>IF($X752="","",SUMIFS(TARIFF_PROFILES!$F:$F,TARIFF_PROFILES!$A:$A,$X752))</f>
        <v/>
      </c>
      <c r="AB752" s="13" t="str">
        <f>IF($X752="","",SUMIFS(TARIFF_PROFILES!$G:$G,TARIFF_PROFILES!$A:$A,$X752))</f>
        <v/>
      </c>
      <c r="AC752" s="13" t="str">
        <f>IF($X752="","",SUMIFS(TARIFF_PROFILES!$H:$H,TARIFF_PROFILES!$A:$A,$X752))</f>
        <v/>
      </c>
      <c r="AD752" s="13" t="str">
        <f>IF($X752="","",INDEX(TARIFF_PROFILES!$J:$J,MATCH($X752,TARIFF_PROFILES!$A:$A,0)))</f>
        <v/>
      </c>
      <c r="AE752" s="13" t="str">
        <f>IF($X752="","",INDEX(TARIFF_PROFILES!$K:$K,MATCH($X752,TARIFF_PROFILES!$A:$A,0)))</f>
        <v/>
      </c>
      <c r="AH752" t="str">
        <f>IF($AG752="","",SUMIFS(OPERATING_COEFFS!$C:$C,OPERATING_COEFFS!$A:$A,"DistanceClass",OPERATING_COEFFS!$B:$B,$AG752))</f>
        <v/>
      </c>
      <c r="AJ752" t="str">
        <f>IF($AI752="","",SUMIFS(OPERATING_COEFFS!$C:$C,OPERATING_COEFFS!$A:$A,"SeasonClass",OPERATING_COEFFS!$B:$B,$AI752))</f>
        <v/>
      </c>
      <c r="AL752" t="str">
        <f>IF($AK752="","",SUMIFS(OPERATING_COEFFS!$C:$C,OPERATING_COEFFS!$A:$A,"UrgencyClass",OPERATING_COEFFS!$B:$B,$AK752))</f>
        <v/>
      </c>
      <c r="AN752" t="str">
        <f>IF($AM752="","",INDEX(TAX_MODES!$B:$B,MATCH($AM752,TAX_MODES!$A:$A,0)))</f>
        <v/>
      </c>
    </row>
    <row r="753" spans="24:40" x14ac:dyDescent="0.3">
      <c r="X753" s="13"/>
      <c r="Y753" s="13" t="str">
        <f>IF($X753="","",SUMIFS(TARIFF_PROFILES!$D:$D,TARIFF_PROFILES!$A:$A,$X753))</f>
        <v/>
      </c>
      <c r="Z753" s="13" t="str">
        <f>IF($X753="","",SUMIFS(TARIFF_PROFILES!$E:$E,TARIFF_PROFILES!$A:$A,$X753))</f>
        <v/>
      </c>
      <c r="AA753" s="13" t="str">
        <f>IF($X753="","",SUMIFS(TARIFF_PROFILES!$F:$F,TARIFF_PROFILES!$A:$A,$X753))</f>
        <v/>
      </c>
      <c r="AB753" s="13" t="str">
        <f>IF($X753="","",SUMIFS(TARIFF_PROFILES!$G:$G,TARIFF_PROFILES!$A:$A,$X753))</f>
        <v/>
      </c>
      <c r="AC753" s="13" t="str">
        <f>IF($X753="","",SUMIFS(TARIFF_PROFILES!$H:$H,TARIFF_PROFILES!$A:$A,$X753))</f>
        <v/>
      </c>
      <c r="AD753" s="13" t="str">
        <f>IF($X753="","",INDEX(TARIFF_PROFILES!$J:$J,MATCH($X753,TARIFF_PROFILES!$A:$A,0)))</f>
        <v/>
      </c>
      <c r="AE753" s="13" t="str">
        <f>IF($X753="","",INDEX(TARIFF_PROFILES!$K:$K,MATCH($X753,TARIFF_PROFILES!$A:$A,0)))</f>
        <v/>
      </c>
      <c r="AH753" t="str">
        <f>IF($AG753="","",SUMIFS(OPERATING_COEFFS!$C:$C,OPERATING_COEFFS!$A:$A,"DistanceClass",OPERATING_COEFFS!$B:$B,$AG753))</f>
        <v/>
      </c>
      <c r="AJ753" t="str">
        <f>IF($AI753="","",SUMIFS(OPERATING_COEFFS!$C:$C,OPERATING_COEFFS!$A:$A,"SeasonClass",OPERATING_COEFFS!$B:$B,$AI753))</f>
        <v/>
      </c>
      <c r="AL753" t="str">
        <f>IF($AK753="","",SUMIFS(OPERATING_COEFFS!$C:$C,OPERATING_COEFFS!$A:$A,"UrgencyClass",OPERATING_COEFFS!$B:$B,$AK753))</f>
        <v/>
      </c>
      <c r="AN753" t="str">
        <f>IF($AM753="","",INDEX(TAX_MODES!$B:$B,MATCH($AM753,TAX_MODES!$A:$A,0)))</f>
        <v/>
      </c>
    </row>
    <row r="754" spans="24:40" x14ac:dyDescent="0.3">
      <c r="X754" s="13"/>
      <c r="Y754" s="13" t="str">
        <f>IF($X754="","",SUMIFS(TARIFF_PROFILES!$D:$D,TARIFF_PROFILES!$A:$A,$X754))</f>
        <v/>
      </c>
      <c r="Z754" s="13" t="str">
        <f>IF($X754="","",SUMIFS(TARIFF_PROFILES!$E:$E,TARIFF_PROFILES!$A:$A,$X754))</f>
        <v/>
      </c>
      <c r="AA754" s="13" t="str">
        <f>IF($X754="","",SUMIFS(TARIFF_PROFILES!$F:$F,TARIFF_PROFILES!$A:$A,$X754))</f>
        <v/>
      </c>
      <c r="AB754" s="13" t="str">
        <f>IF($X754="","",SUMIFS(TARIFF_PROFILES!$G:$G,TARIFF_PROFILES!$A:$A,$X754))</f>
        <v/>
      </c>
      <c r="AC754" s="13" t="str">
        <f>IF($X754="","",SUMIFS(TARIFF_PROFILES!$H:$H,TARIFF_PROFILES!$A:$A,$X754))</f>
        <v/>
      </c>
      <c r="AD754" s="13" t="str">
        <f>IF($X754="","",INDEX(TARIFF_PROFILES!$J:$J,MATCH($X754,TARIFF_PROFILES!$A:$A,0)))</f>
        <v/>
      </c>
      <c r="AE754" s="13" t="str">
        <f>IF($X754="","",INDEX(TARIFF_PROFILES!$K:$K,MATCH($X754,TARIFF_PROFILES!$A:$A,0)))</f>
        <v/>
      </c>
      <c r="AH754" t="str">
        <f>IF($AG754="","",SUMIFS(OPERATING_COEFFS!$C:$C,OPERATING_COEFFS!$A:$A,"DistanceClass",OPERATING_COEFFS!$B:$B,$AG754))</f>
        <v/>
      </c>
      <c r="AJ754" t="str">
        <f>IF($AI754="","",SUMIFS(OPERATING_COEFFS!$C:$C,OPERATING_COEFFS!$A:$A,"SeasonClass",OPERATING_COEFFS!$B:$B,$AI754))</f>
        <v/>
      </c>
      <c r="AL754" t="str">
        <f>IF($AK754="","",SUMIFS(OPERATING_COEFFS!$C:$C,OPERATING_COEFFS!$A:$A,"UrgencyClass",OPERATING_COEFFS!$B:$B,$AK754))</f>
        <v/>
      </c>
      <c r="AN754" t="str">
        <f>IF($AM754="","",INDEX(TAX_MODES!$B:$B,MATCH($AM754,TAX_MODES!$A:$A,0)))</f>
        <v/>
      </c>
    </row>
    <row r="755" spans="24:40" x14ac:dyDescent="0.3">
      <c r="X755" s="13"/>
      <c r="Y755" s="13" t="str">
        <f>IF($X755="","",SUMIFS(TARIFF_PROFILES!$D:$D,TARIFF_PROFILES!$A:$A,$X755))</f>
        <v/>
      </c>
      <c r="Z755" s="13" t="str">
        <f>IF($X755="","",SUMIFS(TARIFF_PROFILES!$E:$E,TARIFF_PROFILES!$A:$A,$X755))</f>
        <v/>
      </c>
      <c r="AA755" s="13" t="str">
        <f>IF($X755="","",SUMIFS(TARIFF_PROFILES!$F:$F,TARIFF_PROFILES!$A:$A,$X755))</f>
        <v/>
      </c>
      <c r="AB755" s="13" t="str">
        <f>IF($X755="","",SUMIFS(TARIFF_PROFILES!$G:$G,TARIFF_PROFILES!$A:$A,$X755))</f>
        <v/>
      </c>
      <c r="AC755" s="13" t="str">
        <f>IF($X755="","",SUMIFS(TARIFF_PROFILES!$H:$H,TARIFF_PROFILES!$A:$A,$X755))</f>
        <v/>
      </c>
      <c r="AD755" s="13" t="str">
        <f>IF($X755="","",INDEX(TARIFF_PROFILES!$J:$J,MATCH($X755,TARIFF_PROFILES!$A:$A,0)))</f>
        <v/>
      </c>
      <c r="AE755" s="13" t="str">
        <f>IF($X755="","",INDEX(TARIFF_PROFILES!$K:$K,MATCH($X755,TARIFF_PROFILES!$A:$A,0)))</f>
        <v/>
      </c>
      <c r="AH755" t="str">
        <f>IF($AG755="","",SUMIFS(OPERATING_COEFFS!$C:$C,OPERATING_COEFFS!$A:$A,"DistanceClass",OPERATING_COEFFS!$B:$B,$AG755))</f>
        <v/>
      </c>
      <c r="AJ755" t="str">
        <f>IF($AI755="","",SUMIFS(OPERATING_COEFFS!$C:$C,OPERATING_COEFFS!$A:$A,"SeasonClass",OPERATING_COEFFS!$B:$B,$AI755))</f>
        <v/>
      </c>
      <c r="AL755" t="str">
        <f>IF($AK755="","",SUMIFS(OPERATING_COEFFS!$C:$C,OPERATING_COEFFS!$A:$A,"UrgencyClass",OPERATING_COEFFS!$B:$B,$AK755))</f>
        <v/>
      </c>
      <c r="AN755" t="str">
        <f>IF($AM755="","",INDEX(TAX_MODES!$B:$B,MATCH($AM755,TAX_MODES!$A:$A,0)))</f>
        <v/>
      </c>
    </row>
    <row r="756" spans="24:40" x14ac:dyDescent="0.3">
      <c r="X756" s="13"/>
      <c r="Y756" s="13" t="str">
        <f>IF($X756="","",SUMIFS(TARIFF_PROFILES!$D:$D,TARIFF_PROFILES!$A:$A,$X756))</f>
        <v/>
      </c>
      <c r="Z756" s="13" t="str">
        <f>IF($X756="","",SUMIFS(TARIFF_PROFILES!$E:$E,TARIFF_PROFILES!$A:$A,$X756))</f>
        <v/>
      </c>
      <c r="AA756" s="13" t="str">
        <f>IF($X756="","",SUMIFS(TARIFF_PROFILES!$F:$F,TARIFF_PROFILES!$A:$A,$X756))</f>
        <v/>
      </c>
      <c r="AB756" s="13" t="str">
        <f>IF($X756="","",SUMIFS(TARIFF_PROFILES!$G:$G,TARIFF_PROFILES!$A:$A,$X756))</f>
        <v/>
      </c>
      <c r="AC756" s="13" t="str">
        <f>IF($X756="","",SUMIFS(TARIFF_PROFILES!$H:$H,TARIFF_PROFILES!$A:$A,$X756))</f>
        <v/>
      </c>
      <c r="AD756" s="13" t="str">
        <f>IF($X756="","",INDEX(TARIFF_PROFILES!$J:$J,MATCH($X756,TARIFF_PROFILES!$A:$A,0)))</f>
        <v/>
      </c>
      <c r="AE756" s="13" t="str">
        <f>IF($X756="","",INDEX(TARIFF_PROFILES!$K:$K,MATCH($X756,TARIFF_PROFILES!$A:$A,0)))</f>
        <v/>
      </c>
      <c r="AH756" t="str">
        <f>IF($AG756="","",SUMIFS(OPERATING_COEFFS!$C:$C,OPERATING_COEFFS!$A:$A,"DistanceClass",OPERATING_COEFFS!$B:$B,$AG756))</f>
        <v/>
      </c>
      <c r="AJ756" t="str">
        <f>IF($AI756="","",SUMIFS(OPERATING_COEFFS!$C:$C,OPERATING_COEFFS!$A:$A,"SeasonClass",OPERATING_COEFFS!$B:$B,$AI756))</f>
        <v/>
      </c>
      <c r="AL756" t="str">
        <f>IF($AK756="","",SUMIFS(OPERATING_COEFFS!$C:$C,OPERATING_COEFFS!$A:$A,"UrgencyClass",OPERATING_COEFFS!$B:$B,$AK756))</f>
        <v/>
      </c>
      <c r="AN756" t="str">
        <f>IF($AM756="","",INDEX(TAX_MODES!$B:$B,MATCH($AM756,TAX_MODES!$A:$A,0)))</f>
        <v/>
      </c>
    </row>
    <row r="757" spans="24:40" x14ac:dyDescent="0.3">
      <c r="X757" s="13"/>
      <c r="Y757" s="13" t="str">
        <f>IF($X757="","",SUMIFS(TARIFF_PROFILES!$D:$D,TARIFF_PROFILES!$A:$A,$X757))</f>
        <v/>
      </c>
      <c r="Z757" s="13" t="str">
        <f>IF($X757="","",SUMIFS(TARIFF_PROFILES!$E:$E,TARIFF_PROFILES!$A:$A,$X757))</f>
        <v/>
      </c>
      <c r="AA757" s="13" t="str">
        <f>IF($X757="","",SUMIFS(TARIFF_PROFILES!$F:$F,TARIFF_PROFILES!$A:$A,$X757))</f>
        <v/>
      </c>
      <c r="AB757" s="13" t="str">
        <f>IF($X757="","",SUMIFS(TARIFF_PROFILES!$G:$G,TARIFF_PROFILES!$A:$A,$X757))</f>
        <v/>
      </c>
      <c r="AC757" s="13" t="str">
        <f>IF($X757="","",SUMIFS(TARIFF_PROFILES!$H:$H,TARIFF_PROFILES!$A:$A,$X757))</f>
        <v/>
      </c>
      <c r="AD757" s="13" t="str">
        <f>IF($X757="","",INDEX(TARIFF_PROFILES!$J:$J,MATCH($X757,TARIFF_PROFILES!$A:$A,0)))</f>
        <v/>
      </c>
      <c r="AE757" s="13" t="str">
        <f>IF($X757="","",INDEX(TARIFF_PROFILES!$K:$K,MATCH($X757,TARIFF_PROFILES!$A:$A,0)))</f>
        <v/>
      </c>
      <c r="AH757" t="str">
        <f>IF($AG757="","",SUMIFS(OPERATING_COEFFS!$C:$C,OPERATING_COEFFS!$A:$A,"DistanceClass",OPERATING_COEFFS!$B:$B,$AG757))</f>
        <v/>
      </c>
      <c r="AJ757" t="str">
        <f>IF($AI757="","",SUMIFS(OPERATING_COEFFS!$C:$C,OPERATING_COEFFS!$A:$A,"SeasonClass",OPERATING_COEFFS!$B:$B,$AI757))</f>
        <v/>
      </c>
      <c r="AL757" t="str">
        <f>IF($AK757="","",SUMIFS(OPERATING_COEFFS!$C:$C,OPERATING_COEFFS!$A:$A,"UrgencyClass",OPERATING_COEFFS!$B:$B,$AK757))</f>
        <v/>
      </c>
      <c r="AN757" t="str">
        <f>IF($AM757="","",INDEX(TAX_MODES!$B:$B,MATCH($AM757,TAX_MODES!$A:$A,0)))</f>
        <v/>
      </c>
    </row>
    <row r="758" spans="24:40" x14ac:dyDescent="0.3">
      <c r="X758" s="13"/>
      <c r="Y758" s="13" t="str">
        <f>IF($X758="","",SUMIFS(TARIFF_PROFILES!$D:$D,TARIFF_PROFILES!$A:$A,$X758))</f>
        <v/>
      </c>
      <c r="Z758" s="13" t="str">
        <f>IF($X758="","",SUMIFS(TARIFF_PROFILES!$E:$E,TARIFF_PROFILES!$A:$A,$X758))</f>
        <v/>
      </c>
      <c r="AA758" s="13" t="str">
        <f>IF($X758="","",SUMIFS(TARIFF_PROFILES!$F:$F,TARIFF_PROFILES!$A:$A,$X758))</f>
        <v/>
      </c>
      <c r="AB758" s="13" t="str">
        <f>IF($X758="","",SUMIFS(TARIFF_PROFILES!$G:$G,TARIFF_PROFILES!$A:$A,$X758))</f>
        <v/>
      </c>
      <c r="AC758" s="13" t="str">
        <f>IF($X758="","",SUMIFS(TARIFF_PROFILES!$H:$H,TARIFF_PROFILES!$A:$A,$X758))</f>
        <v/>
      </c>
      <c r="AD758" s="13" t="str">
        <f>IF($X758="","",INDEX(TARIFF_PROFILES!$J:$J,MATCH($X758,TARIFF_PROFILES!$A:$A,0)))</f>
        <v/>
      </c>
      <c r="AE758" s="13" t="str">
        <f>IF($X758="","",INDEX(TARIFF_PROFILES!$K:$K,MATCH($X758,TARIFF_PROFILES!$A:$A,0)))</f>
        <v/>
      </c>
      <c r="AH758" t="str">
        <f>IF($AG758="","",SUMIFS(OPERATING_COEFFS!$C:$C,OPERATING_COEFFS!$A:$A,"DistanceClass",OPERATING_COEFFS!$B:$B,$AG758))</f>
        <v/>
      </c>
      <c r="AJ758" t="str">
        <f>IF($AI758="","",SUMIFS(OPERATING_COEFFS!$C:$C,OPERATING_COEFFS!$A:$A,"SeasonClass",OPERATING_COEFFS!$B:$B,$AI758))</f>
        <v/>
      </c>
      <c r="AL758" t="str">
        <f>IF($AK758="","",SUMIFS(OPERATING_COEFFS!$C:$C,OPERATING_COEFFS!$A:$A,"UrgencyClass",OPERATING_COEFFS!$B:$B,$AK758))</f>
        <v/>
      </c>
      <c r="AN758" t="str">
        <f>IF($AM758="","",INDEX(TAX_MODES!$B:$B,MATCH($AM758,TAX_MODES!$A:$A,0)))</f>
        <v/>
      </c>
    </row>
    <row r="759" spans="24:40" x14ac:dyDescent="0.3">
      <c r="X759" s="13"/>
      <c r="Y759" s="13" t="str">
        <f>IF($X759="","",SUMIFS(TARIFF_PROFILES!$D:$D,TARIFF_PROFILES!$A:$A,$X759))</f>
        <v/>
      </c>
      <c r="Z759" s="13" t="str">
        <f>IF($X759="","",SUMIFS(TARIFF_PROFILES!$E:$E,TARIFF_PROFILES!$A:$A,$X759))</f>
        <v/>
      </c>
      <c r="AA759" s="13" t="str">
        <f>IF($X759="","",SUMIFS(TARIFF_PROFILES!$F:$F,TARIFF_PROFILES!$A:$A,$X759))</f>
        <v/>
      </c>
      <c r="AB759" s="13" t="str">
        <f>IF($X759="","",SUMIFS(TARIFF_PROFILES!$G:$G,TARIFF_PROFILES!$A:$A,$X759))</f>
        <v/>
      </c>
      <c r="AC759" s="13" t="str">
        <f>IF($X759="","",SUMIFS(TARIFF_PROFILES!$H:$H,TARIFF_PROFILES!$A:$A,$X759))</f>
        <v/>
      </c>
      <c r="AD759" s="13" t="str">
        <f>IF($X759="","",INDEX(TARIFF_PROFILES!$J:$J,MATCH($X759,TARIFF_PROFILES!$A:$A,0)))</f>
        <v/>
      </c>
      <c r="AE759" s="13" t="str">
        <f>IF($X759="","",INDEX(TARIFF_PROFILES!$K:$K,MATCH($X759,TARIFF_PROFILES!$A:$A,0)))</f>
        <v/>
      </c>
      <c r="AH759" t="str">
        <f>IF($AG759="","",SUMIFS(OPERATING_COEFFS!$C:$C,OPERATING_COEFFS!$A:$A,"DistanceClass",OPERATING_COEFFS!$B:$B,$AG759))</f>
        <v/>
      </c>
      <c r="AJ759" t="str">
        <f>IF($AI759="","",SUMIFS(OPERATING_COEFFS!$C:$C,OPERATING_COEFFS!$A:$A,"SeasonClass",OPERATING_COEFFS!$B:$B,$AI759))</f>
        <v/>
      </c>
      <c r="AL759" t="str">
        <f>IF($AK759="","",SUMIFS(OPERATING_COEFFS!$C:$C,OPERATING_COEFFS!$A:$A,"UrgencyClass",OPERATING_COEFFS!$B:$B,$AK759))</f>
        <v/>
      </c>
      <c r="AN759" t="str">
        <f>IF($AM759="","",INDEX(TAX_MODES!$B:$B,MATCH($AM759,TAX_MODES!$A:$A,0)))</f>
        <v/>
      </c>
    </row>
    <row r="760" spans="24:40" x14ac:dyDescent="0.3">
      <c r="X760" s="13"/>
      <c r="Y760" s="13" t="str">
        <f>IF($X760="","",SUMIFS(TARIFF_PROFILES!$D:$D,TARIFF_PROFILES!$A:$A,$X760))</f>
        <v/>
      </c>
      <c r="Z760" s="13" t="str">
        <f>IF($X760="","",SUMIFS(TARIFF_PROFILES!$E:$E,TARIFF_PROFILES!$A:$A,$X760))</f>
        <v/>
      </c>
      <c r="AA760" s="13" t="str">
        <f>IF($X760="","",SUMIFS(TARIFF_PROFILES!$F:$F,TARIFF_PROFILES!$A:$A,$X760))</f>
        <v/>
      </c>
      <c r="AB760" s="13" t="str">
        <f>IF($X760="","",SUMIFS(TARIFF_PROFILES!$G:$G,TARIFF_PROFILES!$A:$A,$X760))</f>
        <v/>
      </c>
      <c r="AC760" s="13" t="str">
        <f>IF($X760="","",SUMIFS(TARIFF_PROFILES!$H:$H,TARIFF_PROFILES!$A:$A,$X760))</f>
        <v/>
      </c>
      <c r="AD760" s="13" t="str">
        <f>IF($X760="","",INDEX(TARIFF_PROFILES!$J:$J,MATCH($X760,TARIFF_PROFILES!$A:$A,0)))</f>
        <v/>
      </c>
      <c r="AE760" s="13" t="str">
        <f>IF($X760="","",INDEX(TARIFF_PROFILES!$K:$K,MATCH($X760,TARIFF_PROFILES!$A:$A,0)))</f>
        <v/>
      </c>
      <c r="AH760" t="str">
        <f>IF($AG760="","",SUMIFS(OPERATING_COEFFS!$C:$C,OPERATING_COEFFS!$A:$A,"DistanceClass",OPERATING_COEFFS!$B:$B,$AG760))</f>
        <v/>
      </c>
      <c r="AJ760" t="str">
        <f>IF($AI760="","",SUMIFS(OPERATING_COEFFS!$C:$C,OPERATING_COEFFS!$A:$A,"SeasonClass",OPERATING_COEFFS!$B:$B,$AI760))</f>
        <v/>
      </c>
      <c r="AL760" t="str">
        <f>IF($AK760="","",SUMIFS(OPERATING_COEFFS!$C:$C,OPERATING_COEFFS!$A:$A,"UrgencyClass",OPERATING_COEFFS!$B:$B,$AK760))</f>
        <v/>
      </c>
      <c r="AN760" t="str">
        <f>IF($AM760="","",INDEX(TAX_MODES!$B:$B,MATCH($AM760,TAX_MODES!$A:$A,0)))</f>
        <v/>
      </c>
    </row>
    <row r="761" spans="24:40" x14ac:dyDescent="0.3">
      <c r="X761" s="13"/>
      <c r="Y761" s="13" t="str">
        <f>IF($X761="","",SUMIFS(TARIFF_PROFILES!$D:$D,TARIFF_PROFILES!$A:$A,$X761))</f>
        <v/>
      </c>
      <c r="Z761" s="13" t="str">
        <f>IF($X761="","",SUMIFS(TARIFF_PROFILES!$E:$E,TARIFF_PROFILES!$A:$A,$X761))</f>
        <v/>
      </c>
      <c r="AA761" s="13" t="str">
        <f>IF($X761="","",SUMIFS(TARIFF_PROFILES!$F:$F,TARIFF_PROFILES!$A:$A,$X761))</f>
        <v/>
      </c>
      <c r="AB761" s="13" t="str">
        <f>IF($X761="","",SUMIFS(TARIFF_PROFILES!$G:$G,TARIFF_PROFILES!$A:$A,$X761))</f>
        <v/>
      </c>
      <c r="AC761" s="13" t="str">
        <f>IF($X761="","",SUMIFS(TARIFF_PROFILES!$H:$H,TARIFF_PROFILES!$A:$A,$X761))</f>
        <v/>
      </c>
      <c r="AD761" s="13" t="str">
        <f>IF($X761="","",INDEX(TARIFF_PROFILES!$J:$J,MATCH($X761,TARIFF_PROFILES!$A:$A,0)))</f>
        <v/>
      </c>
      <c r="AE761" s="13" t="str">
        <f>IF($X761="","",INDEX(TARIFF_PROFILES!$K:$K,MATCH($X761,TARIFF_PROFILES!$A:$A,0)))</f>
        <v/>
      </c>
      <c r="AH761" t="str">
        <f>IF($AG761="","",SUMIFS(OPERATING_COEFFS!$C:$C,OPERATING_COEFFS!$A:$A,"DistanceClass",OPERATING_COEFFS!$B:$B,$AG761))</f>
        <v/>
      </c>
      <c r="AJ761" t="str">
        <f>IF($AI761="","",SUMIFS(OPERATING_COEFFS!$C:$C,OPERATING_COEFFS!$A:$A,"SeasonClass",OPERATING_COEFFS!$B:$B,$AI761))</f>
        <v/>
      </c>
      <c r="AL761" t="str">
        <f>IF($AK761="","",SUMIFS(OPERATING_COEFFS!$C:$C,OPERATING_COEFFS!$A:$A,"UrgencyClass",OPERATING_COEFFS!$B:$B,$AK761))</f>
        <v/>
      </c>
      <c r="AN761" t="str">
        <f>IF($AM761="","",INDEX(TAX_MODES!$B:$B,MATCH($AM761,TAX_MODES!$A:$A,0)))</f>
        <v/>
      </c>
    </row>
    <row r="762" spans="24:40" x14ac:dyDescent="0.3">
      <c r="X762" s="13"/>
      <c r="Y762" s="13" t="str">
        <f>IF($X762="","",SUMIFS(TARIFF_PROFILES!$D:$D,TARIFF_PROFILES!$A:$A,$X762))</f>
        <v/>
      </c>
      <c r="Z762" s="13" t="str">
        <f>IF($X762="","",SUMIFS(TARIFF_PROFILES!$E:$E,TARIFF_PROFILES!$A:$A,$X762))</f>
        <v/>
      </c>
      <c r="AA762" s="13" t="str">
        <f>IF($X762="","",SUMIFS(TARIFF_PROFILES!$F:$F,TARIFF_PROFILES!$A:$A,$X762))</f>
        <v/>
      </c>
      <c r="AB762" s="13" t="str">
        <f>IF($X762="","",SUMIFS(TARIFF_PROFILES!$G:$G,TARIFF_PROFILES!$A:$A,$X762))</f>
        <v/>
      </c>
      <c r="AC762" s="13" t="str">
        <f>IF($X762="","",SUMIFS(TARIFF_PROFILES!$H:$H,TARIFF_PROFILES!$A:$A,$X762))</f>
        <v/>
      </c>
      <c r="AD762" s="13" t="str">
        <f>IF($X762="","",INDEX(TARIFF_PROFILES!$J:$J,MATCH($X762,TARIFF_PROFILES!$A:$A,0)))</f>
        <v/>
      </c>
      <c r="AE762" s="13" t="str">
        <f>IF($X762="","",INDEX(TARIFF_PROFILES!$K:$K,MATCH($X762,TARIFF_PROFILES!$A:$A,0)))</f>
        <v/>
      </c>
      <c r="AH762" t="str">
        <f>IF($AG762="","",SUMIFS(OPERATING_COEFFS!$C:$C,OPERATING_COEFFS!$A:$A,"DistanceClass",OPERATING_COEFFS!$B:$B,$AG762))</f>
        <v/>
      </c>
      <c r="AJ762" t="str">
        <f>IF($AI762="","",SUMIFS(OPERATING_COEFFS!$C:$C,OPERATING_COEFFS!$A:$A,"SeasonClass",OPERATING_COEFFS!$B:$B,$AI762))</f>
        <v/>
      </c>
      <c r="AL762" t="str">
        <f>IF($AK762="","",SUMIFS(OPERATING_COEFFS!$C:$C,OPERATING_COEFFS!$A:$A,"UrgencyClass",OPERATING_COEFFS!$B:$B,$AK762))</f>
        <v/>
      </c>
      <c r="AN762" t="str">
        <f>IF($AM762="","",INDEX(TAX_MODES!$B:$B,MATCH($AM762,TAX_MODES!$A:$A,0)))</f>
        <v/>
      </c>
    </row>
    <row r="763" spans="24:40" x14ac:dyDescent="0.3">
      <c r="X763" s="13"/>
      <c r="Y763" s="13" t="str">
        <f>IF($X763="","",SUMIFS(TARIFF_PROFILES!$D:$D,TARIFF_PROFILES!$A:$A,$X763))</f>
        <v/>
      </c>
      <c r="Z763" s="13" t="str">
        <f>IF($X763="","",SUMIFS(TARIFF_PROFILES!$E:$E,TARIFF_PROFILES!$A:$A,$X763))</f>
        <v/>
      </c>
      <c r="AA763" s="13" t="str">
        <f>IF($X763="","",SUMIFS(TARIFF_PROFILES!$F:$F,TARIFF_PROFILES!$A:$A,$X763))</f>
        <v/>
      </c>
      <c r="AB763" s="13" t="str">
        <f>IF($X763="","",SUMIFS(TARIFF_PROFILES!$G:$G,TARIFF_PROFILES!$A:$A,$X763))</f>
        <v/>
      </c>
      <c r="AC763" s="13" t="str">
        <f>IF($X763="","",SUMIFS(TARIFF_PROFILES!$H:$H,TARIFF_PROFILES!$A:$A,$X763))</f>
        <v/>
      </c>
      <c r="AD763" s="13" t="str">
        <f>IF($X763="","",INDEX(TARIFF_PROFILES!$J:$J,MATCH($X763,TARIFF_PROFILES!$A:$A,0)))</f>
        <v/>
      </c>
      <c r="AE763" s="13" t="str">
        <f>IF($X763="","",INDEX(TARIFF_PROFILES!$K:$K,MATCH($X763,TARIFF_PROFILES!$A:$A,0)))</f>
        <v/>
      </c>
      <c r="AH763" t="str">
        <f>IF($AG763="","",SUMIFS(OPERATING_COEFFS!$C:$C,OPERATING_COEFFS!$A:$A,"DistanceClass",OPERATING_COEFFS!$B:$B,$AG763))</f>
        <v/>
      </c>
      <c r="AJ763" t="str">
        <f>IF($AI763="","",SUMIFS(OPERATING_COEFFS!$C:$C,OPERATING_COEFFS!$A:$A,"SeasonClass",OPERATING_COEFFS!$B:$B,$AI763))</f>
        <v/>
      </c>
      <c r="AL763" t="str">
        <f>IF($AK763="","",SUMIFS(OPERATING_COEFFS!$C:$C,OPERATING_COEFFS!$A:$A,"UrgencyClass",OPERATING_COEFFS!$B:$B,$AK763))</f>
        <v/>
      </c>
      <c r="AN763" t="str">
        <f>IF($AM763="","",INDEX(TAX_MODES!$B:$B,MATCH($AM763,TAX_MODES!$A:$A,0)))</f>
        <v/>
      </c>
    </row>
    <row r="764" spans="24:40" x14ac:dyDescent="0.3">
      <c r="X764" s="13"/>
      <c r="Y764" s="13" t="str">
        <f>IF($X764="","",SUMIFS(TARIFF_PROFILES!$D:$D,TARIFF_PROFILES!$A:$A,$X764))</f>
        <v/>
      </c>
      <c r="Z764" s="13" t="str">
        <f>IF($X764="","",SUMIFS(TARIFF_PROFILES!$E:$E,TARIFF_PROFILES!$A:$A,$X764))</f>
        <v/>
      </c>
      <c r="AA764" s="13" t="str">
        <f>IF($X764="","",SUMIFS(TARIFF_PROFILES!$F:$F,TARIFF_PROFILES!$A:$A,$X764))</f>
        <v/>
      </c>
      <c r="AB764" s="13" t="str">
        <f>IF($X764="","",SUMIFS(TARIFF_PROFILES!$G:$G,TARIFF_PROFILES!$A:$A,$X764))</f>
        <v/>
      </c>
      <c r="AC764" s="13" t="str">
        <f>IF($X764="","",SUMIFS(TARIFF_PROFILES!$H:$H,TARIFF_PROFILES!$A:$A,$X764))</f>
        <v/>
      </c>
      <c r="AD764" s="13" t="str">
        <f>IF($X764="","",INDEX(TARIFF_PROFILES!$J:$J,MATCH($X764,TARIFF_PROFILES!$A:$A,0)))</f>
        <v/>
      </c>
      <c r="AE764" s="13" t="str">
        <f>IF($X764="","",INDEX(TARIFF_PROFILES!$K:$K,MATCH($X764,TARIFF_PROFILES!$A:$A,0)))</f>
        <v/>
      </c>
      <c r="AH764" t="str">
        <f>IF($AG764="","",SUMIFS(OPERATING_COEFFS!$C:$C,OPERATING_COEFFS!$A:$A,"DistanceClass",OPERATING_COEFFS!$B:$B,$AG764))</f>
        <v/>
      </c>
      <c r="AJ764" t="str">
        <f>IF($AI764="","",SUMIFS(OPERATING_COEFFS!$C:$C,OPERATING_COEFFS!$A:$A,"SeasonClass",OPERATING_COEFFS!$B:$B,$AI764))</f>
        <v/>
      </c>
      <c r="AL764" t="str">
        <f>IF($AK764="","",SUMIFS(OPERATING_COEFFS!$C:$C,OPERATING_COEFFS!$A:$A,"UrgencyClass",OPERATING_COEFFS!$B:$B,$AK764))</f>
        <v/>
      </c>
      <c r="AN764" t="str">
        <f>IF($AM764="","",INDEX(TAX_MODES!$B:$B,MATCH($AM764,TAX_MODES!$A:$A,0)))</f>
        <v/>
      </c>
    </row>
    <row r="765" spans="24:40" x14ac:dyDescent="0.3">
      <c r="X765" s="13"/>
      <c r="Y765" s="13" t="str">
        <f>IF($X765="","",SUMIFS(TARIFF_PROFILES!$D:$D,TARIFF_PROFILES!$A:$A,$X765))</f>
        <v/>
      </c>
      <c r="Z765" s="13" t="str">
        <f>IF($X765="","",SUMIFS(TARIFF_PROFILES!$E:$E,TARIFF_PROFILES!$A:$A,$X765))</f>
        <v/>
      </c>
      <c r="AA765" s="13" t="str">
        <f>IF($X765="","",SUMIFS(TARIFF_PROFILES!$F:$F,TARIFF_PROFILES!$A:$A,$X765))</f>
        <v/>
      </c>
      <c r="AB765" s="13" t="str">
        <f>IF($X765="","",SUMIFS(TARIFF_PROFILES!$G:$G,TARIFF_PROFILES!$A:$A,$X765))</f>
        <v/>
      </c>
      <c r="AC765" s="13" t="str">
        <f>IF($X765="","",SUMIFS(TARIFF_PROFILES!$H:$H,TARIFF_PROFILES!$A:$A,$X765))</f>
        <v/>
      </c>
      <c r="AD765" s="13" t="str">
        <f>IF($X765="","",INDEX(TARIFF_PROFILES!$J:$J,MATCH($X765,TARIFF_PROFILES!$A:$A,0)))</f>
        <v/>
      </c>
      <c r="AE765" s="13" t="str">
        <f>IF($X765="","",INDEX(TARIFF_PROFILES!$K:$K,MATCH($X765,TARIFF_PROFILES!$A:$A,0)))</f>
        <v/>
      </c>
      <c r="AH765" t="str">
        <f>IF($AG765="","",SUMIFS(OPERATING_COEFFS!$C:$C,OPERATING_COEFFS!$A:$A,"DistanceClass",OPERATING_COEFFS!$B:$B,$AG765))</f>
        <v/>
      </c>
      <c r="AJ765" t="str">
        <f>IF($AI765="","",SUMIFS(OPERATING_COEFFS!$C:$C,OPERATING_COEFFS!$A:$A,"SeasonClass",OPERATING_COEFFS!$B:$B,$AI765))</f>
        <v/>
      </c>
      <c r="AL765" t="str">
        <f>IF($AK765="","",SUMIFS(OPERATING_COEFFS!$C:$C,OPERATING_COEFFS!$A:$A,"UrgencyClass",OPERATING_COEFFS!$B:$B,$AK765))</f>
        <v/>
      </c>
      <c r="AN765" t="str">
        <f>IF($AM765="","",INDEX(TAX_MODES!$B:$B,MATCH($AM765,TAX_MODES!$A:$A,0)))</f>
        <v/>
      </c>
    </row>
    <row r="766" spans="24:40" x14ac:dyDescent="0.3">
      <c r="X766" s="13"/>
      <c r="Y766" s="13" t="str">
        <f>IF($X766="","",SUMIFS(TARIFF_PROFILES!$D:$D,TARIFF_PROFILES!$A:$A,$X766))</f>
        <v/>
      </c>
      <c r="Z766" s="13" t="str">
        <f>IF($X766="","",SUMIFS(TARIFF_PROFILES!$E:$E,TARIFF_PROFILES!$A:$A,$X766))</f>
        <v/>
      </c>
      <c r="AA766" s="13" t="str">
        <f>IF($X766="","",SUMIFS(TARIFF_PROFILES!$F:$F,TARIFF_PROFILES!$A:$A,$X766))</f>
        <v/>
      </c>
      <c r="AB766" s="13" t="str">
        <f>IF($X766="","",SUMIFS(TARIFF_PROFILES!$G:$G,TARIFF_PROFILES!$A:$A,$X766))</f>
        <v/>
      </c>
      <c r="AC766" s="13" t="str">
        <f>IF($X766="","",SUMIFS(TARIFF_PROFILES!$H:$H,TARIFF_PROFILES!$A:$A,$X766))</f>
        <v/>
      </c>
      <c r="AD766" s="13" t="str">
        <f>IF($X766="","",INDEX(TARIFF_PROFILES!$J:$J,MATCH($X766,TARIFF_PROFILES!$A:$A,0)))</f>
        <v/>
      </c>
      <c r="AE766" s="13" t="str">
        <f>IF($X766="","",INDEX(TARIFF_PROFILES!$K:$K,MATCH($X766,TARIFF_PROFILES!$A:$A,0)))</f>
        <v/>
      </c>
      <c r="AH766" t="str">
        <f>IF($AG766="","",SUMIFS(OPERATING_COEFFS!$C:$C,OPERATING_COEFFS!$A:$A,"DistanceClass",OPERATING_COEFFS!$B:$B,$AG766))</f>
        <v/>
      </c>
      <c r="AJ766" t="str">
        <f>IF($AI766="","",SUMIFS(OPERATING_COEFFS!$C:$C,OPERATING_COEFFS!$A:$A,"SeasonClass",OPERATING_COEFFS!$B:$B,$AI766))</f>
        <v/>
      </c>
      <c r="AL766" t="str">
        <f>IF($AK766="","",SUMIFS(OPERATING_COEFFS!$C:$C,OPERATING_COEFFS!$A:$A,"UrgencyClass",OPERATING_COEFFS!$B:$B,$AK766))</f>
        <v/>
      </c>
      <c r="AN766" t="str">
        <f>IF($AM766="","",INDEX(TAX_MODES!$B:$B,MATCH($AM766,TAX_MODES!$A:$A,0)))</f>
        <v/>
      </c>
    </row>
    <row r="767" spans="24:40" x14ac:dyDescent="0.3">
      <c r="X767" s="13"/>
      <c r="Y767" s="13" t="str">
        <f>IF($X767="","",SUMIFS(TARIFF_PROFILES!$D:$D,TARIFF_PROFILES!$A:$A,$X767))</f>
        <v/>
      </c>
      <c r="Z767" s="13" t="str">
        <f>IF($X767="","",SUMIFS(TARIFF_PROFILES!$E:$E,TARIFF_PROFILES!$A:$A,$X767))</f>
        <v/>
      </c>
      <c r="AA767" s="13" t="str">
        <f>IF($X767="","",SUMIFS(TARIFF_PROFILES!$F:$F,TARIFF_PROFILES!$A:$A,$X767))</f>
        <v/>
      </c>
      <c r="AB767" s="13" t="str">
        <f>IF($X767="","",SUMIFS(TARIFF_PROFILES!$G:$G,TARIFF_PROFILES!$A:$A,$X767))</f>
        <v/>
      </c>
      <c r="AC767" s="13" t="str">
        <f>IF($X767="","",SUMIFS(TARIFF_PROFILES!$H:$H,TARIFF_PROFILES!$A:$A,$X767))</f>
        <v/>
      </c>
      <c r="AD767" s="13" t="str">
        <f>IF($X767="","",INDEX(TARIFF_PROFILES!$J:$J,MATCH($X767,TARIFF_PROFILES!$A:$A,0)))</f>
        <v/>
      </c>
      <c r="AE767" s="13" t="str">
        <f>IF($X767="","",INDEX(TARIFF_PROFILES!$K:$K,MATCH($X767,TARIFF_PROFILES!$A:$A,0)))</f>
        <v/>
      </c>
      <c r="AH767" t="str">
        <f>IF($AG767="","",SUMIFS(OPERATING_COEFFS!$C:$C,OPERATING_COEFFS!$A:$A,"DistanceClass",OPERATING_COEFFS!$B:$B,$AG767))</f>
        <v/>
      </c>
      <c r="AJ767" t="str">
        <f>IF($AI767="","",SUMIFS(OPERATING_COEFFS!$C:$C,OPERATING_COEFFS!$A:$A,"SeasonClass",OPERATING_COEFFS!$B:$B,$AI767))</f>
        <v/>
      </c>
      <c r="AL767" t="str">
        <f>IF($AK767="","",SUMIFS(OPERATING_COEFFS!$C:$C,OPERATING_COEFFS!$A:$A,"UrgencyClass",OPERATING_COEFFS!$B:$B,$AK767))</f>
        <v/>
      </c>
      <c r="AN767" t="str">
        <f>IF($AM767="","",INDEX(TAX_MODES!$B:$B,MATCH($AM767,TAX_MODES!$A:$A,0)))</f>
        <v/>
      </c>
    </row>
    <row r="768" spans="24:40" x14ac:dyDescent="0.3">
      <c r="X768" s="13"/>
      <c r="Y768" s="13" t="str">
        <f>IF($X768="","",SUMIFS(TARIFF_PROFILES!$D:$D,TARIFF_PROFILES!$A:$A,$X768))</f>
        <v/>
      </c>
      <c r="Z768" s="13" t="str">
        <f>IF($X768="","",SUMIFS(TARIFF_PROFILES!$E:$E,TARIFF_PROFILES!$A:$A,$X768))</f>
        <v/>
      </c>
      <c r="AA768" s="13" t="str">
        <f>IF($X768="","",SUMIFS(TARIFF_PROFILES!$F:$F,TARIFF_PROFILES!$A:$A,$X768))</f>
        <v/>
      </c>
      <c r="AB768" s="13" t="str">
        <f>IF($X768="","",SUMIFS(TARIFF_PROFILES!$G:$G,TARIFF_PROFILES!$A:$A,$X768))</f>
        <v/>
      </c>
      <c r="AC768" s="13" t="str">
        <f>IF($X768="","",SUMIFS(TARIFF_PROFILES!$H:$H,TARIFF_PROFILES!$A:$A,$X768))</f>
        <v/>
      </c>
      <c r="AD768" s="13" t="str">
        <f>IF($X768="","",INDEX(TARIFF_PROFILES!$J:$J,MATCH($X768,TARIFF_PROFILES!$A:$A,0)))</f>
        <v/>
      </c>
      <c r="AE768" s="13" t="str">
        <f>IF($X768="","",INDEX(TARIFF_PROFILES!$K:$K,MATCH($X768,TARIFF_PROFILES!$A:$A,0)))</f>
        <v/>
      </c>
      <c r="AH768" t="str">
        <f>IF($AG768="","",SUMIFS(OPERATING_COEFFS!$C:$C,OPERATING_COEFFS!$A:$A,"DistanceClass",OPERATING_COEFFS!$B:$B,$AG768))</f>
        <v/>
      </c>
      <c r="AJ768" t="str">
        <f>IF($AI768="","",SUMIFS(OPERATING_COEFFS!$C:$C,OPERATING_COEFFS!$A:$A,"SeasonClass",OPERATING_COEFFS!$B:$B,$AI768))</f>
        <v/>
      </c>
      <c r="AL768" t="str">
        <f>IF($AK768="","",SUMIFS(OPERATING_COEFFS!$C:$C,OPERATING_COEFFS!$A:$A,"UrgencyClass",OPERATING_COEFFS!$B:$B,$AK768))</f>
        <v/>
      </c>
      <c r="AN768" t="str">
        <f>IF($AM768="","",INDEX(TAX_MODES!$B:$B,MATCH($AM768,TAX_MODES!$A:$A,0)))</f>
        <v/>
      </c>
    </row>
    <row r="769" spans="24:40" x14ac:dyDescent="0.3">
      <c r="X769" s="13"/>
      <c r="Y769" s="13" t="str">
        <f>IF($X769="","",SUMIFS(TARIFF_PROFILES!$D:$D,TARIFF_PROFILES!$A:$A,$X769))</f>
        <v/>
      </c>
      <c r="Z769" s="13" t="str">
        <f>IF($X769="","",SUMIFS(TARIFF_PROFILES!$E:$E,TARIFF_PROFILES!$A:$A,$X769))</f>
        <v/>
      </c>
      <c r="AA769" s="13" t="str">
        <f>IF($X769="","",SUMIFS(TARIFF_PROFILES!$F:$F,TARIFF_PROFILES!$A:$A,$X769))</f>
        <v/>
      </c>
      <c r="AB769" s="13" t="str">
        <f>IF($X769="","",SUMIFS(TARIFF_PROFILES!$G:$G,TARIFF_PROFILES!$A:$A,$X769))</f>
        <v/>
      </c>
      <c r="AC769" s="13" t="str">
        <f>IF($X769="","",SUMIFS(TARIFF_PROFILES!$H:$H,TARIFF_PROFILES!$A:$A,$X769))</f>
        <v/>
      </c>
      <c r="AD769" s="13" t="str">
        <f>IF($X769="","",INDEX(TARIFF_PROFILES!$J:$J,MATCH($X769,TARIFF_PROFILES!$A:$A,0)))</f>
        <v/>
      </c>
      <c r="AE769" s="13" t="str">
        <f>IF($X769="","",INDEX(TARIFF_PROFILES!$K:$K,MATCH($X769,TARIFF_PROFILES!$A:$A,0)))</f>
        <v/>
      </c>
      <c r="AH769" t="str">
        <f>IF($AG769="","",SUMIFS(OPERATING_COEFFS!$C:$C,OPERATING_COEFFS!$A:$A,"DistanceClass",OPERATING_COEFFS!$B:$B,$AG769))</f>
        <v/>
      </c>
      <c r="AJ769" t="str">
        <f>IF($AI769="","",SUMIFS(OPERATING_COEFFS!$C:$C,OPERATING_COEFFS!$A:$A,"SeasonClass",OPERATING_COEFFS!$B:$B,$AI769))</f>
        <v/>
      </c>
      <c r="AL769" t="str">
        <f>IF($AK769="","",SUMIFS(OPERATING_COEFFS!$C:$C,OPERATING_COEFFS!$A:$A,"UrgencyClass",OPERATING_COEFFS!$B:$B,$AK769))</f>
        <v/>
      </c>
      <c r="AN769" t="str">
        <f>IF($AM769="","",INDEX(TAX_MODES!$B:$B,MATCH($AM769,TAX_MODES!$A:$A,0)))</f>
        <v/>
      </c>
    </row>
    <row r="770" spans="24:40" x14ac:dyDescent="0.3">
      <c r="X770" s="13"/>
      <c r="Y770" s="13" t="str">
        <f>IF($X770="","",SUMIFS(TARIFF_PROFILES!$D:$D,TARIFF_PROFILES!$A:$A,$X770))</f>
        <v/>
      </c>
      <c r="Z770" s="13" t="str">
        <f>IF($X770="","",SUMIFS(TARIFF_PROFILES!$E:$E,TARIFF_PROFILES!$A:$A,$X770))</f>
        <v/>
      </c>
      <c r="AA770" s="13" t="str">
        <f>IF($X770="","",SUMIFS(TARIFF_PROFILES!$F:$F,TARIFF_PROFILES!$A:$A,$X770))</f>
        <v/>
      </c>
      <c r="AB770" s="13" t="str">
        <f>IF($X770="","",SUMIFS(TARIFF_PROFILES!$G:$G,TARIFF_PROFILES!$A:$A,$X770))</f>
        <v/>
      </c>
      <c r="AC770" s="13" t="str">
        <f>IF($X770="","",SUMIFS(TARIFF_PROFILES!$H:$H,TARIFF_PROFILES!$A:$A,$X770))</f>
        <v/>
      </c>
      <c r="AD770" s="13" t="str">
        <f>IF($X770="","",INDEX(TARIFF_PROFILES!$J:$J,MATCH($X770,TARIFF_PROFILES!$A:$A,0)))</f>
        <v/>
      </c>
      <c r="AE770" s="13" t="str">
        <f>IF($X770="","",INDEX(TARIFF_PROFILES!$K:$K,MATCH($X770,TARIFF_PROFILES!$A:$A,0)))</f>
        <v/>
      </c>
      <c r="AH770" t="str">
        <f>IF($AG770="","",SUMIFS(OPERATING_COEFFS!$C:$C,OPERATING_COEFFS!$A:$A,"DistanceClass",OPERATING_COEFFS!$B:$B,$AG770))</f>
        <v/>
      </c>
      <c r="AJ770" t="str">
        <f>IF($AI770="","",SUMIFS(OPERATING_COEFFS!$C:$C,OPERATING_COEFFS!$A:$A,"SeasonClass",OPERATING_COEFFS!$B:$B,$AI770))</f>
        <v/>
      </c>
      <c r="AL770" t="str">
        <f>IF($AK770="","",SUMIFS(OPERATING_COEFFS!$C:$C,OPERATING_COEFFS!$A:$A,"UrgencyClass",OPERATING_COEFFS!$B:$B,$AK770))</f>
        <v/>
      </c>
      <c r="AN770" t="str">
        <f>IF($AM770="","",INDEX(TAX_MODES!$B:$B,MATCH($AM770,TAX_MODES!$A:$A,0)))</f>
        <v/>
      </c>
    </row>
    <row r="771" spans="24:40" x14ac:dyDescent="0.3">
      <c r="X771" s="13"/>
      <c r="Y771" s="13" t="str">
        <f>IF($X771="","",SUMIFS(TARIFF_PROFILES!$D:$D,TARIFF_PROFILES!$A:$A,$X771))</f>
        <v/>
      </c>
      <c r="Z771" s="13" t="str">
        <f>IF($X771="","",SUMIFS(TARIFF_PROFILES!$E:$E,TARIFF_PROFILES!$A:$A,$X771))</f>
        <v/>
      </c>
      <c r="AA771" s="13" t="str">
        <f>IF($X771="","",SUMIFS(TARIFF_PROFILES!$F:$F,TARIFF_PROFILES!$A:$A,$X771))</f>
        <v/>
      </c>
      <c r="AB771" s="13" t="str">
        <f>IF($X771="","",SUMIFS(TARIFF_PROFILES!$G:$G,TARIFF_PROFILES!$A:$A,$X771))</f>
        <v/>
      </c>
      <c r="AC771" s="13" t="str">
        <f>IF($X771="","",SUMIFS(TARIFF_PROFILES!$H:$H,TARIFF_PROFILES!$A:$A,$X771))</f>
        <v/>
      </c>
      <c r="AD771" s="13" t="str">
        <f>IF($X771="","",INDEX(TARIFF_PROFILES!$J:$J,MATCH($X771,TARIFF_PROFILES!$A:$A,0)))</f>
        <v/>
      </c>
      <c r="AE771" s="13" t="str">
        <f>IF($X771="","",INDEX(TARIFF_PROFILES!$K:$K,MATCH($X771,TARIFF_PROFILES!$A:$A,0)))</f>
        <v/>
      </c>
      <c r="AH771" t="str">
        <f>IF($AG771="","",SUMIFS(OPERATING_COEFFS!$C:$C,OPERATING_COEFFS!$A:$A,"DistanceClass",OPERATING_COEFFS!$B:$B,$AG771))</f>
        <v/>
      </c>
      <c r="AJ771" t="str">
        <f>IF($AI771="","",SUMIFS(OPERATING_COEFFS!$C:$C,OPERATING_COEFFS!$A:$A,"SeasonClass",OPERATING_COEFFS!$B:$B,$AI771))</f>
        <v/>
      </c>
      <c r="AL771" t="str">
        <f>IF($AK771="","",SUMIFS(OPERATING_COEFFS!$C:$C,OPERATING_COEFFS!$A:$A,"UrgencyClass",OPERATING_COEFFS!$B:$B,$AK771))</f>
        <v/>
      </c>
      <c r="AN771" t="str">
        <f>IF($AM771="","",INDEX(TAX_MODES!$B:$B,MATCH($AM771,TAX_MODES!$A:$A,0)))</f>
        <v/>
      </c>
    </row>
    <row r="772" spans="24:40" x14ac:dyDescent="0.3">
      <c r="X772" s="13"/>
      <c r="Y772" s="13" t="str">
        <f>IF($X772="","",SUMIFS(TARIFF_PROFILES!$D:$D,TARIFF_PROFILES!$A:$A,$X772))</f>
        <v/>
      </c>
      <c r="Z772" s="13" t="str">
        <f>IF($X772="","",SUMIFS(TARIFF_PROFILES!$E:$E,TARIFF_PROFILES!$A:$A,$X772))</f>
        <v/>
      </c>
      <c r="AA772" s="13" t="str">
        <f>IF($X772="","",SUMIFS(TARIFF_PROFILES!$F:$F,TARIFF_PROFILES!$A:$A,$X772))</f>
        <v/>
      </c>
      <c r="AB772" s="13" t="str">
        <f>IF($X772="","",SUMIFS(TARIFF_PROFILES!$G:$G,TARIFF_PROFILES!$A:$A,$X772))</f>
        <v/>
      </c>
      <c r="AC772" s="13" t="str">
        <f>IF($X772="","",SUMIFS(TARIFF_PROFILES!$H:$H,TARIFF_PROFILES!$A:$A,$X772))</f>
        <v/>
      </c>
      <c r="AD772" s="13" t="str">
        <f>IF($X772="","",INDEX(TARIFF_PROFILES!$J:$J,MATCH($X772,TARIFF_PROFILES!$A:$A,0)))</f>
        <v/>
      </c>
      <c r="AE772" s="13" t="str">
        <f>IF($X772="","",INDEX(TARIFF_PROFILES!$K:$K,MATCH($X772,TARIFF_PROFILES!$A:$A,0)))</f>
        <v/>
      </c>
      <c r="AH772" t="str">
        <f>IF($AG772="","",SUMIFS(OPERATING_COEFFS!$C:$C,OPERATING_COEFFS!$A:$A,"DistanceClass",OPERATING_COEFFS!$B:$B,$AG772))</f>
        <v/>
      </c>
      <c r="AJ772" t="str">
        <f>IF($AI772="","",SUMIFS(OPERATING_COEFFS!$C:$C,OPERATING_COEFFS!$A:$A,"SeasonClass",OPERATING_COEFFS!$B:$B,$AI772))</f>
        <v/>
      </c>
      <c r="AL772" t="str">
        <f>IF($AK772="","",SUMIFS(OPERATING_COEFFS!$C:$C,OPERATING_COEFFS!$A:$A,"UrgencyClass",OPERATING_COEFFS!$B:$B,$AK772))</f>
        <v/>
      </c>
      <c r="AN772" t="str">
        <f>IF($AM772="","",INDEX(TAX_MODES!$B:$B,MATCH($AM772,TAX_MODES!$A:$A,0)))</f>
        <v/>
      </c>
    </row>
    <row r="773" spans="24:40" x14ac:dyDescent="0.3">
      <c r="X773" s="13"/>
      <c r="Y773" s="13" t="str">
        <f>IF($X773="","",SUMIFS(TARIFF_PROFILES!$D:$D,TARIFF_PROFILES!$A:$A,$X773))</f>
        <v/>
      </c>
      <c r="Z773" s="13" t="str">
        <f>IF($X773="","",SUMIFS(TARIFF_PROFILES!$E:$E,TARIFF_PROFILES!$A:$A,$X773))</f>
        <v/>
      </c>
      <c r="AA773" s="13" t="str">
        <f>IF($X773="","",SUMIFS(TARIFF_PROFILES!$F:$F,TARIFF_PROFILES!$A:$A,$X773))</f>
        <v/>
      </c>
      <c r="AB773" s="13" t="str">
        <f>IF($X773="","",SUMIFS(TARIFF_PROFILES!$G:$G,TARIFF_PROFILES!$A:$A,$X773))</f>
        <v/>
      </c>
      <c r="AC773" s="13" t="str">
        <f>IF($X773="","",SUMIFS(TARIFF_PROFILES!$H:$H,TARIFF_PROFILES!$A:$A,$X773))</f>
        <v/>
      </c>
      <c r="AD773" s="13" t="str">
        <f>IF($X773="","",INDEX(TARIFF_PROFILES!$J:$J,MATCH($X773,TARIFF_PROFILES!$A:$A,0)))</f>
        <v/>
      </c>
      <c r="AE773" s="13" t="str">
        <f>IF($X773="","",INDEX(TARIFF_PROFILES!$K:$K,MATCH($X773,TARIFF_PROFILES!$A:$A,0)))</f>
        <v/>
      </c>
      <c r="AH773" t="str">
        <f>IF($AG773="","",SUMIFS(OPERATING_COEFFS!$C:$C,OPERATING_COEFFS!$A:$A,"DistanceClass",OPERATING_COEFFS!$B:$B,$AG773))</f>
        <v/>
      </c>
      <c r="AJ773" t="str">
        <f>IF($AI773="","",SUMIFS(OPERATING_COEFFS!$C:$C,OPERATING_COEFFS!$A:$A,"SeasonClass",OPERATING_COEFFS!$B:$B,$AI773))</f>
        <v/>
      </c>
      <c r="AL773" t="str">
        <f>IF($AK773="","",SUMIFS(OPERATING_COEFFS!$C:$C,OPERATING_COEFFS!$A:$A,"UrgencyClass",OPERATING_COEFFS!$B:$B,$AK773))</f>
        <v/>
      </c>
      <c r="AN773" t="str">
        <f>IF($AM773="","",INDEX(TAX_MODES!$B:$B,MATCH($AM773,TAX_MODES!$A:$A,0)))</f>
        <v/>
      </c>
    </row>
    <row r="774" spans="24:40" x14ac:dyDescent="0.3">
      <c r="X774" s="13"/>
      <c r="Y774" s="13" t="str">
        <f>IF($X774="","",SUMIFS(TARIFF_PROFILES!$D:$D,TARIFF_PROFILES!$A:$A,$X774))</f>
        <v/>
      </c>
      <c r="Z774" s="13" t="str">
        <f>IF($X774="","",SUMIFS(TARIFF_PROFILES!$E:$E,TARIFF_PROFILES!$A:$A,$X774))</f>
        <v/>
      </c>
      <c r="AA774" s="13" t="str">
        <f>IF($X774="","",SUMIFS(TARIFF_PROFILES!$F:$F,TARIFF_PROFILES!$A:$A,$X774))</f>
        <v/>
      </c>
      <c r="AB774" s="13" t="str">
        <f>IF($X774="","",SUMIFS(TARIFF_PROFILES!$G:$G,TARIFF_PROFILES!$A:$A,$X774))</f>
        <v/>
      </c>
      <c r="AC774" s="13" t="str">
        <f>IF($X774="","",SUMIFS(TARIFF_PROFILES!$H:$H,TARIFF_PROFILES!$A:$A,$X774))</f>
        <v/>
      </c>
      <c r="AD774" s="13" t="str">
        <f>IF($X774="","",INDEX(TARIFF_PROFILES!$J:$J,MATCH($X774,TARIFF_PROFILES!$A:$A,0)))</f>
        <v/>
      </c>
      <c r="AE774" s="13" t="str">
        <f>IF($X774="","",INDEX(TARIFF_PROFILES!$K:$K,MATCH($X774,TARIFF_PROFILES!$A:$A,0)))</f>
        <v/>
      </c>
      <c r="AH774" t="str">
        <f>IF($AG774="","",SUMIFS(OPERATING_COEFFS!$C:$C,OPERATING_COEFFS!$A:$A,"DistanceClass",OPERATING_COEFFS!$B:$B,$AG774))</f>
        <v/>
      </c>
      <c r="AJ774" t="str">
        <f>IF($AI774="","",SUMIFS(OPERATING_COEFFS!$C:$C,OPERATING_COEFFS!$A:$A,"SeasonClass",OPERATING_COEFFS!$B:$B,$AI774))</f>
        <v/>
      </c>
      <c r="AL774" t="str">
        <f>IF($AK774="","",SUMIFS(OPERATING_COEFFS!$C:$C,OPERATING_COEFFS!$A:$A,"UrgencyClass",OPERATING_COEFFS!$B:$B,$AK774))</f>
        <v/>
      </c>
      <c r="AN774" t="str">
        <f>IF($AM774="","",INDEX(TAX_MODES!$B:$B,MATCH($AM774,TAX_MODES!$A:$A,0)))</f>
        <v/>
      </c>
    </row>
    <row r="775" spans="24:40" x14ac:dyDescent="0.3">
      <c r="X775" s="13"/>
      <c r="Y775" s="13" t="str">
        <f>IF($X775="","",SUMIFS(TARIFF_PROFILES!$D:$D,TARIFF_PROFILES!$A:$A,$X775))</f>
        <v/>
      </c>
      <c r="Z775" s="13" t="str">
        <f>IF($X775="","",SUMIFS(TARIFF_PROFILES!$E:$E,TARIFF_PROFILES!$A:$A,$X775))</f>
        <v/>
      </c>
      <c r="AA775" s="13" t="str">
        <f>IF($X775="","",SUMIFS(TARIFF_PROFILES!$F:$F,TARIFF_PROFILES!$A:$A,$X775))</f>
        <v/>
      </c>
      <c r="AB775" s="13" t="str">
        <f>IF($X775="","",SUMIFS(TARIFF_PROFILES!$G:$G,TARIFF_PROFILES!$A:$A,$X775))</f>
        <v/>
      </c>
      <c r="AC775" s="13" t="str">
        <f>IF($X775="","",SUMIFS(TARIFF_PROFILES!$H:$H,TARIFF_PROFILES!$A:$A,$X775))</f>
        <v/>
      </c>
      <c r="AD775" s="13" t="str">
        <f>IF($X775="","",INDEX(TARIFF_PROFILES!$J:$J,MATCH($X775,TARIFF_PROFILES!$A:$A,0)))</f>
        <v/>
      </c>
      <c r="AE775" s="13" t="str">
        <f>IF($X775="","",INDEX(TARIFF_PROFILES!$K:$K,MATCH($X775,TARIFF_PROFILES!$A:$A,0)))</f>
        <v/>
      </c>
      <c r="AH775" t="str">
        <f>IF($AG775="","",SUMIFS(OPERATING_COEFFS!$C:$C,OPERATING_COEFFS!$A:$A,"DistanceClass",OPERATING_COEFFS!$B:$B,$AG775))</f>
        <v/>
      </c>
      <c r="AJ775" t="str">
        <f>IF($AI775="","",SUMIFS(OPERATING_COEFFS!$C:$C,OPERATING_COEFFS!$A:$A,"SeasonClass",OPERATING_COEFFS!$B:$B,$AI775))</f>
        <v/>
      </c>
      <c r="AL775" t="str">
        <f>IF($AK775="","",SUMIFS(OPERATING_COEFFS!$C:$C,OPERATING_COEFFS!$A:$A,"UrgencyClass",OPERATING_COEFFS!$B:$B,$AK775))</f>
        <v/>
      </c>
      <c r="AN775" t="str">
        <f>IF($AM775="","",INDEX(TAX_MODES!$B:$B,MATCH($AM775,TAX_MODES!$A:$A,0)))</f>
        <v/>
      </c>
    </row>
    <row r="776" spans="24:40" x14ac:dyDescent="0.3">
      <c r="X776" s="13"/>
      <c r="Y776" s="13" t="str">
        <f>IF($X776="","",SUMIFS(TARIFF_PROFILES!$D:$D,TARIFF_PROFILES!$A:$A,$X776))</f>
        <v/>
      </c>
      <c r="Z776" s="13" t="str">
        <f>IF($X776="","",SUMIFS(TARIFF_PROFILES!$E:$E,TARIFF_PROFILES!$A:$A,$X776))</f>
        <v/>
      </c>
      <c r="AA776" s="13" t="str">
        <f>IF($X776="","",SUMIFS(TARIFF_PROFILES!$F:$F,TARIFF_PROFILES!$A:$A,$X776))</f>
        <v/>
      </c>
      <c r="AB776" s="13" t="str">
        <f>IF($X776="","",SUMIFS(TARIFF_PROFILES!$G:$G,TARIFF_PROFILES!$A:$A,$X776))</f>
        <v/>
      </c>
      <c r="AC776" s="13" t="str">
        <f>IF($X776="","",SUMIFS(TARIFF_PROFILES!$H:$H,TARIFF_PROFILES!$A:$A,$X776))</f>
        <v/>
      </c>
      <c r="AD776" s="13" t="str">
        <f>IF($X776="","",INDEX(TARIFF_PROFILES!$J:$J,MATCH($X776,TARIFF_PROFILES!$A:$A,0)))</f>
        <v/>
      </c>
      <c r="AE776" s="13" t="str">
        <f>IF($X776="","",INDEX(TARIFF_PROFILES!$K:$K,MATCH($X776,TARIFF_PROFILES!$A:$A,0)))</f>
        <v/>
      </c>
      <c r="AH776" t="str">
        <f>IF($AG776="","",SUMIFS(OPERATING_COEFFS!$C:$C,OPERATING_COEFFS!$A:$A,"DistanceClass",OPERATING_COEFFS!$B:$B,$AG776))</f>
        <v/>
      </c>
      <c r="AJ776" t="str">
        <f>IF($AI776="","",SUMIFS(OPERATING_COEFFS!$C:$C,OPERATING_COEFFS!$A:$A,"SeasonClass",OPERATING_COEFFS!$B:$B,$AI776))</f>
        <v/>
      </c>
      <c r="AL776" t="str">
        <f>IF($AK776="","",SUMIFS(OPERATING_COEFFS!$C:$C,OPERATING_COEFFS!$A:$A,"UrgencyClass",OPERATING_COEFFS!$B:$B,$AK776))</f>
        <v/>
      </c>
      <c r="AN776" t="str">
        <f>IF($AM776="","",INDEX(TAX_MODES!$B:$B,MATCH($AM776,TAX_MODES!$A:$A,0)))</f>
        <v/>
      </c>
    </row>
    <row r="777" spans="24:40" x14ac:dyDescent="0.3">
      <c r="X777" s="13"/>
      <c r="Y777" s="13" t="str">
        <f>IF($X777="","",SUMIFS(TARIFF_PROFILES!$D:$D,TARIFF_PROFILES!$A:$A,$X777))</f>
        <v/>
      </c>
      <c r="Z777" s="13" t="str">
        <f>IF($X777="","",SUMIFS(TARIFF_PROFILES!$E:$E,TARIFF_PROFILES!$A:$A,$X777))</f>
        <v/>
      </c>
      <c r="AA777" s="13" t="str">
        <f>IF($X777="","",SUMIFS(TARIFF_PROFILES!$F:$F,TARIFF_PROFILES!$A:$A,$X777))</f>
        <v/>
      </c>
      <c r="AB777" s="13" t="str">
        <f>IF($X777="","",SUMIFS(TARIFF_PROFILES!$G:$G,TARIFF_PROFILES!$A:$A,$X777))</f>
        <v/>
      </c>
      <c r="AC777" s="13" t="str">
        <f>IF($X777="","",SUMIFS(TARIFF_PROFILES!$H:$H,TARIFF_PROFILES!$A:$A,$X777))</f>
        <v/>
      </c>
      <c r="AD777" s="13" t="str">
        <f>IF($X777="","",INDEX(TARIFF_PROFILES!$J:$J,MATCH($X777,TARIFF_PROFILES!$A:$A,0)))</f>
        <v/>
      </c>
      <c r="AE777" s="13" t="str">
        <f>IF($X777="","",INDEX(TARIFF_PROFILES!$K:$K,MATCH($X777,TARIFF_PROFILES!$A:$A,0)))</f>
        <v/>
      </c>
      <c r="AH777" t="str">
        <f>IF($AG777="","",SUMIFS(OPERATING_COEFFS!$C:$C,OPERATING_COEFFS!$A:$A,"DistanceClass",OPERATING_COEFFS!$B:$B,$AG777))</f>
        <v/>
      </c>
      <c r="AJ777" t="str">
        <f>IF($AI777="","",SUMIFS(OPERATING_COEFFS!$C:$C,OPERATING_COEFFS!$A:$A,"SeasonClass",OPERATING_COEFFS!$B:$B,$AI777))</f>
        <v/>
      </c>
      <c r="AL777" t="str">
        <f>IF($AK777="","",SUMIFS(OPERATING_COEFFS!$C:$C,OPERATING_COEFFS!$A:$A,"UrgencyClass",OPERATING_COEFFS!$B:$B,$AK777))</f>
        <v/>
      </c>
      <c r="AN777" t="str">
        <f>IF($AM777="","",INDEX(TAX_MODES!$B:$B,MATCH($AM777,TAX_MODES!$A:$A,0)))</f>
        <v/>
      </c>
    </row>
    <row r="778" spans="24:40" x14ac:dyDescent="0.3">
      <c r="X778" s="13"/>
      <c r="Y778" s="13" t="str">
        <f>IF($X778="","",SUMIFS(TARIFF_PROFILES!$D:$D,TARIFF_PROFILES!$A:$A,$X778))</f>
        <v/>
      </c>
      <c r="Z778" s="13" t="str">
        <f>IF($X778="","",SUMIFS(TARIFF_PROFILES!$E:$E,TARIFF_PROFILES!$A:$A,$X778))</f>
        <v/>
      </c>
      <c r="AA778" s="13" t="str">
        <f>IF($X778="","",SUMIFS(TARIFF_PROFILES!$F:$F,TARIFF_PROFILES!$A:$A,$X778))</f>
        <v/>
      </c>
      <c r="AB778" s="13" t="str">
        <f>IF($X778="","",SUMIFS(TARIFF_PROFILES!$G:$G,TARIFF_PROFILES!$A:$A,$X778))</f>
        <v/>
      </c>
      <c r="AC778" s="13" t="str">
        <f>IF($X778="","",SUMIFS(TARIFF_PROFILES!$H:$H,TARIFF_PROFILES!$A:$A,$X778))</f>
        <v/>
      </c>
      <c r="AD778" s="13" t="str">
        <f>IF($X778="","",INDEX(TARIFF_PROFILES!$J:$J,MATCH($X778,TARIFF_PROFILES!$A:$A,0)))</f>
        <v/>
      </c>
      <c r="AE778" s="13" t="str">
        <f>IF($X778="","",INDEX(TARIFF_PROFILES!$K:$K,MATCH($X778,TARIFF_PROFILES!$A:$A,0)))</f>
        <v/>
      </c>
      <c r="AH778" t="str">
        <f>IF($AG778="","",SUMIFS(OPERATING_COEFFS!$C:$C,OPERATING_COEFFS!$A:$A,"DistanceClass",OPERATING_COEFFS!$B:$B,$AG778))</f>
        <v/>
      </c>
      <c r="AJ778" t="str">
        <f>IF($AI778="","",SUMIFS(OPERATING_COEFFS!$C:$C,OPERATING_COEFFS!$A:$A,"SeasonClass",OPERATING_COEFFS!$B:$B,$AI778))</f>
        <v/>
      </c>
      <c r="AL778" t="str">
        <f>IF($AK778="","",SUMIFS(OPERATING_COEFFS!$C:$C,OPERATING_COEFFS!$A:$A,"UrgencyClass",OPERATING_COEFFS!$B:$B,$AK778))</f>
        <v/>
      </c>
      <c r="AN778" t="str">
        <f>IF($AM778="","",INDEX(TAX_MODES!$B:$B,MATCH($AM778,TAX_MODES!$A:$A,0)))</f>
        <v/>
      </c>
    </row>
    <row r="779" spans="24:40" x14ac:dyDescent="0.3">
      <c r="X779" s="13"/>
      <c r="Y779" s="13" t="str">
        <f>IF($X779="","",SUMIFS(TARIFF_PROFILES!$D:$D,TARIFF_PROFILES!$A:$A,$X779))</f>
        <v/>
      </c>
      <c r="Z779" s="13" t="str">
        <f>IF($X779="","",SUMIFS(TARIFF_PROFILES!$E:$E,TARIFF_PROFILES!$A:$A,$X779))</f>
        <v/>
      </c>
      <c r="AA779" s="13" t="str">
        <f>IF($X779="","",SUMIFS(TARIFF_PROFILES!$F:$F,TARIFF_PROFILES!$A:$A,$X779))</f>
        <v/>
      </c>
      <c r="AB779" s="13" t="str">
        <f>IF($X779="","",SUMIFS(TARIFF_PROFILES!$G:$G,TARIFF_PROFILES!$A:$A,$X779))</f>
        <v/>
      </c>
      <c r="AC779" s="13" t="str">
        <f>IF($X779="","",SUMIFS(TARIFF_PROFILES!$H:$H,TARIFF_PROFILES!$A:$A,$X779))</f>
        <v/>
      </c>
      <c r="AD779" s="13" t="str">
        <f>IF($X779="","",INDEX(TARIFF_PROFILES!$J:$J,MATCH($X779,TARIFF_PROFILES!$A:$A,0)))</f>
        <v/>
      </c>
      <c r="AE779" s="13" t="str">
        <f>IF($X779="","",INDEX(TARIFF_PROFILES!$K:$K,MATCH($X779,TARIFF_PROFILES!$A:$A,0)))</f>
        <v/>
      </c>
      <c r="AH779" t="str">
        <f>IF($AG779="","",SUMIFS(OPERATING_COEFFS!$C:$C,OPERATING_COEFFS!$A:$A,"DistanceClass",OPERATING_COEFFS!$B:$B,$AG779))</f>
        <v/>
      </c>
      <c r="AJ779" t="str">
        <f>IF($AI779="","",SUMIFS(OPERATING_COEFFS!$C:$C,OPERATING_COEFFS!$A:$A,"SeasonClass",OPERATING_COEFFS!$B:$B,$AI779))</f>
        <v/>
      </c>
      <c r="AL779" t="str">
        <f>IF($AK779="","",SUMIFS(OPERATING_COEFFS!$C:$C,OPERATING_COEFFS!$A:$A,"UrgencyClass",OPERATING_COEFFS!$B:$B,$AK779))</f>
        <v/>
      </c>
      <c r="AN779" t="str">
        <f>IF($AM779="","",INDEX(TAX_MODES!$B:$B,MATCH($AM779,TAX_MODES!$A:$A,0)))</f>
        <v/>
      </c>
    </row>
    <row r="780" spans="24:40" x14ac:dyDescent="0.3">
      <c r="X780" s="13"/>
      <c r="Y780" s="13" t="str">
        <f>IF($X780="","",SUMIFS(TARIFF_PROFILES!$D:$D,TARIFF_PROFILES!$A:$A,$X780))</f>
        <v/>
      </c>
      <c r="Z780" s="13" t="str">
        <f>IF($X780="","",SUMIFS(TARIFF_PROFILES!$E:$E,TARIFF_PROFILES!$A:$A,$X780))</f>
        <v/>
      </c>
      <c r="AA780" s="13" t="str">
        <f>IF($X780="","",SUMIFS(TARIFF_PROFILES!$F:$F,TARIFF_PROFILES!$A:$A,$X780))</f>
        <v/>
      </c>
      <c r="AB780" s="13" t="str">
        <f>IF($X780="","",SUMIFS(TARIFF_PROFILES!$G:$G,TARIFF_PROFILES!$A:$A,$X780))</f>
        <v/>
      </c>
      <c r="AC780" s="13" t="str">
        <f>IF($X780="","",SUMIFS(TARIFF_PROFILES!$H:$H,TARIFF_PROFILES!$A:$A,$X780))</f>
        <v/>
      </c>
      <c r="AD780" s="13" t="str">
        <f>IF($X780="","",INDEX(TARIFF_PROFILES!$J:$J,MATCH($X780,TARIFF_PROFILES!$A:$A,0)))</f>
        <v/>
      </c>
      <c r="AE780" s="13" t="str">
        <f>IF($X780="","",INDEX(TARIFF_PROFILES!$K:$K,MATCH($X780,TARIFF_PROFILES!$A:$A,0)))</f>
        <v/>
      </c>
      <c r="AH780" t="str">
        <f>IF($AG780="","",SUMIFS(OPERATING_COEFFS!$C:$C,OPERATING_COEFFS!$A:$A,"DistanceClass",OPERATING_COEFFS!$B:$B,$AG780))</f>
        <v/>
      </c>
      <c r="AJ780" t="str">
        <f>IF($AI780="","",SUMIFS(OPERATING_COEFFS!$C:$C,OPERATING_COEFFS!$A:$A,"SeasonClass",OPERATING_COEFFS!$B:$B,$AI780))</f>
        <v/>
      </c>
      <c r="AL780" t="str">
        <f>IF($AK780="","",SUMIFS(OPERATING_COEFFS!$C:$C,OPERATING_COEFFS!$A:$A,"UrgencyClass",OPERATING_COEFFS!$B:$B,$AK780))</f>
        <v/>
      </c>
      <c r="AN780" t="str">
        <f>IF($AM780="","",INDEX(TAX_MODES!$B:$B,MATCH($AM780,TAX_MODES!$A:$A,0)))</f>
        <v/>
      </c>
    </row>
    <row r="781" spans="24:40" x14ac:dyDescent="0.3">
      <c r="X781" s="13"/>
      <c r="Y781" s="13" t="str">
        <f>IF($X781="","",SUMIFS(TARIFF_PROFILES!$D:$D,TARIFF_PROFILES!$A:$A,$X781))</f>
        <v/>
      </c>
      <c r="Z781" s="13" t="str">
        <f>IF($X781="","",SUMIFS(TARIFF_PROFILES!$E:$E,TARIFF_PROFILES!$A:$A,$X781))</f>
        <v/>
      </c>
      <c r="AA781" s="13" t="str">
        <f>IF($X781="","",SUMIFS(TARIFF_PROFILES!$F:$F,TARIFF_PROFILES!$A:$A,$X781))</f>
        <v/>
      </c>
      <c r="AB781" s="13" t="str">
        <f>IF($X781="","",SUMIFS(TARIFF_PROFILES!$G:$G,TARIFF_PROFILES!$A:$A,$X781))</f>
        <v/>
      </c>
      <c r="AC781" s="13" t="str">
        <f>IF($X781="","",SUMIFS(TARIFF_PROFILES!$H:$H,TARIFF_PROFILES!$A:$A,$X781))</f>
        <v/>
      </c>
      <c r="AD781" s="13" t="str">
        <f>IF($X781="","",INDEX(TARIFF_PROFILES!$J:$J,MATCH($X781,TARIFF_PROFILES!$A:$A,0)))</f>
        <v/>
      </c>
      <c r="AE781" s="13" t="str">
        <f>IF($X781="","",INDEX(TARIFF_PROFILES!$K:$K,MATCH($X781,TARIFF_PROFILES!$A:$A,0)))</f>
        <v/>
      </c>
      <c r="AH781" t="str">
        <f>IF($AG781="","",SUMIFS(OPERATING_COEFFS!$C:$C,OPERATING_COEFFS!$A:$A,"DistanceClass",OPERATING_COEFFS!$B:$B,$AG781))</f>
        <v/>
      </c>
      <c r="AJ781" t="str">
        <f>IF($AI781="","",SUMIFS(OPERATING_COEFFS!$C:$C,OPERATING_COEFFS!$A:$A,"SeasonClass",OPERATING_COEFFS!$B:$B,$AI781))</f>
        <v/>
      </c>
      <c r="AL781" t="str">
        <f>IF($AK781="","",SUMIFS(OPERATING_COEFFS!$C:$C,OPERATING_COEFFS!$A:$A,"UrgencyClass",OPERATING_COEFFS!$B:$B,$AK781))</f>
        <v/>
      </c>
      <c r="AN781" t="str">
        <f>IF($AM781="","",INDEX(TAX_MODES!$B:$B,MATCH($AM781,TAX_MODES!$A:$A,0)))</f>
        <v/>
      </c>
    </row>
    <row r="782" spans="24:40" x14ac:dyDescent="0.3">
      <c r="X782" s="13"/>
      <c r="Y782" s="13" t="str">
        <f>IF($X782="","",SUMIFS(TARIFF_PROFILES!$D:$D,TARIFF_PROFILES!$A:$A,$X782))</f>
        <v/>
      </c>
      <c r="Z782" s="13" t="str">
        <f>IF($X782="","",SUMIFS(TARIFF_PROFILES!$E:$E,TARIFF_PROFILES!$A:$A,$X782))</f>
        <v/>
      </c>
      <c r="AA782" s="13" t="str">
        <f>IF($X782="","",SUMIFS(TARIFF_PROFILES!$F:$F,TARIFF_PROFILES!$A:$A,$X782))</f>
        <v/>
      </c>
      <c r="AB782" s="13" t="str">
        <f>IF($X782="","",SUMIFS(TARIFF_PROFILES!$G:$G,TARIFF_PROFILES!$A:$A,$X782))</f>
        <v/>
      </c>
      <c r="AC782" s="13" t="str">
        <f>IF($X782="","",SUMIFS(TARIFF_PROFILES!$H:$H,TARIFF_PROFILES!$A:$A,$X782))</f>
        <v/>
      </c>
      <c r="AD782" s="13" t="str">
        <f>IF($X782="","",INDEX(TARIFF_PROFILES!$J:$J,MATCH($X782,TARIFF_PROFILES!$A:$A,0)))</f>
        <v/>
      </c>
      <c r="AE782" s="13" t="str">
        <f>IF($X782="","",INDEX(TARIFF_PROFILES!$K:$K,MATCH($X782,TARIFF_PROFILES!$A:$A,0)))</f>
        <v/>
      </c>
      <c r="AH782" t="str">
        <f>IF($AG782="","",SUMIFS(OPERATING_COEFFS!$C:$C,OPERATING_COEFFS!$A:$A,"DistanceClass",OPERATING_COEFFS!$B:$B,$AG782))</f>
        <v/>
      </c>
      <c r="AJ782" t="str">
        <f>IF($AI782="","",SUMIFS(OPERATING_COEFFS!$C:$C,OPERATING_COEFFS!$A:$A,"SeasonClass",OPERATING_COEFFS!$B:$B,$AI782))</f>
        <v/>
      </c>
      <c r="AL782" t="str">
        <f>IF($AK782="","",SUMIFS(OPERATING_COEFFS!$C:$C,OPERATING_COEFFS!$A:$A,"UrgencyClass",OPERATING_COEFFS!$B:$B,$AK782))</f>
        <v/>
      </c>
      <c r="AN782" t="str">
        <f>IF($AM782="","",INDEX(TAX_MODES!$B:$B,MATCH($AM782,TAX_MODES!$A:$A,0)))</f>
        <v/>
      </c>
    </row>
    <row r="783" spans="24:40" x14ac:dyDescent="0.3">
      <c r="X783" s="13"/>
      <c r="Y783" s="13" t="str">
        <f>IF($X783="","",SUMIFS(TARIFF_PROFILES!$D:$D,TARIFF_PROFILES!$A:$A,$X783))</f>
        <v/>
      </c>
      <c r="Z783" s="13" t="str">
        <f>IF($X783="","",SUMIFS(TARIFF_PROFILES!$E:$E,TARIFF_PROFILES!$A:$A,$X783))</f>
        <v/>
      </c>
      <c r="AA783" s="13" t="str">
        <f>IF($X783="","",SUMIFS(TARIFF_PROFILES!$F:$F,TARIFF_PROFILES!$A:$A,$X783))</f>
        <v/>
      </c>
      <c r="AB783" s="13" t="str">
        <f>IF($X783="","",SUMIFS(TARIFF_PROFILES!$G:$G,TARIFF_PROFILES!$A:$A,$X783))</f>
        <v/>
      </c>
      <c r="AC783" s="13" t="str">
        <f>IF($X783="","",SUMIFS(TARIFF_PROFILES!$H:$H,TARIFF_PROFILES!$A:$A,$X783))</f>
        <v/>
      </c>
      <c r="AD783" s="13" t="str">
        <f>IF($X783="","",INDEX(TARIFF_PROFILES!$J:$J,MATCH($X783,TARIFF_PROFILES!$A:$A,0)))</f>
        <v/>
      </c>
      <c r="AE783" s="13" t="str">
        <f>IF($X783="","",INDEX(TARIFF_PROFILES!$K:$K,MATCH($X783,TARIFF_PROFILES!$A:$A,0)))</f>
        <v/>
      </c>
      <c r="AH783" t="str">
        <f>IF($AG783="","",SUMIFS(OPERATING_COEFFS!$C:$C,OPERATING_COEFFS!$A:$A,"DistanceClass",OPERATING_COEFFS!$B:$B,$AG783))</f>
        <v/>
      </c>
      <c r="AJ783" t="str">
        <f>IF($AI783="","",SUMIFS(OPERATING_COEFFS!$C:$C,OPERATING_COEFFS!$A:$A,"SeasonClass",OPERATING_COEFFS!$B:$B,$AI783))</f>
        <v/>
      </c>
      <c r="AL783" t="str">
        <f>IF($AK783="","",SUMIFS(OPERATING_COEFFS!$C:$C,OPERATING_COEFFS!$A:$A,"UrgencyClass",OPERATING_COEFFS!$B:$B,$AK783))</f>
        <v/>
      </c>
      <c r="AN783" t="str">
        <f>IF($AM783="","",INDEX(TAX_MODES!$B:$B,MATCH($AM783,TAX_MODES!$A:$A,0)))</f>
        <v/>
      </c>
    </row>
    <row r="784" spans="24:40" x14ac:dyDescent="0.3">
      <c r="X784" s="13"/>
      <c r="Y784" s="13" t="str">
        <f>IF($X784="","",SUMIFS(TARIFF_PROFILES!$D:$D,TARIFF_PROFILES!$A:$A,$X784))</f>
        <v/>
      </c>
      <c r="Z784" s="13" t="str">
        <f>IF($X784="","",SUMIFS(TARIFF_PROFILES!$E:$E,TARIFF_PROFILES!$A:$A,$X784))</f>
        <v/>
      </c>
      <c r="AA784" s="13" t="str">
        <f>IF($X784="","",SUMIFS(TARIFF_PROFILES!$F:$F,TARIFF_PROFILES!$A:$A,$X784))</f>
        <v/>
      </c>
      <c r="AB784" s="13" t="str">
        <f>IF($X784="","",SUMIFS(TARIFF_PROFILES!$G:$G,TARIFF_PROFILES!$A:$A,$X784))</f>
        <v/>
      </c>
      <c r="AC784" s="13" t="str">
        <f>IF($X784="","",SUMIFS(TARIFF_PROFILES!$H:$H,TARIFF_PROFILES!$A:$A,$X784))</f>
        <v/>
      </c>
      <c r="AD784" s="13" t="str">
        <f>IF($X784="","",INDEX(TARIFF_PROFILES!$J:$J,MATCH($X784,TARIFF_PROFILES!$A:$A,0)))</f>
        <v/>
      </c>
      <c r="AE784" s="13" t="str">
        <f>IF($X784="","",INDEX(TARIFF_PROFILES!$K:$K,MATCH($X784,TARIFF_PROFILES!$A:$A,0)))</f>
        <v/>
      </c>
      <c r="AH784" t="str">
        <f>IF($AG784="","",SUMIFS(OPERATING_COEFFS!$C:$C,OPERATING_COEFFS!$A:$A,"DistanceClass",OPERATING_COEFFS!$B:$B,$AG784))</f>
        <v/>
      </c>
      <c r="AJ784" t="str">
        <f>IF($AI784="","",SUMIFS(OPERATING_COEFFS!$C:$C,OPERATING_COEFFS!$A:$A,"SeasonClass",OPERATING_COEFFS!$B:$B,$AI784))</f>
        <v/>
      </c>
      <c r="AL784" t="str">
        <f>IF($AK784="","",SUMIFS(OPERATING_COEFFS!$C:$C,OPERATING_COEFFS!$A:$A,"UrgencyClass",OPERATING_COEFFS!$B:$B,$AK784))</f>
        <v/>
      </c>
      <c r="AN784" t="str">
        <f>IF($AM784="","",INDEX(TAX_MODES!$B:$B,MATCH($AM784,TAX_MODES!$A:$A,0)))</f>
        <v/>
      </c>
    </row>
    <row r="785" spans="24:40" x14ac:dyDescent="0.3">
      <c r="X785" s="13"/>
      <c r="Y785" s="13" t="str">
        <f>IF($X785="","",SUMIFS(TARIFF_PROFILES!$D:$D,TARIFF_PROFILES!$A:$A,$X785))</f>
        <v/>
      </c>
      <c r="Z785" s="13" t="str">
        <f>IF($X785="","",SUMIFS(TARIFF_PROFILES!$E:$E,TARIFF_PROFILES!$A:$A,$X785))</f>
        <v/>
      </c>
      <c r="AA785" s="13" t="str">
        <f>IF($X785="","",SUMIFS(TARIFF_PROFILES!$F:$F,TARIFF_PROFILES!$A:$A,$X785))</f>
        <v/>
      </c>
      <c r="AB785" s="13" t="str">
        <f>IF($X785="","",SUMIFS(TARIFF_PROFILES!$G:$G,TARIFF_PROFILES!$A:$A,$X785))</f>
        <v/>
      </c>
      <c r="AC785" s="13" t="str">
        <f>IF($X785="","",SUMIFS(TARIFF_PROFILES!$H:$H,TARIFF_PROFILES!$A:$A,$X785))</f>
        <v/>
      </c>
      <c r="AD785" s="13" t="str">
        <f>IF($X785="","",INDEX(TARIFF_PROFILES!$J:$J,MATCH($X785,TARIFF_PROFILES!$A:$A,0)))</f>
        <v/>
      </c>
      <c r="AE785" s="13" t="str">
        <f>IF($X785="","",INDEX(TARIFF_PROFILES!$K:$K,MATCH($X785,TARIFF_PROFILES!$A:$A,0)))</f>
        <v/>
      </c>
      <c r="AH785" t="str">
        <f>IF($AG785="","",SUMIFS(OPERATING_COEFFS!$C:$C,OPERATING_COEFFS!$A:$A,"DistanceClass",OPERATING_COEFFS!$B:$B,$AG785))</f>
        <v/>
      </c>
      <c r="AJ785" t="str">
        <f>IF($AI785="","",SUMIFS(OPERATING_COEFFS!$C:$C,OPERATING_COEFFS!$A:$A,"SeasonClass",OPERATING_COEFFS!$B:$B,$AI785))</f>
        <v/>
      </c>
      <c r="AL785" t="str">
        <f>IF($AK785="","",SUMIFS(OPERATING_COEFFS!$C:$C,OPERATING_COEFFS!$A:$A,"UrgencyClass",OPERATING_COEFFS!$B:$B,$AK785))</f>
        <v/>
      </c>
      <c r="AN785" t="str">
        <f>IF($AM785="","",INDEX(TAX_MODES!$B:$B,MATCH($AM785,TAX_MODES!$A:$A,0)))</f>
        <v/>
      </c>
    </row>
    <row r="786" spans="24:40" x14ac:dyDescent="0.3">
      <c r="X786" s="13"/>
      <c r="Y786" s="13" t="str">
        <f>IF($X786="","",SUMIFS(TARIFF_PROFILES!$D:$D,TARIFF_PROFILES!$A:$A,$X786))</f>
        <v/>
      </c>
      <c r="Z786" s="13" t="str">
        <f>IF($X786="","",SUMIFS(TARIFF_PROFILES!$E:$E,TARIFF_PROFILES!$A:$A,$X786))</f>
        <v/>
      </c>
      <c r="AA786" s="13" t="str">
        <f>IF($X786="","",SUMIFS(TARIFF_PROFILES!$F:$F,TARIFF_PROFILES!$A:$A,$X786))</f>
        <v/>
      </c>
      <c r="AB786" s="13" t="str">
        <f>IF($X786="","",SUMIFS(TARIFF_PROFILES!$G:$G,TARIFF_PROFILES!$A:$A,$X786))</f>
        <v/>
      </c>
      <c r="AC786" s="13" t="str">
        <f>IF($X786="","",SUMIFS(TARIFF_PROFILES!$H:$H,TARIFF_PROFILES!$A:$A,$X786))</f>
        <v/>
      </c>
      <c r="AD786" s="13" t="str">
        <f>IF($X786="","",INDEX(TARIFF_PROFILES!$J:$J,MATCH($X786,TARIFF_PROFILES!$A:$A,0)))</f>
        <v/>
      </c>
      <c r="AE786" s="13" t="str">
        <f>IF($X786="","",INDEX(TARIFF_PROFILES!$K:$K,MATCH($X786,TARIFF_PROFILES!$A:$A,0)))</f>
        <v/>
      </c>
      <c r="AH786" t="str">
        <f>IF($AG786="","",SUMIFS(OPERATING_COEFFS!$C:$C,OPERATING_COEFFS!$A:$A,"DistanceClass",OPERATING_COEFFS!$B:$B,$AG786))</f>
        <v/>
      </c>
      <c r="AJ786" t="str">
        <f>IF($AI786="","",SUMIFS(OPERATING_COEFFS!$C:$C,OPERATING_COEFFS!$A:$A,"SeasonClass",OPERATING_COEFFS!$B:$B,$AI786))</f>
        <v/>
      </c>
      <c r="AL786" t="str">
        <f>IF($AK786="","",SUMIFS(OPERATING_COEFFS!$C:$C,OPERATING_COEFFS!$A:$A,"UrgencyClass",OPERATING_COEFFS!$B:$B,$AK786))</f>
        <v/>
      </c>
      <c r="AN786" t="str">
        <f>IF($AM786="","",INDEX(TAX_MODES!$B:$B,MATCH($AM786,TAX_MODES!$A:$A,0)))</f>
        <v/>
      </c>
    </row>
    <row r="787" spans="24:40" x14ac:dyDescent="0.3">
      <c r="X787" s="13"/>
      <c r="Y787" s="13" t="str">
        <f>IF($X787="","",SUMIFS(TARIFF_PROFILES!$D:$D,TARIFF_PROFILES!$A:$A,$X787))</f>
        <v/>
      </c>
      <c r="Z787" s="13" t="str">
        <f>IF($X787="","",SUMIFS(TARIFF_PROFILES!$E:$E,TARIFF_PROFILES!$A:$A,$X787))</f>
        <v/>
      </c>
      <c r="AA787" s="13" t="str">
        <f>IF($X787="","",SUMIFS(TARIFF_PROFILES!$F:$F,TARIFF_PROFILES!$A:$A,$X787))</f>
        <v/>
      </c>
      <c r="AB787" s="13" t="str">
        <f>IF($X787="","",SUMIFS(TARIFF_PROFILES!$G:$G,TARIFF_PROFILES!$A:$A,$X787))</f>
        <v/>
      </c>
      <c r="AC787" s="13" t="str">
        <f>IF($X787="","",SUMIFS(TARIFF_PROFILES!$H:$H,TARIFF_PROFILES!$A:$A,$X787))</f>
        <v/>
      </c>
      <c r="AD787" s="13" t="str">
        <f>IF($X787="","",INDEX(TARIFF_PROFILES!$J:$J,MATCH($X787,TARIFF_PROFILES!$A:$A,0)))</f>
        <v/>
      </c>
      <c r="AE787" s="13" t="str">
        <f>IF($X787="","",INDEX(TARIFF_PROFILES!$K:$K,MATCH($X787,TARIFF_PROFILES!$A:$A,0)))</f>
        <v/>
      </c>
      <c r="AH787" t="str">
        <f>IF($AG787="","",SUMIFS(OPERATING_COEFFS!$C:$C,OPERATING_COEFFS!$A:$A,"DistanceClass",OPERATING_COEFFS!$B:$B,$AG787))</f>
        <v/>
      </c>
      <c r="AJ787" t="str">
        <f>IF($AI787="","",SUMIFS(OPERATING_COEFFS!$C:$C,OPERATING_COEFFS!$A:$A,"SeasonClass",OPERATING_COEFFS!$B:$B,$AI787))</f>
        <v/>
      </c>
      <c r="AL787" t="str">
        <f>IF($AK787="","",SUMIFS(OPERATING_COEFFS!$C:$C,OPERATING_COEFFS!$A:$A,"UrgencyClass",OPERATING_COEFFS!$B:$B,$AK787))</f>
        <v/>
      </c>
      <c r="AN787" t="str">
        <f>IF($AM787="","",INDEX(TAX_MODES!$B:$B,MATCH($AM787,TAX_MODES!$A:$A,0)))</f>
        <v/>
      </c>
    </row>
    <row r="788" spans="24:40" x14ac:dyDescent="0.3">
      <c r="X788" s="13"/>
      <c r="Y788" s="13" t="str">
        <f>IF($X788="","",SUMIFS(TARIFF_PROFILES!$D:$D,TARIFF_PROFILES!$A:$A,$X788))</f>
        <v/>
      </c>
      <c r="Z788" s="13" t="str">
        <f>IF($X788="","",SUMIFS(TARIFF_PROFILES!$E:$E,TARIFF_PROFILES!$A:$A,$X788))</f>
        <v/>
      </c>
      <c r="AA788" s="13" t="str">
        <f>IF($X788="","",SUMIFS(TARIFF_PROFILES!$F:$F,TARIFF_PROFILES!$A:$A,$X788))</f>
        <v/>
      </c>
      <c r="AB788" s="13" t="str">
        <f>IF($X788="","",SUMIFS(TARIFF_PROFILES!$G:$G,TARIFF_PROFILES!$A:$A,$X788))</f>
        <v/>
      </c>
      <c r="AC788" s="13" t="str">
        <f>IF($X788="","",SUMIFS(TARIFF_PROFILES!$H:$H,TARIFF_PROFILES!$A:$A,$X788))</f>
        <v/>
      </c>
      <c r="AD788" s="13" t="str">
        <f>IF($X788="","",INDEX(TARIFF_PROFILES!$J:$J,MATCH($X788,TARIFF_PROFILES!$A:$A,0)))</f>
        <v/>
      </c>
      <c r="AE788" s="13" t="str">
        <f>IF($X788="","",INDEX(TARIFF_PROFILES!$K:$K,MATCH($X788,TARIFF_PROFILES!$A:$A,0)))</f>
        <v/>
      </c>
      <c r="AH788" t="str">
        <f>IF($AG788="","",SUMIFS(OPERATING_COEFFS!$C:$C,OPERATING_COEFFS!$A:$A,"DistanceClass",OPERATING_COEFFS!$B:$B,$AG788))</f>
        <v/>
      </c>
      <c r="AJ788" t="str">
        <f>IF($AI788="","",SUMIFS(OPERATING_COEFFS!$C:$C,OPERATING_COEFFS!$A:$A,"SeasonClass",OPERATING_COEFFS!$B:$B,$AI788))</f>
        <v/>
      </c>
      <c r="AL788" t="str">
        <f>IF($AK788="","",SUMIFS(OPERATING_COEFFS!$C:$C,OPERATING_COEFFS!$A:$A,"UrgencyClass",OPERATING_COEFFS!$B:$B,$AK788))</f>
        <v/>
      </c>
      <c r="AN788" t="str">
        <f>IF($AM788="","",INDEX(TAX_MODES!$B:$B,MATCH($AM788,TAX_MODES!$A:$A,0)))</f>
        <v/>
      </c>
    </row>
    <row r="789" spans="24:40" x14ac:dyDescent="0.3">
      <c r="X789" s="13"/>
      <c r="Y789" s="13" t="str">
        <f>IF($X789="","",SUMIFS(TARIFF_PROFILES!$D:$D,TARIFF_PROFILES!$A:$A,$X789))</f>
        <v/>
      </c>
      <c r="Z789" s="13" t="str">
        <f>IF($X789="","",SUMIFS(TARIFF_PROFILES!$E:$E,TARIFF_PROFILES!$A:$A,$X789))</f>
        <v/>
      </c>
      <c r="AA789" s="13" t="str">
        <f>IF($X789="","",SUMIFS(TARIFF_PROFILES!$F:$F,TARIFF_PROFILES!$A:$A,$X789))</f>
        <v/>
      </c>
      <c r="AB789" s="13" t="str">
        <f>IF($X789="","",SUMIFS(TARIFF_PROFILES!$G:$G,TARIFF_PROFILES!$A:$A,$X789))</f>
        <v/>
      </c>
      <c r="AC789" s="13" t="str">
        <f>IF($X789="","",SUMIFS(TARIFF_PROFILES!$H:$H,TARIFF_PROFILES!$A:$A,$X789))</f>
        <v/>
      </c>
      <c r="AD789" s="13" t="str">
        <f>IF($X789="","",INDEX(TARIFF_PROFILES!$J:$J,MATCH($X789,TARIFF_PROFILES!$A:$A,0)))</f>
        <v/>
      </c>
      <c r="AE789" s="13" t="str">
        <f>IF($X789="","",INDEX(TARIFF_PROFILES!$K:$K,MATCH($X789,TARIFF_PROFILES!$A:$A,0)))</f>
        <v/>
      </c>
      <c r="AH789" t="str">
        <f>IF($AG789="","",SUMIFS(OPERATING_COEFFS!$C:$C,OPERATING_COEFFS!$A:$A,"DistanceClass",OPERATING_COEFFS!$B:$B,$AG789))</f>
        <v/>
      </c>
      <c r="AJ789" t="str">
        <f>IF($AI789="","",SUMIFS(OPERATING_COEFFS!$C:$C,OPERATING_COEFFS!$A:$A,"SeasonClass",OPERATING_COEFFS!$B:$B,$AI789))</f>
        <v/>
      </c>
      <c r="AL789" t="str">
        <f>IF($AK789="","",SUMIFS(OPERATING_COEFFS!$C:$C,OPERATING_COEFFS!$A:$A,"UrgencyClass",OPERATING_COEFFS!$B:$B,$AK789))</f>
        <v/>
      </c>
      <c r="AN789" t="str">
        <f>IF($AM789="","",INDEX(TAX_MODES!$B:$B,MATCH($AM789,TAX_MODES!$A:$A,0)))</f>
        <v/>
      </c>
    </row>
    <row r="790" spans="24:40" x14ac:dyDescent="0.3">
      <c r="X790" s="13"/>
      <c r="Y790" s="13" t="str">
        <f>IF($X790="","",SUMIFS(TARIFF_PROFILES!$D:$D,TARIFF_PROFILES!$A:$A,$X790))</f>
        <v/>
      </c>
      <c r="Z790" s="13" t="str">
        <f>IF($X790="","",SUMIFS(TARIFF_PROFILES!$E:$E,TARIFF_PROFILES!$A:$A,$X790))</f>
        <v/>
      </c>
      <c r="AA790" s="13" t="str">
        <f>IF($X790="","",SUMIFS(TARIFF_PROFILES!$F:$F,TARIFF_PROFILES!$A:$A,$X790))</f>
        <v/>
      </c>
      <c r="AB790" s="13" t="str">
        <f>IF($X790="","",SUMIFS(TARIFF_PROFILES!$G:$G,TARIFF_PROFILES!$A:$A,$X790))</f>
        <v/>
      </c>
      <c r="AC790" s="13" t="str">
        <f>IF($X790="","",SUMIFS(TARIFF_PROFILES!$H:$H,TARIFF_PROFILES!$A:$A,$X790))</f>
        <v/>
      </c>
      <c r="AD790" s="13" t="str">
        <f>IF($X790="","",INDEX(TARIFF_PROFILES!$J:$J,MATCH($X790,TARIFF_PROFILES!$A:$A,0)))</f>
        <v/>
      </c>
      <c r="AE790" s="13" t="str">
        <f>IF($X790="","",INDEX(TARIFF_PROFILES!$K:$K,MATCH($X790,TARIFF_PROFILES!$A:$A,0)))</f>
        <v/>
      </c>
      <c r="AH790" t="str">
        <f>IF($AG790="","",SUMIFS(OPERATING_COEFFS!$C:$C,OPERATING_COEFFS!$A:$A,"DistanceClass",OPERATING_COEFFS!$B:$B,$AG790))</f>
        <v/>
      </c>
      <c r="AJ790" t="str">
        <f>IF($AI790="","",SUMIFS(OPERATING_COEFFS!$C:$C,OPERATING_COEFFS!$A:$A,"SeasonClass",OPERATING_COEFFS!$B:$B,$AI790))</f>
        <v/>
      </c>
      <c r="AL790" t="str">
        <f>IF($AK790="","",SUMIFS(OPERATING_COEFFS!$C:$C,OPERATING_COEFFS!$A:$A,"UrgencyClass",OPERATING_COEFFS!$B:$B,$AK790))</f>
        <v/>
      </c>
      <c r="AN790" t="str">
        <f>IF($AM790="","",INDEX(TAX_MODES!$B:$B,MATCH($AM790,TAX_MODES!$A:$A,0)))</f>
        <v/>
      </c>
    </row>
    <row r="791" spans="24:40" x14ac:dyDescent="0.3">
      <c r="X791" s="13"/>
      <c r="Y791" s="13" t="str">
        <f>IF($X791="","",SUMIFS(TARIFF_PROFILES!$D:$D,TARIFF_PROFILES!$A:$A,$X791))</f>
        <v/>
      </c>
      <c r="Z791" s="13" t="str">
        <f>IF($X791="","",SUMIFS(TARIFF_PROFILES!$E:$E,TARIFF_PROFILES!$A:$A,$X791))</f>
        <v/>
      </c>
      <c r="AA791" s="13" t="str">
        <f>IF($X791="","",SUMIFS(TARIFF_PROFILES!$F:$F,TARIFF_PROFILES!$A:$A,$X791))</f>
        <v/>
      </c>
      <c r="AB791" s="13" t="str">
        <f>IF($X791="","",SUMIFS(TARIFF_PROFILES!$G:$G,TARIFF_PROFILES!$A:$A,$X791))</f>
        <v/>
      </c>
      <c r="AC791" s="13" t="str">
        <f>IF($X791="","",SUMIFS(TARIFF_PROFILES!$H:$H,TARIFF_PROFILES!$A:$A,$X791))</f>
        <v/>
      </c>
      <c r="AD791" s="13" t="str">
        <f>IF($X791="","",INDEX(TARIFF_PROFILES!$J:$J,MATCH($X791,TARIFF_PROFILES!$A:$A,0)))</f>
        <v/>
      </c>
      <c r="AE791" s="13" t="str">
        <f>IF($X791="","",INDEX(TARIFF_PROFILES!$K:$K,MATCH($X791,TARIFF_PROFILES!$A:$A,0)))</f>
        <v/>
      </c>
      <c r="AH791" t="str">
        <f>IF($AG791="","",SUMIFS(OPERATING_COEFFS!$C:$C,OPERATING_COEFFS!$A:$A,"DistanceClass",OPERATING_COEFFS!$B:$B,$AG791))</f>
        <v/>
      </c>
      <c r="AJ791" t="str">
        <f>IF($AI791="","",SUMIFS(OPERATING_COEFFS!$C:$C,OPERATING_COEFFS!$A:$A,"SeasonClass",OPERATING_COEFFS!$B:$B,$AI791))</f>
        <v/>
      </c>
      <c r="AL791" t="str">
        <f>IF($AK791="","",SUMIFS(OPERATING_COEFFS!$C:$C,OPERATING_COEFFS!$A:$A,"UrgencyClass",OPERATING_COEFFS!$B:$B,$AK791))</f>
        <v/>
      </c>
      <c r="AN791" t="str">
        <f>IF($AM791="","",INDEX(TAX_MODES!$B:$B,MATCH($AM791,TAX_MODES!$A:$A,0)))</f>
        <v/>
      </c>
    </row>
    <row r="792" spans="24:40" x14ac:dyDescent="0.3">
      <c r="X792" s="13"/>
      <c r="Y792" s="13" t="str">
        <f>IF($X792="","",SUMIFS(TARIFF_PROFILES!$D:$D,TARIFF_PROFILES!$A:$A,$X792))</f>
        <v/>
      </c>
      <c r="Z792" s="13" t="str">
        <f>IF($X792="","",SUMIFS(TARIFF_PROFILES!$E:$E,TARIFF_PROFILES!$A:$A,$X792))</f>
        <v/>
      </c>
      <c r="AA792" s="13" t="str">
        <f>IF($X792="","",SUMIFS(TARIFF_PROFILES!$F:$F,TARIFF_PROFILES!$A:$A,$X792))</f>
        <v/>
      </c>
      <c r="AB792" s="13" t="str">
        <f>IF($X792="","",SUMIFS(TARIFF_PROFILES!$G:$G,TARIFF_PROFILES!$A:$A,$X792))</f>
        <v/>
      </c>
      <c r="AC792" s="13" t="str">
        <f>IF($X792="","",SUMIFS(TARIFF_PROFILES!$H:$H,TARIFF_PROFILES!$A:$A,$X792))</f>
        <v/>
      </c>
      <c r="AD792" s="13" t="str">
        <f>IF($X792="","",INDEX(TARIFF_PROFILES!$J:$J,MATCH($X792,TARIFF_PROFILES!$A:$A,0)))</f>
        <v/>
      </c>
      <c r="AE792" s="13" t="str">
        <f>IF($X792="","",INDEX(TARIFF_PROFILES!$K:$K,MATCH($X792,TARIFF_PROFILES!$A:$A,0)))</f>
        <v/>
      </c>
      <c r="AH792" t="str">
        <f>IF($AG792="","",SUMIFS(OPERATING_COEFFS!$C:$C,OPERATING_COEFFS!$A:$A,"DistanceClass",OPERATING_COEFFS!$B:$B,$AG792))</f>
        <v/>
      </c>
      <c r="AJ792" t="str">
        <f>IF($AI792="","",SUMIFS(OPERATING_COEFFS!$C:$C,OPERATING_COEFFS!$A:$A,"SeasonClass",OPERATING_COEFFS!$B:$B,$AI792))</f>
        <v/>
      </c>
      <c r="AL792" t="str">
        <f>IF($AK792="","",SUMIFS(OPERATING_COEFFS!$C:$C,OPERATING_COEFFS!$A:$A,"UrgencyClass",OPERATING_COEFFS!$B:$B,$AK792))</f>
        <v/>
      </c>
      <c r="AN792" t="str">
        <f>IF($AM792="","",INDEX(TAX_MODES!$B:$B,MATCH($AM792,TAX_MODES!$A:$A,0)))</f>
        <v/>
      </c>
    </row>
    <row r="793" spans="24:40" x14ac:dyDescent="0.3">
      <c r="X793" s="13"/>
      <c r="Y793" s="13" t="str">
        <f>IF($X793="","",SUMIFS(TARIFF_PROFILES!$D:$D,TARIFF_PROFILES!$A:$A,$X793))</f>
        <v/>
      </c>
      <c r="Z793" s="13" t="str">
        <f>IF($X793="","",SUMIFS(TARIFF_PROFILES!$E:$E,TARIFF_PROFILES!$A:$A,$X793))</f>
        <v/>
      </c>
      <c r="AA793" s="13" t="str">
        <f>IF($X793="","",SUMIFS(TARIFF_PROFILES!$F:$F,TARIFF_PROFILES!$A:$A,$X793))</f>
        <v/>
      </c>
      <c r="AB793" s="13" t="str">
        <f>IF($X793="","",SUMIFS(TARIFF_PROFILES!$G:$G,TARIFF_PROFILES!$A:$A,$X793))</f>
        <v/>
      </c>
      <c r="AC793" s="13" t="str">
        <f>IF($X793="","",SUMIFS(TARIFF_PROFILES!$H:$H,TARIFF_PROFILES!$A:$A,$X793))</f>
        <v/>
      </c>
      <c r="AD793" s="13" t="str">
        <f>IF($X793="","",INDEX(TARIFF_PROFILES!$J:$J,MATCH($X793,TARIFF_PROFILES!$A:$A,0)))</f>
        <v/>
      </c>
      <c r="AE793" s="13" t="str">
        <f>IF($X793="","",INDEX(TARIFF_PROFILES!$K:$K,MATCH($X793,TARIFF_PROFILES!$A:$A,0)))</f>
        <v/>
      </c>
      <c r="AH793" t="str">
        <f>IF($AG793="","",SUMIFS(OPERATING_COEFFS!$C:$C,OPERATING_COEFFS!$A:$A,"DistanceClass",OPERATING_COEFFS!$B:$B,$AG793))</f>
        <v/>
      </c>
      <c r="AJ793" t="str">
        <f>IF($AI793="","",SUMIFS(OPERATING_COEFFS!$C:$C,OPERATING_COEFFS!$A:$A,"SeasonClass",OPERATING_COEFFS!$B:$B,$AI793))</f>
        <v/>
      </c>
      <c r="AL793" t="str">
        <f>IF($AK793="","",SUMIFS(OPERATING_COEFFS!$C:$C,OPERATING_COEFFS!$A:$A,"UrgencyClass",OPERATING_COEFFS!$B:$B,$AK793))</f>
        <v/>
      </c>
      <c r="AN793" t="str">
        <f>IF($AM793="","",INDEX(TAX_MODES!$B:$B,MATCH($AM793,TAX_MODES!$A:$A,0)))</f>
        <v/>
      </c>
    </row>
    <row r="794" spans="24:40" x14ac:dyDescent="0.3">
      <c r="X794" s="13"/>
      <c r="Y794" s="13" t="str">
        <f>IF($X794="","",SUMIFS(TARIFF_PROFILES!$D:$D,TARIFF_PROFILES!$A:$A,$X794))</f>
        <v/>
      </c>
      <c r="Z794" s="13" t="str">
        <f>IF($X794="","",SUMIFS(TARIFF_PROFILES!$E:$E,TARIFF_PROFILES!$A:$A,$X794))</f>
        <v/>
      </c>
      <c r="AA794" s="13" t="str">
        <f>IF($X794="","",SUMIFS(TARIFF_PROFILES!$F:$F,TARIFF_PROFILES!$A:$A,$X794))</f>
        <v/>
      </c>
      <c r="AB794" s="13" t="str">
        <f>IF($X794="","",SUMIFS(TARIFF_PROFILES!$G:$G,TARIFF_PROFILES!$A:$A,$X794))</f>
        <v/>
      </c>
      <c r="AC794" s="13" t="str">
        <f>IF($X794="","",SUMIFS(TARIFF_PROFILES!$H:$H,TARIFF_PROFILES!$A:$A,$X794))</f>
        <v/>
      </c>
      <c r="AD794" s="13" t="str">
        <f>IF($X794="","",INDEX(TARIFF_PROFILES!$J:$J,MATCH($X794,TARIFF_PROFILES!$A:$A,0)))</f>
        <v/>
      </c>
      <c r="AE794" s="13" t="str">
        <f>IF($X794="","",INDEX(TARIFF_PROFILES!$K:$K,MATCH($X794,TARIFF_PROFILES!$A:$A,0)))</f>
        <v/>
      </c>
      <c r="AH794" t="str">
        <f>IF($AG794="","",SUMIFS(OPERATING_COEFFS!$C:$C,OPERATING_COEFFS!$A:$A,"DistanceClass",OPERATING_COEFFS!$B:$B,$AG794))</f>
        <v/>
      </c>
      <c r="AJ794" t="str">
        <f>IF($AI794="","",SUMIFS(OPERATING_COEFFS!$C:$C,OPERATING_COEFFS!$A:$A,"SeasonClass",OPERATING_COEFFS!$B:$B,$AI794))</f>
        <v/>
      </c>
      <c r="AL794" t="str">
        <f>IF($AK794="","",SUMIFS(OPERATING_COEFFS!$C:$C,OPERATING_COEFFS!$A:$A,"UrgencyClass",OPERATING_COEFFS!$B:$B,$AK794))</f>
        <v/>
      </c>
      <c r="AN794" t="str">
        <f>IF($AM794="","",INDEX(TAX_MODES!$B:$B,MATCH($AM794,TAX_MODES!$A:$A,0)))</f>
        <v/>
      </c>
    </row>
    <row r="795" spans="24:40" x14ac:dyDescent="0.3">
      <c r="X795" s="13"/>
      <c r="Y795" s="13" t="str">
        <f>IF($X795="","",SUMIFS(TARIFF_PROFILES!$D:$D,TARIFF_PROFILES!$A:$A,$X795))</f>
        <v/>
      </c>
      <c r="Z795" s="13" t="str">
        <f>IF($X795="","",SUMIFS(TARIFF_PROFILES!$E:$E,TARIFF_PROFILES!$A:$A,$X795))</f>
        <v/>
      </c>
      <c r="AA795" s="13" t="str">
        <f>IF($X795="","",SUMIFS(TARIFF_PROFILES!$F:$F,TARIFF_PROFILES!$A:$A,$X795))</f>
        <v/>
      </c>
      <c r="AB795" s="13" t="str">
        <f>IF($X795="","",SUMIFS(TARIFF_PROFILES!$G:$G,TARIFF_PROFILES!$A:$A,$X795))</f>
        <v/>
      </c>
      <c r="AC795" s="13" t="str">
        <f>IF($X795="","",SUMIFS(TARIFF_PROFILES!$H:$H,TARIFF_PROFILES!$A:$A,$X795))</f>
        <v/>
      </c>
      <c r="AD795" s="13" t="str">
        <f>IF($X795="","",INDEX(TARIFF_PROFILES!$J:$J,MATCH($X795,TARIFF_PROFILES!$A:$A,0)))</f>
        <v/>
      </c>
      <c r="AE795" s="13" t="str">
        <f>IF($X795="","",INDEX(TARIFF_PROFILES!$K:$K,MATCH($X795,TARIFF_PROFILES!$A:$A,0)))</f>
        <v/>
      </c>
      <c r="AH795" t="str">
        <f>IF($AG795="","",SUMIFS(OPERATING_COEFFS!$C:$C,OPERATING_COEFFS!$A:$A,"DistanceClass",OPERATING_COEFFS!$B:$B,$AG795))</f>
        <v/>
      </c>
      <c r="AJ795" t="str">
        <f>IF($AI795="","",SUMIFS(OPERATING_COEFFS!$C:$C,OPERATING_COEFFS!$A:$A,"SeasonClass",OPERATING_COEFFS!$B:$B,$AI795))</f>
        <v/>
      </c>
      <c r="AL795" t="str">
        <f>IF($AK795="","",SUMIFS(OPERATING_COEFFS!$C:$C,OPERATING_COEFFS!$A:$A,"UrgencyClass",OPERATING_COEFFS!$B:$B,$AK795))</f>
        <v/>
      </c>
      <c r="AN795" t="str">
        <f>IF($AM795="","",INDEX(TAX_MODES!$B:$B,MATCH($AM795,TAX_MODES!$A:$A,0)))</f>
        <v/>
      </c>
    </row>
    <row r="796" spans="24:40" x14ac:dyDescent="0.3">
      <c r="X796" s="13"/>
      <c r="Y796" s="13" t="str">
        <f>IF($X796="","",SUMIFS(TARIFF_PROFILES!$D:$D,TARIFF_PROFILES!$A:$A,$X796))</f>
        <v/>
      </c>
      <c r="Z796" s="13" t="str">
        <f>IF($X796="","",SUMIFS(TARIFF_PROFILES!$E:$E,TARIFF_PROFILES!$A:$A,$X796))</f>
        <v/>
      </c>
      <c r="AA796" s="13" t="str">
        <f>IF($X796="","",SUMIFS(TARIFF_PROFILES!$F:$F,TARIFF_PROFILES!$A:$A,$X796))</f>
        <v/>
      </c>
      <c r="AB796" s="13" t="str">
        <f>IF($X796="","",SUMIFS(TARIFF_PROFILES!$G:$G,TARIFF_PROFILES!$A:$A,$X796))</f>
        <v/>
      </c>
      <c r="AC796" s="13" t="str">
        <f>IF($X796="","",SUMIFS(TARIFF_PROFILES!$H:$H,TARIFF_PROFILES!$A:$A,$X796))</f>
        <v/>
      </c>
      <c r="AD796" s="13" t="str">
        <f>IF($X796="","",INDEX(TARIFF_PROFILES!$J:$J,MATCH($X796,TARIFF_PROFILES!$A:$A,0)))</f>
        <v/>
      </c>
      <c r="AE796" s="13" t="str">
        <f>IF($X796="","",INDEX(TARIFF_PROFILES!$K:$K,MATCH($X796,TARIFF_PROFILES!$A:$A,0)))</f>
        <v/>
      </c>
      <c r="AH796" t="str">
        <f>IF($AG796="","",SUMIFS(OPERATING_COEFFS!$C:$C,OPERATING_COEFFS!$A:$A,"DistanceClass",OPERATING_COEFFS!$B:$B,$AG796))</f>
        <v/>
      </c>
      <c r="AJ796" t="str">
        <f>IF($AI796="","",SUMIFS(OPERATING_COEFFS!$C:$C,OPERATING_COEFFS!$A:$A,"SeasonClass",OPERATING_COEFFS!$B:$B,$AI796))</f>
        <v/>
      </c>
      <c r="AL796" t="str">
        <f>IF($AK796="","",SUMIFS(OPERATING_COEFFS!$C:$C,OPERATING_COEFFS!$A:$A,"UrgencyClass",OPERATING_COEFFS!$B:$B,$AK796))</f>
        <v/>
      </c>
      <c r="AN796" t="str">
        <f>IF($AM796="","",INDEX(TAX_MODES!$B:$B,MATCH($AM796,TAX_MODES!$A:$A,0)))</f>
        <v/>
      </c>
    </row>
    <row r="797" spans="24:40" x14ac:dyDescent="0.3">
      <c r="X797" s="13"/>
      <c r="Y797" s="13" t="str">
        <f>IF($X797="","",SUMIFS(TARIFF_PROFILES!$D:$D,TARIFF_PROFILES!$A:$A,$X797))</f>
        <v/>
      </c>
      <c r="Z797" s="13" t="str">
        <f>IF($X797="","",SUMIFS(TARIFF_PROFILES!$E:$E,TARIFF_PROFILES!$A:$A,$X797))</f>
        <v/>
      </c>
      <c r="AA797" s="13" t="str">
        <f>IF($X797="","",SUMIFS(TARIFF_PROFILES!$F:$F,TARIFF_PROFILES!$A:$A,$X797))</f>
        <v/>
      </c>
      <c r="AB797" s="13" t="str">
        <f>IF($X797="","",SUMIFS(TARIFF_PROFILES!$G:$G,TARIFF_PROFILES!$A:$A,$X797))</f>
        <v/>
      </c>
      <c r="AC797" s="13" t="str">
        <f>IF($X797="","",SUMIFS(TARIFF_PROFILES!$H:$H,TARIFF_PROFILES!$A:$A,$X797))</f>
        <v/>
      </c>
      <c r="AD797" s="13" t="str">
        <f>IF($X797="","",INDEX(TARIFF_PROFILES!$J:$J,MATCH($X797,TARIFF_PROFILES!$A:$A,0)))</f>
        <v/>
      </c>
      <c r="AE797" s="13" t="str">
        <f>IF($X797="","",INDEX(TARIFF_PROFILES!$K:$K,MATCH($X797,TARIFF_PROFILES!$A:$A,0)))</f>
        <v/>
      </c>
      <c r="AH797" t="str">
        <f>IF($AG797="","",SUMIFS(OPERATING_COEFFS!$C:$C,OPERATING_COEFFS!$A:$A,"DistanceClass",OPERATING_COEFFS!$B:$B,$AG797))</f>
        <v/>
      </c>
      <c r="AJ797" t="str">
        <f>IF($AI797="","",SUMIFS(OPERATING_COEFFS!$C:$C,OPERATING_COEFFS!$A:$A,"SeasonClass",OPERATING_COEFFS!$B:$B,$AI797))</f>
        <v/>
      </c>
      <c r="AL797" t="str">
        <f>IF($AK797="","",SUMIFS(OPERATING_COEFFS!$C:$C,OPERATING_COEFFS!$A:$A,"UrgencyClass",OPERATING_COEFFS!$B:$B,$AK797))</f>
        <v/>
      </c>
      <c r="AN797" t="str">
        <f>IF($AM797="","",INDEX(TAX_MODES!$B:$B,MATCH($AM797,TAX_MODES!$A:$A,0)))</f>
        <v/>
      </c>
    </row>
    <row r="798" spans="24:40" x14ac:dyDescent="0.3">
      <c r="X798" s="13"/>
      <c r="Y798" s="13" t="str">
        <f>IF($X798="","",SUMIFS(TARIFF_PROFILES!$D:$D,TARIFF_PROFILES!$A:$A,$X798))</f>
        <v/>
      </c>
      <c r="Z798" s="13" t="str">
        <f>IF($X798="","",SUMIFS(TARIFF_PROFILES!$E:$E,TARIFF_PROFILES!$A:$A,$X798))</f>
        <v/>
      </c>
      <c r="AA798" s="13" t="str">
        <f>IF($X798="","",SUMIFS(TARIFF_PROFILES!$F:$F,TARIFF_PROFILES!$A:$A,$X798))</f>
        <v/>
      </c>
      <c r="AB798" s="13" t="str">
        <f>IF($X798="","",SUMIFS(TARIFF_PROFILES!$G:$G,TARIFF_PROFILES!$A:$A,$X798))</f>
        <v/>
      </c>
      <c r="AC798" s="13" t="str">
        <f>IF($X798="","",SUMIFS(TARIFF_PROFILES!$H:$H,TARIFF_PROFILES!$A:$A,$X798))</f>
        <v/>
      </c>
      <c r="AD798" s="13" t="str">
        <f>IF($X798="","",INDEX(TARIFF_PROFILES!$J:$J,MATCH($X798,TARIFF_PROFILES!$A:$A,0)))</f>
        <v/>
      </c>
      <c r="AE798" s="13" t="str">
        <f>IF($X798="","",INDEX(TARIFF_PROFILES!$K:$K,MATCH($X798,TARIFF_PROFILES!$A:$A,0)))</f>
        <v/>
      </c>
      <c r="AH798" t="str">
        <f>IF($AG798="","",SUMIFS(OPERATING_COEFFS!$C:$C,OPERATING_COEFFS!$A:$A,"DistanceClass",OPERATING_COEFFS!$B:$B,$AG798))</f>
        <v/>
      </c>
      <c r="AJ798" t="str">
        <f>IF($AI798="","",SUMIFS(OPERATING_COEFFS!$C:$C,OPERATING_COEFFS!$A:$A,"SeasonClass",OPERATING_COEFFS!$B:$B,$AI798))</f>
        <v/>
      </c>
      <c r="AL798" t="str">
        <f>IF($AK798="","",SUMIFS(OPERATING_COEFFS!$C:$C,OPERATING_COEFFS!$A:$A,"UrgencyClass",OPERATING_COEFFS!$B:$B,$AK798))</f>
        <v/>
      </c>
      <c r="AN798" t="str">
        <f>IF($AM798="","",INDEX(TAX_MODES!$B:$B,MATCH($AM798,TAX_MODES!$A:$A,0)))</f>
        <v/>
      </c>
    </row>
    <row r="799" spans="24:40" x14ac:dyDescent="0.3">
      <c r="X799" s="13"/>
      <c r="Y799" s="13" t="str">
        <f>IF($X799="","",SUMIFS(TARIFF_PROFILES!$D:$D,TARIFF_PROFILES!$A:$A,$X799))</f>
        <v/>
      </c>
      <c r="Z799" s="13" t="str">
        <f>IF($X799="","",SUMIFS(TARIFF_PROFILES!$E:$E,TARIFF_PROFILES!$A:$A,$X799))</f>
        <v/>
      </c>
      <c r="AA799" s="13" t="str">
        <f>IF($X799="","",SUMIFS(TARIFF_PROFILES!$F:$F,TARIFF_PROFILES!$A:$A,$X799))</f>
        <v/>
      </c>
      <c r="AB799" s="13" t="str">
        <f>IF($X799="","",SUMIFS(TARIFF_PROFILES!$G:$G,TARIFF_PROFILES!$A:$A,$X799))</f>
        <v/>
      </c>
      <c r="AC799" s="13" t="str">
        <f>IF($X799="","",SUMIFS(TARIFF_PROFILES!$H:$H,TARIFF_PROFILES!$A:$A,$X799))</f>
        <v/>
      </c>
      <c r="AD799" s="13" t="str">
        <f>IF($X799="","",INDEX(TARIFF_PROFILES!$J:$J,MATCH($X799,TARIFF_PROFILES!$A:$A,0)))</f>
        <v/>
      </c>
      <c r="AE799" s="13" t="str">
        <f>IF($X799="","",INDEX(TARIFF_PROFILES!$K:$K,MATCH($X799,TARIFF_PROFILES!$A:$A,0)))</f>
        <v/>
      </c>
      <c r="AH799" t="str">
        <f>IF($AG799="","",SUMIFS(OPERATING_COEFFS!$C:$C,OPERATING_COEFFS!$A:$A,"DistanceClass",OPERATING_COEFFS!$B:$B,$AG799))</f>
        <v/>
      </c>
      <c r="AJ799" t="str">
        <f>IF($AI799="","",SUMIFS(OPERATING_COEFFS!$C:$C,OPERATING_COEFFS!$A:$A,"SeasonClass",OPERATING_COEFFS!$B:$B,$AI799))</f>
        <v/>
      </c>
      <c r="AL799" t="str">
        <f>IF($AK799="","",SUMIFS(OPERATING_COEFFS!$C:$C,OPERATING_COEFFS!$A:$A,"UrgencyClass",OPERATING_COEFFS!$B:$B,$AK799))</f>
        <v/>
      </c>
      <c r="AN799" t="str">
        <f>IF($AM799="","",INDEX(TAX_MODES!$B:$B,MATCH($AM799,TAX_MODES!$A:$A,0)))</f>
        <v/>
      </c>
    </row>
    <row r="800" spans="24:40" x14ac:dyDescent="0.3">
      <c r="X800" s="13"/>
      <c r="Y800" s="13" t="str">
        <f>IF($X800="","",SUMIFS(TARIFF_PROFILES!$D:$D,TARIFF_PROFILES!$A:$A,$X800))</f>
        <v/>
      </c>
      <c r="Z800" s="13" t="str">
        <f>IF($X800="","",SUMIFS(TARIFF_PROFILES!$E:$E,TARIFF_PROFILES!$A:$A,$X800))</f>
        <v/>
      </c>
      <c r="AA800" s="13" t="str">
        <f>IF($X800="","",SUMIFS(TARIFF_PROFILES!$F:$F,TARIFF_PROFILES!$A:$A,$X800))</f>
        <v/>
      </c>
      <c r="AB800" s="13" t="str">
        <f>IF($X800="","",SUMIFS(TARIFF_PROFILES!$G:$G,TARIFF_PROFILES!$A:$A,$X800))</f>
        <v/>
      </c>
      <c r="AC800" s="13" t="str">
        <f>IF($X800="","",SUMIFS(TARIFF_PROFILES!$H:$H,TARIFF_PROFILES!$A:$A,$X800))</f>
        <v/>
      </c>
      <c r="AD800" s="13" t="str">
        <f>IF($X800="","",INDEX(TARIFF_PROFILES!$J:$J,MATCH($X800,TARIFF_PROFILES!$A:$A,0)))</f>
        <v/>
      </c>
      <c r="AE800" s="13" t="str">
        <f>IF($X800="","",INDEX(TARIFF_PROFILES!$K:$K,MATCH($X800,TARIFF_PROFILES!$A:$A,0)))</f>
        <v/>
      </c>
      <c r="AH800" t="str">
        <f>IF($AG800="","",SUMIFS(OPERATING_COEFFS!$C:$C,OPERATING_COEFFS!$A:$A,"DistanceClass",OPERATING_COEFFS!$B:$B,$AG800))</f>
        <v/>
      </c>
      <c r="AJ800" t="str">
        <f>IF($AI800="","",SUMIFS(OPERATING_COEFFS!$C:$C,OPERATING_COEFFS!$A:$A,"SeasonClass",OPERATING_COEFFS!$B:$B,$AI800))</f>
        <v/>
      </c>
      <c r="AL800" t="str">
        <f>IF($AK800="","",SUMIFS(OPERATING_COEFFS!$C:$C,OPERATING_COEFFS!$A:$A,"UrgencyClass",OPERATING_COEFFS!$B:$B,$AK800))</f>
        <v/>
      </c>
      <c r="AN800" t="str">
        <f>IF($AM800="","",INDEX(TAX_MODES!$B:$B,MATCH($AM800,TAX_MODES!$A:$A,0)))</f>
        <v/>
      </c>
    </row>
    <row r="801" spans="24:40" x14ac:dyDescent="0.3">
      <c r="X801" s="13"/>
      <c r="Y801" s="13" t="str">
        <f>IF($X801="","",SUMIFS(TARIFF_PROFILES!$D:$D,TARIFF_PROFILES!$A:$A,$X801))</f>
        <v/>
      </c>
      <c r="Z801" s="13" t="str">
        <f>IF($X801="","",SUMIFS(TARIFF_PROFILES!$E:$E,TARIFF_PROFILES!$A:$A,$X801))</f>
        <v/>
      </c>
      <c r="AA801" s="13" t="str">
        <f>IF($X801="","",SUMIFS(TARIFF_PROFILES!$F:$F,TARIFF_PROFILES!$A:$A,$X801))</f>
        <v/>
      </c>
      <c r="AB801" s="13" t="str">
        <f>IF($X801="","",SUMIFS(TARIFF_PROFILES!$G:$G,TARIFF_PROFILES!$A:$A,$X801))</f>
        <v/>
      </c>
      <c r="AC801" s="13" t="str">
        <f>IF($X801="","",SUMIFS(TARIFF_PROFILES!$H:$H,TARIFF_PROFILES!$A:$A,$X801))</f>
        <v/>
      </c>
      <c r="AD801" s="13" t="str">
        <f>IF($X801="","",INDEX(TARIFF_PROFILES!$J:$J,MATCH($X801,TARIFF_PROFILES!$A:$A,0)))</f>
        <v/>
      </c>
      <c r="AE801" s="13" t="str">
        <f>IF($X801="","",INDEX(TARIFF_PROFILES!$K:$K,MATCH($X801,TARIFF_PROFILES!$A:$A,0)))</f>
        <v/>
      </c>
      <c r="AH801" t="str">
        <f>IF($AG801="","",SUMIFS(OPERATING_COEFFS!$C:$C,OPERATING_COEFFS!$A:$A,"DistanceClass",OPERATING_COEFFS!$B:$B,$AG801))</f>
        <v/>
      </c>
      <c r="AJ801" t="str">
        <f>IF($AI801="","",SUMIFS(OPERATING_COEFFS!$C:$C,OPERATING_COEFFS!$A:$A,"SeasonClass",OPERATING_COEFFS!$B:$B,$AI801))</f>
        <v/>
      </c>
      <c r="AL801" t="str">
        <f>IF($AK801="","",SUMIFS(OPERATING_COEFFS!$C:$C,OPERATING_COEFFS!$A:$A,"UrgencyClass",OPERATING_COEFFS!$B:$B,$AK801))</f>
        <v/>
      </c>
      <c r="AN801" t="str">
        <f>IF($AM801="","",INDEX(TAX_MODES!$B:$B,MATCH($AM801,TAX_MODES!$A:$A,0)))</f>
        <v/>
      </c>
    </row>
    <row r="802" spans="24:40" x14ac:dyDescent="0.3">
      <c r="X802" s="13"/>
      <c r="Y802" s="13" t="str">
        <f>IF($X802="","",SUMIFS(TARIFF_PROFILES!$D:$D,TARIFF_PROFILES!$A:$A,$X802))</f>
        <v/>
      </c>
      <c r="Z802" s="13" t="str">
        <f>IF($X802="","",SUMIFS(TARIFF_PROFILES!$E:$E,TARIFF_PROFILES!$A:$A,$X802))</f>
        <v/>
      </c>
      <c r="AA802" s="13" t="str">
        <f>IF($X802="","",SUMIFS(TARIFF_PROFILES!$F:$F,TARIFF_PROFILES!$A:$A,$X802))</f>
        <v/>
      </c>
      <c r="AB802" s="13" t="str">
        <f>IF($X802="","",SUMIFS(TARIFF_PROFILES!$G:$G,TARIFF_PROFILES!$A:$A,$X802))</f>
        <v/>
      </c>
      <c r="AC802" s="13" t="str">
        <f>IF($X802="","",SUMIFS(TARIFF_PROFILES!$H:$H,TARIFF_PROFILES!$A:$A,$X802))</f>
        <v/>
      </c>
      <c r="AD802" s="13" t="str">
        <f>IF($X802="","",INDEX(TARIFF_PROFILES!$J:$J,MATCH($X802,TARIFF_PROFILES!$A:$A,0)))</f>
        <v/>
      </c>
      <c r="AE802" s="13" t="str">
        <f>IF($X802="","",INDEX(TARIFF_PROFILES!$K:$K,MATCH($X802,TARIFF_PROFILES!$A:$A,0)))</f>
        <v/>
      </c>
      <c r="AH802" t="str">
        <f>IF($AG802="","",SUMIFS(OPERATING_COEFFS!$C:$C,OPERATING_COEFFS!$A:$A,"DistanceClass",OPERATING_COEFFS!$B:$B,$AG802))</f>
        <v/>
      </c>
      <c r="AJ802" t="str">
        <f>IF($AI802="","",SUMIFS(OPERATING_COEFFS!$C:$C,OPERATING_COEFFS!$A:$A,"SeasonClass",OPERATING_COEFFS!$B:$B,$AI802))</f>
        <v/>
      </c>
      <c r="AL802" t="str">
        <f>IF($AK802="","",SUMIFS(OPERATING_COEFFS!$C:$C,OPERATING_COEFFS!$A:$A,"UrgencyClass",OPERATING_COEFFS!$B:$B,$AK802))</f>
        <v/>
      </c>
      <c r="AN802" t="str">
        <f>IF($AM802="","",INDEX(TAX_MODES!$B:$B,MATCH($AM802,TAX_MODES!$A:$A,0)))</f>
        <v/>
      </c>
    </row>
    <row r="803" spans="24:40" x14ac:dyDescent="0.3">
      <c r="X803" s="13"/>
      <c r="Y803" s="13" t="str">
        <f>IF($X803="","",SUMIFS(TARIFF_PROFILES!$D:$D,TARIFF_PROFILES!$A:$A,$X803))</f>
        <v/>
      </c>
      <c r="Z803" s="13" t="str">
        <f>IF($X803="","",SUMIFS(TARIFF_PROFILES!$E:$E,TARIFF_PROFILES!$A:$A,$X803))</f>
        <v/>
      </c>
      <c r="AA803" s="13" t="str">
        <f>IF($X803="","",SUMIFS(TARIFF_PROFILES!$F:$F,TARIFF_PROFILES!$A:$A,$X803))</f>
        <v/>
      </c>
      <c r="AB803" s="13" t="str">
        <f>IF($X803="","",SUMIFS(TARIFF_PROFILES!$G:$G,TARIFF_PROFILES!$A:$A,$X803))</f>
        <v/>
      </c>
      <c r="AC803" s="13" t="str">
        <f>IF($X803="","",SUMIFS(TARIFF_PROFILES!$H:$H,TARIFF_PROFILES!$A:$A,$X803))</f>
        <v/>
      </c>
      <c r="AD803" s="13" t="str">
        <f>IF($X803="","",INDEX(TARIFF_PROFILES!$J:$J,MATCH($X803,TARIFF_PROFILES!$A:$A,0)))</f>
        <v/>
      </c>
      <c r="AE803" s="13" t="str">
        <f>IF($X803="","",INDEX(TARIFF_PROFILES!$K:$K,MATCH($X803,TARIFF_PROFILES!$A:$A,0)))</f>
        <v/>
      </c>
      <c r="AH803" t="str">
        <f>IF($AG803="","",SUMIFS(OPERATING_COEFFS!$C:$C,OPERATING_COEFFS!$A:$A,"DistanceClass",OPERATING_COEFFS!$B:$B,$AG803))</f>
        <v/>
      </c>
      <c r="AJ803" t="str">
        <f>IF($AI803="","",SUMIFS(OPERATING_COEFFS!$C:$C,OPERATING_COEFFS!$A:$A,"SeasonClass",OPERATING_COEFFS!$B:$B,$AI803))</f>
        <v/>
      </c>
      <c r="AL803" t="str">
        <f>IF($AK803="","",SUMIFS(OPERATING_COEFFS!$C:$C,OPERATING_COEFFS!$A:$A,"UrgencyClass",OPERATING_COEFFS!$B:$B,$AK803))</f>
        <v/>
      </c>
      <c r="AN803" t="str">
        <f>IF($AM803="","",INDEX(TAX_MODES!$B:$B,MATCH($AM803,TAX_MODES!$A:$A,0)))</f>
        <v/>
      </c>
    </row>
    <row r="804" spans="24:40" x14ac:dyDescent="0.3">
      <c r="X804" s="13"/>
      <c r="Y804" s="13" t="str">
        <f>IF($X804="","",SUMIFS(TARIFF_PROFILES!$D:$D,TARIFF_PROFILES!$A:$A,$X804))</f>
        <v/>
      </c>
      <c r="Z804" s="13" t="str">
        <f>IF($X804="","",SUMIFS(TARIFF_PROFILES!$E:$E,TARIFF_PROFILES!$A:$A,$X804))</f>
        <v/>
      </c>
      <c r="AA804" s="13" t="str">
        <f>IF($X804="","",SUMIFS(TARIFF_PROFILES!$F:$F,TARIFF_PROFILES!$A:$A,$X804))</f>
        <v/>
      </c>
      <c r="AB804" s="13" t="str">
        <f>IF($X804="","",SUMIFS(TARIFF_PROFILES!$G:$G,TARIFF_PROFILES!$A:$A,$X804))</f>
        <v/>
      </c>
      <c r="AC804" s="13" t="str">
        <f>IF($X804="","",SUMIFS(TARIFF_PROFILES!$H:$H,TARIFF_PROFILES!$A:$A,$X804))</f>
        <v/>
      </c>
      <c r="AD804" s="13" t="str">
        <f>IF($X804="","",INDEX(TARIFF_PROFILES!$J:$J,MATCH($X804,TARIFF_PROFILES!$A:$A,0)))</f>
        <v/>
      </c>
      <c r="AE804" s="13" t="str">
        <f>IF($X804="","",INDEX(TARIFF_PROFILES!$K:$K,MATCH($X804,TARIFF_PROFILES!$A:$A,0)))</f>
        <v/>
      </c>
      <c r="AH804" t="str">
        <f>IF($AG804="","",SUMIFS(OPERATING_COEFFS!$C:$C,OPERATING_COEFFS!$A:$A,"DistanceClass",OPERATING_COEFFS!$B:$B,$AG804))</f>
        <v/>
      </c>
      <c r="AJ804" t="str">
        <f>IF($AI804="","",SUMIFS(OPERATING_COEFFS!$C:$C,OPERATING_COEFFS!$A:$A,"SeasonClass",OPERATING_COEFFS!$B:$B,$AI804))</f>
        <v/>
      </c>
      <c r="AL804" t="str">
        <f>IF($AK804="","",SUMIFS(OPERATING_COEFFS!$C:$C,OPERATING_COEFFS!$A:$A,"UrgencyClass",OPERATING_COEFFS!$B:$B,$AK804))</f>
        <v/>
      </c>
      <c r="AN804" t="str">
        <f>IF($AM804="","",INDEX(TAX_MODES!$B:$B,MATCH($AM804,TAX_MODES!$A:$A,0)))</f>
        <v/>
      </c>
    </row>
    <row r="805" spans="24:40" x14ac:dyDescent="0.3">
      <c r="X805" s="13"/>
      <c r="Y805" s="13" t="str">
        <f>IF($X805="","",SUMIFS(TARIFF_PROFILES!$D:$D,TARIFF_PROFILES!$A:$A,$X805))</f>
        <v/>
      </c>
      <c r="Z805" s="13" t="str">
        <f>IF($X805="","",SUMIFS(TARIFF_PROFILES!$E:$E,TARIFF_PROFILES!$A:$A,$X805))</f>
        <v/>
      </c>
      <c r="AA805" s="13" t="str">
        <f>IF($X805="","",SUMIFS(TARIFF_PROFILES!$F:$F,TARIFF_PROFILES!$A:$A,$X805))</f>
        <v/>
      </c>
      <c r="AB805" s="13" t="str">
        <f>IF($X805="","",SUMIFS(TARIFF_PROFILES!$G:$G,TARIFF_PROFILES!$A:$A,$X805))</f>
        <v/>
      </c>
      <c r="AC805" s="13" t="str">
        <f>IF($X805="","",SUMIFS(TARIFF_PROFILES!$H:$H,TARIFF_PROFILES!$A:$A,$X805))</f>
        <v/>
      </c>
      <c r="AD805" s="13" t="str">
        <f>IF($X805="","",INDEX(TARIFF_PROFILES!$J:$J,MATCH($X805,TARIFF_PROFILES!$A:$A,0)))</f>
        <v/>
      </c>
      <c r="AE805" s="13" t="str">
        <f>IF($X805="","",INDEX(TARIFF_PROFILES!$K:$K,MATCH($X805,TARIFF_PROFILES!$A:$A,0)))</f>
        <v/>
      </c>
      <c r="AH805" t="str">
        <f>IF($AG805="","",SUMIFS(OPERATING_COEFFS!$C:$C,OPERATING_COEFFS!$A:$A,"DistanceClass",OPERATING_COEFFS!$B:$B,$AG805))</f>
        <v/>
      </c>
      <c r="AJ805" t="str">
        <f>IF($AI805="","",SUMIFS(OPERATING_COEFFS!$C:$C,OPERATING_COEFFS!$A:$A,"SeasonClass",OPERATING_COEFFS!$B:$B,$AI805))</f>
        <v/>
      </c>
      <c r="AL805" t="str">
        <f>IF($AK805="","",SUMIFS(OPERATING_COEFFS!$C:$C,OPERATING_COEFFS!$A:$A,"UrgencyClass",OPERATING_COEFFS!$B:$B,$AK805))</f>
        <v/>
      </c>
      <c r="AN805" t="str">
        <f>IF($AM805="","",INDEX(TAX_MODES!$B:$B,MATCH($AM805,TAX_MODES!$A:$A,0)))</f>
        <v/>
      </c>
    </row>
    <row r="806" spans="24:40" x14ac:dyDescent="0.3">
      <c r="X806" s="13"/>
      <c r="Y806" s="13" t="str">
        <f>IF($X806="","",SUMIFS(TARIFF_PROFILES!$D:$D,TARIFF_PROFILES!$A:$A,$X806))</f>
        <v/>
      </c>
      <c r="Z806" s="13" t="str">
        <f>IF($X806="","",SUMIFS(TARIFF_PROFILES!$E:$E,TARIFF_PROFILES!$A:$A,$X806))</f>
        <v/>
      </c>
      <c r="AA806" s="13" t="str">
        <f>IF($X806="","",SUMIFS(TARIFF_PROFILES!$F:$F,TARIFF_PROFILES!$A:$A,$X806))</f>
        <v/>
      </c>
      <c r="AB806" s="13" t="str">
        <f>IF($X806="","",SUMIFS(TARIFF_PROFILES!$G:$G,TARIFF_PROFILES!$A:$A,$X806))</f>
        <v/>
      </c>
      <c r="AC806" s="13" t="str">
        <f>IF($X806="","",SUMIFS(TARIFF_PROFILES!$H:$H,TARIFF_PROFILES!$A:$A,$X806))</f>
        <v/>
      </c>
      <c r="AD806" s="13" t="str">
        <f>IF($X806="","",INDEX(TARIFF_PROFILES!$J:$J,MATCH($X806,TARIFF_PROFILES!$A:$A,0)))</f>
        <v/>
      </c>
      <c r="AE806" s="13" t="str">
        <f>IF($X806="","",INDEX(TARIFF_PROFILES!$K:$K,MATCH($X806,TARIFF_PROFILES!$A:$A,0)))</f>
        <v/>
      </c>
      <c r="AH806" t="str">
        <f>IF($AG806="","",SUMIFS(OPERATING_COEFFS!$C:$C,OPERATING_COEFFS!$A:$A,"DistanceClass",OPERATING_COEFFS!$B:$B,$AG806))</f>
        <v/>
      </c>
      <c r="AJ806" t="str">
        <f>IF($AI806="","",SUMIFS(OPERATING_COEFFS!$C:$C,OPERATING_COEFFS!$A:$A,"SeasonClass",OPERATING_COEFFS!$B:$B,$AI806))</f>
        <v/>
      </c>
      <c r="AL806" t="str">
        <f>IF($AK806="","",SUMIFS(OPERATING_COEFFS!$C:$C,OPERATING_COEFFS!$A:$A,"UrgencyClass",OPERATING_COEFFS!$B:$B,$AK806))</f>
        <v/>
      </c>
      <c r="AN806" t="str">
        <f>IF($AM806="","",INDEX(TAX_MODES!$B:$B,MATCH($AM806,TAX_MODES!$A:$A,0)))</f>
        <v/>
      </c>
    </row>
    <row r="807" spans="24:40" x14ac:dyDescent="0.3">
      <c r="X807" s="13"/>
      <c r="Y807" s="13" t="str">
        <f>IF($X807="","",SUMIFS(TARIFF_PROFILES!$D:$D,TARIFF_PROFILES!$A:$A,$X807))</f>
        <v/>
      </c>
      <c r="Z807" s="13" t="str">
        <f>IF($X807="","",SUMIFS(TARIFF_PROFILES!$E:$E,TARIFF_PROFILES!$A:$A,$X807))</f>
        <v/>
      </c>
      <c r="AA807" s="13" t="str">
        <f>IF($X807="","",SUMIFS(TARIFF_PROFILES!$F:$F,TARIFF_PROFILES!$A:$A,$X807))</f>
        <v/>
      </c>
      <c r="AB807" s="13" t="str">
        <f>IF($X807="","",SUMIFS(TARIFF_PROFILES!$G:$G,TARIFF_PROFILES!$A:$A,$X807))</f>
        <v/>
      </c>
      <c r="AC807" s="13" t="str">
        <f>IF($X807="","",SUMIFS(TARIFF_PROFILES!$H:$H,TARIFF_PROFILES!$A:$A,$X807))</f>
        <v/>
      </c>
      <c r="AD807" s="13" t="str">
        <f>IF($X807="","",INDEX(TARIFF_PROFILES!$J:$J,MATCH($X807,TARIFF_PROFILES!$A:$A,0)))</f>
        <v/>
      </c>
      <c r="AE807" s="13" t="str">
        <f>IF($X807="","",INDEX(TARIFF_PROFILES!$K:$K,MATCH($X807,TARIFF_PROFILES!$A:$A,0)))</f>
        <v/>
      </c>
      <c r="AH807" t="str">
        <f>IF($AG807="","",SUMIFS(OPERATING_COEFFS!$C:$C,OPERATING_COEFFS!$A:$A,"DistanceClass",OPERATING_COEFFS!$B:$B,$AG807))</f>
        <v/>
      </c>
      <c r="AJ807" t="str">
        <f>IF($AI807="","",SUMIFS(OPERATING_COEFFS!$C:$C,OPERATING_COEFFS!$A:$A,"SeasonClass",OPERATING_COEFFS!$B:$B,$AI807))</f>
        <v/>
      </c>
      <c r="AL807" t="str">
        <f>IF($AK807="","",SUMIFS(OPERATING_COEFFS!$C:$C,OPERATING_COEFFS!$A:$A,"UrgencyClass",OPERATING_COEFFS!$B:$B,$AK807))</f>
        <v/>
      </c>
      <c r="AN807" t="str">
        <f>IF($AM807="","",INDEX(TAX_MODES!$B:$B,MATCH($AM807,TAX_MODES!$A:$A,0)))</f>
        <v/>
      </c>
    </row>
    <row r="808" spans="24:40" x14ac:dyDescent="0.3">
      <c r="X808" s="13"/>
      <c r="Y808" s="13" t="str">
        <f>IF($X808="","",SUMIFS(TARIFF_PROFILES!$D:$D,TARIFF_PROFILES!$A:$A,$X808))</f>
        <v/>
      </c>
      <c r="Z808" s="13" t="str">
        <f>IF($X808="","",SUMIFS(TARIFF_PROFILES!$E:$E,TARIFF_PROFILES!$A:$A,$X808))</f>
        <v/>
      </c>
      <c r="AA808" s="13" t="str">
        <f>IF($X808="","",SUMIFS(TARIFF_PROFILES!$F:$F,TARIFF_PROFILES!$A:$A,$X808))</f>
        <v/>
      </c>
      <c r="AB808" s="13" t="str">
        <f>IF($X808="","",SUMIFS(TARIFF_PROFILES!$G:$G,TARIFF_PROFILES!$A:$A,$X808))</f>
        <v/>
      </c>
      <c r="AC808" s="13" t="str">
        <f>IF($X808="","",SUMIFS(TARIFF_PROFILES!$H:$H,TARIFF_PROFILES!$A:$A,$X808))</f>
        <v/>
      </c>
      <c r="AD808" s="13" t="str">
        <f>IF($X808="","",INDEX(TARIFF_PROFILES!$J:$J,MATCH($X808,TARIFF_PROFILES!$A:$A,0)))</f>
        <v/>
      </c>
      <c r="AE808" s="13" t="str">
        <f>IF($X808="","",INDEX(TARIFF_PROFILES!$K:$K,MATCH($X808,TARIFF_PROFILES!$A:$A,0)))</f>
        <v/>
      </c>
      <c r="AH808" t="str">
        <f>IF($AG808="","",SUMIFS(OPERATING_COEFFS!$C:$C,OPERATING_COEFFS!$A:$A,"DistanceClass",OPERATING_COEFFS!$B:$B,$AG808))</f>
        <v/>
      </c>
      <c r="AJ808" t="str">
        <f>IF($AI808="","",SUMIFS(OPERATING_COEFFS!$C:$C,OPERATING_COEFFS!$A:$A,"SeasonClass",OPERATING_COEFFS!$B:$B,$AI808))</f>
        <v/>
      </c>
      <c r="AL808" t="str">
        <f>IF($AK808="","",SUMIFS(OPERATING_COEFFS!$C:$C,OPERATING_COEFFS!$A:$A,"UrgencyClass",OPERATING_COEFFS!$B:$B,$AK808))</f>
        <v/>
      </c>
      <c r="AN808" t="str">
        <f>IF($AM808="","",INDEX(TAX_MODES!$B:$B,MATCH($AM808,TAX_MODES!$A:$A,0)))</f>
        <v/>
      </c>
    </row>
    <row r="809" spans="24:40" x14ac:dyDescent="0.3">
      <c r="X809" s="13"/>
      <c r="Y809" s="13" t="str">
        <f>IF($X809="","",SUMIFS(TARIFF_PROFILES!$D:$D,TARIFF_PROFILES!$A:$A,$X809))</f>
        <v/>
      </c>
      <c r="Z809" s="13" t="str">
        <f>IF($X809="","",SUMIFS(TARIFF_PROFILES!$E:$E,TARIFF_PROFILES!$A:$A,$X809))</f>
        <v/>
      </c>
      <c r="AA809" s="13" t="str">
        <f>IF($X809="","",SUMIFS(TARIFF_PROFILES!$F:$F,TARIFF_PROFILES!$A:$A,$X809))</f>
        <v/>
      </c>
      <c r="AB809" s="13" t="str">
        <f>IF($X809="","",SUMIFS(TARIFF_PROFILES!$G:$G,TARIFF_PROFILES!$A:$A,$X809))</f>
        <v/>
      </c>
      <c r="AC809" s="13" t="str">
        <f>IF($X809="","",SUMIFS(TARIFF_PROFILES!$H:$H,TARIFF_PROFILES!$A:$A,$X809))</f>
        <v/>
      </c>
      <c r="AD809" s="13" t="str">
        <f>IF($X809="","",INDEX(TARIFF_PROFILES!$J:$J,MATCH($X809,TARIFF_PROFILES!$A:$A,0)))</f>
        <v/>
      </c>
      <c r="AE809" s="13" t="str">
        <f>IF($X809="","",INDEX(TARIFF_PROFILES!$K:$K,MATCH($X809,TARIFF_PROFILES!$A:$A,0)))</f>
        <v/>
      </c>
      <c r="AH809" t="str">
        <f>IF($AG809="","",SUMIFS(OPERATING_COEFFS!$C:$C,OPERATING_COEFFS!$A:$A,"DistanceClass",OPERATING_COEFFS!$B:$B,$AG809))</f>
        <v/>
      </c>
      <c r="AJ809" t="str">
        <f>IF($AI809="","",SUMIFS(OPERATING_COEFFS!$C:$C,OPERATING_COEFFS!$A:$A,"SeasonClass",OPERATING_COEFFS!$B:$B,$AI809))</f>
        <v/>
      </c>
      <c r="AL809" t="str">
        <f>IF($AK809="","",SUMIFS(OPERATING_COEFFS!$C:$C,OPERATING_COEFFS!$A:$A,"UrgencyClass",OPERATING_COEFFS!$B:$B,$AK809))</f>
        <v/>
      </c>
      <c r="AN809" t="str">
        <f>IF($AM809="","",INDEX(TAX_MODES!$B:$B,MATCH($AM809,TAX_MODES!$A:$A,0)))</f>
        <v/>
      </c>
    </row>
    <row r="810" spans="24:40" x14ac:dyDescent="0.3">
      <c r="X810" s="13"/>
      <c r="Y810" s="13" t="str">
        <f>IF($X810="","",SUMIFS(TARIFF_PROFILES!$D:$D,TARIFF_PROFILES!$A:$A,$X810))</f>
        <v/>
      </c>
      <c r="Z810" s="13" t="str">
        <f>IF($X810="","",SUMIFS(TARIFF_PROFILES!$E:$E,TARIFF_PROFILES!$A:$A,$X810))</f>
        <v/>
      </c>
      <c r="AA810" s="13" t="str">
        <f>IF($X810="","",SUMIFS(TARIFF_PROFILES!$F:$F,TARIFF_PROFILES!$A:$A,$X810))</f>
        <v/>
      </c>
      <c r="AB810" s="13" t="str">
        <f>IF($X810="","",SUMIFS(TARIFF_PROFILES!$G:$G,TARIFF_PROFILES!$A:$A,$X810))</f>
        <v/>
      </c>
      <c r="AC810" s="13" t="str">
        <f>IF($X810="","",SUMIFS(TARIFF_PROFILES!$H:$H,TARIFF_PROFILES!$A:$A,$X810))</f>
        <v/>
      </c>
      <c r="AD810" s="13" t="str">
        <f>IF($X810="","",INDEX(TARIFF_PROFILES!$J:$J,MATCH($X810,TARIFF_PROFILES!$A:$A,0)))</f>
        <v/>
      </c>
      <c r="AE810" s="13" t="str">
        <f>IF($X810="","",INDEX(TARIFF_PROFILES!$K:$K,MATCH($X810,TARIFF_PROFILES!$A:$A,0)))</f>
        <v/>
      </c>
      <c r="AH810" t="str">
        <f>IF($AG810="","",SUMIFS(OPERATING_COEFFS!$C:$C,OPERATING_COEFFS!$A:$A,"DistanceClass",OPERATING_COEFFS!$B:$B,$AG810))</f>
        <v/>
      </c>
      <c r="AJ810" t="str">
        <f>IF($AI810="","",SUMIFS(OPERATING_COEFFS!$C:$C,OPERATING_COEFFS!$A:$A,"SeasonClass",OPERATING_COEFFS!$B:$B,$AI810))</f>
        <v/>
      </c>
      <c r="AL810" t="str">
        <f>IF($AK810="","",SUMIFS(OPERATING_COEFFS!$C:$C,OPERATING_COEFFS!$A:$A,"UrgencyClass",OPERATING_COEFFS!$B:$B,$AK810))</f>
        <v/>
      </c>
      <c r="AN810" t="str">
        <f>IF($AM810="","",INDEX(TAX_MODES!$B:$B,MATCH($AM810,TAX_MODES!$A:$A,0)))</f>
        <v/>
      </c>
    </row>
    <row r="811" spans="24:40" x14ac:dyDescent="0.3">
      <c r="X811" s="13"/>
      <c r="Y811" s="13" t="str">
        <f>IF($X811="","",SUMIFS(TARIFF_PROFILES!$D:$D,TARIFF_PROFILES!$A:$A,$X811))</f>
        <v/>
      </c>
      <c r="Z811" s="13" t="str">
        <f>IF($X811="","",SUMIFS(TARIFF_PROFILES!$E:$E,TARIFF_PROFILES!$A:$A,$X811))</f>
        <v/>
      </c>
      <c r="AA811" s="13" t="str">
        <f>IF($X811="","",SUMIFS(TARIFF_PROFILES!$F:$F,TARIFF_PROFILES!$A:$A,$X811))</f>
        <v/>
      </c>
      <c r="AB811" s="13" t="str">
        <f>IF($X811="","",SUMIFS(TARIFF_PROFILES!$G:$G,TARIFF_PROFILES!$A:$A,$X811))</f>
        <v/>
      </c>
      <c r="AC811" s="13" t="str">
        <f>IF($X811="","",SUMIFS(TARIFF_PROFILES!$H:$H,TARIFF_PROFILES!$A:$A,$X811))</f>
        <v/>
      </c>
      <c r="AD811" s="13" t="str">
        <f>IF($X811="","",INDEX(TARIFF_PROFILES!$J:$J,MATCH($X811,TARIFF_PROFILES!$A:$A,0)))</f>
        <v/>
      </c>
      <c r="AE811" s="13" t="str">
        <f>IF($X811="","",INDEX(TARIFF_PROFILES!$K:$K,MATCH($X811,TARIFF_PROFILES!$A:$A,0)))</f>
        <v/>
      </c>
      <c r="AH811" t="str">
        <f>IF($AG811="","",SUMIFS(OPERATING_COEFFS!$C:$C,OPERATING_COEFFS!$A:$A,"DistanceClass",OPERATING_COEFFS!$B:$B,$AG811))</f>
        <v/>
      </c>
      <c r="AJ811" t="str">
        <f>IF($AI811="","",SUMIFS(OPERATING_COEFFS!$C:$C,OPERATING_COEFFS!$A:$A,"SeasonClass",OPERATING_COEFFS!$B:$B,$AI811))</f>
        <v/>
      </c>
      <c r="AL811" t="str">
        <f>IF($AK811="","",SUMIFS(OPERATING_COEFFS!$C:$C,OPERATING_COEFFS!$A:$A,"UrgencyClass",OPERATING_COEFFS!$B:$B,$AK811))</f>
        <v/>
      </c>
      <c r="AN811" t="str">
        <f>IF($AM811="","",INDEX(TAX_MODES!$B:$B,MATCH($AM811,TAX_MODES!$A:$A,0)))</f>
        <v/>
      </c>
    </row>
    <row r="812" spans="24:40" x14ac:dyDescent="0.3">
      <c r="X812" s="13"/>
      <c r="Y812" s="13" t="str">
        <f>IF($X812="","",SUMIFS(TARIFF_PROFILES!$D:$D,TARIFF_PROFILES!$A:$A,$X812))</f>
        <v/>
      </c>
      <c r="Z812" s="13" t="str">
        <f>IF($X812="","",SUMIFS(TARIFF_PROFILES!$E:$E,TARIFF_PROFILES!$A:$A,$X812))</f>
        <v/>
      </c>
      <c r="AA812" s="13" t="str">
        <f>IF($X812="","",SUMIFS(TARIFF_PROFILES!$F:$F,TARIFF_PROFILES!$A:$A,$X812))</f>
        <v/>
      </c>
      <c r="AB812" s="13" t="str">
        <f>IF($X812="","",SUMIFS(TARIFF_PROFILES!$G:$G,TARIFF_PROFILES!$A:$A,$X812))</f>
        <v/>
      </c>
      <c r="AC812" s="13" t="str">
        <f>IF($X812="","",SUMIFS(TARIFF_PROFILES!$H:$H,TARIFF_PROFILES!$A:$A,$X812))</f>
        <v/>
      </c>
      <c r="AD812" s="13" t="str">
        <f>IF($X812="","",INDEX(TARIFF_PROFILES!$J:$J,MATCH($X812,TARIFF_PROFILES!$A:$A,0)))</f>
        <v/>
      </c>
      <c r="AE812" s="13" t="str">
        <f>IF($X812="","",INDEX(TARIFF_PROFILES!$K:$K,MATCH($X812,TARIFF_PROFILES!$A:$A,0)))</f>
        <v/>
      </c>
      <c r="AH812" t="str">
        <f>IF($AG812="","",SUMIFS(OPERATING_COEFFS!$C:$C,OPERATING_COEFFS!$A:$A,"DistanceClass",OPERATING_COEFFS!$B:$B,$AG812))</f>
        <v/>
      </c>
      <c r="AJ812" t="str">
        <f>IF($AI812="","",SUMIFS(OPERATING_COEFFS!$C:$C,OPERATING_COEFFS!$A:$A,"SeasonClass",OPERATING_COEFFS!$B:$B,$AI812))</f>
        <v/>
      </c>
      <c r="AL812" t="str">
        <f>IF($AK812="","",SUMIFS(OPERATING_COEFFS!$C:$C,OPERATING_COEFFS!$A:$A,"UrgencyClass",OPERATING_COEFFS!$B:$B,$AK812))</f>
        <v/>
      </c>
      <c r="AN812" t="str">
        <f>IF($AM812="","",INDEX(TAX_MODES!$B:$B,MATCH($AM812,TAX_MODES!$A:$A,0)))</f>
        <v/>
      </c>
    </row>
    <row r="813" spans="24:40" x14ac:dyDescent="0.3">
      <c r="X813" s="13"/>
      <c r="Y813" s="13" t="str">
        <f>IF($X813="","",SUMIFS(TARIFF_PROFILES!$D:$D,TARIFF_PROFILES!$A:$A,$X813))</f>
        <v/>
      </c>
      <c r="Z813" s="13" t="str">
        <f>IF($X813="","",SUMIFS(TARIFF_PROFILES!$E:$E,TARIFF_PROFILES!$A:$A,$X813))</f>
        <v/>
      </c>
      <c r="AA813" s="13" t="str">
        <f>IF($X813="","",SUMIFS(TARIFF_PROFILES!$F:$F,TARIFF_PROFILES!$A:$A,$X813))</f>
        <v/>
      </c>
      <c r="AB813" s="13" t="str">
        <f>IF($X813="","",SUMIFS(TARIFF_PROFILES!$G:$G,TARIFF_PROFILES!$A:$A,$X813))</f>
        <v/>
      </c>
      <c r="AC813" s="13" t="str">
        <f>IF($X813="","",SUMIFS(TARIFF_PROFILES!$H:$H,TARIFF_PROFILES!$A:$A,$X813))</f>
        <v/>
      </c>
      <c r="AD813" s="13" t="str">
        <f>IF($X813="","",INDEX(TARIFF_PROFILES!$J:$J,MATCH($X813,TARIFF_PROFILES!$A:$A,0)))</f>
        <v/>
      </c>
      <c r="AE813" s="13" t="str">
        <f>IF($X813="","",INDEX(TARIFF_PROFILES!$K:$K,MATCH($X813,TARIFF_PROFILES!$A:$A,0)))</f>
        <v/>
      </c>
      <c r="AH813" t="str">
        <f>IF($AG813="","",SUMIFS(OPERATING_COEFFS!$C:$C,OPERATING_COEFFS!$A:$A,"DistanceClass",OPERATING_COEFFS!$B:$B,$AG813))</f>
        <v/>
      </c>
      <c r="AJ813" t="str">
        <f>IF($AI813="","",SUMIFS(OPERATING_COEFFS!$C:$C,OPERATING_COEFFS!$A:$A,"SeasonClass",OPERATING_COEFFS!$B:$B,$AI813))</f>
        <v/>
      </c>
      <c r="AL813" t="str">
        <f>IF($AK813="","",SUMIFS(OPERATING_COEFFS!$C:$C,OPERATING_COEFFS!$A:$A,"UrgencyClass",OPERATING_COEFFS!$B:$B,$AK813))</f>
        <v/>
      </c>
      <c r="AN813" t="str">
        <f>IF($AM813="","",INDEX(TAX_MODES!$B:$B,MATCH($AM813,TAX_MODES!$A:$A,0)))</f>
        <v/>
      </c>
    </row>
    <row r="814" spans="24:40" x14ac:dyDescent="0.3">
      <c r="X814" s="13"/>
      <c r="Y814" s="13" t="str">
        <f>IF($X814="","",SUMIFS(TARIFF_PROFILES!$D:$D,TARIFF_PROFILES!$A:$A,$X814))</f>
        <v/>
      </c>
      <c r="Z814" s="13" t="str">
        <f>IF($X814="","",SUMIFS(TARIFF_PROFILES!$E:$E,TARIFF_PROFILES!$A:$A,$X814))</f>
        <v/>
      </c>
      <c r="AA814" s="13" t="str">
        <f>IF($X814="","",SUMIFS(TARIFF_PROFILES!$F:$F,TARIFF_PROFILES!$A:$A,$X814))</f>
        <v/>
      </c>
      <c r="AB814" s="13" t="str">
        <f>IF($X814="","",SUMIFS(TARIFF_PROFILES!$G:$G,TARIFF_PROFILES!$A:$A,$X814))</f>
        <v/>
      </c>
      <c r="AC814" s="13" t="str">
        <f>IF($X814="","",SUMIFS(TARIFF_PROFILES!$H:$H,TARIFF_PROFILES!$A:$A,$X814))</f>
        <v/>
      </c>
      <c r="AD814" s="13" t="str">
        <f>IF($X814="","",INDEX(TARIFF_PROFILES!$J:$J,MATCH($X814,TARIFF_PROFILES!$A:$A,0)))</f>
        <v/>
      </c>
      <c r="AE814" s="13" t="str">
        <f>IF($X814="","",INDEX(TARIFF_PROFILES!$K:$K,MATCH($X814,TARIFF_PROFILES!$A:$A,0)))</f>
        <v/>
      </c>
      <c r="AH814" t="str">
        <f>IF($AG814="","",SUMIFS(OPERATING_COEFFS!$C:$C,OPERATING_COEFFS!$A:$A,"DistanceClass",OPERATING_COEFFS!$B:$B,$AG814))</f>
        <v/>
      </c>
      <c r="AJ814" t="str">
        <f>IF($AI814="","",SUMIFS(OPERATING_COEFFS!$C:$C,OPERATING_COEFFS!$A:$A,"SeasonClass",OPERATING_COEFFS!$B:$B,$AI814))</f>
        <v/>
      </c>
      <c r="AL814" t="str">
        <f>IF($AK814="","",SUMIFS(OPERATING_COEFFS!$C:$C,OPERATING_COEFFS!$A:$A,"UrgencyClass",OPERATING_COEFFS!$B:$B,$AK814))</f>
        <v/>
      </c>
      <c r="AN814" t="str">
        <f>IF($AM814="","",INDEX(TAX_MODES!$B:$B,MATCH($AM814,TAX_MODES!$A:$A,0)))</f>
        <v/>
      </c>
    </row>
    <row r="815" spans="24:40" x14ac:dyDescent="0.3">
      <c r="X815" s="13"/>
      <c r="Y815" s="13" t="str">
        <f>IF($X815="","",SUMIFS(TARIFF_PROFILES!$D:$D,TARIFF_PROFILES!$A:$A,$X815))</f>
        <v/>
      </c>
      <c r="Z815" s="13" t="str">
        <f>IF($X815="","",SUMIFS(TARIFF_PROFILES!$E:$E,TARIFF_PROFILES!$A:$A,$X815))</f>
        <v/>
      </c>
      <c r="AA815" s="13" t="str">
        <f>IF($X815="","",SUMIFS(TARIFF_PROFILES!$F:$F,TARIFF_PROFILES!$A:$A,$X815))</f>
        <v/>
      </c>
      <c r="AB815" s="13" t="str">
        <f>IF($X815="","",SUMIFS(TARIFF_PROFILES!$G:$G,TARIFF_PROFILES!$A:$A,$X815))</f>
        <v/>
      </c>
      <c r="AC815" s="13" t="str">
        <f>IF($X815="","",SUMIFS(TARIFF_PROFILES!$H:$H,TARIFF_PROFILES!$A:$A,$X815))</f>
        <v/>
      </c>
      <c r="AD815" s="13" t="str">
        <f>IF($X815="","",INDEX(TARIFF_PROFILES!$J:$J,MATCH($X815,TARIFF_PROFILES!$A:$A,0)))</f>
        <v/>
      </c>
      <c r="AE815" s="13" t="str">
        <f>IF($X815="","",INDEX(TARIFF_PROFILES!$K:$K,MATCH($X815,TARIFF_PROFILES!$A:$A,0)))</f>
        <v/>
      </c>
      <c r="AH815" t="str">
        <f>IF($AG815="","",SUMIFS(OPERATING_COEFFS!$C:$C,OPERATING_COEFFS!$A:$A,"DistanceClass",OPERATING_COEFFS!$B:$B,$AG815))</f>
        <v/>
      </c>
      <c r="AJ815" t="str">
        <f>IF($AI815="","",SUMIFS(OPERATING_COEFFS!$C:$C,OPERATING_COEFFS!$A:$A,"SeasonClass",OPERATING_COEFFS!$B:$B,$AI815))</f>
        <v/>
      </c>
      <c r="AL815" t="str">
        <f>IF($AK815="","",SUMIFS(OPERATING_COEFFS!$C:$C,OPERATING_COEFFS!$A:$A,"UrgencyClass",OPERATING_COEFFS!$B:$B,$AK815))</f>
        <v/>
      </c>
      <c r="AN815" t="str">
        <f>IF($AM815="","",INDEX(TAX_MODES!$B:$B,MATCH($AM815,TAX_MODES!$A:$A,0)))</f>
        <v/>
      </c>
    </row>
    <row r="816" spans="24:40" x14ac:dyDescent="0.3">
      <c r="X816" s="13"/>
      <c r="Y816" s="13" t="str">
        <f>IF($X816="","",SUMIFS(TARIFF_PROFILES!$D:$D,TARIFF_PROFILES!$A:$A,$X816))</f>
        <v/>
      </c>
      <c r="Z816" s="13" t="str">
        <f>IF($X816="","",SUMIFS(TARIFF_PROFILES!$E:$E,TARIFF_PROFILES!$A:$A,$X816))</f>
        <v/>
      </c>
      <c r="AA816" s="13" t="str">
        <f>IF($X816="","",SUMIFS(TARIFF_PROFILES!$F:$F,TARIFF_PROFILES!$A:$A,$X816))</f>
        <v/>
      </c>
      <c r="AB816" s="13" t="str">
        <f>IF($X816="","",SUMIFS(TARIFF_PROFILES!$G:$G,TARIFF_PROFILES!$A:$A,$X816))</f>
        <v/>
      </c>
      <c r="AC816" s="13" t="str">
        <f>IF($X816="","",SUMIFS(TARIFF_PROFILES!$H:$H,TARIFF_PROFILES!$A:$A,$X816))</f>
        <v/>
      </c>
      <c r="AD816" s="13" t="str">
        <f>IF($X816="","",INDEX(TARIFF_PROFILES!$J:$J,MATCH($X816,TARIFF_PROFILES!$A:$A,0)))</f>
        <v/>
      </c>
      <c r="AE816" s="13" t="str">
        <f>IF($X816="","",INDEX(TARIFF_PROFILES!$K:$K,MATCH($X816,TARIFF_PROFILES!$A:$A,0)))</f>
        <v/>
      </c>
      <c r="AH816" t="str">
        <f>IF($AG816="","",SUMIFS(OPERATING_COEFFS!$C:$C,OPERATING_COEFFS!$A:$A,"DistanceClass",OPERATING_COEFFS!$B:$B,$AG816))</f>
        <v/>
      </c>
      <c r="AJ816" t="str">
        <f>IF($AI816="","",SUMIFS(OPERATING_COEFFS!$C:$C,OPERATING_COEFFS!$A:$A,"SeasonClass",OPERATING_COEFFS!$B:$B,$AI816))</f>
        <v/>
      </c>
      <c r="AL816" t="str">
        <f>IF($AK816="","",SUMIFS(OPERATING_COEFFS!$C:$C,OPERATING_COEFFS!$A:$A,"UrgencyClass",OPERATING_COEFFS!$B:$B,$AK816))</f>
        <v/>
      </c>
      <c r="AN816" t="str">
        <f>IF($AM816="","",INDEX(TAX_MODES!$B:$B,MATCH($AM816,TAX_MODES!$A:$A,0)))</f>
        <v/>
      </c>
    </row>
    <row r="817" spans="24:40" x14ac:dyDescent="0.3">
      <c r="X817" s="13"/>
      <c r="Y817" s="13" t="str">
        <f>IF($X817="","",SUMIFS(TARIFF_PROFILES!$D:$D,TARIFF_PROFILES!$A:$A,$X817))</f>
        <v/>
      </c>
      <c r="Z817" s="13" t="str">
        <f>IF($X817="","",SUMIFS(TARIFF_PROFILES!$E:$E,TARIFF_PROFILES!$A:$A,$X817))</f>
        <v/>
      </c>
      <c r="AA817" s="13" t="str">
        <f>IF($X817="","",SUMIFS(TARIFF_PROFILES!$F:$F,TARIFF_PROFILES!$A:$A,$X817))</f>
        <v/>
      </c>
      <c r="AB817" s="13" t="str">
        <f>IF($X817="","",SUMIFS(TARIFF_PROFILES!$G:$G,TARIFF_PROFILES!$A:$A,$X817))</f>
        <v/>
      </c>
      <c r="AC817" s="13" t="str">
        <f>IF($X817="","",SUMIFS(TARIFF_PROFILES!$H:$H,TARIFF_PROFILES!$A:$A,$X817))</f>
        <v/>
      </c>
      <c r="AD817" s="13" t="str">
        <f>IF($X817="","",INDEX(TARIFF_PROFILES!$J:$J,MATCH($X817,TARIFF_PROFILES!$A:$A,0)))</f>
        <v/>
      </c>
      <c r="AE817" s="13" t="str">
        <f>IF($X817="","",INDEX(TARIFF_PROFILES!$K:$K,MATCH($X817,TARIFF_PROFILES!$A:$A,0)))</f>
        <v/>
      </c>
      <c r="AH817" t="str">
        <f>IF($AG817="","",SUMIFS(OPERATING_COEFFS!$C:$C,OPERATING_COEFFS!$A:$A,"DistanceClass",OPERATING_COEFFS!$B:$B,$AG817))</f>
        <v/>
      </c>
      <c r="AJ817" t="str">
        <f>IF($AI817="","",SUMIFS(OPERATING_COEFFS!$C:$C,OPERATING_COEFFS!$A:$A,"SeasonClass",OPERATING_COEFFS!$B:$B,$AI817))</f>
        <v/>
      </c>
      <c r="AL817" t="str">
        <f>IF($AK817="","",SUMIFS(OPERATING_COEFFS!$C:$C,OPERATING_COEFFS!$A:$A,"UrgencyClass",OPERATING_COEFFS!$B:$B,$AK817))</f>
        <v/>
      </c>
      <c r="AN817" t="str">
        <f>IF($AM817="","",INDEX(TAX_MODES!$B:$B,MATCH($AM817,TAX_MODES!$A:$A,0)))</f>
        <v/>
      </c>
    </row>
    <row r="818" spans="24:40" x14ac:dyDescent="0.3">
      <c r="X818" s="13"/>
      <c r="Y818" s="13" t="str">
        <f>IF($X818="","",SUMIFS(TARIFF_PROFILES!$D:$D,TARIFF_PROFILES!$A:$A,$X818))</f>
        <v/>
      </c>
      <c r="Z818" s="13" t="str">
        <f>IF($X818="","",SUMIFS(TARIFF_PROFILES!$E:$E,TARIFF_PROFILES!$A:$A,$X818))</f>
        <v/>
      </c>
      <c r="AA818" s="13" t="str">
        <f>IF($X818="","",SUMIFS(TARIFF_PROFILES!$F:$F,TARIFF_PROFILES!$A:$A,$X818))</f>
        <v/>
      </c>
      <c r="AB818" s="13" t="str">
        <f>IF($X818="","",SUMIFS(TARIFF_PROFILES!$G:$G,TARIFF_PROFILES!$A:$A,$X818))</f>
        <v/>
      </c>
      <c r="AC818" s="13" t="str">
        <f>IF($X818="","",SUMIFS(TARIFF_PROFILES!$H:$H,TARIFF_PROFILES!$A:$A,$X818))</f>
        <v/>
      </c>
      <c r="AD818" s="13" t="str">
        <f>IF($X818="","",INDEX(TARIFF_PROFILES!$J:$J,MATCH($X818,TARIFF_PROFILES!$A:$A,0)))</f>
        <v/>
      </c>
      <c r="AE818" s="13" t="str">
        <f>IF($X818="","",INDEX(TARIFF_PROFILES!$K:$K,MATCH($X818,TARIFF_PROFILES!$A:$A,0)))</f>
        <v/>
      </c>
      <c r="AH818" t="str">
        <f>IF($AG818="","",SUMIFS(OPERATING_COEFFS!$C:$C,OPERATING_COEFFS!$A:$A,"DistanceClass",OPERATING_COEFFS!$B:$B,$AG818))</f>
        <v/>
      </c>
      <c r="AJ818" t="str">
        <f>IF($AI818="","",SUMIFS(OPERATING_COEFFS!$C:$C,OPERATING_COEFFS!$A:$A,"SeasonClass",OPERATING_COEFFS!$B:$B,$AI818))</f>
        <v/>
      </c>
      <c r="AL818" t="str">
        <f>IF($AK818="","",SUMIFS(OPERATING_COEFFS!$C:$C,OPERATING_COEFFS!$A:$A,"UrgencyClass",OPERATING_COEFFS!$B:$B,$AK818))</f>
        <v/>
      </c>
      <c r="AN818" t="str">
        <f>IF($AM818="","",INDEX(TAX_MODES!$B:$B,MATCH($AM818,TAX_MODES!$A:$A,0)))</f>
        <v/>
      </c>
    </row>
    <row r="819" spans="24:40" x14ac:dyDescent="0.3">
      <c r="X819" s="13"/>
      <c r="Y819" s="13" t="str">
        <f>IF($X819="","",SUMIFS(TARIFF_PROFILES!$D:$D,TARIFF_PROFILES!$A:$A,$X819))</f>
        <v/>
      </c>
      <c r="Z819" s="13" t="str">
        <f>IF($X819="","",SUMIFS(TARIFF_PROFILES!$E:$E,TARIFF_PROFILES!$A:$A,$X819))</f>
        <v/>
      </c>
      <c r="AA819" s="13" t="str">
        <f>IF($X819="","",SUMIFS(TARIFF_PROFILES!$F:$F,TARIFF_PROFILES!$A:$A,$X819))</f>
        <v/>
      </c>
      <c r="AB819" s="13" t="str">
        <f>IF($X819="","",SUMIFS(TARIFF_PROFILES!$G:$G,TARIFF_PROFILES!$A:$A,$X819))</f>
        <v/>
      </c>
      <c r="AC819" s="13" t="str">
        <f>IF($X819="","",SUMIFS(TARIFF_PROFILES!$H:$H,TARIFF_PROFILES!$A:$A,$X819))</f>
        <v/>
      </c>
      <c r="AD819" s="13" t="str">
        <f>IF($X819="","",INDEX(TARIFF_PROFILES!$J:$J,MATCH($X819,TARIFF_PROFILES!$A:$A,0)))</f>
        <v/>
      </c>
      <c r="AE819" s="13" t="str">
        <f>IF($X819="","",INDEX(TARIFF_PROFILES!$K:$K,MATCH($X819,TARIFF_PROFILES!$A:$A,0)))</f>
        <v/>
      </c>
      <c r="AH819" t="str">
        <f>IF($AG819="","",SUMIFS(OPERATING_COEFFS!$C:$C,OPERATING_COEFFS!$A:$A,"DistanceClass",OPERATING_COEFFS!$B:$B,$AG819))</f>
        <v/>
      </c>
      <c r="AJ819" t="str">
        <f>IF($AI819="","",SUMIFS(OPERATING_COEFFS!$C:$C,OPERATING_COEFFS!$A:$A,"SeasonClass",OPERATING_COEFFS!$B:$B,$AI819))</f>
        <v/>
      </c>
      <c r="AL819" t="str">
        <f>IF($AK819="","",SUMIFS(OPERATING_COEFFS!$C:$C,OPERATING_COEFFS!$A:$A,"UrgencyClass",OPERATING_COEFFS!$B:$B,$AK819))</f>
        <v/>
      </c>
      <c r="AN819" t="str">
        <f>IF($AM819="","",INDEX(TAX_MODES!$B:$B,MATCH($AM819,TAX_MODES!$A:$A,0)))</f>
        <v/>
      </c>
    </row>
    <row r="820" spans="24:40" x14ac:dyDescent="0.3">
      <c r="X820" s="13"/>
      <c r="Y820" s="13" t="str">
        <f>IF($X820="","",SUMIFS(TARIFF_PROFILES!$D:$D,TARIFF_PROFILES!$A:$A,$X820))</f>
        <v/>
      </c>
      <c r="Z820" s="13" t="str">
        <f>IF($X820="","",SUMIFS(TARIFF_PROFILES!$E:$E,TARIFF_PROFILES!$A:$A,$X820))</f>
        <v/>
      </c>
      <c r="AA820" s="13" t="str">
        <f>IF($X820="","",SUMIFS(TARIFF_PROFILES!$F:$F,TARIFF_PROFILES!$A:$A,$X820))</f>
        <v/>
      </c>
      <c r="AB820" s="13" t="str">
        <f>IF($X820="","",SUMIFS(TARIFF_PROFILES!$G:$G,TARIFF_PROFILES!$A:$A,$X820))</f>
        <v/>
      </c>
      <c r="AC820" s="13" t="str">
        <f>IF($X820="","",SUMIFS(TARIFF_PROFILES!$H:$H,TARIFF_PROFILES!$A:$A,$X820))</f>
        <v/>
      </c>
      <c r="AD820" s="13" t="str">
        <f>IF($X820="","",INDEX(TARIFF_PROFILES!$J:$J,MATCH($X820,TARIFF_PROFILES!$A:$A,0)))</f>
        <v/>
      </c>
      <c r="AE820" s="13" t="str">
        <f>IF($X820="","",INDEX(TARIFF_PROFILES!$K:$K,MATCH($X820,TARIFF_PROFILES!$A:$A,0)))</f>
        <v/>
      </c>
      <c r="AH820" t="str">
        <f>IF($AG820="","",SUMIFS(OPERATING_COEFFS!$C:$C,OPERATING_COEFFS!$A:$A,"DistanceClass",OPERATING_COEFFS!$B:$B,$AG820))</f>
        <v/>
      </c>
      <c r="AJ820" t="str">
        <f>IF($AI820="","",SUMIFS(OPERATING_COEFFS!$C:$C,OPERATING_COEFFS!$A:$A,"SeasonClass",OPERATING_COEFFS!$B:$B,$AI820))</f>
        <v/>
      </c>
      <c r="AL820" t="str">
        <f>IF($AK820="","",SUMIFS(OPERATING_COEFFS!$C:$C,OPERATING_COEFFS!$A:$A,"UrgencyClass",OPERATING_COEFFS!$B:$B,$AK820))</f>
        <v/>
      </c>
      <c r="AN820" t="str">
        <f>IF($AM820="","",INDEX(TAX_MODES!$B:$B,MATCH($AM820,TAX_MODES!$A:$A,0)))</f>
        <v/>
      </c>
    </row>
    <row r="821" spans="24:40" x14ac:dyDescent="0.3">
      <c r="X821" s="13"/>
      <c r="Y821" s="13" t="str">
        <f>IF($X821="","",SUMIFS(TARIFF_PROFILES!$D:$D,TARIFF_PROFILES!$A:$A,$X821))</f>
        <v/>
      </c>
      <c r="Z821" s="13" t="str">
        <f>IF($X821="","",SUMIFS(TARIFF_PROFILES!$E:$E,TARIFF_PROFILES!$A:$A,$X821))</f>
        <v/>
      </c>
      <c r="AA821" s="13" t="str">
        <f>IF($X821="","",SUMIFS(TARIFF_PROFILES!$F:$F,TARIFF_PROFILES!$A:$A,$X821))</f>
        <v/>
      </c>
      <c r="AB821" s="13" t="str">
        <f>IF($X821="","",SUMIFS(TARIFF_PROFILES!$G:$G,TARIFF_PROFILES!$A:$A,$X821))</f>
        <v/>
      </c>
      <c r="AC821" s="13" t="str">
        <f>IF($X821="","",SUMIFS(TARIFF_PROFILES!$H:$H,TARIFF_PROFILES!$A:$A,$X821))</f>
        <v/>
      </c>
      <c r="AD821" s="13" t="str">
        <f>IF($X821="","",INDEX(TARIFF_PROFILES!$J:$J,MATCH($X821,TARIFF_PROFILES!$A:$A,0)))</f>
        <v/>
      </c>
      <c r="AE821" s="13" t="str">
        <f>IF($X821="","",INDEX(TARIFF_PROFILES!$K:$K,MATCH($X821,TARIFF_PROFILES!$A:$A,0)))</f>
        <v/>
      </c>
      <c r="AH821" t="str">
        <f>IF($AG821="","",SUMIFS(OPERATING_COEFFS!$C:$C,OPERATING_COEFFS!$A:$A,"DistanceClass",OPERATING_COEFFS!$B:$B,$AG821))</f>
        <v/>
      </c>
      <c r="AJ821" t="str">
        <f>IF($AI821="","",SUMIFS(OPERATING_COEFFS!$C:$C,OPERATING_COEFFS!$A:$A,"SeasonClass",OPERATING_COEFFS!$B:$B,$AI821))</f>
        <v/>
      </c>
      <c r="AL821" t="str">
        <f>IF($AK821="","",SUMIFS(OPERATING_COEFFS!$C:$C,OPERATING_COEFFS!$A:$A,"UrgencyClass",OPERATING_COEFFS!$B:$B,$AK821))</f>
        <v/>
      </c>
      <c r="AN821" t="str">
        <f>IF($AM821="","",INDEX(TAX_MODES!$B:$B,MATCH($AM821,TAX_MODES!$A:$A,0)))</f>
        <v/>
      </c>
    </row>
    <row r="822" spans="24:40" x14ac:dyDescent="0.3">
      <c r="X822" s="13"/>
      <c r="Y822" s="13" t="str">
        <f>IF($X822="","",SUMIFS(TARIFF_PROFILES!$D:$D,TARIFF_PROFILES!$A:$A,$X822))</f>
        <v/>
      </c>
      <c r="Z822" s="13" t="str">
        <f>IF($X822="","",SUMIFS(TARIFF_PROFILES!$E:$E,TARIFF_PROFILES!$A:$A,$X822))</f>
        <v/>
      </c>
      <c r="AA822" s="13" t="str">
        <f>IF($X822="","",SUMIFS(TARIFF_PROFILES!$F:$F,TARIFF_PROFILES!$A:$A,$X822))</f>
        <v/>
      </c>
      <c r="AB822" s="13" t="str">
        <f>IF($X822="","",SUMIFS(TARIFF_PROFILES!$G:$G,TARIFF_PROFILES!$A:$A,$X822))</f>
        <v/>
      </c>
      <c r="AC822" s="13" t="str">
        <f>IF($X822="","",SUMIFS(TARIFF_PROFILES!$H:$H,TARIFF_PROFILES!$A:$A,$X822))</f>
        <v/>
      </c>
      <c r="AD822" s="13" t="str">
        <f>IF($X822="","",INDEX(TARIFF_PROFILES!$J:$J,MATCH($X822,TARIFF_PROFILES!$A:$A,0)))</f>
        <v/>
      </c>
      <c r="AE822" s="13" t="str">
        <f>IF($X822="","",INDEX(TARIFF_PROFILES!$K:$K,MATCH($X822,TARIFF_PROFILES!$A:$A,0)))</f>
        <v/>
      </c>
      <c r="AH822" t="str">
        <f>IF($AG822="","",SUMIFS(OPERATING_COEFFS!$C:$C,OPERATING_COEFFS!$A:$A,"DistanceClass",OPERATING_COEFFS!$B:$B,$AG822))</f>
        <v/>
      </c>
      <c r="AJ822" t="str">
        <f>IF($AI822="","",SUMIFS(OPERATING_COEFFS!$C:$C,OPERATING_COEFFS!$A:$A,"SeasonClass",OPERATING_COEFFS!$B:$B,$AI822))</f>
        <v/>
      </c>
      <c r="AL822" t="str">
        <f>IF($AK822="","",SUMIFS(OPERATING_COEFFS!$C:$C,OPERATING_COEFFS!$A:$A,"UrgencyClass",OPERATING_COEFFS!$B:$B,$AK822))</f>
        <v/>
      </c>
      <c r="AN822" t="str">
        <f>IF($AM822="","",INDEX(TAX_MODES!$B:$B,MATCH($AM822,TAX_MODES!$A:$A,0)))</f>
        <v/>
      </c>
    </row>
    <row r="823" spans="24:40" x14ac:dyDescent="0.3">
      <c r="X823" s="13"/>
      <c r="Y823" s="13" t="str">
        <f>IF($X823="","",SUMIFS(TARIFF_PROFILES!$D:$D,TARIFF_PROFILES!$A:$A,$X823))</f>
        <v/>
      </c>
      <c r="Z823" s="13" t="str">
        <f>IF($X823="","",SUMIFS(TARIFF_PROFILES!$E:$E,TARIFF_PROFILES!$A:$A,$X823))</f>
        <v/>
      </c>
      <c r="AA823" s="13" t="str">
        <f>IF($X823="","",SUMIFS(TARIFF_PROFILES!$F:$F,TARIFF_PROFILES!$A:$A,$X823))</f>
        <v/>
      </c>
      <c r="AB823" s="13" t="str">
        <f>IF($X823="","",SUMIFS(TARIFF_PROFILES!$G:$G,TARIFF_PROFILES!$A:$A,$X823))</f>
        <v/>
      </c>
      <c r="AC823" s="13" t="str">
        <f>IF($X823="","",SUMIFS(TARIFF_PROFILES!$H:$H,TARIFF_PROFILES!$A:$A,$X823))</f>
        <v/>
      </c>
      <c r="AD823" s="13" t="str">
        <f>IF($X823="","",INDEX(TARIFF_PROFILES!$J:$J,MATCH($X823,TARIFF_PROFILES!$A:$A,0)))</f>
        <v/>
      </c>
      <c r="AE823" s="13" t="str">
        <f>IF($X823="","",INDEX(TARIFF_PROFILES!$K:$K,MATCH($X823,TARIFF_PROFILES!$A:$A,0)))</f>
        <v/>
      </c>
      <c r="AH823" t="str">
        <f>IF($AG823="","",SUMIFS(OPERATING_COEFFS!$C:$C,OPERATING_COEFFS!$A:$A,"DistanceClass",OPERATING_COEFFS!$B:$B,$AG823))</f>
        <v/>
      </c>
      <c r="AJ823" t="str">
        <f>IF($AI823="","",SUMIFS(OPERATING_COEFFS!$C:$C,OPERATING_COEFFS!$A:$A,"SeasonClass",OPERATING_COEFFS!$B:$B,$AI823))</f>
        <v/>
      </c>
      <c r="AL823" t="str">
        <f>IF($AK823="","",SUMIFS(OPERATING_COEFFS!$C:$C,OPERATING_COEFFS!$A:$A,"UrgencyClass",OPERATING_COEFFS!$B:$B,$AK823))</f>
        <v/>
      </c>
      <c r="AN823" t="str">
        <f>IF($AM823="","",INDEX(TAX_MODES!$B:$B,MATCH($AM823,TAX_MODES!$A:$A,0)))</f>
        <v/>
      </c>
    </row>
    <row r="824" spans="24:40" x14ac:dyDescent="0.3">
      <c r="X824" s="13"/>
      <c r="Y824" s="13" t="str">
        <f>IF($X824="","",SUMIFS(TARIFF_PROFILES!$D:$D,TARIFF_PROFILES!$A:$A,$X824))</f>
        <v/>
      </c>
      <c r="Z824" s="13" t="str">
        <f>IF($X824="","",SUMIFS(TARIFF_PROFILES!$E:$E,TARIFF_PROFILES!$A:$A,$X824))</f>
        <v/>
      </c>
      <c r="AA824" s="13" t="str">
        <f>IF($X824="","",SUMIFS(TARIFF_PROFILES!$F:$F,TARIFF_PROFILES!$A:$A,$X824))</f>
        <v/>
      </c>
      <c r="AB824" s="13" t="str">
        <f>IF($X824="","",SUMIFS(TARIFF_PROFILES!$G:$G,TARIFF_PROFILES!$A:$A,$X824))</f>
        <v/>
      </c>
      <c r="AC824" s="13" t="str">
        <f>IF($X824="","",SUMIFS(TARIFF_PROFILES!$H:$H,TARIFF_PROFILES!$A:$A,$X824))</f>
        <v/>
      </c>
      <c r="AD824" s="13" t="str">
        <f>IF($X824="","",INDEX(TARIFF_PROFILES!$J:$J,MATCH($X824,TARIFF_PROFILES!$A:$A,0)))</f>
        <v/>
      </c>
      <c r="AE824" s="13" t="str">
        <f>IF($X824="","",INDEX(TARIFF_PROFILES!$K:$K,MATCH($X824,TARIFF_PROFILES!$A:$A,0)))</f>
        <v/>
      </c>
      <c r="AH824" t="str">
        <f>IF($AG824="","",SUMIFS(OPERATING_COEFFS!$C:$C,OPERATING_COEFFS!$A:$A,"DistanceClass",OPERATING_COEFFS!$B:$B,$AG824))</f>
        <v/>
      </c>
      <c r="AJ824" t="str">
        <f>IF($AI824="","",SUMIFS(OPERATING_COEFFS!$C:$C,OPERATING_COEFFS!$A:$A,"SeasonClass",OPERATING_COEFFS!$B:$B,$AI824))</f>
        <v/>
      </c>
      <c r="AL824" t="str">
        <f>IF($AK824="","",SUMIFS(OPERATING_COEFFS!$C:$C,OPERATING_COEFFS!$A:$A,"UrgencyClass",OPERATING_COEFFS!$B:$B,$AK824))</f>
        <v/>
      </c>
      <c r="AN824" t="str">
        <f>IF($AM824="","",INDEX(TAX_MODES!$B:$B,MATCH($AM824,TAX_MODES!$A:$A,0)))</f>
        <v/>
      </c>
    </row>
    <row r="825" spans="24:40" x14ac:dyDescent="0.3">
      <c r="X825" s="13"/>
      <c r="Y825" s="13" t="str">
        <f>IF($X825="","",SUMIFS(TARIFF_PROFILES!$D:$D,TARIFF_PROFILES!$A:$A,$X825))</f>
        <v/>
      </c>
      <c r="Z825" s="13" t="str">
        <f>IF($X825="","",SUMIFS(TARIFF_PROFILES!$E:$E,TARIFF_PROFILES!$A:$A,$X825))</f>
        <v/>
      </c>
      <c r="AA825" s="13" t="str">
        <f>IF($X825="","",SUMIFS(TARIFF_PROFILES!$F:$F,TARIFF_PROFILES!$A:$A,$X825))</f>
        <v/>
      </c>
      <c r="AB825" s="13" t="str">
        <f>IF($X825="","",SUMIFS(TARIFF_PROFILES!$G:$G,TARIFF_PROFILES!$A:$A,$X825))</f>
        <v/>
      </c>
      <c r="AC825" s="13" t="str">
        <f>IF($X825="","",SUMIFS(TARIFF_PROFILES!$H:$H,TARIFF_PROFILES!$A:$A,$X825))</f>
        <v/>
      </c>
      <c r="AD825" s="13" t="str">
        <f>IF($X825="","",INDEX(TARIFF_PROFILES!$J:$J,MATCH($X825,TARIFF_PROFILES!$A:$A,0)))</f>
        <v/>
      </c>
      <c r="AE825" s="13" t="str">
        <f>IF($X825="","",INDEX(TARIFF_PROFILES!$K:$K,MATCH($X825,TARIFF_PROFILES!$A:$A,0)))</f>
        <v/>
      </c>
      <c r="AH825" t="str">
        <f>IF($AG825="","",SUMIFS(OPERATING_COEFFS!$C:$C,OPERATING_COEFFS!$A:$A,"DistanceClass",OPERATING_COEFFS!$B:$B,$AG825))</f>
        <v/>
      </c>
      <c r="AJ825" t="str">
        <f>IF($AI825="","",SUMIFS(OPERATING_COEFFS!$C:$C,OPERATING_COEFFS!$A:$A,"SeasonClass",OPERATING_COEFFS!$B:$B,$AI825))</f>
        <v/>
      </c>
      <c r="AL825" t="str">
        <f>IF($AK825="","",SUMIFS(OPERATING_COEFFS!$C:$C,OPERATING_COEFFS!$A:$A,"UrgencyClass",OPERATING_COEFFS!$B:$B,$AK825))</f>
        <v/>
      </c>
      <c r="AN825" t="str">
        <f>IF($AM825="","",INDEX(TAX_MODES!$B:$B,MATCH($AM825,TAX_MODES!$A:$A,0)))</f>
        <v/>
      </c>
    </row>
    <row r="826" spans="24:40" x14ac:dyDescent="0.3">
      <c r="X826" s="13"/>
      <c r="Y826" s="13" t="str">
        <f>IF($X826="","",SUMIFS(TARIFF_PROFILES!$D:$D,TARIFF_PROFILES!$A:$A,$X826))</f>
        <v/>
      </c>
      <c r="Z826" s="13" t="str">
        <f>IF($X826="","",SUMIFS(TARIFF_PROFILES!$E:$E,TARIFF_PROFILES!$A:$A,$X826))</f>
        <v/>
      </c>
      <c r="AA826" s="13" t="str">
        <f>IF($X826="","",SUMIFS(TARIFF_PROFILES!$F:$F,TARIFF_PROFILES!$A:$A,$X826))</f>
        <v/>
      </c>
      <c r="AB826" s="13" t="str">
        <f>IF($X826="","",SUMIFS(TARIFF_PROFILES!$G:$G,TARIFF_PROFILES!$A:$A,$X826))</f>
        <v/>
      </c>
      <c r="AC826" s="13" t="str">
        <f>IF($X826="","",SUMIFS(TARIFF_PROFILES!$H:$H,TARIFF_PROFILES!$A:$A,$X826))</f>
        <v/>
      </c>
      <c r="AD826" s="13" t="str">
        <f>IF($X826="","",INDEX(TARIFF_PROFILES!$J:$J,MATCH($X826,TARIFF_PROFILES!$A:$A,0)))</f>
        <v/>
      </c>
      <c r="AE826" s="13" t="str">
        <f>IF($X826="","",INDEX(TARIFF_PROFILES!$K:$K,MATCH($X826,TARIFF_PROFILES!$A:$A,0)))</f>
        <v/>
      </c>
      <c r="AH826" t="str">
        <f>IF($AG826="","",SUMIFS(OPERATING_COEFFS!$C:$C,OPERATING_COEFFS!$A:$A,"DistanceClass",OPERATING_COEFFS!$B:$B,$AG826))</f>
        <v/>
      </c>
      <c r="AJ826" t="str">
        <f>IF($AI826="","",SUMIFS(OPERATING_COEFFS!$C:$C,OPERATING_COEFFS!$A:$A,"SeasonClass",OPERATING_COEFFS!$B:$B,$AI826))</f>
        <v/>
      </c>
      <c r="AL826" t="str">
        <f>IF($AK826="","",SUMIFS(OPERATING_COEFFS!$C:$C,OPERATING_COEFFS!$A:$A,"UrgencyClass",OPERATING_COEFFS!$B:$B,$AK826))</f>
        <v/>
      </c>
      <c r="AN826" t="str">
        <f>IF($AM826="","",INDEX(TAX_MODES!$B:$B,MATCH($AM826,TAX_MODES!$A:$A,0)))</f>
        <v/>
      </c>
    </row>
    <row r="827" spans="24:40" x14ac:dyDescent="0.3">
      <c r="X827" s="13"/>
      <c r="Y827" s="13" t="str">
        <f>IF($X827="","",SUMIFS(TARIFF_PROFILES!$D:$D,TARIFF_PROFILES!$A:$A,$X827))</f>
        <v/>
      </c>
      <c r="Z827" s="13" t="str">
        <f>IF($X827="","",SUMIFS(TARIFF_PROFILES!$E:$E,TARIFF_PROFILES!$A:$A,$X827))</f>
        <v/>
      </c>
      <c r="AA827" s="13" t="str">
        <f>IF($X827="","",SUMIFS(TARIFF_PROFILES!$F:$F,TARIFF_PROFILES!$A:$A,$X827))</f>
        <v/>
      </c>
      <c r="AB827" s="13" t="str">
        <f>IF($X827="","",SUMIFS(TARIFF_PROFILES!$G:$G,TARIFF_PROFILES!$A:$A,$X827))</f>
        <v/>
      </c>
      <c r="AC827" s="13" t="str">
        <f>IF($X827="","",SUMIFS(TARIFF_PROFILES!$H:$H,TARIFF_PROFILES!$A:$A,$X827))</f>
        <v/>
      </c>
      <c r="AD827" s="13" t="str">
        <f>IF($X827="","",INDEX(TARIFF_PROFILES!$J:$J,MATCH($X827,TARIFF_PROFILES!$A:$A,0)))</f>
        <v/>
      </c>
      <c r="AE827" s="13" t="str">
        <f>IF($X827="","",INDEX(TARIFF_PROFILES!$K:$K,MATCH($X827,TARIFF_PROFILES!$A:$A,0)))</f>
        <v/>
      </c>
      <c r="AH827" t="str">
        <f>IF($AG827="","",SUMIFS(OPERATING_COEFFS!$C:$C,OPERATING_COEFFS!$A:$A,"DistanceClass",OPERATING_COEFFS!$B:$B,$AG827))</f>
        <v/>
      </c>
      <c r="AJ827" t="str">
        <f>IF($AI827="","",SUMIFS(OPERATING_COEFFS!$C:$C,OPERATING_COEFFS!$A:$A,"SeasonClass",OPERATING_COEFFS!$B:$B,$AI827))</f>
        <v/>
      </c>
      <c r="AL827" t="str">
        <f>IF($AK827="","",SUMIFS(OPERATING_COEFFS!$C:$C,OPERATING_COEFFS!$A:$A,"UrgencyClass",OPERATING_COEFFS!$B:$B,$AK827))</f>
        <v/>
      </c>
      <c r="AN827" t="str">
        <f>IF($AM827="","",INDEX(TAX_MODES!$B:$B,MATCH($AM827,TAX_MODES!$A:$A,0)))</f>
        <v/>
      </c>
    </row>
    <row r="828" spans="24:40" x14ac:dyDescent="0.3">
      <c r="X828" s="13"/>
      <c r="Y828" s="13" t="str">
        <f>IF($X828="","",SUMIFS(TARIFF_PROFILES!$D:$D,TARIFF_PROFILES!$A:$A,$X828))</f>
        <v/>
      </c>
      <c r="Z828" s="13" t="str">
        <f>IF($X828="","",SUMIFS(TARIFF_PROFILES!$E:$E,TARIFF_PROFILES!$A:$A,$X828))</f>
        <v/>
      </c>
      <c r="AA828" s="13" t="str">
        <f>IF($X828="","",SUMIFS(TARIFF_PROFILES!$F:$F,TARIFF_PROFILES!$A:$A,$X828))</f>
        <v/>
      </c>
      <c r="AB828" s="13" t="str">
        <f>IF($X828="","",SUMIFS(TARIFF_PROFILES!$G:$G,TARIFF_PROFILES!$A:$A,$X828))</f>
        <v/>
      </c>
      <c r="AC828" s="13" t="str">
        <f>IF($X828="","",SUMIFS(TARIFF_PROFILES!$H:$H,TARIFF_PROFILES!$A:$A,$X828))</f>
        <v/>
      </c>
      <c r="AD828" s="13" t="str">
        <f>IF($X828="","",INDEX(TARIFF_PROFILES!$J:$J,MATCH($X828,TARIFF_PROFILES!$A:$A,0)))</f>
        <v/>
      </c>
      <c r="AE828" s="13" t="str">
        <f>IF($X828="","",INDEX(TARIFF_PROFILES!$K:$K,MATCH($X828,TARIFF_PROFILES!$A:$A,0)))</f>
        <v/>
      </c>
      <c r="AH828" t="str">
        <f>IF($AG828="","",SUMIFS(OPERATING_COEFFS!$C:$C,OPERATING_COEFFS!$A:$A,"DistanceClass",OPERATING_COEFFS!$B:$B,$AG828))</f>
        <v/>
      </c>
      <c r="AJ828" t="str">
        <f>IF($AI828="","",SUMIFS(OPERATING_COEFFS!$C:$C,OPERATING_COEFFS!$A:$A,"SeasonClass",OPERATING_COEFFS!$B:$B,$AI828))</f>
        <v/>
      </c>
      <c r="AL828" t="str">
        <f>IF($AK828="","",SUMIFS(OPERATING_COEFFS!$C:$C,OPERATING_COEFFS!$A:$A,"UrgencyClass",OPERATING_COEFFS!$B:$B,$AK828))</f>
        <v/>
      </c>
      <c r="AN828" t="str">
        <f>IF($AM828="","",INDEX(TAX_MODES!$B:$B,MATCH($AM828,TAX_MODES!$A:$A,0)))</f>
        <v/>
      </c>
    </row>
    <row r="829" spans="24:40" x14ac:dyDescent="0.3">
      <c r="X829" s="13"/>
      <c r="Y829" s="13" t="str">
        <f>IF($X829="","",SUMIFS(TARIFF_PROFILES!$D:$D,TARIFF_PROFILES!$A:$A,$X829))</f>
        <v/>
      </c>
      <c r="Z829" s="13" t="str">
        <f>IF($X829="","",SUMIFS(TARIFF_PROFILES!$E:$E,TARIFF_PROFILES!$A:$A,$X829))</f>
        <v/>
      </c>
      <c r="AA829" s="13" t="str">
        <f>IF($X829="","",SUMIFS(TARIFF_PROFILES!$F:$F,TARIFF_PROFILES!$A:$A,$X829))</f>
        <v/>
      </c>
      <c r="AB829" s="13" t="str">
        <f>IF($X829="","",SUMIFS(TARIFF_PROFILES!$G:$G,TARIFF_PROFILES!$A:$A,$X829))</f>
        <v/>
      </c>
      <c r="AC829" s="13" t="str">
        <f>IF($X829="","",SUMIFS(TARIFF_PROFILES!$H:$H,TARIFF_PROFILES!$A:$A,$X829))</f>
        <v/>
      </c>
      <c r="AD829" s="13" t="str">
        <f>IF($X829="","",INDEX(TARIFF_PROFILES!$J:$J,MATCH($X829,TARIFF_PROFILES!$A:$A,0)))</f>
        <v/>
      </c>
      <c r="AE829" s="13" t="str">
        <f>IF($X829="","",INDEX(TARIFF_PROFILES!$K:$K,MATCH($X829,TARIFF_PROFILES!$A:$A,0)))</f>
        <v/>
      </c>
      <c r="AH829" t="str">
        <f>IF($AG829="","",SUMIFS(OPERATING_COEFFS!$C:$C,OPERATING_COEFFS!$A:$A,"DistanceClass",OPERATING_COEFFS!$B:$B,$AG829))</f>
        <v/>
      </c>
      <c r="AJ829" t="str">
        <f>IF($AI829="","",SUMIFS(OPERATING_COEFFS!$C:$C,OPERATING_COEFFS!$A:$A,"SeasonClass",OPERATING_COEFFS!$B:$B,$AI829))</f>
        <v/>
      </c>
      <c r="AL829" t="str">
        <f>IF($AK829="","",SUMIFS(OPERATING_COEFFS!$C:$C,OPERATING_COEFFS!$A:$A,"UrgencyClass",OPERATING_COEFFS!$B:$B,$AK829))</f>
        <v/>
      </c>
      <c r="AN829" t="str">
        <f>IF($AM829="","",INDEX(TAX_MODES!$B:$B,MATCH($AM829,TAX_MODES!$A:$A,0)))</f>
        <v/>
      </c>
    </row>
    <row r="830" spans="24:40" x14ac:dyDescent="0.3">
      <c r="X830" s="13"/>
      <c r="Y830" s="13" t="str">
        <f>IF($X830="","",SUMIFS(TARIFF_PROFILES!$D:$D,TARIFF_PROFILES!$A:$A,$X830))</f>
        <v/>
      </c>
      <c r="Z830" s="13" t="str">
        <f>IF($X830="","",SUMIFS(TARIFF_PROFILES!$E:$E,TARIFF_PROFILES!$A:$A,$X830))</f>
        <v/>
      </c>
      <c r="AA830" s="13" t="str">
        <f>IF($X830="","",SUMIFS(TARIFF_PROFILES!$F:$F,TARIFF_PROFILES!$A:$A,$X830))</f>
        <v/>
      </c>
      <c r="AB830" s="13" t="str">
        <f>IF($X830="","",SUMIFS(TARIFF_PROFILES!$G:$G,TARIFF_PROFILES!$A:$A,$X830))</f>
        <v/>
      </c>
      <c r="AC830" s="13" t="str">
        <f>IF($X830="","",SUMIFS(TARIFF_PROFILES!$H:$H,TARIFF_PROFILES!$A:$A,$X830))</f>
        <v/>
      </c>
      <c r="AD830" s="13" t="str">
        <f>IF($X830="","",INDEX(TARIFF_PROFILES!$J:$J,MATCH($X830,TARIFF_PROFILES!$A:$A,0)))</f>
        <v/>
      </c>
      <c r="AE830" s="13" t="str">
        <f>IF($X830="","",INDEX(TARIFF_PROFILES!$K:$K,MATCH($X830,TARIFF_PROFILES!$A:$A,0)))</f>
        <v/>
      </c>
      <c r="AH830" t="str">
        <f>IF($AG830="","",SUMIFS(OPERATING_COEFFS!$C:$C,OPERATING_COEFFS!$A:$A,"DistanceClass",OPERATING_COEFFS!$B:$B,$AG830))</f>
        <v/>
      </c>
      <c r="AJ830" t="str">
        <f>IF($AI830="","",SUMIFS(OPERATING_COEFFS!$C:$C,OPERATING_COEFFS!$A:$A,"SeasonClass",OPERATING_COEFFS!$B:$B,$AI830))</f>
        <v/>
      </c>
      <c r="AL830" t="str">
        <f>IF($AK830="","",SUMIFS(OPERATING_COEFFS!$C:$C,OPERATING_COEFFS!$A:$A,"UrgencyClass",OPERATING_COEFFS!$B:$B,$AK830))</f>
        <v/>
      </c>
      <c r="AN830" t="str">
        <f>IF($AM830="","",INDEX(TAX_MODES!$B:$B,MATCH($AM830,TAX_MODES!$A:$A,0)))</f>
        <v/>
      </c>
    </row>
    <row r="831" spans="24:40" x14ac:dyDescent="0.3">
      <c r="X831" s="13"/>
      <c r="Y831" s="13" t="str">
        <f>IF($X831="","",SUMIFS(TARIFF_PROFILES!$D:$D,TARIFF_PROFILES!$A:$A,$X831))</f>
        <v/>
      </c>
      <c r="Z831" s="13" t="str">
        <f>IF($X831="","",SUMIFS(TARIFF_PROFILES!$E:$E,TARIFF_PROFILES!$A:$A,$X831))</f>
        <v/>
      </c>
      <c r="AA831" s="13" t="str">
        <f>IF($X831="","",SUMIFS(TARIFF_PROFILES!$F:$F,TARIFF_PROFILES!$A:$A,$X831))</f>
        <v/>
      </c>
      <c r="AB831" s="13" t="str">
        <f>IF($X831="","",SUMIFS(TARIFF_PROFILES!$G:$G,TARIFF_PROFILES!$A:$A,$X831))</f>
        <v/>
      </c>
      <c r="AC831" s="13" t="str">
        <f>IF($X831="","",SUMIFS(TARIFF_PROFILES!$H:$H,TARIFF_PROFILES!$A:$A,$X831))</f>
        <v/>
      </c>
      <c r="AD831" s="13" t="str">
        <f>IF($X831="","",INDEX(TARIFF_PROFILES!$J:$J,MATCH($X831,TARIFF_PROFILES!$A:$A,0)))</f>
        <v/>
      </c>
      <c r="AE831" s="13" t="str">
        <f>IF($X831="","",INDEX(TARIFF_PROFILES!$K:$K,MATCH($X831,TARIFF_PROFILES!$A:$A,0)))</f>
        <v/>
      </c>
      <c r="AH831" t="str">
        <f>IF($AG831="","",SUMIFS(OPERATING_COEFFS!$C:$C,OPERATING_COEFFS!$A:$A,"DistanceClass",OPERATING_COEFFS!$B:$B,$AG831))</f>
        <v/>
      </c>
      <c r="AJ831" t="str">
        <f>IF($AI831="","",SUMIFS(OPERATING_COEFFS!$C:$C,OPERATING_COEFFS!$A:$A,"SeasonClass",OPERATING_COEFFS!$B:$B,$AI831))</f>
        <v/>
      </c>
      <c r="AL831" t="str">
        <f>IF($AK831="","",SUMIFS(OPERATING_COEFFS!$C:$C,OPERATING_COEFFS!$A:$A,"UrgencyClass",OPERATING_COEFFS!$B:$B,$AK831))</f>
        <v/>
      </c>
      <c r="AN831" t="str">
        <f>IF($AM831="","",INDEX(TAX_MODES!$B:$B,MATCH($AM831,TAX_MODES!$A:$A,0)))</f>
        <v/>
      </c>
    </row>
    <row r="832" spans="24:40" x14ac:dyDescent="0.3">
      <c r="X832" s="13"/>
      <c r="Y832" s="13" t="str">
        <f>IF($X832="","",SUMIFS(TARIFF_PROFILES!$D:$D,TARIFF_PROFILES!$A:$A,$X832))</f>
        <v/>
      </c>
      <c r="Z832" s="13" t="str">
        <f>IF($X832="","",SUMIFS(TARIFF_PROFILES!$E:$E,TARIFF_PROFILES!$A:$A,$X832))</f>
        <v/>
      </c>
      <c r="AA832" s="13" t="str">
        <f>IF($X832="","",SUMIFS(TARIFF_PROFILES!$F:$F,TARIFF_PROFILES!$A:$A,$X832))</f>
        <v/>
      </c>
      <c r="AB832" s="13" t="str">
        <f>IF($X832="","",SUMIFS(TARIFF_PROFILES!$G:$G,TARIFF_PROFILES!$A:$A,$X832))</f>
        <v/>
      </c>
      <c r="AC832" s="13" t="str">
        <f>IF($X832="","",SUMIFS(TARIFF_PROFILES!$H:$H,TARIFF_PROFILES!$A:$A,$X832))</f>
        <v/>
      </c>
      <c r="AD832" s="13" t="str">
        <f>IF($X832="","",INDEX(TARIFF_PROFILES!$J:$J,MATCH($X832,TARIFF_PROFILES!$A:$A,0)))</f>
        <v/>
      </c>
      <c r="AE832" s="13" t="str">
        <f>IF($X832="","",INDEX(TARIFF_PROFILES!$K:$K,MATCH($X832,TARIFF_PROFILES!$A:$A,0)))</f>
        <v/>
      </c>
      <c r="AH832" t="str">
        <f>IF($AG832="","",SUMIFS(OPERATING_COEFFS!$C:$C,OPERATING_COEFFS!$A:$A,"DistanceClass",OPERATING_COEFFS!$B:$B,$AG832))</f>
        <v/>
      </c>
      <c r="AJ832" t="str">
        <f>IF($AI832="","",SUMIFS(OPERATING_COEFFS!$C:$C,OPERATING_COEFFS!$A:$A,"SeasonClass",OPERATING_COEFFS!$B:$B,$AI832))</f>
        <v/>
      </c>
      <c r="AL832" t="str">
        <f>IF($AK832="","",SUMIFS(OPERATING_COEFFS!$C:$C,OPERATING_COEFFS!$A:$A,"UrgencyClass",OPERATING_COEFFS!$B:$B,$AK832))</f>
        <v/>
      </c>
      <c r="AN832" t="str">
        <f>IF($AM832="","",INDEX(TAX_MODES!$B:$B,MATCH($AM832,TAX_MODES!$A:$A,0)))</f>
        <v/>
      </c>
    </row>
    <row r="833" spans="24:40" x14ac:dyDescent="0.3">
      <c r="X833" s="13"/>
      <c r="Y833" s="13" t="str">
        <f>IF($X833="","",SUMIFS(TARIFF_PROFILES!$D:$D,TARIFF_PROFILES!$A:$A,$X833))</f>
        <v/>
      </c>
      <c r="Z833" s="13" t="str">
        <f>IF($X833="","",SUMIFS(TARIFF_PROFILES!$E:$E,TARIFF_PROFILES!$A:$A,$X833))</f>
        <v/>
      </c>
      <c r="AA833" s="13" t="str">
        <f>IF($X833="","",SUMIFS(TARIFF_PROFILES!$F:$F,TARIFF_PROFILES!$A:$A,$X833))</f>
        <v/>
      </c>
      <c r="AB833" s="13" t="str">
        <f>IF($X833="","",SUMIFS(TARIFF_PROFILES!$G:$G,TARIFF_PROFILES!$A:$A,$X833))</f>
        <v/>
      </c>
      <c r="AC833" s="13" t="str">
        <f>IF($X833="","",SUMIFS(TARIFF_PROFILES!$H:$H,TARIFF_PROFILES!$A:$A,$X833))</f>
        <v/>
      </c>
      <c r="AD833" s="13" t="str">
        <f>IF($X833="","",INDEX(TARIFF_PROFILES!$J:$J,MATCH($X833,TARIFF_PROFILES!$A:$A,0)))</f>
        <v/>
      </c>
      <c r="AE833" s="13" t="str">
        <f>IF($X833="","",INDEX(TARIFF_PROFILES!$K:$K,MATCH($X833,TARIFF_PROFILES!$A:$A,0)))</f>
        <v/>
      </c>
      <c r="AH833" t="str">
        <f>IF($AG833="","",SUMIFS(OPERATING_COEFFS!$C:$C,OPERATING_COEFFS!$A:$A,"DistanceClass",OPERATING_COEFFS!$B:$B,$AG833))</f>
        <v/>
      </c>
      <c r="AJ833" t="str">
        <f>IF($AI833="","",SUMIFS(OPERATING_COEFFS!$C:$C,OPERATING_COEFFS!$A:$A,"SeasonClass",OPERATING_COEFFS!$B:$B,$AI833))</f>
        <v/>
      </c>
      <c r="AL833" t="str">
        <f>IF($AK833="","",SUMIFS(OPERATING_COEFFS!$C:$C,OPERATING_COEFFS!$A:$A,"UrgencyClass",OPERATING_COEFFS!$B:$B,$AK833))</f>
        <v/>
      </c>
      <c r="AN833" t="str">
        <f>IF($AM833="","",INDEX(TAX_MODES!$B:$B,MATCH($AM833,TAX_MODES!$A:$A,0)))</f>
        <v/>
      </c>
    </row>
    <row r="834" spans="24:40" x14ac:dyDescent="0.3">
      <c r="X834" s="13"/>
      <c r="Y834" s="13" t="str">
        <f>IF($X834="","",SUMIFS(TARIFF_PROFILES!$D:$D,TARIFF_PROFILES!$A:$A,$X834))</f>
        <v/>
      </c>
      <c r="Z834" s="13" t="str">
        <f>IF($X834="","",SUMIFS(TARIFF_PROFILES!$E:$E,TARIFF_PROFILES!$A:$A,$X834))</f>
        <v/>
      </c>
      <c r="AA834" s="13" t="str">
        <f>IF($X834="","",SUMIFS(TARIFF_PROFILES!$F:$F,TARIFF_PROFILES!$A:$A,$X834))</f>
        <v/>
      </c>
      <c r="AB834" s="13" t="str">
        <f>IF($X834="","",SUMIFS(TARIFF_PROFILES!$G:$G,TARIFF_PROFILES!$A:$A,$X834))</f>
        <v/>
      </c>
      <c r="AC834" s="13" t="str">
        <f>IF($X834="","",SUMIFS(TARIFF_PROFILES!$H:$H,TARIFF_PROFILES!$A:$A,$X834))</f>
        <v/>
      </c>
      <c r="AD834" s="13" t="str">
        <f>IF($X834="","",INDEX(TARIFF_PROFILES!$J:$J,MATCH($X834,TARIFF_PROFILES!$A:$A,0)))</f>
        <v/>
      </c>
      <c r="AE834" s="13" t="str">
        <f>IF($X834="","",INDEX(TARIFF_PROFILES!$K:$K,MATCH($X834,TARIFF_PROFILES!$A:$A,0)))</f>
        <v/>
      </c>
      <c r="AH834" t="str">
        <f>IF($AG834="","",SUMIFS(OPERATING_COEFFS!$C:$C,OPERATING_COEFFS!$A:$A,"DistanceClass",OPERATING_COEFFS!$B:$B,$AG834))</f>
        <v/>
      </c>
      <c r="AJ834" t="str">
        <f>IF($AI834="","",SUMIFS(OPERATING_COEFFS!$C:$C,OPERATING_COEFFS!$A:$A,"SeasonClass",OPERATING_COEFFS!$B:$B,$AI834))</f>
        <v/>
      </c>
      <c r="AL834" t="str">
        <f>IF($AK834="","",SUMIFS(OPERATING_COEFFS!$C:$C,OPERATING_COEFFS!$A:$A,"UrgencyClass",OPERATING_COEFFS!$B:$B,$AK834))</f>
        <v/>
      </c>
      <c r="AN834" t="str">
        <f>IF($AM834="","",INDEX(TAX_MODES!$B:$B,MATCH($AM834,TAX_MODES!$A:$A,0)))</f>
        <v/>
      </c>
    </row>
    <row r="835" spans="24:40" x14ac:dyDescent="0.3">
      <c r="X835" s="13"/>
      <c r="Y835" s="13" t="str">
        <f>IF($X835="","",SUMIFS(TARIFF_PROFILES!$D:$D,TARIFF_PROFILES!$A:$A,$X835))</f>
        <v/>
      </c>
      <c r="Z835" s="13" t="str">
        <f>IF($X835="","",SUMIFS(TARIFF_PROFILES!$E:$E,TARIFF_PROFILES!$A:$A,$X835))</f>
        <v/>
      </c>
      <c r="AA835" s="13" t="str">
        <f>IF($X835="","",SUMIFS(TARIFF_PROFILES!$F:$F,TARIFF_PROFILES!$A:$A,$X835))</f>
        <v/>
      </c>
      <c r="AB835" s="13" t="str">
        <f>IF($X835="","",SUMIFS(TARIFF_PROFILES!$G:$G,TARIFF_PROFILES!$A:$A,$X835))</f>
        <v/>
      </c>
      <c r="AC835" s="13" t="str">
        <f>IF($X835="","",SUMIFS(TARIFF_PROFILES!$H:$H,TARIFF_PROFILES!$A:$A,$X835))</f>
        <v/>
      </c>
      <c r="AD835" s="13" t="str">
        <f>IF($X835="","",INDEX(TARIFF_PROFILES!$J:$J,MATCH($X835,TARIFF_PROFILES!$A:$A,0)))</f>
        <v/>
      </c>
      <c r="AE835" s="13" t="str">
        <f>IF($X835="","",INDEX(TARIFF_PROFILES!$K:$K,MATCH($X835,TARIFF_PROFILES!$A:$A,0)))</f>
        <v/>
      </c>
      <c r="AH835" t="str">
        <f>IF($AG835="","",SUMIFS(OPERATING_COEFFS!$C:$C,OPERATING_COEFFS!$A:$A,"DistanceClass",OPERATING_COEFFS!$B:$B,$AG835))</f>
        <v/>
      </c>
      <c r="AJ835" t="str">
        <f>IF($AI835="","",SUMIFS(OPERATING_COEFFS!$C:$C,OPERATING_COEFFS!$A:$A,"SeasonClass",OPERATING_COEFFS!$B:$B,$AI835))</f>
        <v/>
      </c>
      <c r="AL835" t="str">
        <f>IF($AK835="","",SUMIFS(OPERATING_COEFFS!$C:$C,OPERATING_COEFFS!$A:$A,"UrgencyClass",OPERATING_COEFFS!$B:$B,$AK835))</f>
        <v/>
      </c>
      <c r="AN835" t="str">
        <f>IF($AM835="","",INDEX(TAX_MODES!$B:$B,MATCH($AM835,TAX_MODES!$A:$A,0)))</f>
        <v/>
      </c>
    </row>
    <row r="836" spans="24:40" x14ac:dyDescent="0.3">
      <c r="X836" s="13"/>
      <c r="Y836" s="13" t="str">
        <f>IF($X836="","",SUMIFS(TARIFF_PROFILES!$D:$D,TARIFF_PROFILES!$A:$A,$X836))</f>
        <v/>
      </c>
      <c r="Z836" s="13" t="str">
        <f>IF($X836="","",SUMIFS(TARIFF_PROFILES!$E:$E,TARIFF_PROFILES!$A:$A,$X836))</f>
        <v/>
      </c>
      <c r="AA836" s="13" t="str">
        <f>IF($X836="","",SUMIFS(TARIFF_PROFILES!$F:$F,TARIFF_PROFILES!$A:$A,$X836))</f>
        <v/>
      </c>
      <c r="AB836" s="13" t="str">
        <f>IF($X836="","",SUMIFS(TARIFF_PROFILES!$G:$G,TARIFF_PROFILES!$A:$A,$X836))</f>
        <v/>
      </c>
      <c r="AC836" s="13" t="str">
        <f>IF($X836="","",SUMIFS(TARIFF_PROFILES!$H:$H,TARIFF_PROFILES!$A:$A,$X836))</f>
        <v/>
      </c>
      <c r="AD836" s="13" t="str">
        <f>IF($X836="","",INDEX(TARIFF_PROFILES!$J:$J,MATCH($X836,TARIFF_PROFILES!$A:$A,0)))</f>
        <v/>
      </c>
      <c r="AE836" s="13" t="str">
        <f>IF($X836="","",INDEX(TARIFF_PROFILES!$K:$K,MATCH($X836,TARIFF_PROFILES!$A:$A,0)))</f>
        <v/>
      </c>
      <c r="AH836" t="str">
        <f>IF($AG836="","",SUMIFS(OPERATING_COEFFS!$C:$C,OPERATING_COEFFS!$A:$A,"DistanceClass",OPERATING_COEFFS!$B:$B,$AG836))</f>
        <v/>
      </c>
      <c r="AJ836" t="str">
        <f>IF($AI836="","",SUMIFS(OPERATING_COEFFS!$C:$C,OPERATING_COEFFS!$A:$A,"SeasonClass",OPERATING_COEFFS!$B:$B,$AI836))</f>
        <v/>
      </c>
      <c r="AL836" t="str">
        <f>IF($AK836="","",SUMIFS(OPERATING_COEFFS!$C:$C,OPERATING_COEFFS!$A:$A,"UrgencyClass",OPERATING_COEFFS!$B:$B,$AK836))</f>
        <v/>
      </c>
      <c r="AN836" t="str">
        <f>IF($AM836="","",INDEX(TAX_MODES!$B:$B,MATCH($AM836,TAX_MODES!$A:$A,0)))</f>
        <v/>
      </c>
    </row>
    <row r="837" spans="24:40" x14ac:dyDescent="0.3">
      <c r="X837" s="13"/>
      <c r="Y837" s="13" t="str">
        <f>IF($X837="","",SUMIFS(TARIFF_PROFILES!$D:$D,TARIFF_PROFILES!$A:$A,$X837))</f>
        <v/>
      </c>
      <c r="Z837" s="13" t="str">
        <f>IF($X837="","",SUMIFS(TARIFF_PROFILES!$E:$E,TARIFF_PROFILES!$A:$A,$X837))</f>
        <v/>
      </c>
      <c r="AA837" s="13" t="str">
        <f>IF($X837="","",SUMIFS(TARIFF_PROFILES!$F:$F,TARIFF_PROFILES!$A:$A,$X837))</f>
        <v/>
      </c>
      <c r="AB837" s="13" t="str">
        <f>IF($X837="","",SUMIFS(TARIFF_PROFILES!$G:$G,TARIFF_PROFILES!$A:$A,$X837))</f>
        <v/>
      </c>
      <c r="AC837" s="13" t="str">
        <f>IF($X837="","",SUMIFS(TARIFF_PROFILES!$H:$H,TARIFF_PROFILES!$A:$A,$X837))</f>
        <v/>
      </c>
      <c r="AD837" s="13" t="str">
        <f>IF($X837="","",INDEX(TARIFF_PROFILES!$J:$J,MATCH($X837,TARIFF_PROFILES!$A:$A,0)))</f>
        <v/>
      </c>
      <c r="AE837" s="13" t="str">
        <f>IF($X837="","",INDEX(TARIFF_PROFILES!$K:$K,MATCH($X837,TARIFF_PROFILES!$A:$A,0)))</f>
        <v/>
      </c>
      <c r="AH837" t="str">
        <f>IF($AG837="","",SUMIFS(OPERATING_COEFFS!$C:$C,OPERATING_COEFFS!$A:$A,"DistanceClass",OPERATING_COEFFS!$B:$B,$AG837))</f>
        <v/>
      </c>
      <c r="AJ837" t="str">
        <f>IF($AI837="","",SUMIFS(OPERATING_COEFFS!$C:$C,OPERATING_COEFFS!$A:$A,"SeasonClass",OPERATING_COEFFS!$B:$B,$AI837))</f>
        <v/>
      </c>
      <c r="AL837" t="str">
        <f>IF($AK837="","",SUMIFS(OPERATING_COEFFS!$C:$C,OPERATING_COEFFS!$A:$A,"UrgencyClass",OPERATING_COEFFS!$B:$B,$AK837))</f>
        <v/>
      </c>
      <c r="AN837" t="str">
        <f>IF($AM837="","",INDEX(TAX_MODES!$B:$B,MATCH($AM837,TAX_MODES!$A:$A,0)))</f>
        <v/>
      </c>
    </row>
    <row r="838" spans="24:40" x14ac:dyDescent="0.3">
      <c r="X838" s="13"/>
      <c r="Y838" s="13" t="str">
        <f>IF($X838="","",SUMIFS(TARIFF_PROFILES!$D:$D,TARIFF_PROFILES!$A:$A,$X838))</f>
        <v/>
      </c>
      <c r="Z838" s="13" t="str">
        <f>IF($X838="","",SUMIFS(TARIFF_PROFILES!$E:$E,TARIFF_PROFILES!$A:$A,$X838))</f>
        <v/>
      </c>
      <c r="AA838" s="13" t="str">
        <f>IF($X838="","",SUMIFS(TARIFF_PROFILES!$F:$F,TARIFF_PROFILES!$A:$A,$X838))</f>
        <v/>
      </c>
      <c r="AB838" s="13" t="str">
        <f>IF($X838="","",SUMIFS(TARIFF_PROFILES!$G:$G,TARIFF_PROFILES!$A:$A,$X838))</f>
        <v/>
      </c>
      <c r="AC838" s="13" t="str">
        <f>IF($X838="","",SUMIFS(TARIFF_PROFILES!$H:$H,TARIFF_PROFILES!$A:$A,$X838))</f>
        <v/>
      </c>
      <c r="AD838" s="13" t="str">
        <f>IF($X838="","",INDEX(TARIFF_PROFILES!$J:$J,MATCH($X838,TARIFF_PROFILES!$A:$A,0)))</f>
        <v/>
      </c>
      <c r="AE838" s="13" t="str">
        <f>IF($X838="","",INDEX(TARIFF_PROFILES!$K:$K,MATCH($X838,TARIFF_PROFILES!$A:$A,0)))</f>
        <v/>
      </c>
      <c r="AH838" t="str">
        <f>IF($AG838="","",SUMIFS(OPERATING_COEFFS!$C:$C,OPERATING_COEFFS!$A:$A,"DistanceClass",OPERATING_COEFFS!$B:$B,$AG838))</f>
        <v/>
      </c>
      <c r="AJ838" t="str">
        <f>IF($AI838="","",SUMIFS(OPERATING_COEFFS!$C:$C,OPERATING_COEFFS!$A:$A,"SeasonClass",OPERATING_COEFFS!$B:$B,$AI838))</f>
        <v/>
      </c>
      <c r="AL838" t="str">
        <f>IF($AK838="","",SUMIFS(OPERATING_COEFFS!$C:$C,OPERATING_COEFFS!$A:$A,"UrgencyClass",OPERATING_COEFFS!$B:$B,$AK838))</f>
        <v/>
      </c>
      <c r="AN838" t="str">
        <f>IF($AM838="","",INDEX(TAX_MODES!$B:$B,MATCH($AM838,TAX_MODES!$A:$A,0)))</f>
        <v/>
      </c>
    </row>
    <row r="839" spans="24:40" x14ac:dyDescent="0.3">
      <c r="X839" s="13"/>
      <c r="Y839" s="13" t="str">
        <f>IF($X839="","",SUMIFS(TARIFF_PROFILES!$D:$D,TARIFF_PROFILES!$A:$A,$X839))</f>
        <v/>
      </c>
      <c r="Z839" s="13" t="str">
        <f>IF($X839="","",SUMIFS(TARIFF_PROFILES!$E:$E,TARIFF_PROFILES!$A:$A,$X839))</f>
        <v/>
      </c>
      <c r="AA839" s="13" t="str">
        <f>IF($X839="","",SUMIFS(TARIFF_PROFILES!$F:$F,TARIFF_PROFILES!$A:$A,$X839))</f>
        <v/>
      </c>
      <c r="AB839" s="13" t="str">
        <f>IF($X839="","",SUMIFS(TARIFF_PROFILES!$G:$G,TARIFF_PROFILES!$A:$A,$X839))</f>
        <v/>
      </c>
      <c r="AC839" s="13" t="str">
        <f>IF($X839="","",SUMIFS(TARIFF_PROFILES!$H:$H,TARIFF_PROFILES!$A:$A,$X839))</f>
        <v/>
      </c>
      <c r="AD839" s="13" t="str">
        <f>IF($X839="","",INDEX(TARIFF_PROFILES!$J:$J,MATCH($X839,TARIFF_PROFILES!$A:$A,0)))</f>
        <v/>
      </c>
      <c r="AE839" s="13" t="str">
        <f>IF($X839="","",INDEX(TARIFF_PROFILES!$K:$K,MATCH($X839,TARIFF_PROFILES!$A:$A,0)))</f>
        <v/>
      </c>
      <c r="AH839" t="str">
        <f>IF($AG839="","",SUMIFS(OPERATING_COEFFS!$C:$C,OPERATING_COEFFS!$A:$A,"DistanceClass",OPERATING_COEFFS!$B:$B,$AG839))</f>
        <v/>
      </c>
      <c r="AJ839" t="str">
        <f>IF($AI839="","",SUMIFS(OPERATING_COEFFS!$C:$C,OPERATING_COEFFS!$A:$A,"SeasonClass",OPERATING_COEFFS!$B:$B,$AI839))</f>
        <v/>
      </c>
      <c r="AL839" t="str">
        <f>IF($AK839="","",SUMIFS(OPERATING_COEFFS!$C:$C,OPERATING_COEFFS!$A:$A,"UrgencyClass",OPERATING_COEFFS!$B:$B,$AK839))</f>
        <v/>
      </c>
      <c r="AN839" t="str">
        <f>IF($AM839="","",INDEX(TAX_MODES!$B:$B,MATCH($AM839,TAX_MODES!$A:$A,0)))</f>
        <v/>
      </c>
    </row>
    <row r="840" spans="24:40" x14ac:dyDescent="0.3">
      <c r="X840" s="13"/>
      <c r="Y840" s="13" t="str">
        <f>IF($X840="","",SUMIFS(TARIFF_PROFILES!$D:$D,TARIFF_PROFILES!$A:$A,$X840))</f>
        <v/>
      </c>
      <c r="Z840" s="13" t="str">
        <f>IF($X840="","",SUMIFS(TARIFF_PROFILES!$E:$E,TARIFF_PROFILES!$A:$A,$X840))</f>
        <v/>
      </c>
      <c r="AA840" s="13" t="str">
        <f>IF($X840="","",SUMIFS(TARIFF_PROFILES!$F:$F,TARIFF_PROFILES!$A:$A,$X840))</f>
        <v/>
      </c>
      <c r="AB840" s="13" t="str">
        <f>IF($X840="","",SUMIFS(TARIFF_PROFILES!$G:$G,TARIFF_PROFILES!$A:$A,$X840))</f>
        <v/>
      </c>
      <c r="AC840" s="13" t="str">
        <f>IF($X840="","",SUMIFS(TARIFF_PROFILES!$H:$H,TARIFF_PROFILES!$A:$A,$X840))</f>
        <v/>
      </c>
      <c r="AD840" s="13" t="str">
        <f>IF($X840="","",INDEX(TARIFF_PROFILES!$J:$J,MATCH($X840,TARIFF_PROFILES!$A:$A,0)))</f>
        <v/>
      </c>
      <c r="AE840" s="13" t="str">
        <f>IF($X840="","",INDEX(TARIFF_PROFILES!$K:$K,MATCH($X840,TARIFF_PROFILES!$A:$A,0)))</f>
        <v/>
      </c>
      <c r="AH840" t="str">
        <f>IF($AG840="","",SUMIFS(OPERATING_COEFFS!$C:$C,OPERATING_COEFFS!$A:$A,"DistanceClass",OPERATING_COEFFS!$B:$B,$AG840))</f>
        <v/>
      </c>
      <c r="AJ840" t="str">
        <f>IF($AI840="","",SUMIFS(OPERATING_COEFFS!$C:$C,OPERATING_COEFFS!$A:$A,"SeasonClass",OPERATING_COEFFS!$B:$B,$AI840))</f>
        <v/>
      </c>
      <c r="AL840" t="str">
        <f>IF($AK840="","",SUMIFS(OPERATING_COEFFS!$C:$C,OPERATING_COEFFS!$A:$A,"UrgencyClass",OPERATING_COEFFS!$B:$B,$AK840))</f>
        <v/>
      </c>
      <c r="AN840" t="str">
        <f>IF($AM840="","",INDEX(TAX_MODES!$B:$B,MATCH($AM840,TAX_MODES!$A:$A,0)))</f>
        <v/>
      </c>
    </row>
    <row r="841" spans="24:40" x14ac:dyDescent="0.3">
      <c r="X841" s="13"/>
      <c r="Y841" s="13" t="str">
        <f>IF($X841="","",SUMIFS(TARIFF_PROFILES!$D:$D,TARIFF_PROFILES!$A:$A,$X841))</f>
        <v/>
      </c>
      <c r="Z841" s="13" t="str">
        <f>IF($X841="","",SUMIFS(TARIFF_PROFILES!$E:$E,TARIFF_PROFILES!$A:$A,$X841))</f>
        <v/>
      </c>
      <c r="AA841" s="13" t="str">
        <f>IF($X841="","",SUMIFS(TARIFF_PROFILES!$F:$F,TARIFF_PROFILES!$A:$A,$X841))</f>
        <v/>
      </c>
      <c r="AB841" s="13" t="str">
        <f>IF($X841="","",SUMIFS(TARIFF_PROFILES!$G:$G,TARIFF_PROFILES!$A:$A,$X841))</f>
        <v/>
      </c>
      <c r="AC841" s="13" t="str">
        <f>IF($X841="","",SUMIFS(TARIFF_PROFILES!$H:$H,TARIFF_PROFILES!$A:$A,$X841))</f>
        <v/>
      </c>
      <c r="AD841" s="13" t="str">
        <f>IF($X841="","",INDEX(TARIFF_PROFILES!$J:$J,MATCH($X841,TARIFF_PROFILES!$A:$A,0)))</f>
        <v/>
      </c>
      <c r="AE841" s="13" t="str">
        <f>IF($X841="","",INDEX(TARIFF_PROFILES!$K:$K,MATCH($X841,TARIFF_PROFILES!$A:$A,0)))</f>
        <v/>
      </c>
      <c r="AH841" t="str">
        <f>IF($AG841="","",SUMIFS(OPERATING_COEFFS!$C:$C,OPERATING_COEFFS!$A:$A,"DistanceClass",OPERATING_COEFFS!$B:$B,$AG841))</f>
        <v/>
      </c>
      <c r="AJ841" t="str">
        <f>IF($AI841="","",SUMIFS(OPERATING_COEFFS!$C:$C,OPERATING_COEFFS!$A:$A,"SeasonClass",OPERATING_COEFFS!$B:$B,$AI841))</f>
        <v/>
      </c>
      <c r="AL841" t="str">
        <f>IF($AK841="","",SUMIFS(OPERATING_COEFFS!$C:$C,OPERATING_COEFFS!$A:$A,"UrgencyClass",OPERATING_COEFFS!$B:$B,$AK841))</f>
        <v/>
      </c>
      <c r="AN841" t="str">
        <f>IF($AM841="","",INDEX(TAX_MODES!$B:$B,MATCH($AM841,TAX_MODES!$A:$A,0)))</f>
        <v/>
      </c>
    </row>
    <row r="842" spans="24:40" x14ac:dyDescent="0.3">
      <c r="X842" s="13"/>
      <c r="Y842" s="13" t="str">
        <f>IF($X842="","",SUMIFS(TARIFF_PROFILES!$D:$D,TARIFF_PROFILES!$A:$A,$X842))</f>
        <v/>
      </c>
      <c r="Z842" s="13" t="str">
        <f>IF($X842="","",SUMIFS(TARIFF_PROFILES!$E:$E,TARIFF_PROFILES!$A:$A,$X842))</f>
        <v/>
      </c>
      <c r="AA842" s="13" t="str">
        <f>IF($X842="","",SUMIFS(TARIFF_PROFILES!$F:$F,TARIFF_PROFILES!$A:$A,$X842))</f>
        <v/>
      </c>
      <c r="AB842" s="13" t="str">
        <f>IF($X842="","",SUMIFS(TARIFF_PROFILES!$G:$G,TARIFF_PROFILES!$A:$A,$X842))</f>
        <v/>
      </c>
      <c r="AC842" s="13" t="str">
        <f>IF($X842="","",SUMIFS(TARIFF_PROFILES!$H:$H,TARIFF_PROFILES!$A:$A,$X842))</f>
        <v/>
      </c>
      <c r="AD842" s="13" t="str">
        <f>IF($X842="","",INDEX(TARIFF_PROFILES!$J:$J,MATCH($X842,TARIFF_PROFILES!$A:$A,0)))</f>
        <v/>
      </c>
      <c r="AE842" s="13" t="str">
        <f>IF($X842="","",INDEX(TARIFF_PROFILES!$K:$K,MATCH($X842,TARIFF_PROFILES!$A:$A,0)))</f>
        <v/>
      </c>
      <c r="AH842" t="str">
        <f>IF($AG842="","",SUMIFS(OPERATING_COEFFS!$C:$C,OPERATING_COEFFS!$A:$A,"DistanceClass",OPERATING_COEFFS!$B:$B,$AG842))</f>
        <v/>
      </c>
      <c r="AJ842" t="str">
        <f>IF($AI842="","",SUMIFS(OPERATING_COEFFS!$C:$C,OPERATING_COEFFS!$A:$A,"SeasonClass",OPERATING_COEFFS!$B:$B,$AI842))</f>
        <v/>
      </c>
      <c r="AL842" t="str">
        <f>IF($AK842="","",SUMIFS(OPERATING_COEFFS!$C:$C,OPERATING_COEFFS!$A:$A,"UrgencyClass",OPERATING_COEFFS!$B:$B,$AK842))</f>
        <v/>
      </c>
      <c r="AN842" t="str">
        <f>IF($AM842="","",INDEX(TAX_MODES!$B:$B,MATCH($AM842,TAX_MODES!$A:$A,0)))</f>
        <v/>
      </c>
    </row>
    <row r="843" spans="24:40" x14ac:dyDescent="0.3">
      <c r="X843" s="13"/>
      <c r="Y843" s="13" t="str">
        <f>IF($X843="","",SUMIFS(TARIFF_PROFILES!$D:$D,TARIFF_PROFILES!$A:$A,$X843))</f>
        <v/>
      </c>
      <c r="Z843" s="13" t="str">
        <f>IF($X843="","",SUMIFS(TARIFF_PROFILES!$E:$E,TARIFF_PROFILES!$A:$A,$X843))</f>
        <v/>
      </c>
      <c r="AA843" s="13" t="str">
        <f>IF($X843="","",SUMIFS(TARIFF_PROFILES!$F:$F,TARIFF_PROFILES!$A:$A,$X843))</f>
        <v/>
      </c>
      <c r="AB843" s="13" t="str">
        <f>IF($X843="","",SUMIFS(TARIFF_PROFILES!$G:$G,TARIFF_PROFILES!$A:$A,$X843))</f>
        <v/>
      </c>
      <c r="AC843" s="13" t="str">
        <f>IF($X843="","",SUMIFS(TARIFF_PROFILES!$H:$H,TARIFF_PROFILES!$A:$A,$X843))</f>
        <v/>
      </c>
      <c r="AD843" s="13" t="str">
        <f>IF($X843="","",INDEX(TARIFF_PROFILES!$J:$J,MATCH($X843,TARIFF_PROFILES!$A:$A,0)))</f>
        <v/>
      </c>
      <c r="AE843" s="13" t="str">
        <f>IF($X843="","",INDEX(TARIFF_PROFILES!$K:$K,MATCH($X843,TARIFF_PROFILES!$A:$A,0)))</f>
        <v/>
      </c>
      <c r="AH843" t="str">
        <f>IF($AG843="","",SUMIFS(OPERATING_COEFFS!$C:$C,OPERATING_COEFFS!$A:$A,"DistanceClass",OPERATING_COEFFS!$B:$B,$AG843))</f>
        <v/>
      </c>
      <c r="AJ843" t="str">
        <f>IF($AI843="","",SUMIFS(OPERATING_COEFFS!$C:$C,OPERATING_COEFFS!$A:$A,"SeasonClass",OPERATING_COEFFS!$B:$B,$AI843))</f>
        <v/>
      </c>
      <c r="AL843" t="str">
        <f>IF($AK843="","",SUMIFS(OPERATING_COEFFS!$C:$C,OPERATING_COEFFS!$A:$A,"UrgencyClass",OPERATING_COEFFS!$B:$B,$AK843))</f>
        <v/>
      </c>
      <c r="AN843" t="str">
        <f>IF($AM843="","",INDEX(TAX_MODES!$B:$B,MATCH($AM843,TAX_MODES!$A:$A,0)))</f>
        <v/>
      </c>
    </row>
    <row r="844" spans="24:40" x14ac:dyDescent="0.3">
      <c r="X844" s="13"/>
      <c r="Y844" s="13" t="str">
        <f>IF($X844="","",SUMIFS(TARIFF_PROFILES!$D:$D,TARIFF_PROFILES!$A:$A,$X844))</f>
        <v/>
      </c>
      <c r="Z844" s="13" t="str">
        <f>IF($X844="","",SUMIFS(TARIFF_PROFILES!$E:$E,TARIFF_PROFILES!$A:$A,$X844))</f>
        <v/>
      </c>
      <c r="AA844" s="13" t="str">
        <f>IF($X844="","",SUMIFS(TARIFF_PROFILES!$F:$F,TARIFF_PROFILES!$A:$A,$X844))</f>
        <v/>
      </c>
      <c r="AB844" s="13" t="str">
        <f>IF($X844="","",SUMIFS(TARIFF_PROFILES!$G:$G,TARIFF_PROFILES!$A:$A,$X844))</f>
        <v/>
      </c>
      <c r="AC844" s="13" t="str">
        <f>IF($X844="","",SUMIFS(TARIFF_PROFILES!$H:$H,TARIFF_PROFILES!$A:$A,$X844))</f>
        <v/>
      </c>
      <c r="AD844" s="13" t="str">
        <f>IF($X844="","",INDEX(TARIFF_PROFILES!$J:$J,MATCH($X844,TARIFF_PROFILES!$A:$A,0)))</f>
        <v/>
      </c>
      <c r="AE844" s="13" t="str">
        <f>IF($X844="","",INDEX(TARIFF_PROFILES!$K:$K,MATCH($X844,TARIFF_PROFILES!$A:$A,0)))</f>
        <v/>
      </c>
      <c r="AH844" t="str">
        <f>IF($AG844="","",SUMIFS(OPERATING_COEFFS!$C:$C,OPERATING_COEFFS!$A:$A,"DistanceClass",OPERATING_COEFFS!$B:$B,$AG844))</f>
        <v/>
      </c>
      <c r="AJ844" t="str">
        <f>IF($AI844="","",SUMIFS(OPERATING_COEFFS!$C:$C,OPERATING_COEFFS!$A:$A,"SeasonClass",OPERATING_COEFFS!$B:$B,$AI844))</f>
        <v/>
      </c>
      <c r="AL844" t="str">
        <f>IF($AK844="","",SUMIFS(OPERATING_COEFFS!$C:$C,OPERATING_COEFFS!$A:$A,"UrgencyClass",OPERATING_COEFFS!$B:$B,$AK844))</f>
        <v/>
      </c>
      <c r="AN844" t="str">
        <f>IF($AM844="","",INDEX(TAX_MODES!$B:$B,MATCH($AM844,TAX_MODES!$A:$A,0)))</f>
        <v/>
      </c>
    </row>
    <row r="845" spans="24:40" x14ac:dyDescent="0.3">
      <c r="X845" s="13"/>
      <c r="Y845" s="13" t="str">
        <f>IF($X845="","",SUMIFS(TARIFF_PROFILES!$D:$D,TARIFF_PROFILES!$A:$A,$X845))</f>
        <v/>
      </c>
      <c r="Z845" s="13" t="str">
        <f>IF($X845="","",SUMIFS(TARIFF_PROFILES!$E:$E,TARIFF_PROFILES!$A:$A,$X845))</f>
        <v/>
      </c>
      <c r="AA845" s="13" t="str">
        <f>IF($X845="","",SUMIFS(TARIFF_PROFILES!$F:$F,TARIFF_PROFILES!$A:$A,$X845))</f>
        <v/>
      </c>
      <c r="AB845" s="13" t="str">
        <f>IF($X845="","",SUMIFS(TARIFF_PROFILES!$G:$G,TARIFF_PROFILES!$A:$A,$X845))</f>
        <v/>
      </c>
      <c r="AC845" s="13" t="str">
        <f>IF($X845="","",SUMIFS(TARIFF_PROFILES!$H:$H,TARIFF_PROFILES!$A:$A,$X845))</f>
        <v/>
      </c>
      <c r="AD845" s="13" t="str">
        <f>IF($X845="","",INDEX(TARIFF_PROFILES!$J:$J,MATCH($X845,TARIFF_PROFILES!$A:$A,0)))</f>
        <v/>
      </c>
      <c r="AE845" s="13" t="str">
        <f>IF($X845="","",INDEX(TARIFF_PROFILES!$K:$K,MATCH($X845,TARIFF_PROFILES!$A:$A,0)))</f>
        <v/>
      </c>
      <c r="AH845" t="str">
        <f>IF($AG845="","",SUMIFS(OPERATING_COEFFS!$C:$C,OPERATING_COEFFS!$A:$A,"DistanceClass",OPERATING_COEFFS!$B:$B,$AG845))</f>
        <v/>
      </c>
      <c r="AJ845" t="str">
        <f>IF($AI845="","",SUMIFS(OPERATING_COEFFS!$C:$C,OPERATING_COEFFS!$A:$A,"SeasonClass",OPERATING_COEFFS!$B:$B,$AI845))</f>
        <v/>
      </c>
      <c r="AL845" t="str">
        <f>IF($AK845="","",SUMIFS(OPERATING_COEFFS!$C:$C,OPERATING_COEFFS!$A:$A,"UrgencyClass",OPERATING_COEFFS!$B:$B,$AK845))</f>
        <v/>
      </c>
      <c r="AN845" t="str">
        <f>IF($AM845="","",INDEX(TAX_MODES!$B:$B,MATCH($AM845,TAX_MODES!$A:$A,0)))</f>
        <v/>
      </c>
    </row>
    <row r="846" spans="24:40" x14ac:dyDescent="0.3">
      <c r="X846" s="13"/>
      <c r="Y846" s="13" t="str">
        <f>IF($X846="","",SUMIFS(TARIFF_PROFILES!$D:$D,TARIFF_PROFILES!$A:$A,$X846))</f>
        <v/>
      </c>
      <c r="Z846" s="13" t="str">
        <f>IF($X846="","",SUMIFS(TARIFF_PROFILES!$E:$E,TARIFF_PROFILES!$A:$A,$X846))</f>
        <v/>
      </c>
      <c r="AA846" s="13" t="str">
        <f>IF($X846="","",SUMIFS(TARIFF_PROFILES!$F:$F,TARIFF_PROFILES!$A:$A,$X846))</f>
        <v/>
      </c>
      <c r="AB846" s="13" t="str">
        <f>IF($X846="","",SUMIFS(TARIFF_PROFILES!$G:$G,TARIFF_PROFILES!$A:$A,$X846))</f>
        <v/>
      </c>
      <c r="AC846" s="13" t="str">
        <f>IF($X846="","",SUMIFS(TARIFF_PROFILES!$H:$H,TARIFF_PROFILES!$A:$A,$X846))</f>
        <v/>
      </c>
      <c r="AD846" s="13" t="str">
        <f>IF($X846="","",INDEX(TARIFF_PROFILES!$J:$J,MATCH($X846,TARIFF_PROFILES!$A:$A,0)))</f>
        <v/>
      </c>
      <c r="AE846" s="13" t="str">
        <f>IF($X846="","",INDEX(TARIFF_PROFILES!$K:$K,MATCH($X846,TARIFF_PROFILES!$A:$A,0)))</f>
        <v/>
      </c>
      <c r="AH846" t="str">
        <f>IF($AG846="","",SUMIFS(OPERATING_COEFFS!$C:$C,OPERATING_COEFFS!$A:$A,"DistanceClass",OPERATING_COEFFS!$B:$B,$AG846))</f>
        <v/>
      </c>
      <c r="AJ846" t="str">
        <f>IF($AI846="","",SUMIFS(OPERATING_COEFFS!$C:$C,OPERATING_COEFFS!$A:$A,"SeasonClass",OPERATING_COEFFS!$B:$B,$AI846))</f>
        <v/>
      </c>
      <c r="AL846" t="str">
        <f>IF($AK846="","",SUMIFS(OPERATING_COEFFS!$C:$C,OPERATING_COEFFS!$A:$A,"UrgencyClass",OPERATING_COEFFS!$B:$B,$AK846))</f>
        <v/>
      </c>
      <c r="AN846" t="str">
        <f>IF($AM846="","",INDEX(TAX_MODES!$B:$B,MATCH($AM846,TAX_MODES!$A:$A,0)))</f>
        <v/>
      </c>
    </row>
    <row r="847" spans="24:40" x14ac:dyDescent="0.3">
      <c r="X847" s="13"/>
      <c r="Y847" s="13" t="str">
        <f>IF($X847="","",SUMIFS(TARIFF_PROFILES!$D:$D,TARIFF_PROFILES!$A:$A,$X847))</f>
        <v/>
      </c>
      <c r="Z847" s="13" t="str">
        <f>IF($X847="","",SUMIFS(TARIFF_PROFILES!$E:$E,TARIFF_PROFILES!$A:$A,$X847))</f>
        <v/>
      </c>
      <c r="AA847" s="13" t="str">
        <f>IF($X847="","",SUMIFS(TARIFF_PROFILES!$F:$F,TARIFF_PROFILES!$A:$A,$X847))</f>
        <v/>
      </c>
      <c r="AB847" s="13" t="str">
        <f>IF($X847="","",SUMIFS(TARIFF_PROFILES!$G:$G,TARIFF_PROFILES!$A:$A,$X847))</f>
        <v/>
      </c>
      <c r="AC847" s="13" t="str">
        <f>IF($X847="","",SUMIFS(TARIFF_PROFILES!$H:$H,TARIFF_PROFILES!$A:$A,$X847))</f>
        <v/>
      </c>
      <c r="AD847" s="13" t="str">
        <f>IF($X847="","",INDEX(TARIFF_PROFILES!$J:$J,MATCH($X847,TARIFF_PROFILES!$A:$A,0)))</f>
        <v/>
      </c>
      <c r="AE847" s="13" t="str">
        <f>IF($X847="","",INDEX(TARIFF_PROFILES!$K:$K,MATCH($X847,TARIFF_PROFILES!$A:$A,0)))</f>
        <v/>
      </c>
      <c r="AH847" t="str">
        <f>IF($AG847="","",SUMIFS(OPERATING_COEFFS!$C:$C,OPERATING_COEFFS!$A:$A,"DistanceClass",OPERATING_COEFFS!$B:$B,$AG847))</f>
        <v/>
      </c>
      <c r="AJ847" t="str">
        <f>IF($AI847="","",SUMIFS(OPERATING_COEFFS!$C:$C,OPERATING_COEFFS!$A:$A,"SeasonClass",OPERATING_COEFFS!$B:$B,$AI847))</f>
        <v/>
      </c>
      <c r="AL847" t="str">
        <f>IF($AK847="","",SUMIFS(OPERATING_COEFFS!$C:$C,OPERATING_COEFFS!$A:$A,"UrgencyClass",OPERATING_COEFFS!$B:$B,$AK847))</f>
        <v/>
      </c>
      <c r="AN847" t="str">
        <f>IF($AM847="","",INDEX(TAX_MODES!$B:$B,MATCH($AM847,TAX_MODES!$A:$A,0)))</f>
        <v/>
      </c>
    </row>
    <row r="848" spans="24:40" x14ac:dyDescent="0.3">
      <c r="X848" s="13"/>
      <c r="Y848" s="13" t="str">
        <f>IF($X848="","",SUMIFS(TARIFF_PROFILES!$D:$D,TARIFF_PROFILES!$A:$A,$X848))</f>
        <v/>
      </c>
      <c r="Z848" s="13" t="str">
        <f>IF($X848="","",SUMIFS(TARIFF_PROFILES!$E:$E,TARIFF_PROFILES!$A:$A,$X848))</f>
        <v/>
      </c>
      <c r="AA848" s="13" t="str">
        <f>IF($X848="","",SUMIFS(TARIFF_PROFILES!$F:$F,TARIFF_PROFILES!$A:$A,$X848))</f>
        <v/>
      </c>
      <c r="AB848" s="13" t="str">
        <f>IF($X848="","",SUMIFS(TARIFF_PROFILES!$G:$G,TARIFF_PROFILES!$A:$A,$X848))</f>
        <v/>
      </c>
      <c r="AC848" s="13" t="str">
        <f>IF($X848="","",SUMIFS(TARIFF_PROFILES!$H:$H,TARIFF_PROFILES!$A:$A,$X848))</f>
        <v/>
      </c>
      <c r="AD848" s="13" t="str">
        <f>IF($X848="","",INDEX(TARIFF_PROFILES!$J:$J,MATCH($X848,TARIFF_PROFILES!$A:$A,0)))</f>
        <v/>
      </c>
      <c r="AE848" s="13" t="str">
        <f>IF($X848="","",INDEX(TARIFF_PROFILES!$K:$K,MATCH($X848,TARIFF_PROFILES!$A:$A,0)))</f>
        <v/>
      </c>
      <c r="AH848" t="str">
        <f>IF($AG848="","",SUMIFS(OPERATING_COEFFS!$C:$C,OPERATING_COEFFS!$A:$A,"DistanceClass",OPERATING_COEFFS!$B:$B,$AG848))</f>
        <v/>
      </c>
      <c r="AJ848" t="str">
        <f>IF($AI848="","",SUMIFS(OPERATING_COEFFS!$C:$C,OPERATING_COEFFS!$A:$A,"SeasonClass",OPERATING_COEFFS!$B:$B,$AI848))</f>
        <v/>
      </c>
      <c r="AL848" t="str">
        <f>IF($AK848="","",SUMIFS(OPERATING_COEFFS!$C:$C,OPERATING_COEFFS!$A:$A,"UrgencyClass",OPERATING_COEFFS!$B:$B,$AK848))</f>
        <v/>
      </c>
      <c r="AN848" t="str">
        <f>IF($AM848="","",INDEX(TAX_MODES!$B:$B,MATCH($AM848,TAX_MODES!$A:$A,0)))</f>
        <v/>
      </c>
    </row>
    <row r="849" spans="24:40" x14ac:dyDescent="0.3">
      <c r="X849" s="13"/>
      <c r="Y849" s="13" t="str">
        <f>IF($X849="","",SUMIFS(TARIFF_PROFILES!$D:$D,TARIFF_PROFILES!$A:$A,$X849))</f>
        <v/>
      </c>
      <c r="Z849" s="13" t="str">
        <f>IF($X849="","",SUMIFS(TARIFF_PROFILES!$E:$E,TARIFF_PROFILES!$A:$A,$X849))</f>
        <v/>
      </c>
      <c r="AA849" s="13" t="str">
        <f>IF($X849="","",SUMIFS(TARIFF_PROFILES!$F:$F,TARIFF_PROFILES!$A:$A,$X849))</f>
        <v/>
      </c>
      <c r="AB849" s="13" t="str">
        <f>IF($X849="","",SUMIFS(TARIFF_PROFILES!$G:$G,TARIFF_PROFILES!$A:$A,$X849))</f>
        <v/>
      </c>
      <c r="AC849" s="13" t="str">
        <f>IF($X849="","",SUMIFS(TARIFF_PROFILES!$H:$H,TARIFF_PROFILES!$A:$A,$X849))</f>
        <v/>
      </c>
      <c r="AD849" s="13" t="str">
        <f>IF($X849="","",INDEX(TARIFF_PROFILES!$J:$J,MATCH($X849,TARIFF_PROFILES!$A:$A,0)))</f>
        <v/>
      </c>
      <c r="AE849" s="13" t="str">
        <f>IF($X849="","",INDEX(TARIFF_PROFILES!$K:$K,MATCH($X849,TARIFF_PROFILES!$A:$A,0)))</f>
        <v/>
      </c>
      <c r="AH849" t="str">
        <f>IF($AG849="","",SUMIFS(OPERATING_COEFFS!$C:$C,OPERATING_COEFFS!$A:$A,"DistanceClass",OPERATING_COEFFS!$B:$B,$AG849))</f>
        <v/>
      </c>
      <c r="AJ849" t="str">
        <f>IF($AI849="","",SUMIFS(OPERATING_COEFFS!$C:$C,OPERATING_COEFFS!$A:$A,"SeasonClass",OPERATING_COEFFS!$B:$B,$AI849))</f>
        <v/>
      </c>
      <c r="AL849" t="str">
        <f>IF($AK849="","",SUMIFS(OPERATING_COEFFS!$C:$C,OPERATING_COEFFS!$A:$A,"UrgencyClass",OPERATING_COEFFS!$B:$B,$AK849))</f>
        <v/>
      </c>
      <c r="AN849" t="str">
        <f>IF($AM849="","",INDEX(TAX_MODES!$B:$B,MATCH($AM849,TAX_MODES!$A:$A,0)))</f>
        <v/>
      </c>
    </row>
    <row r="850" spans="24:40" x14ac:dyDescent="0.3">
      <c r="X850" s="13"/>
      <c r="Y850" s="13" t="str">
        <f>IF($X850="","",SUMIFS(TARIFF_PROFILES!$D:$D,TARIFF_PROFILES!$A:$A,$X850))</f>
        <v/>
      </c>
      <c r="Z850" s="13" t="str">
        <f>IF($X850="","",SUMIFS(TARIFF_PROFILES!$E:$E,TARIFF_PROFILES!$A:$A,$X850))</f>
        <v/>
      </c>
      <c r="AA850" s="13" t="str">
        <f>IF($X850="","",SUMIFS(TARIFF_PROFILES!$F:$F,TARIFF_PROFILES!$A:$A,$X850))</f>
        <v/>
      </c>
      <c r="AB850" s="13" t="str">
        <f>IF($X850="","",SUMIFS(TARIFF_PROFILES!$G:$G,TARIFF_PROFILES!$A:$A,$X850))</f>
        <v/>
      </c>
      <c r="AC850" s="13" t="str">
        <f>IF($X850="","",SUMIFS(TARIFF_PROFILES!$H:$H,TARIFF_PROFILES!$A:$A,$X850))</f>
        <v/>
      </c>
      <c r="AD850" s="13" t="str">
        <f>IF($X850="","",INDEX(TARIFF_PROFILES!$J:$J,MATCH($X850,TARIFF_PROFILES!$A:$A,0)))</f>
        <v/>
      </c>
      <c r="AE850" s="13" t="str">
        <f>IF($X850="","",INDEX(TARIFF_PROFILES!$K:$K,MATCH($X850,TARIFF_PROFILES!$A:$A,0)))</f>
        <v/>
      </c>
      <c r="AH850" t="str">
        <f>IF($AG850="","",SUMIFS(OPERATING_COEFFS!$C:$C,OPERATING_COEFFS!$A:$A,"DistanceClass",OPERATING_COEFFS!$B:$B,$AG850))</f>
        <v/>
      </c>
      <c r="AJ850" t="str">
        <f>IF($AI850="","",SUMIFS(OPERATING_COEFFS!$C:$C,OPERATING_COEFFS!$A:$A,"SeasonClass",OPERATING_COEFFS!$B:$B,$AI850))</f>
        <v/>
      </c>
      <c r="AL850" t="str">
        <f>IF($AK850="","",SUMIFS(OPERATING_COEFFS!$C:$C,OPERATING_COEFFS!$A:$A,"UrgencyClass",OPERATING_COEFFS!$B:$B,$AK850))</f>
        <v/>
      </c>
      <c r="AN850" t="str">
        <f>IF($AM850="","",INDEX(TAX_MODES!$B:$B,MATCH($AM850,TAX_MODES!$A:$A,0)))</f>
        <v/>
      </c>
    </row>
    <row r="851" spans="24:40" x14ac:dyDescent="0.3">
      <c r="X851" s="13"/>
      <c r="Y851" s="13" t="str">
        <f>IF($X851="","",SUMIFS(TARIFF_PROFILES!$D:$D,TARIFF_PROFILES!$A:$A,$X851))</f>
        <v/>
      </c>
      <c r="Z851" s="13" t="str">
        <f>IF($X851="","",SUMIFS(TARIFF_PROFILES!$E:$E,TARIFF_PROFILES!$A:$A,$X851))</f>
        <v/>
      </c>
      <c r="AA851" s="13" t="str">
        <f>IF($X851="","",SUMIFS(TARIFF_PROFILES!$F:$F,TARIFF_PROFILES!$A:$A,$X851))</f>
        <v/>
      </c>
      <c r="AB851" s="13" t="str">
        <f>IF($X851="","",SUMIFS(TARIFF_PROFILES!$G:$G,TARIFF_PROFILES!$A:$A,$X851))</f>
        <v/>
      </c>
      <c r="AC851" s="13" t="str">
        <f>IF($X851="","",SUMIFS(TARIFF_PROFILES!$H:$H,TARIFF_PROFILES!$A:$A,$X851))</f>
        <v/>
      </c>
      <c r="AD851" s="13" t="str">
        <f>IF($X851="","",INDEX(TARIFF_PROFILES!$J:$J,MATCH($X851,TARIFF_PROFILES!$A:$A,0)))</f>
        <v/>
      </c>
      <c r="AE851" s="13" t="str">
        <f>IF($X851="","",INDEX(TARIFF_PROFILES!$K:$K,MATCH($X851,TARIFF_PROFILES!$A:$A,0)))</f>
        <v/>
      </c>
      <c r="AH851" t="str">
        <f>IF($AG851="","",SUMIFS(OPERATING_COEFFS!$C:$C,OPERATING_COEFFS!$A:$A,"DistanceClass",OPERATING_COEFFS!$B:$B,$AG851))</f>
        <v/>
      </c>
      <c r="AJ851" t="str">
        <f>IF($AI851="","",SUMIFS(OPERATING_COEFFS!$C:$C,OPERATING_COEFFS!$A:$A,"SeasonClass",OPERATING_COEFFS!$B:$B,$AI851))</f>
        <v/>
      </c>
      <c r="AL851" t="str">
        <f>IF($AK851="","",SUMIFS(OPERATING_COEFFS!$C:$C,OPERATING_COEFFS!$A:$A,"UrgencyClass",OPERATING_COEFFS!$B:$B,$AK851))</f>
        <v/>
      </c>
      <c r="AN851" t="str">
        <f>IF($AM851="","",INDEX(TAX_MODES!$B:$B,MATCH($AM851,TAX_MODES!$A:$A,0)))</f>
        <v/>
      </c>
    </row>
    <row r="852" spans="24:40" x14ac:dyDescent="0.3">
      <c r="X852" s="13"/>
      <c r="Y852" s="13" t="str">
        <f>IF($X852="","",SUMIFS(TARIFF_PROFILES!$D:$D,TARIFF_PROFILES!$A:$A,$X852))</f>
        <v/>
      </c>
      <c r="Z852" s="13" t="str">
        <f>IF($X852="","",SUMIFS(TARIFF_PROFILES!$E:$E,TARIFF_PROFILES!$A:$A,$X852))</f>
        <v/>
      </c>
      <c r="AA852" s="13" t="str">
        <f>IF($X852="","",SUMIFS(TARIFF_PROFILES!$F:$F,TARIFF_PROFILES!$A:$A,$X852))</f>
        <v/>
      </c>
      <c r="AB852" s="13" t="str">
        <f>IF($X852="","",SUMIFS(TARIFF_PROFILES!$G:$G,TARIFF_PROFILES!$A:$A,$X852))</f>
        <v/>
      </c>
      <c r="AC852" s="13" t="str">
        <f>IF($X852="","",SUMIFS(TARIFF_PROFILES!$H:$H,TARIFF_PROFILES!$A:$A,$X852))</f>
        <v/>
      </c>
      <c r="AD852" s="13" t="str">
        <f>IF($X852="","",INDEX(TARIFF_PROFILES!$J:$J,MATCH($X852,TARIFF_PROFILES!$A:$A,0)))</f>
        <v/>
      </c>
      <c r="AE852" s="13" t="str">
        <f>IF($X852="","",INDEX(TARIFF_PROFILES!$K:$K,MATCH($X852,TARIFF_PROFILES!$A:$A,0)))</f>
        <v/>
      </c>
      <c r="AH852" t="str">
        <f>IF($AG852="","",SUMIFS(OPERATING_COEFFS!$C:$C,OPERATING_COEFFS!$A:$A,"DistanceClass",OPERATING_COEFFS!$B:$B,$AG852))</f>
        <v/>
      </c>
      <c r="AJ852" t="str">
        <f>IF($AI852="","",SUMIFS(OPERATING_COEFFS!$C:$C,OPERATING_COEFFS!$A:$A,"SeasonClass",OPERATING_COEFFS!$B:$B,$AI852))</f>
        <v/>
      </c>
      <c r="AL852" t="str">
        <f>IF($AK852="","",SUMIFS(OPERATING_COEFFS!$C:$C,OPERATING_COEFFS!$A:$A,"UrgencyClass",OPERATING_COEFFS!$B:$B,$AK852))</f>
        <v/>
      </c>
      <c r="AN852" t="str">
        <f>IF($AM852="","",INDEX(TAX_MODES!$B:$B,MATCH($AM852,TAX_MODES!$A:$A,0)))</f>
        <v/>
      </c>
    </row>
    <row r="853" spans="24:40" x14ac:dyDescent="0.3">
      <c r="X853" s="13"/>
      <c r="Y853" s="13" t="str">
        <f>IF($X853="","",SUMIFS(TARIFF_PROFILES!$D:$D,TARIFF_PROFILES!$A:$A,$X853))</f>
        <v/>
      </c>
      <c r="Z853" s="13" t="str">
        <f>IF($X853="","",SUMIFS(TARIFF_PROFILES!$E:$E,TARIFF_PROFILES!$A:$A,$X853))</f>
        <v/>
      </c>
      <c r="AA853" s="13" t="str">
        <f>IF($X853="","",SUMIFS(TARIFF_PROFILES!$F:$F,TARIFF_PROFILES!$A:$A,$X853))</f>
        <v/>
      </c>
      <c r="AB853" s="13" t="str">
        <f>IF($X853="","",SUMIFS(TARIFF_PROFILES!$G:$G,TARIFF_PROFILES!$A:$A,$X853))</f>
        <v/>
      </c>
      <c r="AC853" s="13" t="str">
        <f>IF($X853="","",SUMIFS(TARIFF_PROFILES!$H:$H,TARIFF_PROFILES!$A:$A,$X853))</f>
        <v/>
      </c>
      <c r="AD853" s="13" t="str">
        <f>IF($X853="","",INDEX(TARIFF_PROFILES!$J:$J,MATCH($X853,TARIFF_PROFILES!$A:$A,0)))</f>
        <v/>
      </c>
      <c r="AE853" s="13" t="str">
        <f>IF($X853="","",INDEX(TARIFF_PROFILES!$K:$K,MATCH($X853,TARIFF_PROFILES!$A:$A,0)))</f>
        <v/>
      </c>
      <c r="AH853" t="str">
        <f>IF($AG853="","",SUMIFS(OPERATING_COEFFS!$C:$C,OPERATING_COEFFS!$A:$A,"DistanceClass",OPERATING_COEFFS!$B:$B,$AG853))</f>
        <v/>
      </c>
      <c r="AJ853" t="str">
        <f>IF($AI853="","",SUMIFS(OPERATING_COEFFS!$C:$C,OPERATING_COEFFS!$A:$A,"SeasonClass",OPERATING_COEFFS!$B:$B,$AI853))</f>
        <v/>
      </c>
      <c r="AL853" t="str">
        <f>IF($AK853="","",SUMIFS(OPERATING_COEFFS!$C:$C,OPERATING_COEFFS!$A:$A,"UrgencyClass",OPERATING_COEFFS!$B:$B,$AK853))</f>
        <v/>
      </c>
      <c r="AN853" t="str">
        <f>IF($AM853="","",INDEX(TAX_MODES!$B:$B,MATCH($AM853,TAX_MODES!$A:$A,0)))</f>
        <v/>
      </c>
    </row>
    <row r="854" spans="24:40" x14ac:dyDescent="0.3">
      <c r="X854" s="13"/>
      <c r="Y854" s="13" t="str">
        <f>IF($X854="","",SUMIFS(TARIFF_PROFILES!$D:$D,TARIFF_PROFILES!$A:$A,$X854))</f>
        <v/>
      </c>
      <c r="Z854" s="13" t="str">
        <f>IF($X854="","",SUMIFS(TARIFF_PROFILES!$E:$E,TARIFF_PROFILES!$A:$A,$X854))</f>
        <v/>
      </c>
      <c r="AA854" s="13" t="str">
        <f>IF($X854="","",SUMIFS(TARIFF_PROFILES!$F:$F,TARIFF_PROFILES!$A:$A,$X854))</f>
        <v/>
      </c>
      <c r="AB854" s="13" t="str">
        <f>IF($X854="","",SUMIFS(TARIFF_PROFILES!$G:$G,TARIFF_PROFILES!$A:$A,$X854))</f>
        <v/>
      </c>
      <c r="AC854" s="13" t="str">
        <f>IF($X854="","",SUMIFS(TARIFF_PROFILES!$H:$H,TARIFF_PROFILES!$A:$A,$X854))</f>
        <v/>
      </c>
      <c r="AD854" s="13" t="str">
        <f>IF($X854="","",INDEX(TARIFF_PROFILES!$J:$J,MATCH($X854,TARIFF_PROFILES!$A:$A,0)))</f>
        <v/>
      </c>
      <c r="AE854" s="13" t="str">
        <f>IF($X854="","",INDEX(TARIFF_PROFILES!$K:$K,MATCH($X854,TARIFF_PROFILES!$A:$A,0)))</f>
        <v/>
      </c>
      <c r="AH854" t="str">
        <f>IF($AG854="","",SUMIFS(OPERATING_COEFFS!$C:$C,OPERATING_COEFFS!$A:$A,"DistanceClass",OPERATING_COEFFS!$B:$B,$AG854))</f>
        <v/>
      </c>
      <c r="AJ854" t="str">
        <f>IF($AI854="","",SUMIFS(OPERATING_COEFFS!$C:$C,OPERATING_COEFFS!$A:$A,"SeasonClass",OPERATING_COEFFS!$B:$B,$AI854))</f>
        <v/>
      </c>
      <c r="AL854" t="str">
        <f>IF($AK854="","",SUMIFS(OPERATING_COEFFS!$C:$C,OPERATING_COEFFS!$A:$A,"UrgencyClass",OPERATING_COEFFS!$B:$B,$AK854))</f>
        <v/>
      </c>
      <c r="AN854" t="str">
        <f>IF($AM854="","",INDEX(TAX_MODES!$B:$B,MATCH($AM854,TAX_MODES!$A:$A,0)))</f>
        <v/>
      </c>
    </row>
    <row r="855" spans="24:40" x14ac:dyDescent="0.3">
      <c r="X855" s="13"/>
      <c r="Y855" s="13" t="str">
        <f>IF($X855="","",SUMIFS(TARIFF_PROFILES!$D:$D,TARIFF_PROFILES!$A:$A,$X855))</f>
        <v/>
      </c>
      <c r="Z855" s="13" t="str">
        <f>IF($X855="","",SUMIFS(TARIFF_PROFILES!$E:$E,TARIFF_PROFILES!$A:$A,$X855))</f>
        <v/>
      </c>
      <c r="AA855" s="13" t="str">
        <f>IF($X855="","",SUMIFS(TARIFF_PROFILES!$F:$F,TARIFF_PROFILES!$A:$A,$X855))</f>
        <v/>
      </c>
      <c r="AB855" s="13" t="str">
        <f>IF($X855="","",SUMIFS(TARIFF_PROFILES!$G:$G,TARIFF_PROFILES!$A:$A,$X855))</f>
        <v/>
      </c>
      <c r="AC855" s="13" t="str">
        <f>IF($X855="","",SUMIFS(TARIFF_PROFILES!$H:$H,TARIFF_PROFILES!$A:$A,$X855))</f>
        <v/>
      </c>
      <c r="AD855" s="13" t="str">
        <f>IF($X855="","",INDEX(TARIFF_PROFILES!$J:$J,MATCH($X855,TARIFF_PROFILES!$A:$A,0)))</f>
        <v/>
      </c>
      <c r="AE855" s="13" t="str">
        <f>IF($X855="","",INDEX(TARIFF_PROFILES!$K:$K,MATCH($X855,TARIFF_PROFILES!$A:$A,0)))</f>
        <v/>
      </c>
      <c r="AH855" t="str">
        <f>IF($AG855="","",SUMIFS(OPERATING_COEFFS!$C:$C,OPERATING_COEFFS!$A:$A,"DistanceClass",OPERATING_COEFFS!$B:$B,$AG855))</f>
        <v/>
      </c>
      <c r="AJ855" t="str">
        <f>IF($AI855="","",SUMIFS(OPERATING_COEFFS!$C:$C,OPERATING_COEFFS!$A:$A,"SeasonClass",OPERATING_COEFFS!$B:$B,$AI855))</f>
        <v/>
      </c>
      <c r="AL855" t="str">
        <f>IF($AK855="","",SUMIFS(OPERATING_COEFFS!$C:$C,OPERATING_COEFFS!$A:$A,"UrgencyClass",OPERATING_COEFFS!$B:$B,$AK855))</f>
        <v/>
      </c>
      <c r="AN855" t="str">
        <f>IF($AM855="","",INDEX(TAX_MODES!$B:$B,MATCH($AM855,TAX_MODES!$A:$A,0)))</f>
        <v/>
      </c>
    </row>
    <row r="856" spans="24:40" x14ac:dyDescent="0.3">
      <c r="X856" s="13"/>
      <c r="Y856" s="13" t="str">
        <f>IF($X856="","",SUMIFS(TARIFF_PROFILES!$D:$D,TARIFF_PROFILES!$A:$A,$X856))</f>
        <v/>
      </c>
      <c r="Z856" s="13" t="str">
        <f>IF($X856="","",SUMIFS(TARIFF_PROFILES!$E:$E,TARIFF_PROFILES!$A:$A,$X856))</f>
        <v/>
      </c>
      <c r="AA856" s="13" t="str">
        <f>IF($X856="","",SUMIFS(TARIFF_PROFILES!$F:$F,TARIFF_PROFILES!$A:$A,$X856))</f>
        <v/>
      </c>
      <c r="AB856" s="13" t="str">
        <f>IF($X856="","",SUMIFS(TARIFF_PROFILES!$G:$G,TARIFF_PROFILES!$A:$A,$X856))</f>
        <v/>
      </c>
      <c r="AC856" s="13" t="str">
        <f>IF($X856="","",SUMIFS(TARIFF_PROFILES!$H:$H,TARIFF_PROFILES!$A:$A,$X856))</f>
        <v/>
      </c>
      <c r="AD856" s="13" t="str">
        <f>IF($X856="","",INDEX(TARIFF_PROFILES!$J:$J,MATCH($X856,TARIFF_PROFILES!$A:$A,0)))</f>
        <v/>
      </c>
      <c r="AE856" s="13" t="str">
        <f>IF($X856="","",INDEX(TARIFF_PROFILES!$K:$K,MATCH($X856,TARIFF_PROFILES!$A:$A,0)))</f>
        <v/>
      </c>
      <c r="AH856" t="str">
        <f>IF($AG856="","",SUMIFS(OPERATING_COEFFS!$C:$C,OPERATING_COEFFS!$A:$A,"DistanceClass",OPERATING_COEFFS!$B:$B,$AG856))</f>
        <v/>
      </c>
      <c r="AJ856" t="str">
        <f>IF($AI856="","",SUMIFS(OPERATING_COEFFS!$C:$C,OPERATING_COEFFS!$A:$A,"SeasonClass",OPERATING_COEFFS!$B:$B,$AI856))</f>
        <v/>
      </c>
      <c r="AL856" t="str">
        <f>IF($AK856="","",SUMIFS(OPERATING_COEFFS!$C:$C,OPERATING_COEFFS!$A:$A,"UrgencyClass",OPERATING_COEFFS!$B:$B,$AK856))</f>
        <v/>
      </c>
      <c r="AN856" t="str">
        <f>IF($AM856="","",INDEX(TAX_MODES!$B:$B,MATCH($AM856,TAX_MODES!$A:$A,0)))</f>
        <v/>
      </c>
    </row>
    <row r="857" spans="24:40" x14ac:dyDescent="0.3">
      <c r="X857" s="13"/>
      <c r="Y857" s="13" t="str">
        <f>IF($X857="","",SUMIFS(TARIFF_PROFILES!$D:$D,TARIFF_PROFILES!$A:$A,$X857))</f>
        <v/>
      </c>
      <c r="Z857" s="13" t="str">
        <f>IF($X857="","",SUMIFS(TARIFF_PROFILES!$E:$E,TARIFF_PROFILES!$A:$A,$X857))</f>
        <v/>
      </c>
      <c r="AA857" s="13" t="str">
        <f>IF($X857="","",SUMIFS(TARIFF_PROFILES!$F:$F,TARIFF_PROFILES!$A:$A,$X857))</f>
        <v/>
      </c>
      <c r="AB857" s="13" t="str">
        <f>IF($X857="","",SUMIFS(TARIFF_PROFILES!$G:$G,TARIFF_PROFILES!$A:$A,$X857))</f>
        <v/>
      </c>
      <c r="AC857" s="13" t="str">
        <f>IF($X857="","",SUMIFS(TARIFF_PROFILES!$H:$H,TARIFF_PROFILES!$A:$A,$X857))</f>
        <v/>
      </c>
      <c r="AD857" s="13" t="str">
        <f>IF($X857="","",INDEX(TARIFF_PROFILES!$J:$J,MATCH($X857,TARIFF_PROFILES!$A:$A,0)))</f>
        <v/>
      </c>
      <c r="AE857" s="13" t="str">
        <f>IF($X857="","",INDEX(TARIFF_PROFILES!$K:$K,MATCH($X857,TARIFF_PROFILES!$A:$A,0)))</f>
        <v/>
      </c>
      <c r="AH857" t="str">
        <f>IF($AG857="","",SUMIFS(OPERATING_COEFFS!$C:$C,OPERATING_COEFFS!$A:$A,"DistanceClass",OPERATING_COEFFS!$B:$B,$AG857))</f>
        <v/>
      </c>
      <c r="AJ857" t="str">
        <f>IF($AI857="","",SUMIFS(OPERATING_COEFFS!$C:$C,OPERATING_COEFFS!$A:$A,"SeasonClass",OPERATING_COEFFS!$B:$B,$AI857))</f>
        <v/>
      </c>
      <c r="AL857" t="str">
        <f>IF($AK857="","",SUMIFS(OPERATING_COEFFS!$C:$C,OPERATING_COEFFS!$A:$A,"UrgencyClass",OPERATING_COEFFS!$B:$B,$AK857))</f>
        <v/>
      </c>
      <c r="AN857" t="str">
        <f>IF($AM857="","",INDEX(TAX_MODES!$B:$B,MATCH($AM857,TAX_MODES!$A:$A,0)))</f>
        <v/>
      </c>
    </row>
    <row r="858" spans="24:40" x14ac:dyDescent="0.3">
      <c r="X858" s="13"/>
      <c r="Y858" s="13" t="str">
        <f>IF($X858="","",SUMIFS(TARIFF_PROFILES!$D:$D,TARIFF_PROFILES!$A:$A,$X858))</f>
        <v/>
      </c>
      <c r="Z858" s="13" t="str">
        <f>IF($X858="","",SUMIFS(TARIFF_PROFILES!$E:$E,TARIFF_PROFILES!$A:$A,$X858))</f>
        <v/>
      </c>
      <c r="AA858" s="13" t="str">
        <f>IF($X858="","",SUMIFS(TARIFF_PROFILES!$F:$F,TARIFF_PROFILES!$A:$A,$X858))</f>
        <v/>
      </c>
      <c r="AB858" s="13" t="str">
        <f>IF($X858="","",SUMIFS(TARIFF_PROFILES!$G:$G,TARIFF_PROFILES!$A:$A,$X858))</f>
        <v/>
      </c>
      <c r="AC858" s="13" t="str">
        <f>IF($X858="","",SUMIFS(TARIFF_PROFILES!$H:$H,TARIFF_PROFILES!$A:$A,$X858))</f>
        <v/>
      </c>
      <c r="AD858" s="13" t="str">
        <f>IF($X858="","",INDEX(TARIFF_PROFILES!$J:$J,MATCH($X858,TARIFF_PROFILES!$A:$A,0)))</f>
        <v/>
      </c>
      <c r="AE858" s="13" t="str">
        <f>IF($X858="","",INDEX(TARIFF_PROFILES!$K:$K,MATCH($X858,TARIFF_PROFILES!$A:$A,0)))</f>
        <v/>
      </c>
      <c r="AH858" t="str">
        <f>IF($AG858="","",SUMIFS(OPERATING_COEFFS!$C:$C,OPERATING_COEFFS!$A:$A,"DistanceClass",OPERATING_COEFFS!$B:$B,$AG858))</f>
        <v/>
      </c>
      <c r="AJ858" t="str">
        <f>IF($AI858="","",SUMIFS(OPERATING_COEFFS!$C:$C,OPERATING_COEFFS!$A:$A,"SeasonClass",OPERATING_COEFFS!$B:$B,$AI858))</f>
        <v/>
      </c>
      <c r="AL858" t="str">
        <f>IF($AK858="","",SUMIFS(OPERATING_COEFFS!$C:$C,OPERATING_COEFFS!$A:$A,"UrgencyClass",OPERATING_COEFFS!$B:$B,$AK858))</f>
        <v/>
      </c>
      <c r="AN858" t="str">
        <f>IF($AM858="","",INDEX(TAX_MODES!$B:$B,MATCH($AM858,TAX_MODES!$A:$A,0)))</f>
        <v/>
      </c>
    </row>
    <row r="859" spans="24:40" x14ac:dyDescent="0.3">
      <c r="X859" s="13"/>
      <c r="Y859" s="13" t="str">
        <f>IF($X859="","",SUMIFS(TARIFF_PROFILES!$D:$D,TARIFF_PROFILES!$A:$A,$X859))</f>
        <v/>
      </c>
      <c r="Z859" s="13" t="str">
        <f>IF($X859="","",SUMIFS(TARIFF_PROFILES!$E:$E,TARIFF_PROFILES!$A:$A,$X859))</f>
        <v/>
      </c>
      <c r="AA859" s="13" t="str">
        <f>IF($X859="","",SUMIFS(TARIFF_PROFILES!$F:$F,TARIFF_PROFILES!$A:$A,$X859))</f>
        <v/>
      </c>
      <c r="AB859" s="13" t="str">
        <f>IF($X859="","",SUMIFS(TARIFF_PROFILES!$G:$G,TARIFF_PROFILES!$A:$A,$X859))</f>
        <v/>
      </c>
      <c r="AC859" s="13" t="str">
        <f>IF($X859="","",SUMIFS(TARIFF_PROFILES!$H:$H,TARIFF_PROFILES!$A:$A,$X859))</f>
        <v/>
      </c>
      <c r="AD859" s="13" t="str">
        <f>IF($X859="","",INDEX(TARIFF_PROFILES!$J:$J,MATCH($X859,TARIFF_PROFILES!$A:$A,0)))</f>
        <v/>
      </c>
      <c r="AE859" s="13" t="str">
        <f>IF($X859="","",INDEX(TARIFF_PROFILES!$K:$K,MATCH($X859,TARIFF_PROFILES!$A:$A,0)))</f>
        <v/>
      </c>
      <c r="AH859" t="str">
        <f>IF($AG859="","",SUMIFS(OPERATING_COEFFS!$C:$C,OPERATING_COEFFS!$A:$A,"DistanceClass",OPERATING_COEFFS!$B:$B,$AG859))</f>
        <v/>
      </c>
      <c r="AJ859" t="str">
        <f>IF($AI859="","",SUMIFS(OPERATING_COEFFS!$C:$C,OPERATING_COEFFS!$A:$A,"SeasonClass",OPERATING_COEFFS!$B:$B,$AI859))</f>
        <v/>
      </c>
      <c r="AL859" t="str">
        <f>IF($AK859="","",SUMIFS(OPERATING_COEFFS!$C:$C,OPERATING_COEFFS!$A:$A,"UrgencyClass",OPERATING_COEFFS!$B:$B,$AK859))</f>
        <v/>
      </c>
      <c r="AN859" t="str">
        <f>IF($AM859="","",INDEX(TAX_MODES!$B:$B,MATCH($AM859,TAX_MODES!$A:$A,0)))</f>
        <v/>
      </c>
    </row>
    <row r="860" spans="24:40" x14ac:dyDescent="0.3">
      <c r="X860" s="13"/>
      <c r="Y860" s="13" t="str">
        <f>IF($X860="","",SUMIFS(TARIFF_PROFILES!$D:$D,TARIFF_PROFILES!$A:$A,$X860))</f>
        <v/>
      </c>
      <c r="Z860" s="13" t="str">
        <f>IF($X860="","",SUMIFS(TARIFF_PROFILES!$E:$E,TARIFF_PROFILES!$A:$A,$X860))</f>
        <v/>
      </c>
      <c r="AA860" s="13" t="str">
        <f>IF($X860="","",SUMIFS(TARIFF_PROFILES!$F:$F,TARIFF_PROFILES!$A:$A,$X860))</f>
        <v/>
      </c>
      <c r="AB860" s="13" t="str">
        <f>IF($X860="","",SUMIFS(TARIFF_PROFILES!$G:$G,TARIFF_PROFILES!$A:$A,$X860))</f>
        <v/>
      </c>
      <c r="AC860" s="13" t="str">
        <f>IF($X860="","",SUMIFS(TARIFF_PROFILES!$H:$H,TARIFF_PROFILES!$A:$A,$X860))</f>
        <v/>
      </c>
      <c r="AD860" s="13" t="str">
        <f>IF($X860="","",INDEX(TARIFF_PROFILES!$J:$J,MATCH($X860,TARIFF_PROFILES!$A:$A,0)))</f>
        <v/>
      </c>
      <c r="AE860" s="13" t="str">
        <f>IF($X860="","",INDEX(TARIFF_PROFILES!$K:$K,MATCH($X860,TARIFF_PROFILES!$A:$A,0)))</f>
        <v/>
      </c>
      <c r="AH860" t="str">
        <f>IF($AG860="","",SUMIFS(OPERATING_COEFFS!$C:$C,OPERATING_COEFFS!$A:$A,"DistanceClass",OPERATING_COEFFS!$B:$B,$AG860))</f>
        <v/>
      </c>
      <c r="AJ860" t="str">
        <f>IF($AI860="","",SUMIFS(OPERATING_COEFFS!$C:$C,OPERATING_COEFFS!$A:$A,"SeasonClass",OPERATING_COEFFS!$B:$B,$AI860))</f>
        <v/>
      </c>
      <c r="AL860" t="str">
        <f>IF($AK860="","",SUMIFS(OPERATING_COEFFS!$C:$C,OPERATING_COEFFS!$A:$A,"UrgencyClass",OPERATING_COEFFS!$B:$B,$AK860))</f>
        <v/>
      </c>
      <c r="AN860" t="str">
        <f>IF($AM860="","",INDEX(TAX_MODES!$B:$B,MATCH($AM860,TAX_MODES!$A:$A,0)))</f>
        <v/>
      </c>
    </row>
    <row r="861" spans="24:40" x14ac:dyDescent="0.3">
      <c r="X861" s="13"/>
      <c r="Y861" s="13" t="str">
        <f>IF($X861="","",SUMIFS(TARIFF_PROFILES!$D:$D,TARIFF_PROFILES!$A:$A,$X861))</f>
        <v/>
      </c>
      <c r="Z861" s="13" t="str">
        <f>IF($X861="","",SUMIFS(TARIFF_PROFILES!$E:$E,TARIFF_PROFILES!$A:$A,$X861))</f>
        <v/>
      </c>
      <c r="AA861" s="13" t="str">
        <f>IF($X861="","",SUMIFS(TARIFF_PROFILES!$F:$F,TARIFF_PROFILES!$A:$A,$X861))</f>
        <v/>
      </c>
      <c r="AB861" s="13" t="str">
        <f>IF($X861="","",SUMIFS(TARIFF_PROFILES!$G:$G,TARIFF_PROFILES!$A:$A,$X861))</f>
        <v/>
      </c>
      <c r="AC861" s="13" t="str">
        <f>IF($X861="","",SUMIFS(TARIFF_PROFILES!$H:$H,TARIFF_PROFILES!$A:$A,$X861))</f>
        <v/>
      </c>
      <c r="AD861" s="13" t="str">
        <f>IF($X861="","",INDEX(TARIFF_PROFILES!$J:$J,MATCH($X861,TARIFF_PROFILES!$A:$A,0)))</f>
        <v/>
      </c>
      <c r="AE861" s="13" t="str">
        <f>IF($X861="","",INDEX(TARIFF_PROFILES!$K:$K,MATCH($X861,TARIFF_PROFILES!$A:$A,0)))</f>
        <v/>
      </c>
      <c r="AH861" t="str">
        <f>IF($AG861="","",SUMIFS(OPERATING_COEFFS!$C:$C,OPERATING_COEFFS!$A:$A,"DistanceClass",OPERATING_COEFFS!$B:$B,$AG861))</f>
        <v/>
      </c>
      <c r="AJ861" t="str">
        <f>IF($AI861="","",SUMIFS(OPERATING_COEFFS!$C:$C,OPERATING_COEFFS!$A:$A,"SeasonClass",OPERATING_COEFFS!$B:$B,$AI861))</f>
        <v/>
      </c>
      <c r="AL861" t="str">
        <f>IF($AK861="","",SUMIFS(OPERATING_COEFFS!$C:$C,OPERATING_COEFFS!$A:$A,"UrgencyClass",OPERATING_COEFFS!$B:$B,$AK861))</f>
        <v/>
      </c>
      <c r="AN861" t="str">
        <f>IF($AM861="","",INDEX(TAX_MODES!$B:$B,MATCH($AM861,TAX_MODES!$A:$A,0)))</f>
        <v/>
      </c>
    </row>
    <row r="862" spans="24:40" x14ac:dyDescent="0.3">
      <c r="X862" s="13"/>
      <c r="Y862" s="13" t="str">
        <f>IF($X862="","",SUMIFS(TARIFF_PROFILES!$D:$D,TARIFF_PROFILES!$A:$A,$X862))</f>
        <v/>
      </c>
      <c r="Z862" s="13" t="str">
        <f>IF($X862="","",SUMIFS(TARIFF_PROFILES!$E:$E,TARIFF_PROFILES!$A:$A,$X862))</f>
        <v/>
      </c>
      <c r="AA862" s="13" t="str">
        <f>IF($X862="","",SUMIFS(TARIFF_PROFILES!$F:$F,TARIFF_PROFILES!$A:$A,$X862))</f>
        <v/>
      </c>
      <c r="AB862" s="13" t="str">
        <f>IF($X862="","",SUMIFS(TARIFF_PROFILES!$G:$G,TARIFF_PROFILES!$A:$A,$X862))</f>
        <v/>
      </c>
      <c r="AC862" s="13" t="str">
        <f>IF($X862="","",SUMIFS(TARIFF_PROFILES!$H:$H,TARIFF_PROFILES!$A:$A,$X862))</f>
        <v/>
      </c>
      <c r="AD862" s="13" t="str">
        <f>IF($X862="","",INDEX(TARIFF_PROFILES!$J:$J,MATCH($X862,TARIFF_PROFILES!$A:$A,0)))</f>
        <v/>
      </c>
      <c r="AE862" s="13" t="str">
        <f>IF($X862="","",INDEX(TARIFF_PROFILES!$K:$K,MATCH($X862,TARIFF_PROFILES!$A:$A,0)))</f>
        <v/>
      </c>
      <c r="AH862" t="str">
        <f>IF($AG862="","",SUMIFS(OPERATING_COEFFS!$C:$C,OPERATING_COEFFS!$A:$A,"DistanceClass",OPERATING_COEFFS!$B:$B,$AG862))</f>
        <v/>
      </c>
      <c r="AJ862" t="str">
        <f>IF($AI862="","",SUMIFS(OPERATING_COEFFS!$C:$C,OPERATING_COEFFS!$A:$A,"SeasonClass",OPERATING_COEFFS!$B:$B,$AI862))</f>
        <v/>
      </c>
      <c r="AL862" t="str">
        <f>IF($AK862="","",SUMIFS(OPERATING_COEFFS!$C:$C,OPERATING_COEFFS!$A:$A,"UrgencyClass",OPERATING_COEFFS!$B:$B,$AK862))</f>
        <v/>
      </c>
      <c r="AN862" t="str">
        <f>IF($AM862="","",INDEX(TAX_MODES!$B:$B,MATCH($AM862,TAX_MODES!$A:$A,0)))</f>
        <v/>
      </c>
    </row>
    <row r="863" spans="24:40" x14ac:dyDescent="0.3">
      <c r="X863" s="13"/>
      <c r="Y863" s="13" t="str">
        <f>IF($X863="","",SUMIFS(TARIFF_PROFILES!$D:$D,TARIFF_PROFILES!$A:$A,$X863))</f>
        <v/>
      </c>
      <c r="Z863" s="13" t="str">
        <f>IF($X863="","",SUMIFS(TARIFF_PROFILES!$E:$E,TARIFF_PROFILES!$A:$A,$X863))</f>
        <v/>
      </c>
      <c r="AA863" s="13" t="str">
        <f>IF($X863="","",SUMIFS(TARIFF_PROFILES!$F:$F,TARIFF_PROFILES!$A:$A,$X863))</f>
        <v/>
      </c>
      <c r="AB863" s="13" t="str">
        <f>IF($X863="","",SUMIFS(TARIFF_PROFILES!$G:$G,TARIFF_PROFILES!$A:$A,$X863))</f>
        <v/>
      </c>
      <c r="AC863" s="13" t="str">
        <f>IF($X863="","",SUMIFS(TARIFF_PROFILES!$H:$H,TARIFF_PROFILES!$A:$A,$X863))</f>
        <v/>
      </c>
      <c r="AD863" s="13" t="str">
        <f>IF($X863="","",INDEX(TARIFF_PROFILES!$J:$J,MATCH($X863,TARIFF_PROFILES!$A:$A,0)))</f>
        <v/>
      </c>
      <c r="AE863" s="13" t="str">
        <f>IF($X863="","",INDEX(TARIFF_PROFILES!$K:$K,MATCH($X863,TARIFF_PROFILES!$A:$A,0)))</f>
        <v/>
      </c>
      <c r="AH863" t="str">
        <f>IF($AG863="","",SUMIFS(OPERATING_COEFFS!$C:$C,OPERATING_COEFFS!$A:$A,"DistanceClass",OPERATING_COEFFS!$B:$B,$AG863))</f>
        <v/>
      </c>
      <c r="AJ863" t="str">
        <f>IF($AI863="","",SUMIFS(OPERATING_COEFFS!$C:$C,OPERATING_COEFFS!$A:$A,"SeasonClass",OPERATING_COEFFS!$B:$B,$AI863))</f>
        <v/>
      </c>
      <c r="AL863" t="str">
        <f>IF($AK863="","",SUMIFS(OPERATING_COEFFS!$C:$C,OPERATING_COEFFS!$A:$A,"UrgencyClass",OPERATING_COEFFS!$B:$B,$AK863))</f>
        <v/>
      </c>
      <c r="AN863" t="str">
        <f>IF($AM863="","",INDEX(TAX_MODES!$B:$B,MATCH($AM863,TAX_MODES!$A:$A,0)))</f>
        <v/>
      </c>
    </row>
    <row r="864" spans="24:40" x14ac:dyDescent="0.3">
      <c r="X864" s="13"/>
      <c r="Y864" s="13" t="str">
        <f>IF($X864="","",SUMIFS(TARIFF_PROFILES!$D:$D,TARIFF_PROFILES!$A:$A,$X864))</f>
        <v/>
      </c>
      <c r="Z864" s="13" t="str">
        <f>IF($X864="","",SUMIFS(TARIFF_PROFILES!$E:$E,TARIFF_PROFILES!$A:$A,$X864))</f>
        <v/>
      </c>
      <c r="AA864" s="13" t="str">
        <f>IF($X864="","",SUMIFS(TARIFF_PROFILES!$F:$F,TARIFF_PROFILES!$A:$A,$X864))</f>
        <v/>
      </c>
      <c r="AB864" s="13" t="str">
        <f>IF($X864="","",SUMIFS(TARIFF_PROFILES!$G:$G,TARIFF_PROFILES!$A:$A,$X864))</f>
        <v/>
      </c>
      <c r="AC864" s="13" t="str">
        <f>IF($X864="","",SUMIFS(TARIFF_PROFILES!$H:$H,TARIFF_PROFILES!$A:$A,$X864))</f>
        <v/>
      </c>
      <c r="AD864" s="13" t="str">
        <f>IF($X864="","",INDEX(TARIFF_PROFILES!$J:$J,MATCH($X864,TARIFF_PROFILES!$A:$A,0)))</f>
        <v/>
      </c>
      <c r="AE864" s="13" t="str">
        <f>IF($X864="","",INDEX(TARIFF_PROFILES!$K:$K,MATCH($X864,TARIFF_PROFILES!$A:$A,0)))</f>
        <v/>
      </c>
      <c r="AH864" t="str">
        <f>IF($AG864="","",SUMIFS(OPERATING_COEFFS!$C:$C,OPERATING_COEFFS!$A:$A,"DistanceClass",OPERATING_COEFFS!$B:$B,$AG864))</f>
        <v/>
      </c>
      <c r="AJ864" t="str">
        <f>IF($AI864="","",SUMIFS(OPERATING_COEFFS!$C:$C,OPERATING_COEFFS!$A:$A,"SeasonClass",OPERATING_COEFFS!$B:$B,$AI864))</f>
        <v/>
      </c>
      <c r="AL864" t="str">
        <f>IF($AK864="","",SUMIFS(OPERATING_COEFFS!$C:$C,OPERATING_COEFFS!$A:$A,"UrgencyClass",OPERATING_COEFFS!$B:$B,$AK864))</f>
        <v/>
      </c>
      <c r="AN864" t="str">
        <f>IF($AM864="","",INDEX(TAX_MODES!$B:$B,MATCH($AM864,TAX_MODES!$A:$A,0)))</f>
        <v/>
      </c>
    </row>
    <row r="865" spans="24:40" x14ac:dyDescent="0.3">
      <c r="X865" s="13"/>
      <c r="Y865" s="13" t="str">
        <f>IF($X865="","",SUMIFS(TARIFF_PROFILES!$D:$D,TARIFF_PROFILES!$A:$A,$X865))</f>
        <v/>
      </c>
      <c r="Z865" s="13" t="str">
        <f>IF($X865="","",SUMIFS(TARIFF_PROFILES!$E:$E,TARIFF_PROFILES!$A:$A,$X865))</f>
        <v/>
      </c>
      <c r="AA865" s="13" t="str">
        <f>IF($X865="","",SUMIFS(TARIFF_PROFILES!$F:$F,TARIFF_PROFILES!$A:$A,$X865))</f>
        <v/>
      </c>
      <c r="AB865" s="13" t="str">
        <f>IF($X865="","",SUMIFS(TARIFF_PROFILES!$G:$G,TARIFF_PROFILES!$A:$A,$X865))</f>
        <v/>
      </c>
      <c r="AC865" s="13" t="str">
        <f>IF($X865="","",SUMIFS(TARIFF_PROFILES!$H:$H,TARIFF_PROFILES!$A:$A,$X865))</f>
        <v/>
      </c>
      <c r="AD865" s="13" t="str">
        <f>IF($X865="","",INDEX(TARIFF_PROFILES!$J:$J,MATCH($X865,TARIFF_PROFILES!$A:$A,0)))</f>
        <v/>
      </c>
      <c r="AE865" s="13" t="str">
        <f>IF($X865="","",INDEX(TARIFF_PROFILES!$K:$K,MATCH($X865,TARIFF_PROFILES!$A:$A,0)))</f>
        <v/>
      </c>
      <c r="AH865" t="str">
        <f>IF($AG865="","",SUMIFS(OPERATING_COEFFS!$C:$C,OPERATING_COEFFS!$A:$A,"DistanceClass",OPERATING_COEFFS!$B:$B,$AG865))</f>
        <v/>
      </c>
      <c r="AJ865" t="str">
        <f>IF($AI865="","",SUMIFS(OPERATING_COEFFS!$C:$C,OPERATING_COEFFS!$A:$A,"SeasonClass",OPERATING_COEFFS!$B:$B,$AI865))</f>
        <v/>
      </c>
      <c r="AL865" t="str">
        <f>IF($AK865="","",SUMIFS(OPERATING_COEFFS!$C:$C,OPERATING_COEFFS!$A:$A,"UrgencyClass",OPERATING_COEFFS!$B:$B,$AK865))</f>
        <v/>
      </c>
      <c r="AN865" t="str">
        <f>IF($AM865="","",INDEX(TAX_MODES!$B:$B,MATCH($AM865,TAX_MODES!$A:$A,0)))</f>
        <v/>
      </c>
    </row>
    <row r="866" spans="24:40" x14ac:dyDescent="0.3">
      <c r="X866" s="13"/>
      <c r="Y866" s="13" t="str">
        <f>IF($X866="","",SUMIFS(TARIFF_PROFILES!$D:$D,TARIFF_PROFILES!$A:$A,$X866))</f>
        <v/>
      </c>
      <c r="Z866" s="13" t="str">
        <f>IF($X866="","",SUMIFS(TARIFF_PROFILES!$E:$E,TARIFF_PROFILES!$A:$A,$X866))</f>
        <v/>
      </c>
      <c r="AA866" s="13" t="str">
        <f>IF($X866="","",SUMIFS(TARIFF_PROFILES!$F:$F,TARIFF_PROFILES!$A:$A,$X866))</f>
        <v/>
      </c>
      <c r="AB866" s="13" t="str">
        <f>IF($X866="","",SUMIFS(TARIFF_PROFILES!$G:$G,TARIFF_PROFILES!$A:$A,$X866))</f>
        <v/>
      </c>
      <c r="AC866" s="13" t="str">
        <f>IF($X866="","",SUMIFS(TARIFF_PROFILES!$H:$H,TARIFF_PROFILES!$A:$A,$X866))</f>
        <v/>
      </c>
      <c r="AD866" s="13" t="str">
        <f>IF($X866="","",INDEX(TARIFF_PROFILES!$J:$J,MATCH($X866,TARIFF_PROFILES!$A:$A,0)))</f>
        <v/>
      </c>
      <c r="AE866" s="13" t="str">
        <f>IF($X866="","",INDEX(TARIFF_PROFILES!$K:$K,MATCH($X866,TARIFF_PROFILES!$A:$A,0)))</f>
        <v/>
      </c>
      <c r="AH866" t="str">
        <f>IF($AG866="","",SUMIFS(OPERATING_COEFFS!$C:$C,OPERATING_COEFFS!$A:$A,"DistanceClass",OPERATING_COEFFS!$B:$B,$AG866))</f>
        <v/>
      </c>
      <c r="AJ866" t="str">
        <f>IF($AI866="","",SUMIFS(OPERATING_COEFFS!$C:$C,OPERATING_COEFFS!$A:$A,"SeasonClass",OPERATING_COEFFS!$B:$B,$AI866))</f>
        <v/>
      </c>
      <c r="AL866" t="str">
        <f>IF($AK866="","",SUMIFS(OPERATING_COEFFS!$C:$C,OPERATING_COEFFS!$A:$A,"UrgencyClass",OPERATING_COEFFS!$B:$B,$AK866))</f>
        <v/>
      </c>
      <c r="AN866" t="str">
        <f>IF($AM866="","",INDEX(TAX_MODES!$B:$B,MATCH($AM866,TAX_MODES!$A:$A,0)))</f>
        <v/>
      </c>
    </row>
    <row r="867" spans="24:40" x14ac:dyDescent="0.3">
      <c r="X867" s="13"/>
      <c r="Y867" s="13" t="str">
        <f>IF($X867="","",SUMIFS(TARIFF_PROFILES!$D:$D,TARIFF_PROFILES!$A:$A,$X867))</f>
        <v/>
      </c>
      <c r="Z867" s="13" t="str">
        <f>IF($X867="","",SUMIFS(TARIFF_PROFILES!$E:$E,TARIFF_PROFILES!$A:$A,$X867))</f>
        <v/>
      </c>
      <c r="AA867" s="13" t="str">
        <f>IF($X867="","",SUMIFS(TARIFF_PROFILES!$F:$F,TARIFF_PROFILES!$A:$A,$X867))</f>
        <v/>
      </c>
      <c r="AB867" s="13" t="str">
        <f>IF($X867="","",SUMIFS(TARIFF_PROFILES!$G:$G,TARIFF_PROFILES!$A:$A,$X867))</f>
        <v/>
      </c>
      <c r="AC867" s="13" t="str">
        <f>IF($X867="","",SUMIFS(TARIFF_PROFILES!$H:$H,TARIFF_PROFILES!$A:$A,$X867))</f>
        <v/>
      </c>
      <c r="AD867" s="13" t="str">
        <f>IF($X867="","",INDEX(TARIFF_PROFILES!$J:$J,MATCH($X867,TARIFF_PROFILES!$A:$A,0)))</f>
        <v/>
      </c>
      <c r="AE867" s="13" t="str">
        <f>IF($X867="","",INDEX(TARIFF_PROFILES!$K:$K,MATCH($X867,TARIFF_PROFILES!$A:$A,0)))</f>
        <v/>
      </c>
      <c r="AH867" t="str">
        <f>IF($AG867="","",SUMIFS(OPERATING_COEFFS!$C:$C,OPERATING_COEFFS!$A:$A,"DistanceClass",OPERATING_COEFFS!$B:$B,$AG867))</f>
        <v/>
      </c>
      <c r="AJ867" t="str">
        <f>IF($AI867="","",SUMIFS(OPERATING_COEFFS!$C:$C,OPERATING_COEFFS!$A:$A,"SeasonClass",OPERATING_COEFFS!$B:$B,$AI867))</f>
        <v/>
      </c>
      <c r="AL867" t="str">
        <f>IF($AK867="","",SUMIFS(OPERATING_COEFFS!$C:$C,OPERATING_COEFFS!$A:$A,"UrgencyClass",OPERATING_COEFFS!$B:$B,$AK867))</f>
        <v/>
      </c>
      <c r="AN867" t="str">
        <f>IF($AM867="","",INDEX(TAX_MODES!$B:$B,MATCH($AM867,TAX_MODES!$A:$A,0)))</f>
        <v/>
      </c>
    </row>
    <row r="868" spans="24:40" x14ac:dyDescent="0.3">
      <c r="X868" s="13"/>
      <c r="Y868" s="13" t="str">
        <f>IF($X868="","",SUMIFS(TARIFF_PROFILES!$D:$D,TARIFF_PROFILES!$A:$A,$X868))</f>
        <v/>
      </c>
      <c r="Z868" s="13" t="str">
        <f>IF($X868="","",SUMIFS(TARIFF_PROFILES!$E:$E,TARIFF_PROFILES!$A:$A,$X868))</f>
        <v/>
      </c>
      <c r="AA868" s="13" t="str">
        <f>IF($X868="","",SUMIFS(TARIFF_PROFILES!$F:$F,TARIFF_PROFILES!$A:$A,$X868))</f>
        <v/>
      </c>
      <c r="AB868" s="13" t="str">
        <f>IF($X868="","",SUMIFS(TARIFF_PROFILES!$G:$G,TARIFF_PROFILES!$A:$A,$X868))</f>
        <v/>
      </c>
      <c r="AC868" s="13" t="str">
        <f>IF($X868="","",SUMIFS(TARIFF_PROFILES!$H:$H,TARIFF_PROFILES!$A:$A,$X868))</f>
        <v/>
      </c>
      <c r="AD868" s="13" t="str">
        <f>IF($X868="","",INDEX(TARIFF_PROFILES!$J:$J,MATCH($X868,TARIFF_PROFILES!$A:$A,0)))</f>
        <v/>
      </c>
      <c r="AE868" s="13" t="str">
        <f>IF($X868="","",INDEX(TARIFF_PROFILES!$K:$K,MATCH($X868,TARIFF_PROFILES!$A:$A,0)))</f>
        <v/>
      </c>
      <c r="AH868" t="str">
        <f>IF($AG868="","",SUMIFS(OPERATING_COEFFS!$C:$C,OPERATING_COEFFS!$A:$A,"DistanceClass",OPERATING_COEFFS!$B:$B,$AG868))</f>
        <v/>
      </c>
      <c r="AJ868" t="str">
        <f>IF($AI868="","",SUMIFS(OPERATING_COEFFS!$C:$C,OPERATING_COEFFS!$A:$A,"SeasonClass",OPERATING_COEFFS!$B:$B,$AI868))</f>
        <v/>
      </c>
      <c r="AL868" t="str">
        <f>IF($AK868="","",SUMIFS(OPERATING_COEFFS!$C:$C,OPERATING_COEFFS!$A:$A,"UrgencyClass",OPERATING_COEFFS!$B:$B,$AK868))</f>
        <v/>
      </c>
      <c r="AN868" t="str">
        <f>IF($AM868="","",INDEX(TAX_MODES!$B:$B,MATCH($AM868,TAX_MODES!$A:$A,0)))</f>
        <v/>
      </c>
    </row>
    <row r="869" spans="24:40" x14ac:dyDescent="0.3">
      <c r="X869" s="13"/>
      <c r="Y869" s="13" t="str">
        <f>IF($X869="","",SUMIFS(TARIFF_PROFILES!$D:$D,TARIFF_PROFILES!$A:$A,$X869))</f>
        <v/>
      </c>
      <c r="Z869" s="13" t="str">
        <f>IF($X869="","",SUMIFS(TARIFF_PROFILES!$E:$E,TARIFF_PROFILES!$A:$A,$X869))</f>
        <v/>
      </c>
      <c r="AA869" s="13" t="str">
        <f>IF($X869="","",SUMIFS(TARIFF_PROFILES!$F:$F,TARIFF_PROFILES!$A:$A,$X869))</f>
        <v/>
      </c>
      <c r="AB869" s="13" t="str">
        <f>IF($X869="","",SUMIFS(TARIFF_PROFILES!$G:$G,TARIFF_PROFILES!$A:$A,$X869))</f>
        <v/>
      </c>
      <c r="AC869" s="13" t="str">
        <f>IF($X869="","",SUMIFS(TARIFF_PROFILES!$H:$H,TARIFF_PROFILES!$A:$A,$X869))</f>
        <v/>
      </c>
      <c r="AD869" s="13" t="str">
        <f>IF($X869="","",INDEX(TARIFF_PROFILES!$J:$J,MATCH($X869,TARIFF_PROFILES!$A:$A,0)))</f>
        <v/>
      </c>
      <c r="AE869" s="13" t="str">
        <f>IF($X869="","",INDEX(TARIFF_PROFILES!$K:$K,MATCH($X869,TARIFF_PROFILES!$A:$A,0)))</f>
        <v/>
      </c>
      <c r="AH869" t="str">
        <f>IF($AG869="","",SUMIFS(OPERATING_COEFFS!$C:$C,OPERATING_COEFFS!$A:$A,"DistanceClass",OPERATING_COEFFS!$B:$B,$AG869))</f>
        <v/>
      </c>
      <c r="AJ869" t="str">
        <f>IF($AI869="","",SUMIFS(OPERATING_COEFFS!$C:$C,OPERATING_COEFFS!$A:$A,"SeasonClass",OPERATING_COEFFS!$B:$B,$AI869))</f>
        <v/>
      </c>
      <c r="AL869" t="str">
        <f>IF($AK869="","",SUMIFS(OPERATING_COEFFS!$C:$C,OPERATING_COEFFS!$A:$A,"UrgencyClass",OPERATING_COEFFS!$B:$B,$AK869))</f>
        <v/>
      </c>
      <c r="AN869" t="str">
        <f>IF($AM869="","",INDEX(TAX_MODES!$B:$B,MATCH($AM869,TAX_MODES!$A:$A,0)))</f>
        <v/>
      </c>
    </row>
    <row r="870" spans="24:40" x14ac:dyDescent="0.3">
      <c r="X870" s="13"/>
      <c r="Y870" s="13" t="str">
        <f>IF($X870="","",SUMIFS(TARIFF_PROFILES!$D:$D,TARIFF_PROFILES!$A:$A,$X870))</f>
        <v/>
      </c>
      <c r="Z870" s="13" t="str">
        <f>IF($X870="","",SUMIFS(TARIFF_PROFILES!$E:$E,TARIFF_PROFILES!$A:$A,$X870))</f>
        <v/>
      </c>
      <c r="AA870" s="13" t="str">
        <f>IF($X870="","",SUMIFS(TARIFF_PROFILES!$F:$F,TARIFF_PROFILES!$A:$A,$X870))</f>
        <v/>
      </c>
      <c r="AB870" s="13" t="str">
        <f>IF($X870="","",SUMIFS(TARIFF_PROFILES!$G:$G,TARIFF_PROFILES!$A:$A,$X870))</f>
        <v/>
      </c>
      <c r="AC870" s="13" t="str">
        <f>IF($X870="","",SUMIFS(TARIFF_PROFILES!$H:$H,TARIFF_PROFILES!$A:$A,$X870))</f>
        <v/>
      </c>
      <c r="AD870" s="13" t="str">
        <f>IF($X870="","",INDEX(TARIFF_PROFILES!$J:$J,MATCH($X870,TARIFF_PROFILES!$A:$A,0)))</f>
        <v/>
      </c>
      <c r="AE870" s="13" t="str">
        <f>IF($X870="","",INDEX(TARIFF_PROFILES!$K:$K,MATCH($X870,TARIFF_PROFILES!$A:$A,0)))</f>
        <v/>
      </c>
      <c r="AH870" t="str">
        <f>IF($AG870="","",SUMIFS(OPERATING_COEFFS!$C:$C,OPERATING_COEFFS!$A:$A,"DistanceClass",OPERATING_COEFFS!$B:$B,$AG870))</f>
        <v/>
      </c>
      <c r="AJ870" t="str">
        <f>IF($AI870="","",SUMIFS(OPERATING_COEFFS!$C:$C,OPERATING_COEFFS!$A:$A,"SeasonClass",OPERATING_COEFFS!$B:$B,$AI870))</f>
        <v/>
      </c>
      <c r="AL870" t="str">
        <f>IF($AK870="","",SUMIFS(OPERATING_COEFFS!$C:$C,OPERATING_COEFFS!$A:$A,"UrgencyClass",OPERATING_COEFFS!$B:$B,$AK870))</f>
        <v/>
      </c>
      <c r="AN870" t="str">
        <f>IF($AM870="","",INDEX(TAX_MODES!$B:$B,MATCH($AM870,TAX_MODES!$A:$A,0)))</f>
        <v/>
      </c>
    </row>
    <row r="871" spans="24:40" x14ac:dyDescent="0.3">
      <c r="X871" s="13"/>
      <c r="Y871" s="13" t="str">
        <f>IF($X871="","",SUMIFS(TARIFF_PROFILES!$D:$D,TARIFF_PROFILES!$A:$A,$X871))</f>
        <v/>
      </c>
      <c r="Z871" s="13" t="str">
        <f>IF($X871="","",SUMIFS(TARIFF_PROFILES!$E:$E,TARIFF_PROFILES!$A:$A,$X871))</f>
        <v/>
      </c>
      <c r="AA871" s="13" t="str">
        <f>IF($X871="","",SUMIFS(TARIFF_PROFILES!$F:$F,TARIFF_PROFILES!$A:$A,$X871))</f>
        <v/>
      </c>
      <c r="AB871" s="13" t="str">
        <f>IF($X871="","",SUMIFS(TARIFF_PROFILES!$G:$G,TARIFF_PROFILES!$A:$A,$X871))</f>
        <v/>
      </c>
      <c r="AC871" s="13" t="str">
        <f>IF($X871="","",SUMIFS(TARIFF_PROFILES!$H:$H,TARIFF_PROFILES!$A:$A,$X871))</f>
        <v/>
      </c>
      <c r="AD871" s="13" t="str">
        <f>IF($X871="","",INDEX(TARIFF_PROFILES!$J:$J,MATCH($X871,TARIFF_PROFILES!$A:$A,0)))</f>
        <v/>
      </c>
      <c r="AE871" s="13" t="str">
        <f>IF($X871="","",INDEX(TARIFF_PROFILES!$K:$K,MATCH($X871,TARIFF_PROFILES!$A:$A,0)))</f>
        <v/>
      </c>
      <c r="AH871" t="str">
        <f>IF($AG871="","",SUMIFS(OPERATING_COEFFS!$C:$C,OPERATING_COEFFS!$A:$A,"DistanceClass",OPERATING_COEFFS!$B:$B,$AG871))</f>
        <v/>
      </c>
      <c r="AJ871" t="str">
        <f>IF($AI871="","",SUMIFS(OPERATING_COEFFS!$C:$C,OPERATING_COEFFS!$A:$A,"SeasonClass",OPERATING_COEFFS!$B:$B,$AI871))</f>
        <v/>
      </c>
      <c r="AL871" t="str">
        <f>IF($AK871="","",SUMIFS(OPERATING_COEFFS!$C:$C,OPERATING_COEFFS!$A:$A,"UrgencyClass",OPERATING_COEFFS!$B:$B,$AK871))</f>
        <v/>
      </c>
      <c r="AN871" t="str">
        <f>IF($AM871="","",INDEX(TAX_MODES!$B:$B,MATCH($AM871,TAX_MODES!$A:$A,0)))</f>
        <v/>
      </c>
    </row>
    <row r="872" spans="24:40" x14ac:dyDescent="0.3">
      <c r="X872" s="13"/>
      <c r="Y872" s="13" t="str">
        <f>IF($X872="","",SUMIFS(TARIFF_PROFILES!$D:$D,TARIFF_PROFILES!$A:$A,$X872))</f>
        <v/>
      </c>
      <c r="Z872" s="13" t="str">
        <f>IF($X872="","",SUMIFS(TARIFF_PROFILES!$E:$E,TARIFF_PROFILES!$A:$A,$X872))</f>
        <v/>
      </c>
      <c r="AA872" s="13" t="str">
        <f>IF($X872="","",SUMIFS(TARIFF_PROFILES!$F:$F,TARIFF_PROFILES!$A:$A,$X872))</f>
        <v/>
      </c>
      <c r="AB872" s="13" t="str">
        <f>IF($X872="","",SUMIFS(TARIFF_PROFILES!$G:$G,TARIFF_PROFILES!$A:$A,$X872))</f>
        <v/>
      </c>
      <c r="AC872" s="13" t="str">
        <f>IF($X872="","",SUMIFS(TARIFF_PROFILES!$H:$H,TARIFF_PROFILES!$A:$A,$X872))</f>
        <v/>
      </c>
      <c r="AD872" s="13" t="str">
        <f>IF($X872="","",INDEX(TARIFF_PROFILES!$J:$J,MATCH($X872,TARIFF_PROFILES!$A:$A,0)))</f>
        <v/>
      </c>
      <c r="AE872" s="13" t="str">
        <f>IF($X872="","",INDEX(TARIFF_PROFILES!$K:$K,MATCH($X872,TARIFF_PROFILES!$A:$A,0)))</f>
        <v/>
      </c>
      <c r="AH872" t="str">
        <f>IF($AG872="","",SUMIFS(OPERATING_COEFFS!$C:$C,OPERATING_COEFFS!$A:$A,"DistanceClass",OPERATING_COEFFS!$B:$B,$AG872))</f>
        <v/>
      </c>
      <c r="AJ872" t="str">
        <f>IF($AI872="","",SUMIFS(OPERATING_COEFFS!$C:$C,OPERATING_COEFFS!$A:$A,"SeasonClass",OPERATING_COEFFS!$B:$B,$AI872))</f>
        <v/>
      </c>
      <c r="AL872" t="str">
        <f>IF($AK872="","",SUMIFS(OPERATING_COEFFS!$C:$C,OPERATING_COEFFS!$A:$A,"UrgencyClass",OPERATING_COEFFS!$B:$B,$AK872))</f>
        <v/>
      </c>
      <c r="AN872" t="str">
        <f>IF($AM872="","",INDEX(TAX_MODES!$B:$B,MATCH($AM872,TAX_MODES!$A:$A,0)))</f>
        <v/>
      </c>
    </row>
    <row r="873" spans="24:40" x14ac:dyDescent="0.3">
      <c r="X873" s="13"/>
      <c r="Y873" s="13" t="str">
        <f>IF($X873="","",SUMIFS(TARIFF_PROFILES!$D:$D,TARIFF_PROFILES!$A:$A,$X873))</f>
        <v/>
      </c>
      <c r="Z873" s="13" t="str">
        <f>IF($X873="","",SUMIFS(TARIFF_PROFILES!$E:$E,TARIFF_PROFILES!$A:$A,$X873))</f>
        <v/>
      </c>
      <c r="AA873" s="13" t="str">
        <f>IF($X873="","",SUMIFS(TARIFF_PROFILES!$F:$F,TARIFF_PROFILES!$A:$A,$X873))</f>
        <v/>
      </c>
      <c r="AB873" s="13" t="str">
        <f>IF($X873="","",SUMIFS(TARIFF_PROFILES!$G:$G,TARIFF_PROFILES!$A:$A,$X873))</f>
        <v/>
      </c>
      <c r="AC873" s="13" t="str">
        <f>IF($X873="","",SUMIFS(TARIFF_PROFILES!$H:$H,TARIFF_PROFILES!$A:$A,$X873))</f>
        <v/>
      </c>
      <c r="AD873" s="13" t="str">
        <f>IF($X873="","",INDEX(TARIFF_PROFILES!$J:$J,MATCH($X873,TARIFF_PROFILES!$A:$A,0)))</f>
        <v/>
      </c>
      <c r="AE873" s="13" t="str">
        <f>IF($X873="","",INDEX(TARIFF_PROFILES!$K:$K,MATCH($X873,TARIFF_PROFILES!$A:$A,0)))</f>
        <v/>
      </c>
      <c r="AH873" t="str">
        <f>IF($AG873="","",SUMIFS(OPERATING_COEFFS!$C:$C,OPERATING_COEFFS!$A:$A,"DistanceClass",OPERATING_COEFFS!$B:$B,$AG873))</f>
        <v/>
      </c>
      <c r="AJ873" t="str">
        <f>IF($AI873="","",SUMIFS(OPERATING_COEFFS!$C:$C,OPERATING_COEFFS!$A:$A,"SeasonClass",OPERATING_COEFFS!$B:$B,$AI873))</f>
        <v/>
      </c>
      <c r="AL873" t="str">
        <f>IF($AK873="","",SUMIFS(OPERATING_COEFFS!$C:$C,OPERATING_COEFFS!$A:$A,"UrgencyClass",OPERATING_COEFFS!$B:$B,$AK873))</f>
        <v/>
      </c>
      <c r="AN873" t="str">
        <f>IF($AM873="","",INDEX(TAX_MODES!$B:$B,MATCH($AM873,TAX_MODES!$A:$A,0)))</f>
        <v/>
      </c>
    </row>
    <row r="874" spans="24:40" x14ac:dyDescent="0.3">
      <c r="X874" s="13"/>
      <c r="Y874" s="13" t="str">
        <f>IF($X874="","",SUMIFS(TARIFF_PROFILES!$D:$D,TARIFF_PROFILES!$A:$A,$X874))</f>
        <v/>
      </c>
      <c r="Z874" s="13" t="str">
        <f>IF($X874="","",SUMIFS(TARIFF_PROFILES!$E:$E,TARIFF_PROFILES!$A:$A,$X874))</f>
        <v/>
      </c>
      <c r="AA874" s="13" t="str">
        <f>IF($X874="","",SUMIFS(TARIFF_PROFILES!$F:$F,TARIFF_PROFILES!$A:$A,$X874))</f>
        <v/>
      </c>
      <c r="AB874" s="13" t="str">
        <f>IF($X874="","",SUMIFS(TARIFF_PROFILES!$G:$G,TARIFF_PROFILES!$A:$A,$X874))</f>
        <v/>
      </c>
      <c r="AC874" s="13" t="str">
        <f>IF($X874="","",SUMIFS(TARIFF_PROFILES!$H:$H,TARIFF_PROFILES!$A:$A,$X874))</f>
        <v/>
      </c>
      <c r="AD874" s="13" t="str">
        <f>IF($X874="","",INDEX(TARIFF_PROFILES!$J:$J,MATCH($X874,TARIFF_PROFILES!$A:$A,0)))</f>
        <v/>
      </c>
      <c r="AE874" s="13" t="str">
        <f>IF($X874="","",INDEX(TARIFF_PROFILES!$K:$K,MATCH($X874,TARIFF_PROFILES!$A:$A,0)))</f>
        <v/>
      </c>
      <c r="AH874" t="str">
        <f>IF($AG874="","",SUMIFS(OPERATING_COEFFS!$C:$C,OPERATING_COEFFS!$A:$A,"DistanceClass",OPERATING_COEFFS!$B:$B,$AG874))</f>
        <v/>
      </c>
      <c r="AJ874" t="str">
        <f>IF($AI874="","",SUMIFS(OPERATING_COEFFS!$C:$C,OPERATING_COEFFS!$A:$A,"SeasonClass",OPERATING_COEFFS!$B:$B,$AI874))</f>
        <v/>
      </c>
      <c r="AL874" t="str">
        <f>IF($AK874="","",SUMIFS(OPERATING_COEFFS!$C:$C,OPERATING_COEFFS!$A:$A,"UrgencyClass",OPERATING_COEFFS!$B:$B,$AK874))</f>
        <v/>
      </c>
      <c r="AN874" t="str">
        <f>IF($AM874="","",INDEX(TAX_MODES!$B:$B,MATCH($AM874,TAX_MODES!$A:$A,0)))</f>
        <v/>
      </c>
    </row>
    <row r="875" spans="24:40" x14ac:dyDescent="0.3">
      <c r="X875" s="13"/>
      <c r="Y875" s="13" t="str">
        <f>IF($X875="","",SUMIFS(TARIFF_PROFILES!$D:$D,TARIFF_PROFILES!$A:$A,$X875))</f>
        <v/>
      </c>
      <c r="Z875" s="13" t="str">
        <f>IF($X875="","",SUMIFS(TARIFF_PROFILES!$E:$E,TARIFF_PROFILES!$A:$A,$X875))</f>
        <v/>
      </c>
      <c r="AA875" s="13" t="str">
        <f>IF($X875="","",SUMIFS(TARIFF_PROFILES!$F:$F,TARIFF_PROFILES!$A:$A,$X875))</f>
        <v/>
      </c>
      <c r="AB875" s="13" t="str">
        <f>IF($X875="","",SUMIFS(TARIFF_PROFILES!$G:$G,TARIFF_PROFILES!$A:$A,$X875))</f>
        <v/>
      </c>
      <c r="AC875" s="13" t="str">
        <f>IF($X875="","",SUMIFS(TARIFF_PROFILES!$H:$H,TARIFF_PROFILES!$A:$A,$X875))</f>
        <v/>
      </c>
      <c r="AD875" s="13" t="str">
        <f>IF($X875="","",INDEX(TARIFF_PROFILES!$J:$J,MATCH($X875,TARIFF_PROFILES!$A:$A,0)))</f>
        <v/>
      </c>
      <c r="AE875" s="13" t="str">
        <f>IF($X875="","",INDEX(TARIFF_PROFILES!$K:$K,MATCH($X875,TARIFF_PROFILES!$A:$A,0)))</f>
        <v/>
      </c>
      <c r="AH875" t="str">
        <f>IF($AG875="","",SUMIFS(OPERATING_COEFFS!$C:$C,OPERATING_COEFFS!$A:$A,"DistanceClass",OPERATING_COEFFS!$B:$B,$AG875))</f>
        <v/>
      </c>
      <c r="AJ875" t="str">
        <f>IF($AI875="","",SUMIFS(OPERATING_COEFFS!$C:$C,OPERATING_COEFFS!$A:$A,"SeasonClass",OPERATING_COEFFS!$B:$B,$AI875))</f>
        <v/>
      </c>
      <c r="AL875" t="str">
        <f>IF($AK875="","",SUMIFS(OPERATING_COEFFS!$C:$C,OPERATING_COEFFS!$A:$A,"UrgencyClass",OPERATING_COEFFS!$B:$B,$AK875))</f>
        <v/>
      </c>
      <c r="AN875" t="str">
        <f>IF($AM875="","",INDEX(TAX_MODES!$B:$B,MATCH($AM875,TAX_MODES!$A:$A,0)))</f>
        <v/>
      </c>
    </row>
    <row r="876" spans="24:40" x14ac:dyDescent="0.3">
      <c r="X876" s="13"/>
      <c r="Y876" s="13" t="str">
        <f>IF($X876="","",SUMIFS(TARIFF_PROFILES!$D:$D,TARIFF_PROFILES!$A:$A,$X876))</f>
        <v/>
      </c>
      <c r="Z876" s="13" t="str">
        <f>IF($X876="","",SUMIFS(TARIFF_PROFILES!$E:$E,TARIFF_PROFILES!$A:$A,$X876))</f>
        <v/>
      </c>
      <c r="AA876" s="13" t="str">
        <f>IF($X876="","",SUMIFS(TARIFF_PROFILES!$F:$F,TARIFF_PROFILES!$A:$A,$X876))</f>
        <v/>
      </c>
      <c r="AB876" s="13" t="str">
        <f>IF($X876="","",SUMIFS(TARIFF_PROFILES!$G:$G,TARIFF_PROFILES!$A:$A,$X876))</f>
        <v/>
      </c>
      <c r="AC876" s="13" t="str">
        <f>IF($X876="","",SUMIFS(TARIFF_PROFILES!$H:$H,TARIFF_PROFILES!$A:$A,$X876))</f>
        <v/>
      </c>
      <c r="AD876" s="13" t="str">
        <f>IF($X876="","",INDEX(TARIFF_PROFILES!$J:$J,MATCH($X876,TARIFF_PROFILES!$A:$A,0)))</f>
        <v/>
      </c>
      <c r="AE876" s="13" t="str">
        <f>IF($X876="","",INDEX(TARIFF_PROFILES!$K:$K,MATCH($X876,TARIFF_PROFILES!$A:$A,0)))</f>
        <v/>
      </c>
      <c r="AH876" t="str">
        <f>IF($AG876="","",SUMIFS(OPERATING_COEFFS!$C:$C,OPERATING_COEFFS!$A:$A,"DistanceClass",OPERATING_COEFFS!$B:$B,$AG876))</f>
        <v/>
      </c>
      <c r="AJ876" t="str">
        <f>IF($AI876="","",SUMIFS(OPERATING_COEFFS!$C:$C,OPERATING_COEFFS!$A:$A,"SeasonClass",OPERATING_COEFFS!$B:$B,$AI876))</f>
        <v/>
      </c>
      <c r="AL876" t="str">
        <f>IF($AK876="","",SUMIFS(OPERATING_COEFFS!$C:$C,OPERATING_COEFFS!$A:$A,"UrgencyClass",OPERATING_COEFFS!$B:$B,$AK876))</f>
        <v/>
      </c>
      <c r="AN876" t="str">
        <f>IF($AM876="","",INDEX(TAX_MODES!$B:$B,MATCH($AM876,TAX_MODES!$A:$A,0)))</f>
        <v/>
      </c>
    </row>
    <row r="877" spans="24:40" x14ac:dyDescent="0.3">
      <c r="X877" s="13"/>
      <c r="Y877" s="13" t="str">
        <f>IF($X877="","",SUMIFS(TARIFF_PROFILES!$D:$D,TARIFF_PROFILES!$A:$A,$X877))</f>
        <v/>
      </c>
      <c r="Z877" s="13" t="str">
        <f>IF($X877="","",SUMIFS(TARIFF_PROFILES!$E:$E,TARIFF_PROFILES!$A:$A,$X877))</f>
        <v/>
      </c>
      <c r="AA877" s="13" t="str">
        <f>IF($X877="","",SUMIFS(TARIFF_PROFILES!$F:$F,TARIFF_PROFILES!$A:$A,$X877))</f>
        <v/>
      </c>
      <c r="AB877" s="13" t="str">
        <f>IF($X877="","",SUMIFS(TARIFF_PROFILES!$G:$G,TARIFF_PROFILES!$A:$A,$X877))</f>
        <v/>
      </c>
      <c r="AC877" s="13" t="str">
        <f>IF($X877="","",SUMIFS(TARIFF_PROFILES!$H:$H,TARIFF_PROFILES!$A:$A,$X877))</f>
        <v/>
      </c>
      <c r="AD877" s="13" t="str">
        <f>IF($X877="","",INDEX(TARIFF_PROFILES!$J:$J,MATCH($X877,TARIFF_PROFILES!$A:$A,0)))</f>
        <v/>
      </c>
      <c r="AE877" s="13" t="str">
        <f>IF($X877="","",INDEX(TARIFF_PROFILES!$K:$K,MATCH($X877,TARIFF_PROFILES!$A:$A,0)))</f>
        <v/>
      </c>
      <c r="AH877" t="str">
        <f>IF($AG877="","",SUMIFS(OPERATING_COEFFS!$C:$C,OPERATING_COEFFS!$A:$A,"DistanceClass",OPERATING_COEFFS!$B:$B,$AG877))</f>
        <v/>
      </c>
      <c r="AJ877" t="str">
        <f>IF($AI877="","",SUMIFS(OPERATING_COEFFS!$C:$C,OPERATING_COEFFS!$A:$A,"SeasonClass",OPERATING_COEFFS!$B:$B,$AI877))</f>
        <v/>
      </c>
      <c r="AL877" t="str">
        <f>IF($AK877="","",SUMIFS(OPERATING_COEFFS!$C:$C,OPERATING_COEFFS!$A:$A,"UrgencyClass",OPERATING_COEFFS!$B:$B,$AK877))</f>
        <v/>
      </c>
      <c r="AN877" t="str">
        <f>IF($AM877="","",INDEX(TAX_MODES!$B:$B,MATCH($AM877,TAX_MODES!$A:$A,0)))</f>
        <v/>
      </c>
    </row>
    <row r="878" spans="24:40" x14ac:dyDescent="0.3">
      <c r="X878" s="13"/>
      <c r="Y878" s="13" t="str">
        <f>IF($X878="","",SUMIFS(TARIFF_PROFILES!$D:$D,TARIFF_PROFILES!$A:$A,$X878))</f>
        <v/>
      </c>
      <c r="Z878" s="13" t="str">
        <f>IF($X878="","",SUMIFS(TARIFF_PROFILES!$E:$E,TARIFF_PROFILES!$A:$A,$X878))</f>
        <v/>
      </c>
      <c r="AA878" s="13" t="str">
        <f>IF($X878="","",SUMIFS(TARIFF_PROFILES!$F:$F,TARIFF_PROFILES!$A:$A,$X878))</f>
        <v/>
      </c>
      <c r="AB878" s="13" t="str">
        <f>IF($X878="","",SUMIFS(TARIFF_PROFILES!$G:$G,TARIFF_PROFILES!$A:$A,$X878))</f>
        <v/>
      </c>
      <c r="AC878" s="13" t="str">
        <f>IF($X878="","",SUMIFS(TARIFF_PROFILES!$H:$H,TARIFF_PROFILES!$A:$A,$X878))</f>
        <v/>
      </c>
      <c r="AD878" s="13" t="str">
        <f>IF($X878="","",INDEX(TARIFF_PROFILES!$J:$J,MATCH($X878,TARIFF_PROFILES!$A:$A,0)))</f>
        <v/>
      </c>
      <c r="AE878" s="13" t="str">
        <f>IF($X878="","",INDEX(TARIFF_PROFILES!$K:$K,MATCH($X878,TARIFF_PROFILES!$A:$A,0)))</f>
        <v/>
      </c>
      <c r="AH878" t="str">
        <f>IF($AG878="","",SUMIFS(OPERATING_COEFFS!$C:$C,OPERATING_COEFFS!$A:$A,"DistanceClass",OPERATING_COEFFS!$B:$B,$AG878))</f>
        <v/>
      </c>
      <c r="AJ878" t="str">
        <f>IF($AI878="","",SUMIFS(OPERATING_COEFFS!$C:$C,OPERATING_COEFFS!$A:$A,"SeasonClass",OPERATING_COEFFS!$B:$B,$AI878))</f>
        <v/>
      </c>
      <c r="AL878" t="str">
        <f>IF($AK878="","",SUMIFS(OPERATING_COEFFS!$C:$C,OPERATING_COEFFS!$A:$A,"UrgencyClass",OPERATING_COEFFS!$B:$B,$AK878))</f>
        <v/>
      </c>
      <c r="AN878" t="str">
        <f>IF($AM878="","",INDEX(TAX_MODES!$B:$B,MATCH($AM878,TAX_MODES!$A:$A,0)))</f>
        <v/>
      </c>
    </row>
    <row r="879" spans="24:40" x14ac:dyDescent="0.3">
      <c r="X879" s="13"/>
      <c r="Y879" s="13" t="str">
        <f>IF($X879="","",SUMIFS(TARIFF_PROFILES!$D:$D,TARIFF_PROFILES!$A:$A,$X879))</f>
        <v/>
      </c>
      <c r="Z879" s="13" t="str">
        <f>IF($X879="","",SUMIFS(TARIFF_PROFILES!$E:$E,TARIFF_PROFILES!$A:$A,$X879))</f>
        <v/>
      </c>
      <c r="AA879" s="13" t="str">
        <f>IF($X879="","",SUMIFS(TARIFF_PROFILES!$F:$F,TARIFF_PROFILES!$A:$A,$X879))</f>
        <v/>
      </c>
      <c r="AB879" s="13" t="str">
        <f>IF($X879="","",SUMIFS(TARIFF_PROFILES!$G:$G,TARIFF_PROFILES!$A:$A,$X879))</f>
        <v/>
      </c>
      <c r="AC879" s="13" t="str">
        <f>IF($X879="","",SUMIFS(TARIFF_PROFILES!$H:$H,TARIFF_PROFILES!$A:$A,$X879))</f>
        <v/>
      </c>
      <c r="AD879" s="13" t="str">
        <f>IF($X879="","",INDEX(TARIFF_PROFILES!$J:$J,MATCH($X879,TARIFF_PROFILES!$A:$A,0)))</f>
        <v/>
      </c>
      <c r="AE879" s="13" t="str">
        <f>IF($X879="","",INDEX(TARIFF_PROFILES!$K:$K,MATCH($X879,TARIFF_PROFILES!$A:$A,0)))</f>
        <v/>
      </c>
      <c r="AH879" t="str">
        <f>IF($AG879="","",SUMIFS(OPERATING_COEFFS!$C:$C,OPERATING_COEFFS!$A:$A,"DistanceClass",OPERATING_COEFFS!$B:$B,$AG879))</f>
        <v/>
      </c>
      <c r="AJ879" t="str">
        <f>IF($AI879="","",SUMIFS(OPERATING_COEFFS!$C:$C,OPERATING_COEFFS!$A:$A,"SeasonClass",OPERATING_COEFFS!$B:$B,$AI879))</f>
        <v/>
      </c>
      <c r="AL879" t="str">
        <f>IF($AK879="","",SUMIFS(OPERATING_COEFFS!$C:$C,OPERATING_COEFFS!$A:$A,"UrgencyClass",OPERATING_COEFFS!$B:$B,$AK879))</f>
        <v/>
      </c>
      <c r="AN879" t="str">
        <f>IF($AM879="","",INDEX(TAX_MODES!$B:$B,MATCH($AM879,TAX_MODES!$A:$A,0)))</f>
        <v/>
      </c>
    </row>
    <row r="880" spans="24:40" x14ac:dyDescent="0.3">
      <c r="X880" s="13"/>
      <c r="Y880" s="13" t="str">
        <f>IF($X880="","",SUMIFS(TARIFF_PROFILES!$D:$D,TARIFF_PROFILES!$A:$A,$X880))</f>
        <v/>
      </c>
      <c r="Z880" s="13" t="str">
        <f>IF($X880="","",SUMIFS(TARIFF_PROFILES!$E:$E,TARIFF_PROFILES!$A:$A,$X880))</f>
        <v/>
      </c>
      <c r="AA880" s="13" t="str">
        <f>IF($X880="","",SUMIFS(TARIFF_PROFILES!$F:$F,TARIFF_PROFILES!$A:$A,$X880))</f>
        <v/>
      </c>
      <c r="AB880" s="13" t="str">
        <f>IF($X880="","",SUMIFS(TARIFF_PROFILES!$G:$G,TARIFF_PROFILES!$A:$A,$X880))</f>
        <v/>
      </c>
      <c r="AC880" s="13" t="str">
        <f>IF($X880="","",SUMIFS(TARIFF_PROFILES!$H:$H,TARIFF_PROFILES!$A:$A,$X880))</f>
        <v/>
      </c>
      <c r="AD880" s="13" t="str">
        <f>IF($X880="","",INDEX(TARIFF_PROFILES!$J:$J,MATCH($X880,TARIFF_PROFILES!$A:$A,0)))</f>
        <v/>
      </c>
      <c r="AE880" s="13" t="str">
        <f>IF($X880="","",INDEX(TARIFF_PROFILES!$K:$K,MATCH($X880,TARIFF_PROFILES!$A:$A,0)))</f>
        <v/>
      </c>
      <c r="AH880" t="str">
        <f>IF($AG880="","",SUMIFS(OPERATING_COEFFS!$C:$C,OPERATING_COEFFS!$A:$A,"DistanceClass",OPERATING_COEFFS!$B:$B,$AG880))</f>
        <v/>
      </c>
      <c r="AJ880" t="str">
        <f>IF($AI880="","",SUMIFS(OPERATING_COEFFS!$C:$C,OPERATING_COEFFS!$A:$A,"SeasonClass",OPERATING_COEFFS!$B:$B,$AI880))</f>
        <v/>
      </c>
      <c r="AL880" t="str">
        <f>IF($AK880="","",SUMIFS(OPERATING_COEFFS!$C:$C,OPERATING_COEFFS!$A:$A,"UrgencyClass",OPERATING_COEFFS!$B:$B,$AK880))</f>
        <v/>
      </c>
      <c r="AN880" t="str">
        <f>IF($AM880="","",INDEX(TAX_MODES!$B:$B,MATCH($AM880,TAX_MODES!$A:$A,0)))</f>
        <v/>
      </c>
    </row>
    <row r="881" spans="24:40" x14ac:dyDescent="0.3">
      <c r="X881" s="13"/>
      <c r="Y881" s="13" t="str">
        <f>IF($X881="","",SUMIFS(TARIFF_PROFILES!$D:$D,TARIFF_PROFILES!$A:$A,$X881))</f>
        <v/>
      </c>
      <c r="Z881" s="13" t="str">
        <f>IF($X881="","",SUMIFS(TARIFF_PROFILES!$E:$E,TARIFF_PROFILES!$A:$A,$X881))</f>
        <v/>
      </c>
      <c r="AA881" s="13" t="str">
        <f>IF($X881="","",SUMIFS(TARIFF_PROFILES!$F:$F,TARIFF_PROFILES!$A:$A,$X881))</f>
        <v/>
      </c>
      <c r="AB881" s="13" t="str">
        <f>IF($X881="","",SUMIFS(TARIFF_PROFILES!$G:$G,TARIFF_PROFILES!$A:$A,$X881))</f>
        <v/>
      </c>
      <c r="AC881" s="13" t="str">
        <f>IF($X881="","",SUMIFS(TARIFF_PROFILES!$H:$H,TARIFF_PROFILES!$A:$A,$X881))</f>
        <v/>
      </c>
      <c r="AD881" s="13" t="str">
        <f>IF($X881="","",INDEX(TARIFF_PROFILES!$J:$J,MATCH($X881,TARIFF_PROFILES!$A:$A,0)))</f>
        <v/>
      </c>
      <c r="AE881" s="13" t="str">
        <f>IF($X881="","",INDEX(TARIFF_PROFILES!$K:$K,MATCH($X881,TARIFF_PROFILES!$A:$A,0)))</f>
        <v/>
      </c>
      <c r="AH881" t="str">
        <f>IF($AG881="","",SUMIFS(OPERATING_COEFFS!$C:$C,OPERATING_COEFFS!$A:$A,"DistanceClass",OPERATING_COEFFS!$B:$B,$AG881))</f>
        <v/>
      </c>
      <c r="AJ881" t="str">
        <f>IF($AI881="","",SUMIFS(OPERATING_COEFFS!$C:$C,OPERATING_COEFFS!$A:$A,"SeasonClass",OPERATING_COEFFS!$B:$B,$AI881))</f>
        <v/>
      </c>
      <c r="AL881" t="str">
        <f>IF($AK881="","",SUMIFS(OPERATING_COEFFS!$C:$C,OPERATING_COEFFS!$A:$A,"UrgencyClass",OPERATING_COEFFS!$B:$B,$AK881))</f>
        <v/>
      </c>
      <c r="AN881" t="str">
        <f>IF($AM881="","",INDEX(TAX_MODES!$B:$B,MATCH($AM881,TAX_MODES!$A:$A,0)))</f>
        <v/>
      </c>
    </row>
    <row r="882" spans="24:40" x14ac:dyDescent="0.3">
      <c r="X882" s="13"/>
      <c r="Y882" s="13" t="str">
        <f>IF($X882="","",SUMIFS(TARIFF_PROFILES!$D:$D,TARIFF_PROFILES!$A:$A,$X882))</f>
        <v/>
      </c>
      <c r="Z882" s="13" t="str">
        <f>IF($X882="","",SUMIFS(TARIFF_PROFILES!$E:$E,TARIFF_PROFILES!$A:$A,$X882))</f>
        <v/>
      </c>
      <c r="AA882" s="13" t="str">
        <f>IF($X882="","",SUMIFS(TARIFF_PROFILES!$F:$F,TARIFF_PROFILES!$A:$A,$X882))</f>
        <v/>
      </c>
      <c r="AB882" s="13" t="str">
        <f>IF($X882="","",SUMIFS(TARIFF_PROFILES!$G:$G,TARIFF_PROFILES!$A:$A,$X882))</f>
        <v/>
      </c>
      <c r="AC882" s="13" t="str">
        <f>IF($X882="","",SUMIFS(TARIFF_PROFILES!$H:$H,TARIFF_PROFILES!$A:$A,$X882))</f>
        <v/>
      </c>
      <c r="AD882" s="13" t="str">
        <f>IF($X882="","",INDEX(TARIFF_PROFILES!$J:$J,MATCH($X882,TARIFF_PROFILES!$A:$A,0)))</f>
        <v/>
      </c>
      <c r="AE882" s="13" t="str">
        <f>IF($X882="","",INDEX(TARIFF_PROFILES!$K:$K,MATCH($X882,TARIFF_PROFILES!$A:$A,0)))</f>
        <v/>
      </c>
      <c r="AH882" t="str">
        <f>IF($AG882="","",SUMIFS(OPERATING_COEFFS!$C:$C,OPERATING_COEFFS!$A:$A,"DistanceClass",OPERATING_COEFFS!$B:$B,$AG882))</f>
        <v/>
      </c>
      <c r="AJ882" t="str">
        <f>IF($AI882="","",SUMIFS(OPERATING_COEFFS!$C:$C,OPERATING_COEFFS!$A:$A,"SeasonClass",OPERATING_COEFFS!$B:$B,$AI882))</f>
        <v/>
      </c>
      <c r="AL882" t="str">
        <f>IF($AK882="","",SUMIFS(OPERATING_COEFFS!$C:$C,OPERATING_COEFFS!$A:$A,"UrgencyClass",OPERATING_COEFFS!$B:$B,$AK882))</f>
        <v/>
      </c>
      <c r="AN882" t="str">
        <f>IF($AM882="","",INDEX(TAX_MODES!$B:$B,MATCH($AM882,TAX_MODES!$A:$A,0)))</f>
        <v/>
      </c>
    </row>
    <row r="883" spans="24:40" x14ac:dyDescent="0.3">
      <c r="X883" s="13"/>
      <c r="Y883" s="13" t="str">
        <f>IF($X883="","",SUMIFS(TARIFF_PROFILES!$D:$D,TARIFF_PROFILES!$A:$A,$X883))</f>
        <v/>
      </c>
      <c r="Z883" s="13" t="str">
        <f>IF($X883="","",SUMIFS(TARIFF_PROFILES!$E:$E,TARIFF_PROFILES!$A:$A,$X883))</f>
        <v/>
      </c>
      <c r="AA883" s="13" t="str">
        <f>IF($X883="","",SUMIFS(TARIFF_PROFILES!$F:$F,TARIFF_PROFILES!$A:$A,$X883))</f>
        <v/>
      </c>
      <c r="AB883" s="13" t="str">
        <f>IF($X883="","",SUMIFS(TARIFF_PROFILES!$G:$G,TARIFF_PROFILES!$A:$A,$X883))</f>
        <v/>
      </c>
      <c r="AC883" s="13" t="str">
        <f>IF($X883="","",SUMIFS(TARIFF_PROFILES!$H:$H,TARIFF_PROFILES!$A:$A,$X883))</f>
        <v/>
      </c>
      <c r="AD883" s="13" t="str">
        <f>IF($X883="","",INDEX(TARIFF_PROFILES!$J:$J,MATCH($X883,TARIFF_PROFILES!$A:$A,0)))</f>
        <v/>
      </c>
      <c r="AE883" s="13" t="str">
        <f>IF($X883="","",INDEX(TARIFF_PROFILES!$K:$K,MATCH($X883,TARIFF_PROFILES!$A:$A,0)))</f>
        <v/>
      </c>
      <c r="AH883" t="str">
        <f>IF($AG883="","",SUMIFS(OPERATING_COEFFS!$C:$C,OPERATING_COEFFS!$A:$A,"DistanceClass",OPERATING_COEFFS!$B:$B,$AG883))</f>
        <v/>
      </c>
      <c r="AJ883" t="str">
        <f>IF($AI883="","",SUMIFS(OPERATING_COEFFS!$C:$C,OPERATING_COEFFS!$A:$A,"SeasonClass",OPERATING_COEFFS!$B:$B,$AI883))</f>
        <v/>
      </c>
      <c r="AL883" t="str">
        <f>IF($AK883="","",SUMIFS(OPERATING_COEFFS!$C:$C,OPERATING_COEFFS!$A:$A,"UrgencyClass",OPERATING_COEFFS!$B:$B,$AK883))</f>
        <v/>
      </c>
      <c r="AN883" t="str">
        <f>IF($AM883="","",INDEX(TAX_MODES!$B:$B,MATCH($AM883,TAX_MODES!$A:$A,0)))</f>
        <v/>
      </c>
    </row>
    <row r="884" spans="24:40" x14ac:dyDescent="0.3">
      <c r="X884" s="13"/>
      <c r="Y884" s="13" t="str">
        <f>IF($X884="","",SUMIFS(TARIFF_PROFILES!$D:$D,TARIFF_PROFILES!$A:$A,$X884))</f>
        <v/>
      </c>
      <c r="Z884" s="13" t="str">
        <f>IF($X884="","",SUMIFS(TARIFF_PROFILES!$E:$E,TARIFF_PROFILES!$A:$A,$X884))</f>
        <v/>
      </c>
      <c r="AA884" s="13" t="str">
        <f>IF($X884="","",SUMIFS(TARIFF_PROFILES!$F:$F,TARIFF_PROFILES!$A:$A,$X884))</f>
        <v/>
      </c>
      <c r="AB884" s="13" t="str">
        <f>IF($X884="","",SUMIFS(TARIFF_PROFILES!$G:$G,TARIFF_PROFILES!$A:$A,$X884))</f>
        <v/>
      </c>
      <c r="AC884" s="13" t="str">
        <f>IF($X884="","",SUMIFS(TARIFF_PROFILES!$H:$H,TARIFF_PROFILES!$A:$A,$X884))</f>
        <v/>
      </c>
      <c r="AD884" s="13" t="str">
        <f>IF($X884="","",INDEX(TARIFF_PROFILES!$J:$J,MATCH($X884,TARIFF_PROFILES!$A:$A,0)))</f>
        <v/>
      </c>
      <c r="AE884" s="13" t="str">
        <f>IF($X884="","",INDEX(TARIFF_PROFILES!$K:$K,MATCH($X884,TARIFF_PROFILES!$A:$A,0)))</f>
        <v/>
      </c>
      <c r="AH884" t="str">
        <f>IF($AG884="","",SUMIFS(OPERATING_COEFFS!$C:$C,OPERATING_COEFFS!$A:$A,"DistanceClass",OPERATING_COEFFS!$B:$B,$AG884))</f>
        <v/>
      </c>
      <c r="AJ884" t="str">
        <f>IF($AI884="","",SUMIFS(OPERATING_COEFFS!$C:$C,OPERATING_COEFFS!$A:$A,"SeasonClass",OPERATING_COEFFS!$B:$B,$AI884))</f>
        <v/>
      </c>
      <c r="AL884" t="str">
        <f>IF($AK884="","",SUMIFS(OPERATING_COEFFS!$C:$C,OPERATING_COEFFS!$A:$A,"UrgencyClass",OPERATING_COEFFS!$B:$B,$AK884))</f>
        <v/>
      </c>
      <c r="AN884" t="str">
        <f>IF($AM884="","",INDEX(TAX_MODES!$B:$B,MATCH($AM884,TAX_MODES!$A:$A,0)))</f>
        <v/>
      </c>
    </row>
    <row r="885" spans="24:40" x14ac:dyDescent="0.3">
      <c r="X885" s="13"/>
      <c r="Y885" s="13" t="str">
        <f>IF($X885="","",SUMIFS(TARIFF_PROFILES!$D:$D,TARIFF_PROFILES!$A:$A,$X885))</f>
        <v/>
      </c>
      <c r="Z885" s="13" t="str">
        <f>IF($X885="","",SUMIFS(TARIFF_PROFILES!$E:$E,TARIFF_PROFILES!$A:$A,$X885))</f>
        <v/>
      </c>
      <c r="AA885" s="13" t="str">
        <f>IF($X885="","",SUMIFS(TARIFF_PROFILES!$F:$F,TARIFF_PROFILES!$A:$A,$X885))</f>
        <v/>
      </c>
      <c r="AB885" s="13" t="str">
        <f>IF($X885="","",SUMIFS(TARIFF_PROFILES!$G:$G,TARIFF_PROFILES!$A:$A,$X885))</f>
        <v/>
      </c>
      <c r="AC885" s="13" t="str">
        <f>IF($X885="","",SUMIFS(TARIFF_PROFILES!$H:$H,TARIFF_PROFILES!$A:$A,$X885))</f>
        <v/>
      </c>
      <c r="AD885" s="13" t="str">
        <f>IF($X885="","",INDEX(TARIFF_PROFILES!$J:$J,MATCH($X885,TARIFF_PROFILES!$A:$A,0)))</f>
        <v/>
      </c>
      <c r="AE885" s="13" t="str">
        <f>IF($X885="","",INDEX(TARIFF_PROFILES!$K:$K,MATCH($X885,TARIFF_PROFILES!$A:$A,0)))</f>
        <v/>
      </c>
      <c r="AH885" t="str">
        <f>IF($AG885="","",SUMIFS(OPERATING_COEFFS!$C:$C,OPERATING_COEFFS!$A:$A,"DistanceClass",OPERATING_COEFFS!$B:$B,$AG885))</f>
        <v/>
      </c>
      <c r="AJ885" t="str">
        <f>IF($AI885="","",SUMIFS(OPERATING_COEFFS!$C:$C,OPERATING_COEFFS!$A:$A,"SeasonClass",OPERATING_COEFFS!$B:$B,$AI885))</f>
        <v/>
      </c>
      <c r="AL885" t="str">
        <f>IF($AK885="","",SUMIFS(OPERATING_COEFFS!$C:$C,OPERATING_COEFFS!$A:$A,"UrgencyClass",OPERATING_COEFFS!$B:$B,$AK885))</f>
        <v/>
      </c>
      <c r="AN885" t="str">
        <f>IF($AM885="","",INDEX(TAX_MODES!$B:$B,MATCH($AM885,TAX_MODES!$A:$A,0)))</f>
        <v/>
      </c>
    </row>
    <row r="886" spans="24:40" x14ac:dyDescent="0.3">
      <c r="X886" s="13"/>
      <c r="Y886" s="13" t="str">
        <f>IF($X886="","",SUMIFS(TARIFF_PROFILES!$D:$D,TARIFF_PROFILES!$A:$A,$X886))</f>
        <v/>
      </c>
      <c r="Z886" s="13" t="str">
        <f>IF($X886="","",SUMIFS(TARIFF_PROFILES!$E:$E,TARIFF_PROFILES!$A:$A,$X886))</f>
        <v/>
      </c>
      <c r="AA886" s="13" t="str">
        <f>IF($X886="","",SUMIFS(TARIFF_PROFILES!$F:$F,TARIFF_PROFILES!$A:$A,$X886))</f>
        <v/>
      </c>
      <c r="AB886" s="13" t="str">
        <f>IF($X886="","",SUMIFS(TARIFF_PROFILES!$G:$G,TARIFF_PROFILES!$A:$A,$X886))</f>
        <v/>
      </c>
      <c r="AC886" s="13" t="str">
        <f>IF($X886="","",SUMIFS(TARIFF_PROFILES!$H:$H,TARIFF_PROFILES!$A:$A,$X886))</f>
        <v/>
      </c>
      <c r="AD886" s="13" t="str">
        <f>IF($X886="","",INDEX(TARIFF_PROFILES!$J:$J,MATCH($X886,TARIFF_PROFILES!$A:$A,0)))</f>
        <v/>
      </c>
      <c r="AE886" s="13" t="str">
        <f>IF($X886="","",INDEX(TARIFF_PROFILES!$K:$K,MATCH($X886,TARIFF_PROFILES!$A:$A,0)))</f>
        <v/>
      </c>
      <c r="AH886" t="str">
        <f>IF($AG886="","",SUMIFS(OPERATING_COEFFS!$C:$C,OPERATING_COEFFS!$A:$A,"DistanceClass",OPERATING_COEFFS!$B:$B,$AG886))</f>
        <v/>
      </c>
      <c r="AJ886" t="str">
        <f>IF($AI886="","",SUMIFS(OPERATING_COEFFS!$C:$C,OPERATING_COEFFS!$A:$A,"SeasonClass",OPERATING_COEFFS!$B:$B,$AI886))</f>
        <v/>
      </c>
      <c r="AL886" t="str">
        <f>IF($AK886="","",SUMIFS(OPERATING_COEFFS!$C:$C,OPERATING_COEFFS!$A:$A,"UrgencyClass",OPERATING_COEFFS!$B:$B,$AK886))</f>
        <v/>
      </c>
      <c r="AN886" t="str">
        <f>IF($AM886="","",INDEX(TAX_MODES!$B:$B,MATCH($AM886,TAX_MODES!$A:$A,0)))</f>
        <v/>
      </c>
    </row>
    <row r="887" spans="24:40" x14ac:dyDescent="0.3">
      <c r="X887" s="13"/>
      <c r="Y887" s="13" t="str">
        <f>IF($X887="","",SUMIFS(TARIFF_PROFILES!$D:$D,TARIFF_PROFILES!$A:$A,$X887))</f>
        <v/>
      </c>
      <c r="Z887" s="13" t="str">
        <f>IF($X887="","",SUMIFS(TARIFF_PROFILES!$E:$E,TARIFF_PROFILES!$A:$A,$X887))</f>
        <v/>
      </c>
      <c r="AA887" s="13" t="str">
        <f>IF($X887="","",SUMIFS(TARIFF_PROFILES!$F:$F,TARIFF_PROFILES!$A:$A,$X887))</f>
        <v/>
      </c>
      <c r="AB887" s="13" t="str">
        <f>IF($X887="","",SUMIFS(TARIFF_PROFILES!$G:$G,TARIFF_PROFILES!$A:$A,$X887))</f>
        <v/>
      </c>
      <c r="AC887" s="13" t="str">
        <f>IF($X887="","",SUMIFS(TARIFF_PROFILES!$H:$H,TARIFF_PROFILES!$A:$A,$X887))</f>
        <v/>
      </c>
      <c r="AD887" s="13" t="str">
        <f>IF($X887="","",INDEX(TARIFF_PROFILES!$J:$J,MATCH($X887,TARIFF_PROFILES!$A:$A,0)))</f>
        <v/>
      </c>
      <c r="AE887" s="13" t="str">
        <f>IF($X887="","",INDEX(TARIFF_PROFILES!$K:$K,MATCH($X887,TARIFF_PROFILES!$A:$A,0)))</f>
        <v/>
      </c>
      <c r="AH887" t="str">
        <f>IF($AG887="","",SUMIFS(OPERATING_COEFFS!$C:$C,OPERATING_COEFFS!$A:$A,"DistanceClass",OPERATING_COEFFS!$B:$B,$AG887))</f>
        <v/>
      </c>
      <c r="AJ887" t="str">
        <f>IF($AI887="","",SUMIFS(OPERATING_COEFFS!$C:$C,OPERATING_COEFFS!$A:$A,"SeasonClass",OPERATING_COEFFS!$B:$B,$AI887))</f>
        <v/>
      </c>
      <c r="AL887" t="str">
        <f>IF($AK887="","",SUMIFS(OPERATING_COEFFS!$C:$C,OPERATING_COEFFS!$A:$A,"UrgencyClass",OPERATING_COEFFS!$B:$B,$AK887))</f>
        <v/>
      </c>
      <c r="AN887" t="str">
        <f>IF($AM887="","",INDEX(TAX_MODES!$B:$B,MATCH($AM887,TAX_MODES!$A:$A,0)))</f>
        <v/>
      </c>
    </row>
    <row r="888" spans="24:40" x14ac:dyDescent="0.3">
      <c r="X888" s="13"/>
      <c r="Y888" s="13" t="str">
        <f>IF($X888="","",SUMIFS(TARIFF_PROFILES!$D:$D,TARIFF_PROFILES!$A:$A,$X888))</f>
        <v/>
      </c>
      <c r="Z888" s="13" t="str">
        <f>IF($X888="","",SUMIFS(TARIFF_PROFILES!$E:$E,TARIFF_PROFILES!$A:$A,$X888))</f>
        <v/>
      </c>
      <c r="AA888" s="13" t="str">
        <f>IF($X888="","",SUMIFS(TARIFF_PROFILES!$F:$F,TARIFF_PROFILES!$A:$A,$X888))</f>
        <v/>
      </c>
      <c r="AB888" s="13" t="str">
        <f>IF($X888="","",SUMIFS(TARIFF_PROFILES!$G:$G,TARIFF_PROFILES!$A:$A,$X888))</f>
        <v/>
      </c>
      <c r="AC888" s="13" t="str">
        <f>IF($X888="","",SUMIFS(TARIFF_PROFILES!$H:$H,TARIFF_PROFILES!$A:$A,$X888))</f>
        <v/>
      </c>
      <c r="AD888" s="13" t="str">
        <f>IF($X888="","",INDEX(TARIFF_PROFILES!$J:$J,MATCH($X888,TARIFF_PROFILES!$A:$A,0)))</f>
        <v/>
      </c>
      <c r="AE888" s="13" t="str">
        <f>IF($X888="","",INDEX(TARIFF_PROFILES!$K:$K,MATCH($X888,TARIFF_PROFILES!$A:$A,0)))</f>
        <v/>
      </c>
      <c r="AH888" t="str">
        <f>IF($AG888="","",SUMIFS(OPERATING_COEFFS!$C:$C,OPERATING_COEFFS!$A:$A,"DistanceClass",OPERATING_COEFFS!$B:$B,$AG888))</f>
        <v/>
      </c>
      <c r="AJ888" t="str">
        <f>IF($AI888="","",SUMIFS(OPERATING_COEFFS!$C:$C,OPERATING_COEFFS!$A:$A,"SeasonClass",OPERATING_COEFFS!$B:$B,$AI888))</f>
        <v/>
      </c>
      <c r="AL888" t="str">
        <f>IF($AK888="","",SUMIFS(OPERATING_COEFFS!$C:$C,OPERATING_COEFFS!$A:$A,"UrgencyClass",OPERATING_COEFFS!$B:$B,$AK888))</f>
        <v/>
      </c>
      <c r="AN888" t="str">
        <f>IF($AM888="","",INDEX(TAX_MODES!$B:$B,MATCH($AM888,TAX_MODES!$A:$A,0)))</f>
        <v/>
      </c>
    </row>
    <row r="889" spans="24:40" x14ac:dyDescent="0.3">
      <c r="X889" s="13"/>
      <c r="Y889" s="13" t="str">
        <f>IF($X889="","",SUMIFS(TARIFF_PROFILES!$D:$D,TARIFF_PROFILES!$A:$A,$X889))</f>
        <v/>
      </c>
      <c r="Z889" s="13" t="str">
        <f>IF($X889="","",SUMIFS(TARIFF_PROFILES!$E:$E,TARIFF_PROFILES!$A:$A,$X889))</f>
        <v/>
      </c>
      <c r="AA889" s="13" t="str">
        <f>IF($X889="","",SUMIFS(TARIFF_PROFILES!$F:$F,TARIFF_PROFILES!$A:$A,$X889))</f>
        <v/>
      </c>
      <c r="AB889" s="13" t="str">
        <f>IF($X889="","",SUMIFS(TARIFF_PROFILES!$G:$G,TARIFF_PROFILES!$A:$A,$X889))</f>
        <v/>
      </c>
      <c r="AC889" s="13" t="str">
        <f>IF($X889="","",SUMIFS(TARIFF_PROFILES!$H:$H,TARIFF_PROFILES!$A:$A,$X889))</f>
        <v/>
      </c>
      <c r="AD889" s="13" t="str">
        <f>IF($X889="","",INDEX(TARIFF_PROFILES!$J:$J,MATCH($X889,TARIFF_PROFILES!$A:$A,0)))</f>
        <v/>
      </c>
      <c r="AE889" s="13" t="str">
        <f>IF($X889="","",INDEX(TARIFF_PROFILES!$K:$K,MATCH($X889,TARIFF_PROFILES!$A:$A,0)))</f>
        <v/>
      </c>
      <c r="AH889" t="str">
        <f>IF($AG889="","",SUMIFS(OPERATING_COEFFS!$C:$C,OPERATING_COEFFS!$A:$A,"DistanceClass",OPERATING_COEFFS!$B:$B,$AG889))</f>
        <v/>
      </c>
      <c r="AJ889" t="str">
        <f>IF($AI889="","",SUMIFS(OPERATING_COEFFS!$C:$C,OPERATING_COEFFS!$A:$A,"SeasonClass",OPERATING_COEFFS!$B:$B,$AI889))</f>
        <v/>
      </c>
      <c r="AL889" t="str">
        <f>IF($AK889="","",SUMIFS(OPERATING_COEFFS!$C:$C,OPERATING_COEFFS!$A:$A,"UrgencyClass",OPERATING_COEFFS!$B:$B,$AK889))</f>
        <v/>
      </c>
      <c r="AN889" t="str">
        <f>IF($AM889="","",INDEX(TAX_MODES!$B:$B,MATCH($AM889,TAX_MODES!$A:$A,0)))</f>
        <v/>
      </c>
    </row>
    <row r="890" spans="24:40" x14ac:dyDescent="0.3">
      <c r="X890" s="13"/>
      <c r="Y890" s="13" t="str">
        <f>IF($X890="","",SUMIFS(TARIFF_PROFILES!$D:$D,TARIFF_PROFILES!$A:$A,$X890))</f>
        <v/>
      </c>
      <c r="Z890" s="13" t="str">
        <f>IF($X890="","",SUMIFS(TARIFF_PROFILES!$E:$E,TARIFF_PROFILES!$A:$A,$X890))</f>
        <v/>
      </c>
      <c r="AA890" s="13" t="str">
        <f>IF($X890="","",SUMIFS(TARIFF_PROFILES!$F:$F,TARIFF_PROFILES!$A:$A,$X890))</f>
        <v/>
      </c>
      <c r="AB890" s="13" t="str">
        <f>IF($X890="","",SUMIFS(TARIFF_PROFILES!$G:$G,TARIFF_PROFILES!$A:$A,$X890))</f>
        <v/>
      </c>
      <c r="AC890" s="13" t="str">
        <f>IF($X890="","",SUMIFS(TARIFF_PROFILES!$H:$H,TARIFF_PROFILES!$A:$A,$X890))</f>
        <v/>
      </c>
      <c r="AD890" s="13" t="str">
        <f>IF($X890="","",INDEX(TARIFF_PROFILES!$J:$J,MATCH($X890,TARIFF_PROFILES!$A:$A,0)))</f>
        <v/>
      </c>
      <c r="AE890" s="13" t="str">
        <f>IF($X890="","",INDEX(TARIFF_PROFILES!$K:$K,MATCH($X890,TARIFF_PROFILES!$A:$A,0)))</f>
        <v/>
      </c>
      <c r="AH890" t="str">
        <f>IF($AG890="","",SUMIFS(OPERATING_COEFFS!$C:$C,OPERATING_COEFFS!$A:$A,"DistanceClass",OPERATING_COEFFS!$B:$B,$AG890))</f>
        <v/>
      </c>
      <c r="AJ890" t="str">
        <f>IF($AI890="","",SUMIFS(OPERATING_COEFFS!$C:$C,OPERATING_COEFFS!$A:$A,"SeasonClass",OPERATING_COEFFS!$B:$B,$AI890))</f>
        <v/>
      </c>
      <c r="AL890" t="str">
        <f>IF($AK890="","",SUMIFS(OPERATING_COEFFS!$C:$C,OPERATING_COEFFS!$A:$A,"UrgencyClass",OPERATING_COEFFS!$B:$B,$AK890))</f>
        <v/>
      </c>
      <c r="AN890" t="str">
        <f>IF($AM890="","",INDEX(TAX_MODES!$B:$B,MATCH($AM890,TAX_MODES!$A:$A,0)))</f>
        <v/>
      </c>
    </row>
    <row r="891" spans="24:40" x14ac:dyDescent="0.3">
      <c r="X891" s="13"/>
      <c r="Y891" s="13" t="str">
        <f>IF($X891="","",SUMIFS(TARIFF_PROFILES!$D:$D,TARIFF_PROFILES!$A:$A,$X891))</f>
        <v/>
      </c>
      <c r="Z891" s="13" t="str">
        <f>IF($X891="","",SUMIFS(TARIFF_PROFILES!$E:$E,TARIFF_PROFILES!$A:$A,$X891))</f>
        <v/>
      </c>
      <c r="AA891" s="13" t="str">
        <f>IF($X891="","",SUMIFS(TARIFF_PROFILES!$F:$F,TARIFF_PROFILES!$A:$A,$X891))</f>
        <v/>
      </c>
      <c r="AB891" s="13" t="str">
        <f>IF($X891="","",SUMIFS(TARIFF_PROFILES!$G:$G,TARIFF_PROFILES!$A:$A,$X891))</f>
        <v/>
      </c>
      <c r="AC891" s="13" t="str">
        <f>IF($X891="","",SUMIFS(TARIFF_PROFILES!$H:$H,TARIFF_PROFILES!$A:$A,$X891))</f>
        <v/>
      </c>
      <c r="AD891" s="13" t="str">
        <f>IF($X891="","",INDEX(TARIFF_PROFILES!$J:$J,MATCH($X891,TARIFF_PROFILES!$A:$A,0)))</f>
        <v/>
      </c>
      <c r="AE891" s="13" t="str">
        <f>IF($X891="","",INDEX(TARIFF_PROFILES!$K:$K,MATCH($X891,TARIFF_PROFILES!$A:$A,0)))</f>
        <v/>
      </c>
      <c r="AH891" t="str">
        <f>IF($AG891="","",SUMIFS(OPERATING_COEFFS!$C:$C,OPERATING_COEFFS!$A:$A,"DistanceClass",OPERATING_COEFFS!$B:$B,$AG891))</f>
        <v/>
      </c>
      <c r="AJ891" t="str">
        <f>IF($AI891="","",SUMIFS(OPERATING_COEFFS!$C:$C,OPERATING_COEFFS!$A:$A,"SeasonClass",OPERATING_COEFFS!$B:$B,$AI891))</f>
        <v/>
      </c>
      <c r="AL891" t="str">
        <f>IF($AK891="","",SUMIFS(OPERATING_COEFFS!$C:$C,OPERATING_COEFFS!$A:$A,"UrgencyClass",OPERATING_COEFFS!$B:$B,$AK891))</f>
        <v/>
      </c>
      <c r="AN891" t="str">
        <f>IF($AM891="","",INDEX(TAX_MODES!$B:$B,MATCH($AM891,TAX_MODES!$A:$A,0)))</f>
        <v/>
      </c>
    </row>
    <row r="892" spans="24:40" x14ac:dyDescent="0.3">
      <c r="X892" s="13"/>
      <c r="Y892" s="13" t="str">
        <f>IF($X892="","",SUMIFS(TARIFF_PROFILES!$D:$D,TARIFF_PROFILES!$A:$A,$X892))</f>
        <v/>
      </c>
      <c r="Z892" s="13" t="str">
        <f>IF($X892="","",SUMIFS(TARIFF_PROFILES!$E:$E,TARIFF_PROFILES!$A:$A,$X892))</f>
        <v/>
      </c>
      <c r="AA892" s="13" t="str">
        <f>IF($X892="","",SUMIFS(TARIFF_PROFILES!$F:$F,TARIFF_PROFILES!$A:$A,$X892))</f>
        <v/>
      </c>
      <c r="AB892" s="13" t="str">
        <f>IF($X892="","",SUMIFS(TARIFF_PROFILES!$G:$G,TARIFF_PROFILES!$A:$A,$X892))</f>
        <v/>
      </c>
      <c r="AC892" s="13" t="str">
        <f>IF($X892="","",SUMIFS(TARIFF_PROFILES!$H:$H,TARIFF_PROFILES!$A:$A,$X892))</f>
        <v/>
      </c>
      <c r="AD892" s="13" t="str">
        <f>IF($X892="","",INDEX(TARIFF_PROFILES!$J:$J,MATCH($X892,TARIFF_PROFILES!$A:$A,0)))</f>
        <v/>
      </c>
      <c r="AE892" s="13" t="str">
        <f>IF($X892="","",INDEX(TARIFF_PROFILES!$K:$K,MATCH($X892,TARIFF_PROFILES!$A:$A,0)))</f>
        <v/>
      </c>
      <c r="AH892" t="str">
        <f>IF($AG892="","",SUMIFS(OPERATING_COEFFS!$C:$C,OPERATING_COEFFS!$A:$A,"DistanceClass",OPERATING_COEFFS!$B:$B,$AG892))</f>
        <v/>
      </c>
      <c r="AJ892" t="str">
        <f>IF($AI892="","",SUMIFS(OPERATING_COEFFS!$C:$C,OPERATING_COEFFS!$A:$A,"SeasonClass",OPERATING_COEFFS!$B:$B,$AI892))</f>
        <v/>
      </c>
      <c r="AL892" t="str">
        <f>IF($AK892="","",SUMIFS(OPERATING_COEFFS!$C:$C,OPERATING_COEFFS!$A:$A,"UrgencyClass",OPERATING_COEFFS!$B:$B,$AK892))</f>
        <v/>
      </c>
      <c r="AN892" t="str">
        <f>IF($AM892="","",INDEX(TAX_MODES!$B:$B,MATCH($AM892,TAX_MODES!$A:$A,0)))</f>
        <v/>
      </c>
    </row>
    <row r="893" spans="24:40" x14ac:dyDescent="0.3">
      <c r="X893" s="13"/>
      <c r="Y893" s="13" t="str">
        <f>IF($X893="","",SUMIFS(TARIFF_PROFILES!$D:$D,TARIFF_PROFILES!$A:$A,$X893))</f>
        <v/>
      </c>
      <c r="Z893" s="13" t="str">
        <f>IF($X893="","",SUMIFS(TARIFF_PROFILES!$E:$E,TARIFF_PROFILES!$A:$A,$X893))</f>
        <v/>
      </c>
      <c r="AA893" s="13" t="str">
        <f>IF($X893="","",SUMIFS(TARIFF_PROFILES!$F:$F,TARIFF_PROFILES!$A:$A,$X893))</f>
        <v/>
      </c>
      <c r="AB893" s="13" t="str">
        <f>IF($X893="","",SUMIFS(TARIFF_PROFILES!$G:$G,TARIFF_PROFILES!$A:$A,$X893))</f>
        <v/>
      </c>
      <c r="AC893" s="13" t="str">
        <f>IF($X893="","",SUMIFS(TARIFF_PROFILES!$H:$H,TARIFF_PROFILES!$A:$A,$X893))</f>
        <v/>
      </c>
      <c r="AD893" s="13" t="str">
        <f>IF($X893="","",INDEX(TARIFF_PROFILES!$J:$J,MATCH($X893,TARIFF_PROFILES!$A:$A,0)))</f>
        <v/>
      </c>
      <c r="AE893" s="13" t="str">
        <f>IF($X893="","",INDEX(TARIFF_PROFILES!$K:$K,MATCH($X893,TARIFF_PROFILES!$A:$A,0)))</f>
        <v/>
      </c>
      <c r="AH893" t="str">
        <f>IF($AG893="","",SUMIFS(OPERATING_COEFFS!$C:$C,OPERATING_COEFFS!$A:$A,"DistanceClass",OPERATING_COEFFS!$B:$B,$AG893))</f>
        <v/>
      </c>
      <c r="AJ893" t="str">
        <f>IF($AI893="","",SUMIFS(OPERATING_COEFFS!$C:$C,OPERATING_COEFFS!$A:$A,"SeasonClass",OPERATING_COEFFS!$B:$B,$AI893))</f>
        <v/>
      </c>
      <c r="AL893" t="str">
        <f>IF($AK893="","",SUMIFS(OPERATING_COEFFS!$C:$C,OPERATING_COEFFS!$A:$A,"UrgencyClass",OPERATING_COEFFS!$B:$B,$AK893))</f>
        <v/>
      </c>
      <c r="AN893" t="str">
        <f>IF($AM893="","",INDEX(TAX_MODES!$B:$B,MATCH($AM893,TAX_MODES!$A:$A,0)))</f>
        <v/>
      </c>
    </row>
    <row r="894" spans="24:40" x14ac:dyDescent="0.3">
      <c r="X894" s="13"/>
      <c r="Y894" s="13" t="str">
        <f>IF($X894="","",SUMIFS(TARIFF_PROFILES!$D:$D,TARIFF_PROFILES!$A:$A,$X894))</f>
        <v/>
      </c>
      <c r="Z894" s="13" t="str">
        <f>IF($X894="","",SUMIFS(TARIFF_PROFILES!$E:$E,TARIFF_PROFILES!$A:$A,$X894))</f>
        <v/>
      </c>
      <c r="AA894" s="13" t="str">
        <f>IF($X894="","",SUMIFS(TARIFF_PROFILES!$F:$F,TARIFF_PROFILES!$A:$A,$X894))</f>
        <v/>
      </c>
      <c r="AB894" s="13" t="str">
        <f>IF($X894="","",SUMIFS(TARIFF_PROFILES!$G:$G,TARIFF_PROFILES!$A:$A,$X894))</f>
        <v/>
      </c>
      <c r="AC894" s="13" t="str">
        <f>IF($X894="","",SUMIFS(TARIFF_PROFILES!$H:$H,TARIFF_PROFILES!$A:$A,$X894))</f>
        <v/>
      </c>
      <c r="AD894" s="13" t="str">
        <f>IF($X894="","",INDEX(TARIFF_PROFILES!$J:$J,MATCH($X894,TARIFF_PROFILES!$A:$A,0)))</f>
        <v/>
      </c>
      <c r="AE894" s="13" t="str">
        <f>IF($X894="","",INDEX(TARIFF_PROFILES!$K:$K,MATCH($X894,TARIFF_PROFILES!$A:$A,0)))</f>
        <v/>
      </c>
      <c r="AH894" t="str">
        <f>IF($AG894="","",SUMIFS(OPERATING_COEFFS!$C:$C,OPERATING_COEFFS!$A:$A,"DistanceClass",OPERATING_COEFFS!$B:$B,$AG894))</f>
        <v/>
      </c>
      <c r="AJ894" t="str">
        <f>IF($AI894="","",SUMIFS(OPERATING_COEFFS!$C:$C,OPERATING_COEFFS!$A:$A,"SeasonClass",OPERATING_COEFFS!$B:$B,$AI894))</f>
        <v/>
      </c>
      <c r="AL894" t="str">
        <f>IF($AK894="","",SUMIFS(OPERATING_COEFFS!$C:$C,OPERATING_COEFFS!$A:$A,"UrgencyClass",OPERATING_COEFFS!$B:$B,$AK894))</f>
        <v/>
      </c>
      <c r="AN894" t="str">
        <f>IF($AM894="","",INDEX(TAX_MODES!$B:$B,MATCH($AM894,TAX_MODES!$A:$A,0)))</f>
        <v/>
      </c>
    </row>
    <row r="895" spans="24:40" x14ac:dyDescent="0.3">
      <c r="X895" s="13"/>
      <c r="Y895" s="13" t="str">
        <f>IF($X895="","",SUMIFS(TARIFF_PROFILES!$D:$D,TARIFF_PROFILES!$A:$A,$X895))</f>
        <v/>
      </c>
      <c r="Z895" s="13" t="str">
        <f>IF($X895="","",SUMIFS(TARIFF_PROFILES!$E:$E,TARIFF_PROFILES!$A:$A,$X895))</f>
        <v/>
      </c>
      <c r="AA895" s="13" t="str">
        <f>IF($X895="","",SUMIFS(TARIFF_PROFILES!$F:$F,TARIFF_PROFILES!$A:$A,$X895))</f>
        <v/>
      </c>
      <c r="AB895" s="13" t="str">
        <f>IF($X895="","",SUMIFS(TARIFF_PROFILES!$G:$G,TARIFF_PROFILES!$A:$A,$X895))</f>
        <v/>
      </c>
      <c r="AC895" s="13" t="str">
        <f>IF($X895="","",SUMIFS(TARIFF_PROFILES!$H:$H,TARIFF_PROFILES!$A:$A,$X895))</f>
        <v/>
      </c>
      <c r="AD895" s="13" t="str">
        <f>IF($X895="","",INDEX(TARIFF_PROFILES!$J:$J,MATCH($X895,TARIFF_PROFILES!$A:$A,0)))</f>
        <v/>
      </c>
      <c r="AE895" s="13" t="str">
        <f>IF($X895="","",INDEX(TARIFF_PROFILES!$K:$K,MATCH($X895,TARIFF_PROFILES!$A:$A,0)))</f>
        <v/>
      </c>
      <c r="AH895" t="str">
        <f>IF($AG895="","",SUMIFS(OPERATING_COEFFS!$C:$C,OPERATING_COEFFS!$A:$A,"DistanceClass",OPERATING_COEFFS!$B:$B,$AG895))</f>
        <v/>
      </c>
      <c r="AJ895" t="str">
        <f>IF($AI895="","",SUMIFS(OPERATING_COEFFS!$C:$C,OPERATING_COEFFS!$A:$A,"SeasonClass",OPERATING_COEFFS!$B:$B,$AI895))</f>
        <v/>
      </c>
      <c r="AL895" t="str">
        <f>IF($AK895="","",SUMIFS(OPERATING_COEFFS!$C:$C,OPERATING_COEFFS!$A:$A,"UrgencyClass",OPERATING_COEFFS!$B:$B,$AK895))</f>
        <v/>
      </c>
      <c r="AN895" t="str">
        <f>IF($AM895="","",INDEX(TAX_MODES!$B:$B,MATCH($AM895,TAX_MODES!$A:$A,0)))</f>
        <v/>
      </c>
    </row>
    <row r="896" spans="24:40" x14ac:dyDescent="0.3">
      <c r="X896" s="13"/>
      <c r="Y896" s="13" t="str">
        <f>IF($X896="","",SUMIFS(TARIFF_PROFILES!$D:$D,TARIFF_PROFILES!$A:$A,$X896))</f>
        <v/>
      </c>
      <c r="Z896" s="13" t="str">
        <f>IF($X896="","",SUMIFS(TARIFF_PROFILES!$E:$E,TARIFF_PROFILES!$A:$A,$X896))</f>
        <v/>
      </c>
      <c r="AA896" s="13" t="str">
        <f>IF($X896="","",SUMIFS(TARIFF_PROFILES!$F:$F,TARIFF_PROFILES!$A:$A,$X896))</f>
        <v/>
      </c>
      <c r="AB896" s="13" t="str">
        <f>IF($X896="","",SUMIFS(TARIFF_PROFILES!$G:$G,TARIFF_PROFILES!$A:$A,$X896))</f>
        <v/>
      </c>
      <c r="AC896" s="13" t="str">
        <f>IF($X896="","",SUMIFS(TARIFF_PROFILES!$H:$H,TARIFF_PROFILES!$A:$A,$X896))</f>
        <v/>
      </c>
      <c r="AD896" s="13" t="str">
        <f>IF($X896="","",INDEX(TARIFF_PROFILES!$J:$J,MATCH($X896,TARIFF_PROFILES!$A:$A,0)))</f>
        <v/>
      </c>
      <c r="AE896" s="13" t="str">
        <f>IF($X896="","",INDEX(TARIFF_PROFILES!$K:$K,MATCH($X896,TARIFF_PROFILES!$A:$A,0)))</f>
        <v/>
      </c>
      <c r="AH896" t="str">
        <f>IF($AG896="","",SUMIFS(OPERATING_COEFFS!$C:$C,OPERATING_COEFFS!$A:$A,"DistanceClass",OPERATING_COEFFS!$B:$B,$AG896))</f>
        <v/>
      </c>
      <c r="AJ896" t="str">
        <f>IF($AI896="","",SUMIFS(OPERATING_COEFFS!$C:$C,OPERATING_COEFFS!$A:$A,"SeasonClass",OPERATING_COEFFS!$B:$B,$AI896))</f>
        <v/>
      </c>
      <c r="AL896" t="str">
        <f>IF($AK896="","",SUMIFS(OPERATING_COEFFS!$C:$C,OPERATING_COEFFS!$A:$A,"UrgencyClass",OPERATING_COEFFS!$B:$B,$AK896))</f>
        <v/>
      </c>
      <c r="AN896" t="str">
        <f>IF($AM896="","",INDEX(TAX_MODES!$B:$B,MATCH($AM896,TAX_MODES!$A:$A,0)))</f>
        <v/>
      </c>
    </row>
    <row r="897" spans="24:40" x14ac:dyDescent="0.3">
      <c r="X897" s="13"/>
      <c r="Y897" s="13" t="str">
        <f>IF($X897="","",SUMIFS(TARIFF_PROFILES!$D:$D,TARIFF_PROFILES!$A:$A,$X897))</f>
        <v/>
      </c>
      <c r="Z897" s="13" t="str">
        <f>IF($X897="","",SUMIFS(TARIFF_PROFILES!$E:$E,TARIFF_PROFILES!$A:$A,$X897))</f>
        <v/>
      </c>
      <c r="AA897" s="13" t="str">
        <f>IF($X897="","",SUMIFS(TARIFF_PROFILES!$F:$F,TARIFF_PROFILES!$A:$A,$X897))</f>
        <v/>
      </c>
      <c r="AB897" s="13" t="str">
        <f>IF($X897="","",SUMIFS(TARIFF_PROFILES!$G:$G,TARIFF_PROFILES!$A:$A,$X897))</f>
        <v/>
      </c>
      <c r="AC897" s="13" t="str">
        <f>IF($X897="","",SUMIFS(TARIFF_PROFILES!$H:$H,TARIFF_PROFILES!$A:$A,$X897))</f>
        <v/>
      </c>
      <c r="AD897" s="13" t="str">
        <f>IF($X897="","",INDEX(TARIFF_PROFILES!$J:$J,MATCH($X897,TARIFF_PROFILES!$A:$A,0)))</f>
        <v/>
      </c>
      <c r="AE897" s="13" t="str">
        <f>IF($X897="","",INDEX(TARIFF_PROFILES!$K:$K,MATCH($X897,TARIFF_PROFILES!$A:$A,0)))</f>
        <v/>
      </c>
      <c r="AH897" t="str">
        <f>IF($AG897="","",SUMIFS(OPERATING_COEFFS!$C:$C,OPERATING_COEFFS!$A:$A,"DistanceClass",OPERATING_COEFFS!$B:$B,$AG897))</f>
        <v/>
      </c>
      <c r="AJ897" t="str">
        <f>IF($AI897="","",SUMIFS(OPERATING_COEFFS!$C:$C,OPERATING_COEFFS!$A:$A,"SeasonClass",OPERATING_COEFFS!$B:$B,$AI897))</f>
        <v/>
      </c>
      <c r="AL897" t="str">
        <f>IF($AK897="","",SUMIFS(OPERATING_COEFFS!$C:$C,OPERATING_COEFFS!$A:$A,"UrgencyClass",OPERATING_COEFFS!$B:$B,$AK897))</f>
        <v/>
      </c>
      <c r="AN897" t="str">
        <f>IF($AM897="","",INDEX(TAX_MODES!$B:$B,MATCH($AM897,TAX_MODES!$A:$A,0)))</f>
        <v/>
      </c>
    </row>
    <row r="898" spans="24:40" x14ac:dyDescent="0.3">
      <c r="X898" s="13"/>
      <c r="Y898" s="13" t="str">
        <f>IF($X898="","",SUMIFS(TARIFF_PROFILES!$D:$D,TARIFF_PROFILES!$A:$A,$X898))</f>
        <v/>
      </c>
      <c r="Z898" s="13" t="str">
        <f>IF($X898="","",SUMIFS(TARIFF_PROFILES!$E:$E,TARIFF_PROFILES!$A:$A,$X898))</f>
        <v/>
      </c>
      <c r="AA898" s="13" t="str">
        <f>IF($X898="","",SUMIFS(TARIFF_PROFILES!$F:$F,TARIFF_PROFILES!$A:$A,$X898))</f>
        <v/>
      </c>
      <c r="AB898" s="13" t="str">
        <f>IF($X898="","",SUMIFS(TARIFF_PROFILES!$G:$G,TARIFF_PROFILES!$A:$A,$X898))</f>
        <v/>
      </c>
      <c r="AC898" s="13" t="str">
        <f>IF($X898="","",SUMIFS(TARIFF_PROFILES!$H:$H,TARIFF_PROFILES!$A:$A,$X898))</f>
        <v/>
      </c>
      <c r="AD898" s="13" t="str">
        <f>IF($X898="","",INDEX(TARIFF_PROFILES!$J:$J,MATCH($X898,TARIFF_PROFILES!$A:$A,0)))</f>
        <v/>
      </c>
      <c r="AE898" s="13" t="str">
        <f>IF($X898="","",INDEX(TARIFF_PROFILES!$K:$K,MATCH($X898,TARIFF_PROFILES!$A:$A,0)))</f>
        <v/>
      </c>
      <c r="AH898" t="str">
        <f>IF($AG898="","",SUMIFS(OPERATING_COEFFS!$C:$C,OPERATING_COEFFS!$A:$A,"DistanceClass",OPERATING_COEFFS!$B:$B,$AG898))</f>
        <v/>
      </c>
      <c r="AJ898" t="str">
        <f>IF($AI898="","",SUMIFS(OPERATING_COEFFS!$C:$C,OPERATING_COEFFS!$A:$A,"SeasonClass",OPERATING_COEFFS!$B:$B,$AI898))</f>
        <v/>
      </c>
      <c r="AL898" t="str">
        <f>IF($AK898="","",SUMIFS(OPERATING_COEFFS!$C:$C,OPERATING_COEFFS!$A:$A,"UrgencyClass",OPERATING_COEFFS!$B:$B,$AK898))</f>
        <v/>
      </c>
      <c r="AN898" t="str">
        <f>IF($AM898="","",INDEX(TAX_MODES!$B:$B,MATCH($AM898,TAX_MODES!$A:$A,0)))</f>
        <v/>
      </c>
    </row>
    <row r="899" spans="24:40" x14ac:dyDescent="0.3">
      <c r="X899" s="13"/>
      <c r="Y899" s="13" t="str">
        <f>IF($X899="","",SUMIFS(TARIFF_PROFILES!$D:$D,TARIFF_PROFILES!$A:$A,$X899))</f>
        <v/>
      </c>
      <c r="Z899" s="13" t="str">
        <f>IF($X899="","",SUMIFS(TARIFF_PROFILES!$E:$E,TARIFF_PROFILES!$A:$A,$X899))</f>
        <v/>
      </c>
      <c r="AA899" s="13" t="str">
        <f>IF($X899="","",SUMIFS(TARIFF_PROFILES!$F:$F,TARIFF_PROFILES!$A:$A,$X899))</f>
        <v/>
      </c>
      <c r="AB899" s="13" t="str">
        <f>IF($X899="","",SUMIFS(TARIFF_PROFILES!$G:$G,TARIFF_PROFILES!$A:$A,$X899))</f>
        <v/>
      </c>
      <c r="AC899" s="13" t="str">
        <f>IF($X899="","",SUMIFS(TARIFF_PROFILES!$H:$H,TARIFF_PROFILES!$A:$A,$X899))</f>
        <v/>
      </c>
      <c r="AD899" s="13" t="str">
        <f>IF($X899="","",INDEX(TARIFF_PROFILES!$J:$J,MATCH($X899,TARIFF_PROFILES!$A:$A,0)))</f>
        <v/>
      </c>
      <c r="AE899" s="13" t="str">
        <f>IF($X899="","",INDEX(TARIFF_PROFILES!$K:$K,MATCH($X899,TARIFF_PROFILES!$A:$A,0)))</f>
        <v/>
      </c>
      <c r="AH899" t="str">
        <f>IF($AG899="","",SUMIFS(OPERATING_COEFFS!$C:$C,OPERATING_COEFFS!$A:$A,"DistanceClass",OPERATING_COEFFS!$B:$B,$AG899))</f>
        <v/>
      </c>
      <c r="AJ899" t="str">
        <f>IF($AI899="","",SUMIFS(OPERATING_COEFFS!$C:$C,OPERATING_COEFFS!$A:$A,"SeasonClass",OPERATING_COEFFS!$B:$B,$AI899))</f>
        <v/>
      </c>
      <c r="AL899" t="str">
        <f>IF($AK899="","",SUMIFS(OPERATING_COEFFS!$C:$C,OPERATING_COEFFS!$A:$A,"UrgencyClass",OPERATING_COEFFS!$B:$B,$AK899))</f>
        <v/>
      </c>
      <c r="AN899" t="str">
        <f>IF($AM899="","",INDEX(TAX_MODES!$B:$B,MATCH($AM899,TAX_MODES!$A:$A,0)))</f>
        <v/>
      </c>
    </row>
    <row r="900" spans="24:40" x14ac:dyDescent="0.3">
      <c r="X900" s="13"/>
      <c r="Y900" s="13" t="str">
        <f>IF($X900="","",SUMIFS(TARIFF_PROFILES!$D:$D,TARIFF_PROFILES!$A:$A,$X900))</f>
        <v/>
      </c>
      <c r="Z900" s="13" t="str">
        <f>IF($X900="","",SUMIFS(TARIFF_PROFILES!$E:$E,TARIFF_PROFILES!$A:$A,$X900))</f>
        <v/>
      </c>
      <c r="AA900" s="13" t="str">
        <f>IF($X900="","",SUMIFS(TARIFF_PROFILES!$F:$F,TARIFF_PROFILES!$A:$A,$X900))</f>
        <v/>
      </c>
      <c r="AB900" s="13" t="str">
        <f>IF($X900="","",SUMIFS(TARIFF_PROFILES!$G:$G,TARIFF_PROFILES!$A:$A,$X900))</f>
        <v/>
      </c>
      <c r="AC900" s="13" t="str">
        <f>IF($X900="","",SUMIFS(TARIFF_PROFILES!$H:$H,TARIFF_PROFILES!$A:$A,$X900))</f>
        <v/>
      </c>
      <c r="AD900" s="13" t="str">
        <f>IF($X900="","",INDEX(TARIFF_PROFILES!$J:$J,MATCH($X900,TARIFF_PROFILES!$A:$A,0)))</f>
        <v/>
      </c>
      <c r="AE900" s="13" t="str">
        <f>IF($X900="","",INDEX(TARIFF_PROFILES!$K:$K,MATCH($X900,TARIFF_PROFILES!$A:$A,0)))</f>
        <v/>
      </c>
      <c r="AH900" t="str">
        <f>IF($AG900="","",SUMIFS(OPERATING_COEFFS!$C:$C,OPERATING_COEFFS!$A:$A,"DistanceClass",OPERATING_COEFFS!$B:$B,$AG900))</f>
        <v/>
      </c>
      <c r="AJ900" t="str">
        <f>IF($AI900="","",SUMIFS(OPERATING_COEFFS!$C:$C,OPERATING_COEFFS!$A:$A,"SeasonClass",OPERATING_COEFFS!$B:$B,$AI900))</f>
        <v/>
      </c>
      <c r="AL900" t="str">
        <f>IF($AK900="","",SUMIFS(OPERATING_COEFFS!$C:$C,OPERATING_COEFFS!$A:$A,"UrgencyClass",OPERATING_COEFFS!$B:$B,$AK900))</f>
        <v/>
      </c>
      <c r="AN900" t="str">
        <f>IF($AM900="","",INDEX(TAX_MODES!$B:$B,MATCH($AM900,TAX_MODES!$A:$A,0)))</f>
        <v/>
      </c>
    </row>
    <row r="901" spans="24:40" x14ac:dyDescent="0.3">
      <c r="X901" s="13"/>
      <c r="Y901" s="13" t="str">
        <f>IF($X901="","",SUMIFS(TARIFF_PROFILES!$D:$D,TARIFF_PROFILES!$A:$A,$X901))</f>
        <v/>
      </c>
      <c r="Z901" s="13" t="str">
        <f>IF($X901="","",SUMIFS(TARIFF_PROFILES!$E:$E,TARIFF_PROFILES!$A:$A,$X901))</f>
        <v/>
      </c>
      <c r="AA901" s="13" t="str">
        <f>IF($X901="","",SUMIFS(TARIFF_PROFILES!$F:$F,TARIFF_PROFILES!$A:$A,$X901))</f>
        <v/>
      </c>
      <c r="AB901" s="13" t="str">
        <f>IF($X901="","",SUMIFS(TARIFF_PROFILES!$G:$G,TARIFF_PROFILES!$A:$A,$X901))</f>
        <v/>
      </c>
      <c r="AC901" s="13" t="str">
        <f>IF($X901="","",SUMIFS(TARIFF_PROFILES!$H:$H,TARIFF_PROFILES!$A:$A,$X901))</f>
        <v/>
      </c>
      <c r="AD901" s="13" t="str">
        <f>IF($X901="","",INDEX(TARIFF_PROFILES!$J:$J,MATCH($X901,TARIFF_PROFILES!$A:$A,0)))</f>
        <v/>
      </c>
      <c r="AE901" s="13" t="str">
        <f>IF($X901="","",INDEX(TARIFF_PROFILES!$K:$K,MATCH($X901,TARIFF_PROFILES!$A:$A,0)))</f>
        <v/>
      </c>
      <c r="AH901" t="str">
        <f>IF($AG901="","",SUMIFS(OPERATING_COEFFS!$C:$C,OPERATING_COEFFS!$A:$A,"DistanceClass",OPERATING_COEFFS!$B:$B,$AG901))</f>
        <v/>
      </c>
      <c r="AJ901" t="str">
        <f>IF($AI901="","",SUMIFS(OPERATING_COEFFS!$C:$C,OPERATING_COEFFS!$A:$A,"SeasonClass",OPERATING_COEFFS!$B:$B,$AI901))</f>
        <v/>
      </c>
      <c r="AL901" t="str">
        <f>IF($AK901="","",SUMIFS(OPERATING_COEFFS!$C:$C,OPERATING_COEFFS!$A:$A,"UrgencyClass",OPERATING_COEFFS!$B:$B,$AK901))</f>
        <v/>
      </c>
      <c r="AN901" t="str">
        <f>IF($AM901="","",INDEX(TAX_MODES!$B:$B,MATCH($AM901,TAX_MODES!$A:$A,0)))</f>
        <v/>
      </c>
    </row>
    <row r="902" spans="24:40" x14ac:dyDescent="0.3">
      <c r="X902" s="13"/>
      <c r="Y902" s="13" t="str">
        <f>IF($X902="","",SUMIFS(TARIFF_PROFILES!$D:$D,TARIFF_PROFILES!$A:$A,$X902))</f>
        <v/>
      </c>
      <c r="Z902" s="13" t="str">
        <f>IF($X902="","",SUMIFS(TARIFF_PROFILES!$E:$E,TARIFF_PROFILES!$A:$A,$X902))</f>
        <v/>
      </c>
      <c r="AA902" s="13" t="str">
        <f>IF($X902="","",SUMIFS(TARIFF_PROFILES!$F:$F,TARIFF_PROFILES!$A:$A,$X902))</f>
        <v/>
      </c>
      <c r="AB902" s="13" t="str">
        <f>IF($X902="","",SUMIFS(TARIFF_PROFILES!$G:$G,TARIFF_PROFILES!$A:$A,$X902))</f>
        <v/>
      </c>
      <c r="AC902" s="13" t="str">
        <f>IF($X902="","",SUMIFS(TARIFF_PROFILES!$H:$H,TARIFF_PROFILES!$A:$A,$X902))</f>
        <v/>
      </c>
      <c r="AD902" s="13" t="str">
        <f>IF($X902="","",INDEX(TARIFF_PROFILES!$J:$J,MATCH($X902,TARIFF_PROFILES!$A:$A,0)))</f>
        <v/>
      </c>
      <c r="AE902" s="13" t="str">
        <f>IF($X902="","",INDEX(TARIFF_PROFILES!$K:$K,MATCH($X902,TARIFF_PROFILES!$A:$A,0)))</f>
        <v/>
      </c>
      <c r="AH902" t="str">
        <f>IF($AG902="","",SUMIFS(OPERATING_COEFFS!$C:$C,OPERATING_COEFFS!$A:$A,"DistanceClass",OPERATING_COEFFS!$B:$B,$AG902))</f>
        <v/>
      </c>
      <c r="AJ902" t="str">
        <f>IF($AI902="","",SUMIFS(OPERATING_COEFFS!$C:$C,OPERATING_COEFFS!$A:$A,"SeasonClass",OPERATING_COEFFS!$B:$B,$AI902))</f>
        <v/>
      </c>
      <c r="AL902" t="str">
        <f>IF($AK902="","",SUMIFS(OPERATING_COEFFS!$C:$C,OPERATING_COEFFS!$A:$A,"UrgencyClass",OPERATING_COEFFS!$B:$B,$AK902))</f>
        <v/>
      </c>
      <c r="AN902" t="str">
        <f>IF($AM902="","",INDEX(TAX_MODES!$B:$B,MATCH($AM902,TAX_MODES!$A:$A,0)))</f>
        <v/>
      </c>
    </row>
    <row r="903" spans="24:40" x14ac:dyDescent="0.3">
      <c r="X903" s="13"/>
      <c r="Y903" s="13" t="str">
        <f>IF($X903="","",SUMIFS(TARIFF_PROFILES!$D:$D,TARIFF_PROFILES!$A:$A,$X903))</f>
        <v/>
      </c>
      <c r="Z903" s="13" t="str">
        <f>IF($X903="","",SUMIFS(TARIFF_PROFILES!$E:$E,TARIFF_PROFILES!$A:$A,$X903))</f>
        <v/>
      </c>
      <c r="AA903" s="13" t="str">
        <f>IF($X903="","",SUMIFS(TARIFF_PROFILES!$F:$F,TARIFF_PROFILES!$A:$A,$X903))</f>
        <v/>
      </c>
      <c r="AB903" s="13" t="str">
        <f>IF($X903="","",SUMIFS(TARIFF_PROFILES!$G:$G,TARIFF_PROFILES!$A:$A,$X903))</f>
        <v/>
      </c>
      <c r="AC903" s="13" t="str">
        <f>IF($X903="","",SUMIFS(TARIFF_PROFILES!$H:$H,TARIFF_PROFILES!$A:$A,$X903))</f>
        <v/>
      </c>
      <c r="AD903" s="13" t="str">
        <f>IF($X903="","",INDEX(TARIFF_PROFILES!$J:$J,MATCH($X903,TARIFF_PROFILES!$A:$A,0)))</f>
        <v/>
      </c>
      <c r="AE903" s="13" t="str">
        <f>IF($X903="","",INDEX(TARIFF_PROFILES!$K:$K,MATCH($X903,TARIFF_PROFILES!$A:$A,0)))</f>
        <v/>
      </c>
      <c r="AH903" t="str">
        <f>IF($AG903="","",SUMIFS(OPERATING_COEFFS!$C:$C,OPERATING_COEFFS!$A:$A,"DistanceClass",OPERATING_COEFFS!$B:$B,$AG903))</f>
        <v/>
      </c>
      <c r="AJ903" t="str">
        <f>IF($AI903="","",SUMIFS(OPERATING_COEFFS!$C:$C,OPERATING_COEFFS!$A:$A,"SeasonClass",OPERATING_COEFFS!$B:$B,$AI903))</f>
        <v/>
      </c>
      <c r="AL903" t="str">
        <f>IF($AK903="","",SUMIFS(OPERATING_COEFFS!$C:$C,OPERATING_COEFFS!$A:$A,"UrgencyClass",OPERATING_COEFFS!$B:$B,$AK903))</f>
        <v/>
      </c>
      <c r="AN903" t="str">
        <f>IF($AM903="","",INDEX(TAX_MODES!$B:$B,MATCH($AM903,TAX_MODES!$A:$A,0)))</f>
        <v/>
      </c>
    </row>
    <row r="904" spans="24:40" x14ac:dyDescent="0.3">
      <c r="X904" s="13"/>
      <c r="Y904" s="13" t="str">
        <f>IF($X904="","",SUMIFS(TARIFF_PROFILES!$D:$D,TARIFF_PROFILES!$A:$A,$X904))</f>
        <v/>
      </c>
      <c r="Z904" s="13" t="str">
        <f>IF($X904="","",SUMIFS(TARIFF_PROFILES!$E:$E,TARIFF_PROFILES!$A:$A,$X904))</f>
        <v/>
      </c>
      <c r="AA904" s="13" t="str">
        <f>IF($X904="","",SUMIFS(TARIFF_PROFILES!$F:$F,TARIFF_PROFILES!$A:$A,$X904))</f>
        <v/>
      </c>
      <c r="AB904" s="13" t="str">
        <f>IF($X904="","",SUMIFS(TARIFF_PROFILES!$G:$G,TARIFF_PROFILES!$A:$A,$X904))</f>
        <v/>
      </c>
      <c r="AC904" s="13" t="str">
        <f>IF($X904="","",SUMIFS(TARIFF_PROFILES!$H:$H,TARIFF_PROFILES!$A:$A,$X904))</f>
        <v/>
      </c>
      <c r="AD904" s="13" t="str">
        <f>IF($X904="","",INDEX(TARIFF_PROFILES!$J:$J,MATCH($X904,TARIFF_PROFILES!$A:$A,0)))</f>
        <v/>
      </c>
      <c r="AE904" s="13" t="str">
        <f>IF($X904="","",INDEX(TARIFF_PROFILES!$K:$K,MATCH($X904,TARIFF_PROFILES!$A:$A,0)))</f>
        <v/>
      </c>
      <c r="AH904" t="str">
        <f>IF($AG904="","",SUMIFS(OPERATING_COEFFS!$C:$C,OPERATING_COEFFS!$A:$A,"DistanceClass",OPERATING_COEFFS!$B:$B,$AG904))</f>
        <v/>
      </c>
      <c r="AJ904" t="str">
        <f>IF($AI904="","",SUMIFS(OPERATING_COEFFS!$C:$C,OPERATING_COEFFS!$A:$A,"SeasonClass",OPERATING_COEFFS!$B:$B,$AI904))</f>
        <v/>
      </c>
      <c r="AL904" t="str">
        <f>IF($AK904="","",SUMIFS(OPERATING_COEFFS!$C:$C,OPERATING_COEFFS!$A:$A,"UrgencyClass",OPERATING_COEFFS!$B:$B,$AK904))</f>
        <v/>
      </c>
      <c r="AN904" t="str">
        <f>IF($AM904="","",INDEX(TAX_MODES!$B:$B,MATCH($AM904,TAX_MODES!$A:$A,0)))</f>
        <v/>
      </c>
    </row>
    <row r="905" spans="24:40" x14ac:dyDescent="0.3">
      <c r="X905" s="13"/>
      <c r="Y905" s="13" t="str">
        <f>IF($X905="","",SUMIFS(TARIFF_PROFILES!$D:$D,TARIFF_PROFILES!$A:$A,$X905))</f>
        <v/>
      </c>
      <c r="Z905" s="13" t="str">
        <f>IF($X905="","",SUMIFS(TARIFF_PROFILES!$E:$E,TARIFF_PROFILES!$A:$A,$X905))</f>
        <v/>
      </c>
      <c r="AA905" s="13" t="str">
        <f>IF($X905="","",SUMIFS(TARIFF_PROFILES!$F:$F,TARIFF_PROFILES!$A:$A,$X905))</f>
        <v/>
      </c>
      <c r="AB905" s="13" t="str">
        <f>IF($X905="","",SUMIFS(TARIFF_PROFILES!$G:$G,TARIFF_PROFILES!$A:$A,$X905))</f>
        <v/>
      </c>
      <c r="AC905" s="13" t="str">
        <f>IF($X905="","",SUMIFS(TARIFF_PROFILES!$H:$H,TARIFF_PROFILES!$A:$A,$X905))</f>
        <v/>
      </c>
      <c r="AD905" s="13" t="str">
        <f>IF($X905="","",INDEX(TARIFF_PROFILES!$J:$J,MATCH($X905,TARIFF_PROFILES!$A:$A,0)))</f>
        <v/>
      </c>
      <c r="AE905" s="13" t="str">
        <f>IF($X905="","",INDEX(TARIFF_PROFILES!$K:$K,MATCH($X905,TARIFF_PROFILES!$A:$A,0)))</f>
        <v/>
      </c>
      <c r="AH905" t="str">
        <f>IF($AG905="","",SUMIFS(OPERATING_COEFFS!$C:$C,OPERATING_COEFFS!$A:$A,"DistanceClass",OPERATING_COEFFS!$B:$B,$AG905))</f>
        <v/>
      </c>
      <c r="AJ905" t="str">
        <f>IF($AI905="","",SUMIFS(OPERATING_COEFFS!$C:$C,OPERATING_COEFFS!$A:$A,"SeasonClass",OPERATING_COEFFS!$B:$B,$AI905))</f>
        <v/>
      </c>
      <c r="AL905" t="str">
        <f>IF($AK905="","",SUMIFS(OPERATING_COEFFS!$C:$C,OPERATING_COEFFS!$A:$A,"UrgencyClass",OPERATING_COEFFS!$B:$B,$AK905))</f>
        <v/>
      </c>
      <c r="AN905" t="str">
        <f>IF($AM905="","",INDEX(TAX_MODES!$B:$B,MATCH($AM905,TAX_MODES!$A:$A,0)))</f>
        <v/>
      </c>
    </row>
    <row r="906" spans="24:40" x14ac:dyDescent="0.3">
      <c r="X906" s="13"/>
      <c r="Y906" s="13" t="str">
        <f>IF($X906="","",SUMIFS(TARIFF_PROFILES!$D:$D,TARIFF_PROFILES!$A:$A,$X906))</f>
        <v/>
      </c>
      <c r="Z906" s="13" t="str">
        <f>IF($X906="","",SUMIFS(TARIFF_PROFILES!$E:$E,TARIFF_PROFILES!$A:$A,$X906))</f>
        <v/>
      </c>
      <c r="AA906" s="13" t="str">
        <f>IF($X906="","",SUMIFS(TARIFF_PROFILES!$F:$F,TARIFF_PROFILES!$A:$A,$X906))</f>
        <v/>
      </c>
      <c r="AB906" s="13" t="str">
        <f>IF($X906="","",SUMIFS(TARIFF_PROFILES!$G:$G,TARIFF_PROFILES!$A:$A,$X906))</f>
        <v/>
      </c>
      <c r="AC906" s="13" t="str">
        <f>IF($X906="","",SUMIFS(TARIFF_PROFILES!$H:$H,TARIFF_PROFILES!$A:$A,$X906))</f>
        <v/>
      </c>
      <c r="AD906" s="13" t="str">
        <f>IF($X906="","",INDEX(TARIFF_PROFILES!$J:$J,MATCH($X906,TARIFF_PROFILES!$A:$A,0)))</f>
        <v/>
      </c>
      <c r="AE906" s="13" t="str">
        <f>IF($X906="","",INDEX(TARIFF_PROFILES!$K:$K,MATCH($X906,TARIFF_PROFILES!$A:$A,0)))</f>
        <v/>
      </c>
      <c r="AH906" t="str">
        <f>IF($AG906="","",SUMIFS(OPERATING_COEFFS!$C:$C,OPERATING_COEFFS!$A:$A,"DistanceClass",OPERATING_COEFFS!$B:$B,$AG906))</f>
        <v/>
      </c>
      <c r="AJ906" t="str">
        <f>IF($AI906="","",SUMIFS(OPERATING_COEFFS!$C:$C,OPERATING_COEFFS!$A:$A,"SeasonClass",OPERATING_COEFFS!$B:$B,$AI906))</f>
        <v/>
      </c>
      <c r="AL906" t="str">
        <f>IF($AK906="","",SUMIFS(OPERATING_COEFFS!$C:$C,OPERATING_COEFFS!$A:$A,"UrgencyClass",OPERATING_COEFFS!$B:$B,$AK906))</f>
        <v/>
      </c>
      <c r="AN906" t="str">
        <f>IF($AM906="","",INDEX(TAX_MODES!$B:$B,MATCH($AM906,TAX_MODES!$A:$A,0)))</f>
        <v/>
      </c>
    </row>
    <row r="907" spans="24:40" x14ac:dyDescent="0.3">
      <c r="X907" s="13"/>
      <c r="Y907" s="13" t="str">
        <f>IF($X907="","",SUMIFS(TARIFF_PROFILES!$D:$D,TARIFF_PROFILES!$A:$A,$X907))</f>
        <v/>
      </c>
      <c r="Z907" s="13" t="str">
        <f>IF($X907="","",SUMIFS(TARIFF_PROFILES!$E:$E,TARIFF_PROFILES!$A:$A,$X907))</f>
        <v/>
      </c>
      <c r="AA907" s="13" t="str">
        <f>IF($X907="","",SUMIFS(TARIFF_PROFILES!$F:$F,TARIFF_PROFILES!$A:$A,$X907))</f>
        <v/>
      </c>
      <c r="AB907" s="13" t="str">
        <f>IF($X907="","",SUMIFS(TARIFF_PROFILES!$G:$G,TARIFF_PROFILES!$A:$A,$X907))</f>
        <v/>
      </c>
      <c r="AC907" s="13" t="str">
        <f>IF($X907="","",SUMIFS(TARIFF_PROFILES!$H:$H,TARIFF_PROFILES!$A:$A,$X907))</f>
        <v/>
      </c>
      <c r="AD907" s="13" t="str">
        <f>IF($X907="","",INDEX(TARIFF_PROFILES!$J:$J,MATCH($X907,TARIFF_PROFILES!$A:$A,0)))</f>
        <v/>
      </c>
      <c r="AE907" s="13" t="str">
        <f>IF($X907="","",INDEX(TARIFF_PROFILES!$K:$K,MATCH($X907,TARIFF_PROFILES!$A:$A,0)))</f>
        <v/>
      </c>
      <c r="AH907" t="str">
        <f>IF($AG907="","",SUMIFS(OPERATING_COEFFS!$C:$C,OPERATING_COEFFS!$A:$A,"DistanceClass",OPERATING_COEFFS!$B:$B,$AG907))</f>
        <v/>
      </c>
      <c r="AJ907" t="str">
        <f>IF($AI907="","",SUMIFS(OPERATING_COEFFS!$C:$C,OPERATING_COEFFS!$A:$A,"SeasonClass",OPERATING_COEFFS!$B:$B,$AI907))</f>
        <v/>
      </c>
      <c r="AL907" t="str">
        <f>IF($AK907="","",SUMIFS(OPERATING_COEFFS!$C:$C,OPERATING_COEFFS!$A:$A,"UrgencyClass",OPERATING_COEFFS!$B:$B,$AK907))</f>
        <v/>
      </c>
      <c r="AN907" t="str">
        <f>IF($AM907="","",INDEX(TAX_MODES!$B:$B,MATCH($AM907,TAX_MODES!$A:$A,0)))</f>
        <v/>
      </c>
    </row>
    <row r="908" spans="24:40" x14ac:dyDescent="0.3">
      <c r="X908" s="13"/>
      <c r="Y908" s="13" t="str">
        <f>IF($X908="","",SUMIFS(TARIFF_PROFILES!$D:$D,TARIFF_PROFILES!$A:$A,$X908))</f>
        <v/>
      </c>
      <c r="Z908" s="13" t="str">
        <f>IF($X908="","",SUMIFS(TARIFF_PROFILES!$E:$E,TARIFF_PROFILES!$A:$A,$X908))</f>
        <v/>
      </c>
      <c r="AA908" s="13" t="str">
        <f>IF($X908="","",SUMIFS(TARIFF_PROFILES!$F:$F,TARIFF_PROFILES!$A:$A,$X908))</f>
        <v/>
      </c>
      <c r="AB908" s="13" t="str">
        <f>IF($X908="","",SUMIFS(TARIFF_PROFILES!$G:$G,TARIFF_PROFILES!$A:$A,$X908))</f>
        <v/>
      </c>
      <c r="AC908" s="13" t="str">
        <f>IF($X908="","",SUMIFS(TARIFF_PROFILES!$H:$H,TARIFF_PROFILES!$A:$A,$X908))</f>
        <v/>
      </c>
      <c r="AD908" s="13" t="str">
        <f>IF($X908="","",INDEX(TARIFF_PROFILES!$J:$J,MATCH($X908,TARIFF_PROFILES!$A:$A,0)))</f>
        <v/>
      </c>
      <c r="AE908" s="13" t="str">
        <f>IF($X908="","",INDEX(TARIFF_PROFILES!$K:$K,MATCH($X908,TARIFF_PROFILES!$A:$A,0)))</f>
        <v/>
      </c>
      <c r="AH908" t="str">
        <f>IF($AG908="","",SUMIFS(OPERATING_COEFFS!$C:$C,OPERATING_COEFFS!$A:$A,"DistanceClass",OPERATING_COEFFS!$B:$B,$AG908))</f>
        <v/>
      </c>
      <c r="AJ908" t="str">
        <f>IF($AI908="","",SUMIFS(OPERATING_COEFFS!$C:$C,OPERATING_COEFFS!$A:$A,"SeasonClass",OPERATING_COEFFS!$B:$B,$AI908))</f>
        <v/>
      </c>
      <c r="AL908" t="str">
        <f>IF($AK908="","",SUMIFS(OPERATING_COEFFS!$C:$C,OPERATING_COEFFS!$A:$A,"UrgencyClass",OPERATING_COEFFS!$B:$B,$AK908))</f>
        <v/>
      </c>
      <c r="AN908" t="str">
        <f>IF($AM908="","",INDEX(TAX_MODES!$B:$B,MATCH($AM908,TAX_MODES!$A:$A,0)))</f>
        <v/>
      </c>
    </row>
    <row r="909" spans="24:40" x14ac:dyDescent="0.3">
      <c r="X909" s="13"/>
      <c r="Y909" s="13" t="str">
        <f>IF($X909="","",SUMIFS(TARIFF_PROFILES!$D:$D,TARIFF_PROFILES!$A:$A,$X909))</f>
        <v/>
      </c>
      <c r="Z909" s="13" t="str">
        <f>IF($X909="","",SUMIFS(TARIFF_PROFILES!$E:$E,TARIFF_PROFILES!$A:$A,$X909))</f>
        <v/>
      </c>
      <c r="AA909" s="13" t="str">
        <f>IF($X909="","",SUMIFS(TARIFF_PROFILES!$F:$F,TARIFF_PROFILES!$A:$A,$X909))</f>
        <v/>
      </c>
      <c r="AB909" s="13" t="str">
        <f>IF($X909="","",SUMIFS(TARIFF_PROFILES!$G:$G,TARIFF_PROFILES!$A:$A,$X909))</f>
        <v/>
      </c>
      <c r="AC909" s="13" t="str">
        <f>IF($X909="","",SUMIFS(TARIFF_PROFILES!$H:$H,TARIFF_PROFILES!$A:$A,$X909))</f>
        <v/>
      </c>
      <c r="AD909" s="13" t="str">
        <f>IF($X909="","",INDEX(TARIFF_PROFILES!$J:$J,MATCH($X909,TARIFF_PROFILES!$A:$A,0)))</f>
        <v/>
      </c>
      <c r="AE909" s="13" t="str">
        <f>IF($X909="","",INDEX(TARIFF_PROFILES!$K:$K,MATCH($X909,TARIFF_PROFILES!$A:$A,0)))</f>
        <v/>
      </c>
      <c r="AH909" t="str">
        <f>IF($AG909="","",SUMIFS(OPERATING_COEFFS!$C:$C,OPERATING_COEFFS!$A:$A,"DistanceClass",OPERATING_COEFFS!$B:$B,$AG909))</f>
        <v/>
      </c>
      <c r="AJ909" t="str">
        <f>IF($AI909="","",SUMIFS(OPERATING_COEFFS!$C:$C,OPERATING_COEFFS!$A:$A,"SeasonClass",OPERATING_COEFFS!$B:$B,$AI909))</f>
        <v/>
      </c>
      <c r="AL909" t="str">
        <f>IF($AK909="","",SUMIFS(OPERATING_COEFFS!$C:$C,OPERATING_COEFFS!$A:$A,"UrgencyClass",OPERATING_COEFFS!$B:$B,$AK909))</f>
        <v/>
      </c>
      <c r="AN909" t="str">
        <f>IF($AM909="","",INDEX(TAX_MODES!$B:$B,MATCH($AM909,TAX_MODES!$A:$A,0)))</f>
        <v/>
      </c>
    </row>
    <row r="910" spans="24:40" x14ac:dyDescent="0.3">
      <c r="X910" s="13"/>
      <c r="Y910" s="13" t="str">
        <f>IF($X910="","",SUMIFS(TARIFF_PROFILES!$D:$D,TARIFF_PROFILES!$A:$A,$X910))</f>
        <v/>
      </c>
      <c r="Z910" s="13" t="str">
        <f>IF($X910="","",SUMIFS(TARIFF_PROFILES!$E:$E,TARIFF_PROFILES!$A:$A,$X910))</f>
        <v/>
      </c>
      <c r="AA910" s="13" t="str">
        <f>IF($X910="","",SUMIFS(TARIFF_PROFILES!$F:$F,TARIFF_PROFILES!$A:$A,$X910))</f>
        <v/>
      </c>
      <c r="AB910" s="13" t="str">
        <f>IF($X910="","",SUMIFS(TARIFF_PROFILES!$G:$G,TARIFF_PROFILES!$A:$A,$X910))</f>
        <v/>
      </c>
      <c r="AC910" s="13" t="str">
        <f>IF($X910="","",SUMIFS(TARIFF_PROFILES!$H:$H,TARIFF_PROFILES!$A:$A,$X910))</f>
        <v/>
      </c>
      <c r="AD910" s="13" t="str">
        <f>IF($X910="","",INDEX(TARIFF_PROFILES!$J:$J,MATCH($X910,TARIFF_PROFILES!$A:$A,0)))</f>
        <v/>
      </c>
      <c r="AE910" s="13" t="str">
        <f>IF($X910="","",INDEX(TARIFF_PROFILES!$K:$K,MATCH($X910,TARIFF_PROFILES!$A:$A,0)))</f>
        <v/>
      </c>
      <c r="AH910" t="str">
        <f>IF($AG910="","",SUMIFS(OPERATING_COEFFS!$C:$C,OPERATING_COEFFS!$A:$A,"DistanceClass",OPERATING_COEFFS!$B:$B,$AG910))</f>
        <v/>
      </c>
      <c r="AJ910" t="str">
        <f>IF($AI910="","",SUMIFS(OPERATING_COEFFS!$C:$C,OPERATING_COEFFS!$A:$A,"SeasonClass",OPERATING_COEFFS!$B:$B,$AI910))</f>
        <v/>
      </c>
      <c r="AL910" t="str">
        <f>IF($AK910="","",SUMIFS(OPERATING_COEFFS!$C:$C,OPERATING_COEFFS!$A:$A,"UrgencyClass",OPERATING_COEFFS!$B:$B,$AK910))</f>
        <v/>
      </c>
      <c r="AN910" t="str">
        <f>IF($AM910="","",INDEX(TAX_MODES!$B:$B,MATCH($AM910,TAX_MODES!$A:$A,0)))</f>
        <v/>
      </c>
    </row>
    <row r="911" spans="24:40" x14ac:dyDescent="0.3">
      <c r="X911" s="13"/>
      <c r="Y911" s="13" t="str">
        <f>IF($X911="","",SUMIFS(TARIFF_PROFILES!$D:$D,TARIFF_PROFILES!$A:$A,$X911))</f>
        <v/>
      </c>
      <c r="Z911" s="13" t="str">
        <f>IF($X911="","",SUMIFS(TARIFF_PROFILES!$E:$E,TARIFF_PROFILES!$A:$A,$X911))</f>
        <v/>
      </c>
      <c r="AA911" s="13" t="str">
        <f>IF($X911="","",SUMIFS(TARIFF_PROFILES!$F:$F,TARIFF_PROFILES!$A:$A,$X911))</f>
        <v/>
      </c>
      <c r="AB911" s="13" t="str">
        <f>IF($X911="","",SUMIFS(TARIFF_PROFILES!$G:$G,TARIFF_PROFILES!$A:$A,$X911))</f>
        <v/>
      </c>
      <c r="AC911" s="13" t="str">
        <f>IF($X911="","",SUMIFS(TARIFF_PROFILES!$H:$H,TARIFF_PROFILES!$A:$A,$X911))</f>
        <v/>
      </c>
      <c r="AD911" s="13" t="str">
        <f>IF($X911="","",INDEX(TARIFF_PROFILES!$J:$J,MATCH($X911,TARIFF_PROFILES!$A:$A,0)))</f>
        <v/>
      </c>
      <c r="AE911" s="13" t="str">
        <f>IF($X911="","",INDEX(TARIFF_PROFILES!$K:$K,MATCH($X911,TARIFF_PROFILES!$A:$A,0)))</f>
        <v/>
      </c>
      <c r="AH911" t="str">
        <f>IF($AG911="","",SUMIFS(OPERATING_COEFFS!$C:$C,OPERATING_COEFFS!$A:$A,"DistanceClass",OPERATING_COEFFS!$B:$B,$AG911))</f>
        <v/>
      </c>
      <c r="AJ911" t="str">
        <f>IF($AI911="","",SUMIFS(OPERATING_COEFFS!$C:$C,OPERATING_COEFFS!$A:$A,"SeasonClass",OPERATING_COEFFS!$B:$B,$AI911))</f>
        <v/>
      </c>
      <c r="AL911" t="str">
        <f>IF($AK911="","",SUMIFS(OPERATING_COEFFS!$C:$C,OPERATING_COEFFS!$A:$A,"UrgencyClass",OPERATING_COEFFS!$B:$B,$AK911))</f>
        <v/>
      </c>
      <c r="AN911" t="str">
        <f>IF($AM911="","",INDEX(TAX_MODES!$B:$B,MATCH($AM911,TAX_MODES!$A:$A,0)))</f>
        <v/>
      </c>
    </row>
    <row r="912" spans="24:40" x14ac:dyDescent="0.3">
      <c r="X912" s="13"/>
      <c r="Y912" s="13" t="str">
        <f>IF($X912="","",SUMIFS(TARIFF_PROFILES!$D:$D,TARIFF_PROFILES!$A:$A,$X912))</f>
        <v/>
      </c>
      <c r="Z912" s="13" t="str">
        <f>IF($X912="","",SUMIFS(TARIFF_PROFILES!$E:$E,TARIFF_PROFILES!$A:$A,$X912))</f>
        <v/>
      </c>
      <c r="AA912" s="13" t="str">
        <f>IF($X912="","",SUMIFS(TARIFF_PROFILES!$F:$F,TARIFF_PROFILES!$A:$A,$X912))</f>
        <v/>
      </c>
      <c r="AB912" s="13" t="str">
        <f>IF($X912="","",SUMIFS(TARIFF_PROFILES!$G:$G,TARIFF_PROFILES!$A:$A,$X912))</f>
        <v/>
      </c>
      <c r="AC912" s="13" t="str">
        <f>IF($X912="","",SUMIFS(TARIFF_PROFILES!$H:$H,TARIFF_PROFILES!$A:$A,$X912))</f>
        <v/>
      </c>
      <c r="AD912" s="13" t="str">
        <f>IF($X912="","",INDEX(TARIFF_PROFILES!$J:$J,MATCH($X912,TARIFF_PROFILES!$A:$A,0)))</f>
        <v/>
      </c>
      <c r="AE912" s="13" t="str">
        <f>IF($X912="","",INDEX(TARIFF_PROFILES!$K:$K,MATCH($X912,TARIFF_PROFILES!$A:$A,0)))</f>
        <v/>
      </c>
      <c r="AH912" t="str">
        <f>IF($AG912="","",SUMIFS(OPERATING_COEFFS!$C:$C,OPERATING_COEFFS!$A:$A,"DistanceClass",OPERATING_COEFFS!$B:$B,$AG912))</f>
        <v/>
      </c>
      <c r="AJ912" t="str">
        <f>IF($AI912="","",SUMIFS(OPERATING_COEFFS!$C:$C,OPERATING_COEFFS!$A:$A,"SeasonClass",OPERATING_COEFFS!$B:$B,$AI912))</f>
        <v/>
      </c>
      <c r="AL912" t="str">
        <f>IF($AK912="","",SUMIFS(OPERATING_COEFFS!$C:$C,OPERATING_COEFFS!$A:$A,"UrgencyClass",OPERATING_COEFFS!$B:$B,$AK912))</f>
        <v/>
      </c>
      <c r="AN912" t="str">
        <f>IF($AM912="","",INDEX(TAX_MODES!$B:$B,MATCH($AM912,TAX_MODES!$A:$A,0)))</f>
        <v/>
      </c>
    </row>
    <row r="913" spans="24:40" x14ac:dyDescent="0.3">
      <c r="X913" s="13"/>
      <c r="Y913" s="13" t="str">
        <f>IF($X913="","",SUMIFS(TARIFF_PROFILES!$D:$D,TARIFF_PROFILES!$A:$A,$X913))</f>
        <v/>
      </c>
      <c r="Z913" s="13" t="str">
        <f>IF($X913="","",SUMIFS(TARIFF_PROFILES!$E:$E,TARIFF_PROFILES!$A:$A,$X913))</f>
        <v/>
      </c>
      <c r="AA913" s="13" t="str">
        <f>IF($X913="","",SUMIFS(TARIFF_PROFILES!$F:$F,TARIFF_PROFILES!$A:$A,$X913))</f>
        <v/>
      </c>
      <c r="AB913" s="13" t="str">
        <f>IF($X913="","",SUMIFS(TARIFF_PROFILES!$G:$G,TARIFF_PROFILES!$A:$A,$X913))</f>
        <v/>
      </c>
      <c r="AC913" s="13" t="str">
        <f>IF($X913="","",SUMIFS(TARIFF_PROFILES!$H:$H,TARIFF_PROFILES!$A:$A,$X913))</f>
        <v/>
      </c>
      <c r="AD913" s="13" t="str">
        <f>IF($X913="","",INDEX(TARIFF_PROFILES!$J:$J,MATCH($X913,TARIFF_PROFILES!$A:$A,0)))</f>
        <v/>
      </c>
      <c r="AE913" s="13" t="str">
        <f>IF($X913="","",INDEX(TARIFF_PROFILES!$K:$K,MATCH($X913,TARIFF_PROFILES!$A:$A,0)))</f>
        <v/>
      </c>
      <c r="AH913" t="str">
        <f>IF($AG913="","",SUMIFS(OPERATING_COEFFS!$C:$C,OPERATING_COEFFS!$A:$A,"DistanceClass",OPERATING_COEFFS!$B:$B,$AG913))</f>
        <v/>
      </c>
      <c r="AJ913" t="str">
        <f>IF($AI913="","",SUMIFS(OPERATING_COEFFS!$C:$C,OPERATING_COEFFS!$A:$A,"SeasonClass",OPERATING_COEFFS!$B:$B,$AI913))</f>
        <v/>
      </c>
      <c r="AL913" t="str">
        <f>IF($AK913="","",SUMIFS(OPERATING_COEFFS!$C:$C,OPERATING_COEFFS!$A:$A,"UrgencyClass",OPERATING_COEFFS!$B:$B,$AK913))</f>
        <v/>
      </c>
      <c r="AN913" t="str">
        <f>IF($AM913="","",INDEX(TAX_MODES!$B:$B,MATCH($AM913,TAX_MODES!$A:$A,0)))</f>
        <v/>
      </c>
    </row>
    <row r="914" spans="24:40" x14ac:dyDescent="0.3">
      <c r="X914" s="13"/>
      <c r="Y914" s="13" t="str">
        <f>IF($X914="","",SUMIFS(TARIFF_PROFILES!$D:$D,TARIFF_PROFILES!$A:$A,$X914))</f>
        <v/>
      </c>
      <c r="Z914" s="13" t="str">
        <f>IF($X914="","",SUMIFS(TARIFF_PROFILES!$E:$E,TARIFF_PROFILES!$A:$A,$X914))</f>
        <v/>
      </c>
      <c r="AA914" s="13" t="str">
        <f>IF($X914="","",SUMIFS(TARIFF_PROFILES!$F:$F,TARIFF_PROFILES!$A:$A,$X914))</f>
        <v/>
      </c>
      <c r="AB914" s="13" t="str">
        <f>IF($X914="","",SUMIFS(TARIFF_PROFILES!$G:$G,TARIFF_PROFILES!$A:$A,$X914))</f>
        <v/>
      </c>
      <c r="AC914" s="13" t="str">
        <f>IF($X914="","",SUMIFS(TARIFF_PROFILES!$H:$H,TARIFF_PROFILES!$A:$A,$X914))</f>
        <v/>
      </c>
      <c r="AD914" s="13" t="str">
        <f>IF($X914="","",INDEX(TARIFF_PROFILES!$J:$J,MATCH($X914,TARIFF_PROFILES!$A:$A,0)))</f>
        <v/>
      </c>
      <c r="AE914" s="13" t="str">
        <f>IF($X914="","",INDEX(TARIFF_PROFILES!$K:$K,MATCH($X914,TARIFF_PROFILES!$A:$A,0)))</f>
        <v/>
      </c>
      <c r="AH914" t="str">
        <f>IF($AG914="","",SUMIFS(OPERATING_COEFFS!$C:$C,OPERATING_COEFFS!$A:$A,"DistanceClass",OPERATING_COEFFS!$B:$B,$AG914))</f>
        <v/>
      </c>
      <c r="AJ914" t="str">
        <f>IF($AI914="","",SUMIFS(OPERATING_COEFFS!$C:$C,OPERATING_COEFFS!$A:$A,"SeasonClass",OPERATING_COEFFS!$B:$B,$AI914))</f>
        <v/>
      </c>
      <c r="AL914" t="str">
        <f>IF($AK914="","",SUMIFS(OPERATING_COEFFS!$C:$C,OPERATING_COEFFS!$A:$A,"UrgencyClass",OPERATING_COEFFS!$B:$B,$AK914))</f>
        <v/>
      </c>
      <c r="AN914" t="str">
        <f>IF($AM914="","",INDEX(TAX_MODES!$B:$B,MATCH($AM914,TAX_MODES!$A:$A,0)))</f>
        <v/>
      </c>
    </row>
    <row r="915" spans="24:40" x14ac:dyDescent="0.3">
      <c r="X915" s="13"/>
      <c r="Y915" s="13" t="str">
        <f>IF($X915="","",SUMIFS(TARIFF_PROFILES!$D:$D,TARIFF_PROFILES!$A:$A,$X915))</f>
        <v/>
      </c>
      <c r="Z915" s="13" t="str">
        <f>IF($X915="","",SUMIFS(TARIFF_PROFILES!$E:$E,TARIFF_PROFILES!$A:$A,$X915))</f>
        <v/>
      </c>
      <c r="AA915" s="13" t="str">
        <f>IF($X915="","",SUMIFS(TARIFF_PROFILES!$F:$F,TARIFF_PROFILES!$A:$A,$X915))</f>
        <v/>
      </c>
      <c r="AB915" s="13" t="str">
        <f>IF($X915="","",SUMIFS(TARIFF_PROFILES!$G:$G,TARIFF_PROFILES!$A:$A,$X915))</f>
        <v/>
      </c>
      <c r="AC915" s="13" t="str">
        <f>IF($X915="","",SUMIFS(TARIFF_PROFILES!$H:$H,TARIFF_PROFILES!$A:$A,$X915))</f>
        <v/>
      </c>
      <c r="AD915" s="13" t="str">
        <f>IF($X915="","",INDEX(TARIFF_PROFILES!$J:$J,MATCH($X915,TARIFF_PROFILES!$A:$A,0)))</f>
        <v/>
      </c>
      <c r="AE915" s="13" t="str">
        <f>IF($X915="","",INDEX(TARIFF_PROFILES!$K:$K,MATCH($X915,TARIFF_PROFILES!$A:$A,0)))</f>
        <v/>
      </c>
      <c r="AH915" t="str">
        <f>IF($AG915="","",SUMIFS(OPERATING_COEFFS!$C:$C,OPERATING_COEFFS!$A:$A,"DistanceClass",OPERATING_COEFFS!$B:$B,$AG915))</f>
        <v/>
      </c>
      <c r="AJ915" t="str">
        <f>IF($AI915="","",SUMIFS(OPERATING_COEFFS!$C:$C,OPERATING_COEFFS!$A:$A,"SeasonClass",OPERATING_COEFFS!$B:$B,$AI915))</f>
        <v/>
      </c>
      <c r="AL915" t="str">
        <f>IF($AK915="","",SUMIFS(OPERATING_COEFFS!$C:$C,OPERATING_COEFFS!$A:$A,"UrgencyClass",OPERATING_COEFFS!$B:$B,$AK915))</f>
        <v/>
      </c>
      <c r="AN915" t="str">
        <f>IF($AM915="","",INDEX(TAX_MODES!$B:$B,MATCH($AM915,TAX_MODES!$A:$A,0)))</f>
        <v/>
      </c>
    </row>
    <row r="916" spans="24:40" x14ac:dyDescent="0.3">
      <c r="X916" s="13"/>
      <c r="Y916" s="13" t="str">
        <f>IF($X916="","",SUMIFS(TARIFF_PROFILES!$D:$D,TARIFF_PROFILES!$A:$A,$X916))</f>
        <v/>
      </c>
      <c r="Z916" s="13" t="str">
        <f>IF($X916="","",SUMIFS(TARIFF_PROFILES!$E:$E,TARIFF_PROFILES!$A:$A,$X916))</f>
        <v/>
      </c>
      <c r="AA916" s="13" t="str">
        <f>IF($X916="","",SUMIFS(TARIFF_PROFILES!$F:$F,TARIFF_PROFILES!$A:$A,$X916))</f>
        <v/>
      </c>
      <c r="AB916" s="13" t="str">
        <f>IF($X916="","",SUMIFS(TARIFF_PROFILES!$G:$G,TARIFF_PROFILES!$A:$A,$X916))</f>
        <v/>
      </c>
      <c r="AC916" s="13" t="str">
        <f>IF($X916="","",SUMIFS(TARIFF_PROFILES!$H:$H,TARIFF_PROFILES!$A:$A,$X916))</f>
        <v/>
      </c>
      <c r="AD916" s="13" t="str">
        <f>IF($X916="","",INDEX(TARIFF_PROFILES!$J:$J,MATCH($X916,TARIFF_PROFILES!$A:$A,0)))</f>
        <v/>
      </c>
      <c r="AE916" s="13" t="str">
        <f>IF($X916="","",INDEX(TARIFF_PROFILES!$K:$K,MATCH($X916,TARIFF_PROFILES!$A:$A,0)))</f>
        <v/>
      </c>
      <c r="AH916" t="str">
        <f>IF($AG916="","",SUMIFS(OPERATING_COEFFS!$C:$C,OPERATING_COEFFS!$A:$A,"DistanceClass",OPERATING_COEFFS!$B:$B,$AG916))</f>
        <v/>
      </c>
      <c r="AJ916" t="str">
        <f>IF($AI916="","",SUMIFS(OPERATING_COEFFS!$C:$C,OPERATING_COEFFS!$A:$A,"SeasonClass",OPERATING_COEFFS!$B:$B,$AI916))</f>
        <v/>
      </c>
      <c r="AL916" t="str">
        <f>IF($AK916="","",SUMIFS(OPERATING_COEFFS!$C:$C,OPERATING_COEFFS!$A:$A,"UrgencyClass",OPERATING_COEFFS!$B:$B,$AK916))</f>
        <v/>
      </c>
      <c r="AN916" t="str">
        <f>IF($AM916="","",INDEX(TAX_MODES!$B:$B,MATCH($AM916,TAX_MODES!$A:$A,0)))</f>
        <v/>
      </c>
    </row>
    <row r="917" spans="24:40" x14ac:dyDescent="0.3">
      <c r="X917" s="13"/>
      <c r="Y917" s="13" t="str">
        <f>IF($X917="","",SUMIFS(TARIFF_PROFILES!$D:$D,TARIFF_PROFILES!$A:$A,$X917))</f>
        <v/>
      </c>
      <c r="Z917" s="13" t="str">
        <f>IF($X917="","",SUMIFS(TARIFF_PROFILES!$E:$E,TARIFF_PROFILES!$A:$A,$X917))</f>
        <v/>
      </c>
      <c r="AA917" s="13" t="str">
        <f>IF($X917="","",SUMIFS(TARIFF_PROFILES!$F:$F,TARIFF_PROFILES!$A:$A,$X917))</f>
        <v/>
      </c>
      <c r="AB917" s="13" t="str">
        <f>IF($X917="","",SUMIFS(TARIFF_PROFILES!$G:$G,TARIFF_PROFILES!$A:$A,$X917))</f>
        <v/>
      </c>
      <c r="AC917" s="13" t="str">
        <f>IF($X917="","",SUMIFS(TARIFF_PROFILES!$H:$H,TARIFF_PROFILES!$A:$A,$X917))</f>
        <v/>
      </c>
      <c r="AD917" s="13" t="str">
        <f>IF($X917="","",INDEX(TARIFF_PROFILES!$J:$J,MATCH($X917,TARIFF_PROFILES!$A:$A,0)))</f>
        <v/>
      </c>
      <c r="AE917" s="13" t="str">
        <f>IF($X917="","",INDEX(TARIFF_PROFILES!$K:$K,MATCH($X917,TARIFF_PROFILES!$A:$A,0)))</f>
        <v/>
      </c>
      <c r="AH917" t="str">
        <f>IF($AG917="","",SUMIFS(OPERATING_COEFFS!$C:$C,OPERATING_COEFFS!$A:$A,"DistanceClass",OPERATING_COEFFS!$B:$B,$AG917))</f>
        <v/>
      </c>
      <c r="AJ917" t="str">
        <f>IF($AI917="","",SUMIFS(OPERATING_COEFFS!$C:$C,OPERATING_COEFFS!$A:$A,"SeasonClass",OPERATING_COEFFS!$B:$B,$AI917))</f>
        <v/>
      </c>
      <c r="AL917" t="str">
        <f>IF($AK917="","",SUMIFS(OPERATING_COEFFS!$C:$C,OPERATING_COEFFS!$A:$A,"UrgencyClass",OPERATING_COEFFS!$B:$B,$AK917))</f>
        <v/>
      </c>
      <c r="AN917" t="str">
        <f>IF($AM917="","",INDEX(TAX_MODES!$B:$B,MATCH($AM917,TAX_MODES!$A:$A,0)))</f>
        <v/>
      </c>
    </row>
    <row r="918" spans="24:40" x14ac:dyDescent="0.3">
      <c r="X918" s="13"/>
      <c r="Y918" s="13" t="str">
        <f>IF($X918="","",SUMIFS(TARIFF_PROFILES!$D:$D,TARIFF_PROFILES!$A:$A,$X918))</f>
        <v/>
      </c>
      <c r="Z918" s="13" t="str">
        <f>IF($X918="","",SUMIFS(TARIFF_PROFILES!$E:$E,TARIFF_PROFILES!$A:$A,$X918))</f>
        <v/>
      </c>
      <c r="AA918" s="13" t="str">
        <f>IF($X918="","",SUMIFS(TARIFF_PROFILES!$F:$F,TARIFF_PROFILES!$A:$A,$X918))</f>
        <v/>
      </c>
      <c r="AB918" s="13" t="str">
        <f>IF($X918="","",SUMIFS(TARIFF_PROFILES!$G:$G,TARIFF_PROFILES!$A:$A,$X918))</f>
        <v/>
      </c>
      <c r="AC918" s="13" t="str">
        <f>IF($X918="","",SUMIFS(TARIFF_PROFILES!$H:$H,TARIFF_PROFILES!$A:$A,$X918))</f>
        <v/>
      </c>
      <c r="AD918" s="13" t="str">
        <f>IF($X918="","",INDEX(TARIFF_PROFILES!$J:$J,MATCH($X918,TARIFF_PROFILES!$A:$A,0)))</f>
        <v/>
      </c>
      <c r="AE918" s="13" t="str">
        <f>IF($X918="","",INDEX(TARIFF_PROFILES!$K:$K,MATCH($X918,TARIFF_PROFILES!$A:$A,0)))</f>
        <v/>
      </c>
      <c r="AH918" t="str">
        <f>IF($AG918="","",SUMIFS(OPERATING_COEFFS!$C:$C,OPERATING_COEFFS!$A:$A,"DistanceClass",OPERATING_COEFFS!$B:$B,$AG918))</f>
        <v/>
      </c>
      <c r="AJ918" t="str">
        <f>IF($AI918="","",SUMIFS(OPERATING_COEFFS!$C:$C,OPERATING_COEFFS!$A:$A,"SeasonClass",OPERATING_COEFFS!$B:$B,$AI918))</f>
        <v/>
      </c>
      <c r="AL918" t="str">
        <f>IF($AK918="","",SUMIFS(OPERATING_COEFFS!$C:$C,OPERATING_COEFFS!$A:$A,"UrgencyClass",OPERATING_COEFFS!$B:$B,$AK918))</f>
        <v/>
      </c>
      <c r="AN918" t="str">
        <f>IF($AM918="","",INDEX(TAX_MODES!$B:$B,MATCH($AM918,TAX_MODES!$A:$A,0)))</f>
        <v/>
      </c>
    </row>
    <row r="919" spans="24:40" x14ac:dyDescent="0.3">
      <c r="X919" s="13"/>
      <c r="Y919" s="13" t="str">
        <f>IF($X919="","",SUMIFS(TARIFF_PROFILES!$D:$D,TARIFF_PROFILES!$A:$A,$X919))</f>
        <v/>
      </c>
      <c r="Z919" s="13" t="str">
        <f>IF($X919="","",SUMIFS(TARIFF_PROFILES!$E:$E,TARIFF_PROFILES!$A:$A,$X919))</f>
        <v/>
      </c>
      <c r="AA919" s="13" t="str">
        <f>IF($X919="","",SUMIFS(TARIFF_PROFILES!$F:$F,TARIFF_PROFILES!$A:$A,$X919))</f>
        <v/>
      </c>
      <c r="AB919" s="13" t="str">
        <f>IF($X919="","",SUMIFS(TARIFF_PROFILES!$G:$G,TARIFF_PROFILES!$A:$A,$X919))</f>
        <v/>
      </c>
      <c r="AC919" s="13" t="str">
        <f>IF($X919="","",SUMIFS(TARIFF_PROFILES!$H:$H,TARIFF_PROFILES!$A:$A,$X919))</f>
        <v/>
      </c>
      <c r="AD919" s="13" t="str">
        <f>IF($X919="","",INDEX(TARIFF_PROFILES!$J:$J,MATCH($X919,TARIFF_PROFILES!$A:$A,0)))</f>
        <v/>
      </c>
      <c r="AE919" s="13" t="str">
        <f>IF($X919="","",INDEX(TARIFF_PROFILES!$K:$K,MATCH($X919,TARIFF_PROFILES!$A:$A,0)))</f>
        <v/>
      </c>
      <c r="AH919" t="str">
        <f>IF($AG919="","",SUMIFS(OPERATING_COEFFS!$C:$C,OPERATING_COEFFS!$A:$A,"DistanceClass",OPERATING_COEFFS!$B:$B,$AG919))</f>
        <v/>
      </c>
      <c r="AJ919" t="str">
        <f>IF($AI919="","",SUMIFS(OPERATING_COEFFS!$C:$C,OPERATING_COEFFS!$A:$A,"SeasonClass",OPERATING_COEFFS!$B:$B,$AI919))</f>
        <v/>
      </c>
      <c r="AL919" t="str">
        <f>IF($AK919="","",SUMIFS(OPERATING_COEFFS!$C:$C,OPERATING_COEFFS!$A:$A,"UrgencyClass",OPERATING_COEFFS!$B:$B,$AK919))</f>
        <v/>
      </c>
      <c r="AN919" t="str">
        <f>IF($AM919="","",INDEX(TAX_MODES!$B:$B,MATCH($AM919,TAX_MODES!$A:$A,0)))</f>
        <v/>
      </c>
    </row>
    <row r="920" spans="24:40" x14ac:dyDescent="0.3">
      <c r="X920" s="13"/>
      <c r="Y920" s="13" t="str">
        <f>IF($X920="","",SUMIFS(TARIFF_PROFILES!$D:$D,TARIFF_PROFILES!$A:$A,$X920))</f>
        <v/>
      </c>
      <c r="Z920" s="13" t="str">
        <f>IF($X920="","",SUMIFS(TARIFF_PROFILES!$E:$E,TARIFF_PROFILES!$A:$A,$X920))</f>
        <v/>
      </c>
      <c r="AA920" s="13" t="str">
        <f>IF($X920="","",SUMIFS(TARIFF_PROFILES!$F:$F,TARIFF_PROFILES!$A:$A,$X920))</f>
        <v/>
      </c>
      <c r="AB920" s="13" t="str">
        <f>IF($X920="","",SUMIFS(TARIFF_PROFILES!$G:$G,TARIFF_PROFILES!$A:$A,$X920))</f>
        <v/>
      </c>
      <c r="AC920" s="13" t="str">
        <f>IF($X920="","",SUMIFS(TARIFF_PROFILES!$H:$H,TARIFF_PROFILES!$A:$A,$X920))</f>
        <v/>
      </c>
      <c r="AD920" s="13" t="str">
        <f>IF($X920="","",INDEX(TARIFF_PROFILES!$J:$J,MATCH($X920,TARIFF_PROFILES!$A:$A,0)))</f>
        <v/>
      </c>
      <c r="AE920" s="13" t="str">
        <f>IF($X920="","",INDEX(TARIFF_PROFILES!$K:$K,MATCH($X920,TARIFF_PROFILES!$A:$A,0)))</f>
        <v/>
      </c>
      <c r="AH920" t="str">
        <f>IF($AG920="","",SUMIFS(OPERATING_COEFFS!$C:$C,OPERATING_COEFFS!$A:$A,"DistanceClass",OPERATING_COEFFS!$B:$B,$AG920))</f>
        <v/>
      </c>
      <c r="AJ920" t="str">
        <f>IF($AI920="","",SUMIFS(OPERATING_COEFFS!$C:$C,OPERATING_COEFFS!$A:$A,"SeasonClass",OPERATING_COEFFS!$B:$B,$AI920))</f>
        <v/>
      </c>
      <c r="AL920" t="str">
        <f>IF($AK920="","",SUMIFS(OPERATING_COEFFS!$C:$C,OPERATING_COEFFS!$A:$A,"UrgencyClass",OPERATING_COEFFS!$B:$B,$AK920))</f>
        <v/>
      </c>
      <c r="AN920" t="str">
        <f>IF($AM920="","",INDEX(TAX_MODES!$B:$B,MATCH($AM920,TAX_MODES!$A:$A,0)))</f>
        <v/>
      </c>
    </row>
    <row r="921" spans="24:40" x14ac:dyDescent="0.3">
      <c r="X921" s="13"/>
      <c r="Y921" s="13" t="str">
        <f>IF($X921="","",SUMIFS(TARIFF_PROFILES!$D:$D,TARIFF_PROFILES!$A:$A,$X921))</f>
        <v/>
      </c>
      <c r="Z921" s="13" t="str">
        <f>IF($X921="","",SUMIFS(TARIFF_PROFILES!$E:$E,TARIFF_PROFILES!$A:$A,$X921))</f>
        <v/>
      </c>
      <c r="AA921" s="13" t="str">
        <f>IF($X921="","",SUMIFS(TARIFF_PROFILES!$F:$F,TARIFF_PROFILES!$A:$A,$X921))</f>
        <v/>
      </c>
      <c r="AB921" s="13" t="str">
        <f>IF($X921="","",SUMIFS(TARIFF_PROFILES!$G:$G,TARIFF_PROFILES!$A:$A,$X921))</f>
        <v/>
      </c>
      <c r="AC921" s="13" t="str">
        <f>IF($X921="","",SUMIFS(TARIFF_PROFILES!$H:$H,TARIFF_PROFILES!$A:$A,$X921))</f>
        <v/>
      </c>
      <c r="AD921" s="13" t="str">
        <f>IF($X921="","",INDEX(TARIFF_PROFILES!$J:$J,MATCH($X921,TARIFF_PROFILES!$A:$A,0)))</f>
        <v/>
      </c>
      <c r="AE921" s="13" t="str">
        <f>IF($X921="","",INDEX(TARIFF_PROFILES!$K:$K,MATCH($X921,TARIFF_PROFILES!$A:$A,0)))</f>
        <v/>
      </c>
      <c r="AH921" t="str">
        <f>IF($AG921="","",SUMIFS(OPERATING_COEFFS!$C:$C,OPERATING_COEFFS!$A:$A,"DistanceClass",OPERATING_COEFFS!$B:$B,$AG921))</f>
        <v/>
      </c>
      <c r="AJ921" t="str">
        <f>IF($AI921="","",SUMIFS(OPERATING_COEFFS!$C:$C,OPERATING_COEFFS!$A:$A,"SeasonClass",OPERATING_COEFFS!$B:$B,$AI921))</f>
        <v/>
      </c>
      <c r="AL921" t="str">
        <f>IF($AK921="","",SUMIFS(OPERATING_COEFFS!$C:$C,OPERATING_COEFFS!$A:$A,"UrgencyClass",OPERATING_COEFFS!$B:$B,$AK921))</f>
        <v/>
      </c>
      <c r="AN921" t="str">
        <f>IF($AM921="","",INDEX(TAX_MODES!$B:$B,MATCH($AM921,TAX_MODES!$A:$A,0)))</f>
        <v/>
      </c>
    </row>
    <row r="922" spans="24:40" x14ac:dyDescent="0.3">
      <c r="X922" s="13"/>
      <c r="Y922" s="13" t="str">
        <f>IF($X922="","",SUMIFS(TARIFF_PROFILES!$D:$D,TARIFF_PROFILES!$A:$A,$X922))</f>
        <v/>
      </c>
      <c r="Z922" s="13" t="str">
        <f>IF($X922="","",SUMIFS(TARIFF_PROFILES!$E:$E,TARIFF_PROFILES!$A:$A,$X922))</f>
        <v/>
      </c>
      <c r="AA922" s="13" t="str">
        <f>IF($X922="","",SUMIFS(TARIFF_PROFILES!$F:$F,TARIFF_PROFILES!$A:$A,$X922))</f>
        <v/>
      </c>
      <c r="AB922" s="13" t="str">
        <f>IF($X922="","",SUMIFS(TARIFF_PROFILES!$G:$G,TARIFF_PROFILES!$A:$A,$X922))</f>
        <v/>
      </c>
      <c r="AC922" s="13" t="str">
        <f>IF($X922="","",SUMIFS(TARIFF_PROFILES!$H:$H,TARIFF_PROFILES!$A:$A,$X922))</f>
        <v/>
      </c>
      <c r="AD922" s="13" t="str">
        <f>IF($X922="","",INDEX(TARIFF_PROFILES!$J:$J,MATCH($X922,TARIFF_PROFILES!$A:$A,0)))</f>
        <v/>
      </c>
      <c r="AE922" s="13" t="str">
        <f>IF($X922="","",INDEX(TARIFF_PROFILES!$K:$K,MATCH($X922,TARIFF_PROFILES!$A:$A,0)))</f>
        <v/>
      </c>
      <c r="AH922" t="str">
        <f>IF($AG922="","",SUMIFS(OPERATING_COEFFS!$C:$C,OPERATING_COEFFS!$A:$A,"DistanceClass",OPERATING_COEFFS!$B:$B,$AG922))</f>
        <v/>
      </c>
      <c r="AJ922" t="str">
        <f>IF($AI922="","",SUMIFS(OPERATING_COEFFS!$C:$C,OPERATING_COEFFS!$A:$A,"SeasonClass",OPERATING_COEFFS!$B:$B,$AI922))</f>
        <v/>
      </c>
      <c r="AL922" t="str">
        <f>IF($AK922="","",SUMIFS(OPERATING_COEFFS!$C:$C,OPERATING_COEFFS!$A:$A,"UrgencyClass",OPERATING_COEFFS!$B:$B,$AK922))</f>
        <v/>
      </c>
      <c r="AN922" t="str">
        <f>IF($AM922="","",INDEX(TAX_MODES!$B:$B,MATCH($AM922,TAX_MODES!$A:$A,0)))</f>
        <v/>
      </c>
    </row>
    <row r="923" spans="24:40" x14ac:dyDescent="0.3">
      <c r="X923" s="13"/>
      <c r="Y923" s="13" t="str">
        <f>IF($X923="","",SUMIFS(TARIFF_PROFILES!$D:$D,TARIFF_PROFILES!$A:$A,$X923))</f>
        <v/>
      </c>
      <c r="Z923" s="13" t="str">
        <f>IF($X923="","",SUMIFS(TARIFF_PROFILES!$E:$E,TARIFF_PROFILES!$A:$A,$X923))</f>
        <v/>
      </c>
      <c r="AA923" s="13" t="str">
        <f>IF($X923="","",SUMIFS(TARIFF_PROFILES!$F:$F,TARIFF_PROFILES!$A:$A,$X923))</f>
        <v/>
      </c>
      <c r="AB923" s="13" t="str">
        <f>IF($X923="","",SUMIFS(TARIFF_PROFILES!$G:$G,TARIFF_PROFILES!$A:$A,$X923))</f>
        <v/>
      </c>
      <c r="AC923" s="13" t="str">
        <f>IF($X923="","",SUMIFS(TARIFF_PROFILES!$H:$H,TARIFF_PROFILES!$A:$A,$X923))</f>
        <v/>
      </c>
      <c r="AD923" s="13" t="str">
        <f>IF($X923="","",INDEX(TARIFF_PROFILES!$J:$J,MATCH($X923,TARIFF_PROFILES!$A:$A,0)))</f>
        <v/>
      </c>
      <c r="AE923" s="13" t="str">
        <f>IF($X923="","",INDEX(TARIFF_PROFILES!$K:$K,MATCH($X923,TARIFF_PROFILES!$A:$A,0)))</f>
        <v/>
      </c>
      <c r="AH923" t="str">
        <f>IF($AG923="","",SUMIFS(OPERATING_COEFFS!$C:$C,OPERATING_COEFFS!$A:$A,"DistanceClass",OPERATING_COEFFS!$B:$B,$AG923))</f>
        <v/>
      </c>
      <c r="AJ923" t="str">
        <f>IF($AI923="","",SUMIFS(OPERATING_COEFFS!$C:$C,OPERATING_COEFFS!$A:$A,"SeasonClass",OPERATING_COEFFS!$B:$B,$AI923))</f>
        <v/>
      </c>
      <c r="AL923" t="str">
        <f>IF($AK923="","",SUMIFS(OPERATING_COEFFS!$C:$C,OPERATING_COEFFS!$A:$A,"UrgencyClass",OPERATING_COEFFS!$B:$B,$AK923))</f>
        <v/>
      </c>
      <c r="AN923" t="str">
        <f>IF($AM923="","",INDEX(TAX_MODES!$B:$B,MATCH($AM923,TAX_MODES!$A:$A,0)))</f>
        <v/>
      </c>
    </row>
    <row r="924" spans="24:40" x14ac:dyDescent="0.3">
      <c r="X924" s="13"/>
      <c r="Y924" s="13" t="str">
        <f>IF($X924="","",SUMIFS(TARIFF_PROFILES!$D:$D,TARIFF_PROFILES!$A:$A,$X924))</f>
        <v/>
      </c>
      <c r="Z924" s="13" t="str">
        <f>IF($X924="","",SUMIFS(TARIFF_PROFILES!$E:$E,TARIFF_PROFILES!$A:$A,$X924))</f>
        <v/>
      </c>
      <c r="AA924" s="13" t="str">
        <f>IF($X924="","",SUMIFS(TARIFF_PROFILES!$F:$F,TARIFF_PROFILES!$A:$A,$X924))</f>
        <v/>
      </c>
      <c r="AB924" s="13" t="str">
        <f>IF($X924="","",SUMIFS(TARIFF_PROFILES!$G:$G,TARIFF_PROFILES!$A:$A,$X924))</f>
        <v/>
      </c>
      <c r="AC924" s="13" t="str">
        <f>IF($X924="","",SUMIFS(TARIFF_PROFILES!$H:$H,TARIFF_PROFILES!$A:$A,$X924))</f>
        <v/>
      </c>
      <c r="AD924" s="13" t="str">
        <f>IF($X924="","",INDEX(TARIFF_PROFILES!$J:$J,MATCH($X924,TARIFF_PROFILES!$A:$A,0)))</f>
        <v/>
      </c>
      <c r="AE924" s="13" t="str">
        <f>IF($X924="","",INDEX(TARIFF_PROFILES!$K:$K,MATCH($X924,TARIFF_PROFILES!$A:$A,0)))</f>
        <v/>
      </c>
      <c r="AH924" t="str">
        <f>IF($AG924="","",SUMIFS(OPERATING_COEFFS!$C:$C,OPERATING_COEFFS!$A:$A,"DistanceClass",OPERATING_COEFFS!$B:$B,$AG924))</f>
        <v/>
      </c>
      <c r="AJ924" t="str">
        <f>IF($AI924="","",SUMIFS(OPERATING_COEFFS!$C:$C,OPERATING_COEFFS!$A:$A,"SeasonClass",OPERATING_COEFFS!$B:$B,$AI924))</f>
        <v/>
      </c>
      <c r="AL924" t="str">
        <f>IF($AK924="","",SUMIFS(OPERATING_COEFFS!$C:$C,OPERATING_COEFFS!$A:$A,"UrgencyClass",OPERATING_COEFFS!$B:$B,$AK924))</f>
        <v/>
      </c>
      <c r="AN924" t="str">
        <f>IF($AM924="","",INDEX(TAX_MODES!$B:$B,MATCH($AM924,TAX_MODES!$A:$A,0)))</f>
        <v/>
      </c>
    </row>
    <row r="925" spans="24:40" x14ac:dyDescent="0.3">
      <c r="X925" s="13"/>
      <c r="Y925" s="13" t="str">
        <f>IF($X925="","",SUMIFS(TARIFF_PROFILES!$D:$D,TARIFF_PROFILES!$A:$A,$X925))</f>
        <v/>
      </c>
      <c r="Z925" s="13" t="str">
        <f>IF($X925="","",SUMIFS(TARIFF_PROFILES!$E:$E,TARIFF_PROFILES!$A:$A,$X925))</f>
        <v/>
      </c>
      <c r="AA925" s="13" t="str">
        <f>IF($X925="","",SUMIFS(TARIFF_PROFILES!$F:$F,TARIFF_PROFILES!$A:$A,$X925))</f>
        <v/>
      </c>
      <c r="AB925" s="13" t="str">
        <f>IF($X925="","",SUMIFS(TARIFF_PROFILES!$G:$G,TARIFF_PROFILES!$A:$A,$X925))</f>
        <v/>
      </c>
      <c r="AC925" s="13" t="str">
        <f>IF($X925="","",SUMIFS(TARIFF_PROFILES!$H:$H,TARIFF_PROFILES!$A:$A,$X925))</f>
        <v/>
      </c>
      <c r="AD925" s="13" t="str">
        <f>IF($X925="","",INDEX(TARIFF_PROFILES!$J:$J,MATCH($X925,TARIFF_PROFILES!$A:$A,0)))</f>
        <v/>
      </c>
      <c r="AE925" s="13" t="str">
        <f>IF($X925="","",INDEX(TARIFF_PROFILES!$K:$K,MATCH($X925,TARIFF_PROFILES!$A:$A,0)))</f>
        <v/>
      </c>
      <c r="AH925" t="str">
        <f>IF($AG925="","",SUMIFS(OPERATING_COEFFS!$C:$C,OPERATING_COEFFS!$A:$A,"DistanceClass",OPERATING_COEFFS!$B:$B,$AG925))</f>
        <v/>
      </c>
      <c r="AJ925" t="str">
        <f>IF($AI925="","",SUMIFS(OPERATING_COEFFS!$C:$C,OPERATING_COEFFS!$A:$A,"SeasonClass",OPERATING_COEFFS!$B:$B,$AI925))</f>
        <v/>
      </c>
      <c r="AL925" t="str">
        <f>IF($AK925="","",SUMIFS(OPERATING_COEFFS!$C:$C,OPERATING_COEFFS!$A:$A,"UrgencyClass",OPERATING_COEFFS!$B:$B,$AK925))</f>
        <v/>
      </c>
      <c r="AN925" t="str">
        <f>IF($AM925="","",INDEX(TAX_MODES!$B:$B,MATCH($AM925,TAX_MODES!$A:$A,0)))</f>
        <v/>
      </c>
    </row>
    <row r="926" spans="24:40" x14ac:dyDescent="0.3">
      <c r="X926" s="13"/>
      <c r="Y926" s="13" t="str">
        <f>IF($X926="","",SUMIFS(TARIFF_PROFILES!$D:$D,TARIFF_PROFILES!$A:$A,$X926))</f>
        <v/>
      </c>
      <c r="Z926" s="13" t="str">
        <f>IF($X926="","",SUMIFS(TARIFF_PROFILES!$E:$E,TARIFF_PROFILES!$A:$A,$X926))</f>
        <v/>
      </c>
      <c r="AA926" s="13" t="str">
        <f>IF($X926="","",SUMIFS(TARIFF_PROFILES!$F:$F,TARIFF_PROFILES!$A:$A,$X926))</f>
        <v/>
      </c>
      <c r="AB926" s="13" t="str">
        <f>IF($X926="","",SUMIFS(TARIFF_PROFILES!$G:$G,TARIFF_PROFILES!$A:$A,$X926))</f>
        <v/>
      </c>
      <c r="AC926" s="13" t="str">
        <f>IF($X926="","",SUMIFS(TARIFF_PROFILES!$H:$H,TARIFF_PROFILES!$A:$A,$X926))</f>
        <v/>
      </c>
      <c r="AD926" s="13" t="str">
        <f>IF($X926="","",INDEX(TARIFF_PROFILES!$J:$J,MATCH($X926,TARIFF_PROFILES!$A:$A,0)))</f>
        <v/>
      </c>
      <c r="AE926" s="13" t="str">
        <f>IF($X926="","",INDEX(TARIFF_PROFILES!$K:$K,MATCH($X926,TARIFF_PROFILES!$A:$A,0)))</f>
        <v/>
      </c>
      <c r="AH926" t="str">
        <f>IF($AG926="","",SUMIFS(OPERATING_COEFFS!$C:$C,OPERATING_COEFFS!$A:$A,"DistanceClass",OPERATING_COEFFS!$B:$B,$AG926))</f>
        <v/>
      </c>
      <c r="AJ926" t="str">
        <f>IF($AI926="","",SUMIFS(OPERATING_COEFFS!$C:$C,OPERATING_COEFFS!$A:$A,"SeasonClass",OPERATING_COEFFS!$B:$B,$AI926))</f>
        <v/>
      </c>
      <c r="AL926" t="str">
        <f>IF($AK926="","",SUMIFS(OPERATING_COEFFS!$C:$C,OPERATING_COEFFS!$A:$A,"UrgencyClass",OPERATING_COEFFS!$B:$B,$AK926))</f>
        <v/>
      </c>
      <c r="AN926" t="str">
        <f>IF($AM926="","",INDEX(TAX_MODES!$B:$B,MATCH($AM926,TAX_MODES!$A:$A,0)))</f>
        <v/>
      </c>
    </row>
    <row r="927" spans="24:40" x14ac:dyDescent="0.3">
      <c r="X927" s="13"/>
      <c r="Y927" s="13" t="str">
        <f>IF($X927="","",SUMIFS(TARIFF_PROFILES!$D:$D,TARIFF_PROFILES!$A:$A,$X927))</f>
        <v/>
      </c>
      <c r="Z927" s="13" t="str">
        <f>IF($X927="","",SUMIFS(TARIFF_PROFILES!$E:$E,TARIFF_PROFILES!$A:$A,$X927))</f>
        <v/>
      </c>
      <c r="AA927" s="13" t="str">
        <f>IF($X927="","",SUMIFS(TARIFF_PROFILES!$F:$F,TARIFF_PROFILES!$A:$A,$X927))</f>
        <v/>
      </c>
      <c r="AB927" s="13" t="str">
        <f>IF($X927="","",SUMIFS(TARIFF_PROFILES!$G:$G,TARIFF_PROFILES!$A:$A,$X927))</f>
        <v/>
      </c>
      <c r="AC927" s="13" t="str">
        <f>IF($X927="","",SUMIFS(TARIFF_PROFILES!$H:$H,TARIFF_PROFILES!$A:$A,$X927))</f>
        <v/>
      </c>
      <c r="AD927" s="13" t="str">
        <f>IF($X927="","",INDEX(TARIFF_PROFILES!$J:$J,MATCH($X927,TARIFF_PROFILES!$A:$A,0)))</f>
        <v/>
      </c>
      <c r="AE927" s="13" t="str">
        <f>IF($X927="","",INDEX(TARIFF_PROFILES!$K:$K,MATCH($X927,TARIFF_PROFILES!$A:$A,0)))</f>
        <v/>
      </c>
      <c r="AH927" t="str">
        <f>IF($AG927="","",SUMIFS(OPERATING_COEFFS!$C:$C,OPERATING_COEFFS!$A:$A,"DistanceClass",OPERATING_COEFFS!$B:$B,$AG927))</f>
        <v/>
      </c>
      <c r="AJ927" t="str">
        <f>IF($AI927="","",SUMIFS(OPERATING_COEFFS!$C:$C,OPERATING_COEFFS!$A:$A,"SeasonClass",OPERATING_COEFFS!$B:$B,$AI927))</f>
        <v/>
      </c>
      <c r="AL927" t="str">
        <f>IF($AK927="","",SUMIFS(OPERATING_COEFFS!$C:$C,OPERATING_COEFFS!$A:$A,"UrgencyClass",OPERATING_COEFFS!$B:$B,$AK927))</f>
        <v/>
      </c>
      <c r="AN927" t="str">
        <f>IF($AM927="","",INDEX(TAX_MODES!$B:$B,MATCH($AM927,TAX_MODES!$A:$A,0)))</f>
        <v/>
      </c>
    </row>
    <row r="928" spans="24:40" x14ac:dyDescent="0.3">
      <c r="X928" s="13"/>
      <c r="Y928" s="13" t="str">
        <f>IF($X928="","",SUMIFS(TARIFF_PROFILES!$D:$D,TARIFF_PROFILES!$A:$A,$X928))</f>
        <v/>
      </c>
      <c r="Z928" s="13" t="str">
        <f>IF($X928="","",SUMIFS(TARIFF_PROFILES!$E:$E,TARIFF_PROFILES!$A:$A,$X928))</f>
        <v/>
      </c>
      <c r="AA928" s="13" t="str">
        <f>IF($X928="","",SUMIFS(TARIFF_PROFILES!$F:$F,TARIFF_PROFILES!$A:$A,$X928))</f>
        <v/>
      </c>
      <c r="AB928" s="13" t="str">
        <f>IF($X928="","",SUMIFS(TARIFF_PROFILES!$G:$G,TARIFF_PROFILES!$A:$A,$X928))</f>
        <v/>
      </c>
      <c r="AC928" s="13" t="str">
        <f>IF($X928="","",SUMIFS(TARIFF_PROFILES!$H:$H,TARIFF_PROFILES!$A:$A,$X928))</f>
        <v/>
      </c>
      <c r="AD928" s="13" t="str">
        <f>IF($X928="","",INDEX(TARIFF_PROFILES!$J:$J,MATCH($X928,TARIFF_PROFILES!$A:$A,0)))</f>
        <v/>
      </c>
      <c r="AE928" s="13" t="str">
        <f>IF($X928="","",INDEX(TARIFF_PROFILES!$K:$K,MATCH($X928,TARIFF_PROFILES!$A:$A,0)))</f>
        <v/>
      </c>
      <c r="AH928" t="str">
        <f>IF($AG928="","",SUMIFS(OPERATING_COEFFS!$C:$C,OPERATING_COEFFS!$A:$A,"DistanceClass",OPERATING_COEFFS!$B:$B,$AG928))</f>
        <v/>
      </c>
      <c r="AJ928" t="str">
        <f>IF($AI928="","",SUMIFS(OPERATING_COEFFS!$C:$C,OPERATING_COEFFS!$A:$A,"SeasonClass",OPERATING_COEFFS!$B:$B,$AI928))</f>
        <v/>
      </c>
      <c r="AL928" t="str">
        <f>IF($AK928="","",SUMIFS(OPERATING_COEFFS!$C:$C,OPERATING_COEFFS!$A:$A,"UrgencyClass",OPERATING_COEFFS!$B:$B,$AK928))</f>
        <v/>
      </c>
      <c r="AN928" t="str">
        <f>IF($AM928="","",INDEX(TAX_MODES!$B:$B,MATCH($AM928,TAX_MODES!$A:$A,0)))</f>
        <v/>
      </c>
    </row>
    <row r="929" spans="24:40" x14ac:dyDescent="0.3">
      <c r="X929" s="13"/>
      <c r="Y929" s="13" t="str">
        <f>IF($X929="","",SUMIFS(TARIFF_PROFILES!$D:$D,TARIFF_PROFILES!$A:$A,$X929))</f>
        <v/>
      </c>
      <c r="Z929" s="13" t="str">
        <f>IF($X929="","",SUMIFS(TARIFF_PROFILES!$E:$E,TARIFF_PROFILES!$A:$A,$X929))</f>
        <v/>
      </c>
      <c r="AA929" s="13" t="str">
        <f>IF($X929="","",SUMIFS(TARIFF_PROFILES!$F:$F,TARIFF_PROFILES!$A:$A,$X929))</f>
        <v/>
      </c>
      <c r="AB929" s="13" t="str">
        <f>IF($X929="","",SUMIFS(TARIFF_PROFILES!$G:$G,TARIFF_PROFILES!$A:$A,$X929))</f>
        <v/>
      </c>
      <c r="AC929" s="13" t="str">
        <f>IF($X929="","",SUMIFS(TARIFF_PROFILES!$H:$H,TARIFF_PROFILES!$A:$A,$X929))</f>
        <v/>
      </c>
      <c r="AD929" s="13" t="str">
        <f>IF($X929="","",INDEX(TARIFF_PROFILES!$J:$J,MATCH($X929,TARIFF_PROFILES!$A:$A,0)))</f>
        <v/>
      </c>
      <c r="AE929" s="13" t="str">
        <f>IF($X929="","",INDEX(TARIFF_PROFILES!$K:$K,MATCH($X929,TARIFF_PROFILES!$A:$A,0)))</f>
        <v/>
      </c>
      <c r="AH929" t="str">
        <f>IF($AG929="","",SUMIFS(OPERATING_COEFFS!$C:$C,OPERATING_COEFFS!$A:$A,"DistanceClass",OPERATING_COEFFS!$B:$B,$AG929))</f>
        <v/>
      </c>
      <c r="AJ929" t="str">
        <f>IF($AI929="","",SUMIFS(OPERATING_COEFFS!$C:$C,OPERATING_COEFFS!$A:$A,"SeasonClass",OPERATING_COEFFS!$B:$B,$AI929))</f>
        <v/>
      </c>
      <c r="AL929" t="str">
        <f>IF($AK929="","",SUMIFS(OPERATING_COEFFS!$C:$C,OPERATING_COEFFS!$A:$A,"UrgencyClass",OPERATING_COEFFS!$B:$B,$AK929))</f>
        <v/>
      </c>
      <c r="AN929" t="str">
        <f>IF($AM929="","",INDEX(TAX_MODES!$B:$B,MATCH($AM929,TAX_MODES!$A:$A,0)))</f>
        <v/>
      </c>
    </row>
    <row r="930" spans="24:40" x14ac:dyDescent="0.3">
      <c r="X930" s="13"/>
      <c r="Y930" s="13" t="str">
        <f>IF($X930="","",SUMIFS(TARIFF_PROFILES!$D:$D,TARIFF_PROFILES!$A:$A,$X930))</f>
        <v/>
      </c>
      <c r="Z930" s="13" t="str">
        <f>IF($X930="","",SUMIFS(TARIFF_PROFILES!$E:$E,TARIFF_PROFILES!$A:$A,$X930))</f>
        <v/>
      </c>
      <c r="AA930" s="13" t="str">
        <f>IF($X930="","",SUMIFS(TARIFF_PROFILES!$F:$F,TARIFF_PROFILES!$A:$A,$X930))</f>
        <v/>
      </c>
      <c r="AB930" s="13" t="str">
        <f>IF($X930="","",SUMIFS(TARIFF_PROFILES!$G:$G,TARIFF_PROFILES!$A:$A,$X930))</f>
        <v/>
      </c>
      <c r="AC930" s="13" t="str">
        <f>IF($X930="","",SUMIFS(TARIFF_PROFILES!$H:$H,TARIFF_PROFILES!$A:$A,$X930))</f>
        <v/>
      </c>
      <c r="AD930" s="13" t="str">
        <f>IF($X930="","",INDEX(TARIFF_PROFILES!$J:$J,MATCH($X930,TARIFF_PROFILES!$A:$A,0)))</f>
        <v/>
      </c>
      <c r="AE930" s="13" t="str">
        <f>IF($X930="","",INDEX(TARIFF_PROFILES!$K:$K,MATCH($X930,TARIFF_PROFILES!$A:$A,0)))</f>
        <v/>
      </c>
      <c r="AH930" t="str">
        <f>IF($AG930="","",SUMIFS(OPERATING_COEFFS!$C:$C,OPERATING_COEFFS!$A:$A,"DistanceClass",OPERATING_COEFFS!$B:$B,$AG930))</f>
        <v/>
      </c>
      <c r="AJ930" t="str">
        <f>IF($AI930="","",SUMIFS(OPERATING_COEFFS!$C:$C,OPERATING_COEFFS!$A:$A,"SeasonClass",OPERATING_COEFFS!$B:$B,$AI930))</f>
        <v/>
      </c>
      <c r="AL930" t="str">
        <f>IF($AK930="","",SUMIFS(OPERATING_COEFFS!$C:$C,OPERATING_COEFFS!$A:$A,"UrgencyClass",OPERATING_COEFFS!$B:$B,$AK930))</f>
        <v/>
      </c>
      <c r="AN930" t="str">
        <f>IF($AM930="","",INDEX(TAX_MODES!$B:$B,MATCH($AM930,TAX_MODES!$A:$A,0)))</f>
        <v/>
      </c>
    </row>
    <row r="931" spans="24:40" x14ac:dyDescent="0.3">
      <c r="X931" s="13"/>
      <c r="Y931" s="13" t="str">
        <f>IF($X931="","",SUMIFS(TARIFF_PROFILES!$D:$D,TARIFF_PROFILES!$A:$A,$X931))</f>
        <v/>
      </c>
      <c r="Z931" s="13" t="str">
        <f>IF($X931="","",SUMIFS(TARIFF_PROFILES!$E:$E,TARIFF_PROFILES!$A:$A,$X931))</f>
        <v/>
      </c>
      <c r="AA931" s="13" t="str">
        <f>IF($X931="","",SUMIFS(TARIFF_PROFILES!$F:$F,TARIFF_PROFILES!$A:$A,$X931))</f>
        <v/>
      </c>
      <c r="AB931" s="13" t="str">
        <f>IF($X931="","",SUMIFS(TARIFF_PROFILES!$G:$G,TARIFF_PROFILES!$A:$A,$X931))</f>
        <v/>
      </c>
      <c r="AC931" s="13" t="str">
        <f>IF($X931="","",SUMIFS(TARIFF_PROFILES!$H:$H,TARIFF_PROFILES!$A:$A,$X931))</f>
        <v/>
      </c>
      <c r="AD931" s="13" t="str">
        <f>IF($X931="","",INDEX(TARIFF_PROFILES!$J:$J,MATCH($X931,TARIFF_PROFILES!$A:$A,0)))</f>
        <v/>
      </c>
      <c r="AE931" s="13" t="str">
        <f>IF($X931="","",INDEX(TARIFF_PROFILES!$K:$K,MATCH($X931,TARIFF_PROFILES!$A:$A,0)))</f>
        <v/>
      </c>
      <c r="AH931" t="str">
        <f>IF($AG931="","",SUMIFS(OPERATING_COEFFS!$C:$C,OPERATING_COEFFS!$A:$A,"DistanceClass",OPERATING_COEFFS!$B:$B,$AG931))</f>
        <v/>
      </c>
      <c r="AJ931" t="str">
        <f>IF($AI931="","",SUMIFS(OPERATING_COEFFS!$C:$C,OPERATING_COEFFS!$A:$A,"SeasonClass",OPERATING_COEFFS!$B:$B,$AI931))</f>
        <v/>
      </c>
      <c r="AL931" t="str">
        <f>IF($AK931="","",SUMIFS(OPERATING_COEFFS!$C:$C,OPERATING_COEFFS!$A:$A,"UrgencyClass",OPERATING_COEFFS!$B:$B,$AK931))</f>
        <v/>
      </c>
      <c r="AN931" t="str">
        <f>IF($AM931="","",INDEX(TAX_MODES!$B:$B,MATCH($AM931,TAX_MODES!$A:$A,0)))</f>
        <v/>
      </c>
    </row>
    <row r="932" spans="24:40" x14ac:dyDescent="0.3">
      <c r="X932" s="13"/>
      <c r="Y932" s="13" t="str">
        <f>IF($X932="","",SUMIFS(TARIFF_PROFILES!$D:$D,TARIFF_PROFILES!$A:$A,$X932))</f>
        <v/>
      </c>
      <c r="Z932" s="13" t="str">
        <f>IF($X932="","",SUMIFS(TARIFF_PROFILES!$E:$E,TARIFF_PROFILES!$A:$A,$X932))</f>
        <v/>
      </c>
      <c r="AA932" s="13" t="str">
        <f>IF($X932="","",SUMIFS(TARIFF_PROFILES!$F:$F,TARIFF_PROFILES!$A:$A,$X932))</f>
        <v/>
      </c>
      <c r="AB932" s="13" t="str">
        <f>IF($X932="","",SUMIFS(TARIFF_PROFILES!$G:$G,TARIFF_PROFILES!$A:$A,$X932))</f>
        <v/>
      </c>
      <c r="AC932" s="13" t="str">
        <f>IF($X932="","",SUMIFS(TARIFF_PROFILES!$H:$H,TARIFF_PROFILES!$A:$A,$X932))</f>
        <v/>
      </c>
      <c r="AD932" s="13" t="str">
        <f>IF($X932="","",INDEX(TARIFF_PROFILES!$J:$J,MATCH($X932,TARIFF_PROFILES!$A:$A,0)))</f>
        <v/>
      </c>
      <c r="AE932" s="13" t="str">
        <f>IF($X932="","",INDEX(TARIFF_PROFILES!$K:$K,MATCH($X932,TARIFF_PROFILES!$A:$A,0)))</f>
        <v/>
      </c>
      <c r="AH932" t="str">
        <f>IF($AG932="","",SUMIFS(OPERATING_COEFFS!$C:$C,OPERATING_COEFFS!$A:$A,"DistanceClass",OPERATING_COEFFS!$B:$B,$AG932))</f>
        <v/>
      </c>
      <c r="AJ932" t="str">
        <f>IF($AI932="","",SUMIFS(OPERATING_COEFFS!$C:$C,OPERATING_COEFFS!$A:$A,"SeasonClass",OPERATING_COEFFS!$B:$B,$AI932))</f>
        <v/>
      </c>
      <c r="AL932" t="str">
        <f>IF($AK932="","",SUMIFS(OPERATING_COEFFS!$C:$C,OPERATING_COEFFS!$A:$A,"UrgencyClass",OPERATING_COEFFS!$B:$B,$AK932))</f>
        <v/>
      </c>
      <c r="AN932" t="str">
        <f>IF($AM932="","",INDEX(TAX_MODES!$B:$B,MATCH($AM932,TAX_MODES!$A:$A,0)))</f>
        <v/>
      </c>
    </row>
    <row r="933" spans="24:40" x14ac:dyDescent="0.3">
      <c r="X933" s="13"/>
      <c r="Y933" s="13" t="str">
        <f>IF($X933="","",SUMIFS(TARIFF_PROFILES!$D:$D,TARIFF_PROFILES!$A:$A,$X933))</f>
        <v/>
      </c>
      <c r="Z933" s="13" t="str">
        <f>IF($X933="","",SUMIFS(TARIFF_PROFILES!$E:$E,TARIFF_PROFILES!$A:$A,$X933))</f>
        <v/>
      </c>
      <c r="AA933" s="13" t="str">
        <f>IF($X933="","",SUMIFS(TARIFF_PROFILES!$F:$F,TARIFF_PROFILES!$A:$A,$X933))</f>
        <v/>
      </c>
      <c r="AB933" s="13" t="str">
        <f>IF($X933="","",SUMIFS(TARIFF_PROFILES!$G:$G,TARIFF_PROFILES!$A:$A,$X933))</f>
        <v/>
      </c>
      <c r="AC933" s="13" t="str">
        <f>IF($X933="","",SUMIFS(TARIFF_PROFILES!$H:$H,TARIFF_PROFILES!$A:$A,$X933))</f>
        <v/>
      </c>
      <c r="AD933" s="13" t="str">
        <f>IF($X933="","",INDEX(TARIFF_PROFILES!$J:$J,MATCH($X933,TARIFF_PROFILES!$A:$A,0)))</f>
        <v/>
      </c>
      <c r="AE933" s="13" t="str">
        <f>IF($X933="","",INDEX(TARIFF_PROFILES!$K:$K,MATCH($X933,TARIFF_PROFILES!$A:$A,0)))</f>
        <v/>
      </c>
      <c r="AH933" t="str">
        <f>IF($AG933="","",SUMIFS(OPERATING_COEFFS!$C:$C,OPERATING_COEFFS!$A:$A,"DistanceClass",OPERATING_COEFFS!$B:$B,$AG933))</f>
        <v/>
      </c>
      <c r="AJ933" t="str">
        <f>IF($AI933="","",SUMIFS(OPERATING_COEFFS!$C:$C,OPERATING_COEFFS!$A:$A,"SeasonClass",OPERATING_COEFFS!$B:$B,$AI933))</f>
        <v/>
      </c>
      <c r="AL933" t="str">
        <f>IF($AK933="","",SUMIFS(OPERATING_COEFFS!$C:$C,OPERATING_COEFFS!$A:$A,"UrgencyClass",OPERATING_COEFFS!$B:$B,$AK933))</f>
        <v/>
      </c>
      <c r="AN933" t="str">
        <f>IF($AM933="","",INDEX(TAX_MODES!$B:$B,MATCH($AM933,TAX_MODES!$A:$A,0)))</f>
        <v/>
      </c>
    </row>
    <row r="934" spans="24:40" x14ac:dyDescent="0.3">
      <c r="X934" s="13"/>
      <c r="Y934" s="13" t="str">
        <f>IF($X934="","",SUMIFS(TARIFF_PROFILES!$D:$D,TARIFF_PROFILES!$A:$A,$X934))</f>
        <v/>
      </c>
      <c r="Z934" s="13" t="str">
        <f>IF($X934="","",SUMIFS(TARIFF_PROFILES!$E:$E,TARIFF_PROFILES!$A:$A,$X934))</f>
        <v/>
      </c>
      <c r="AA934" s="13" t="str">
        <f>IF($X934="","",SUMIFS(TARIFF_PROFILES!$F:$F,TARIFF_PROFILES!$A:$A,$X934))</f>
        <v/>
      </c>
      <c r="AB934" s="13" t="str">
        <f>IF($X934="","",SUMIFS(TARIFF_PROFILES!$G:$G,TARIFF_PROFILES!$A:$A,$X934))</f>
        <v/>
      </c>
      <c r="AC934" s="13" t="str">
        <f>IF($X934="","",SUMIFS(TARIFF_PROFILES!$H:$H,TARIFF_PROFILES!$A:$A,$X934))</f>
        <v/>
      </c>
      <c r="AD934" s="13" t="str">
        <f>IF($X934="","",INDEX(TARIFF_PROFILES!$J:$J,MATCH($X934,TARIFF_PROFILES!$A:$A,0)))</f>
        <v/>
      </c>
      <c r="AE934" s="13" t="str">
        <f>IF($X934="","",INDEX(TARIFF_PROFILES!$K:$K,MATCH($X934,TARIFF_PROFILES!$A:$A,0)))</f>
        <v/>
      </c>
      <c r="AH934" t="str">
        <f>IF($AG934="","",SUMIFS(OPERATING_COEFFS!$C:$C,OPERATING_COEFFS!$A:$A,"DistanceClass",OPERATING_COEFFS!$B:$B,$AG934))</f>
        <v/>
      </c>
      <c r="AJ934" t="str">
        <f>IF($AI934="","",SUMIFS(OPERATING_COEFFS!$C:$C,OPERATING_COEFFS!$A:$A,"SeasonClass",OPERATING_COEFFS!$B:$B,$AI934))</f>
        <v/>
      </c>
      <c r="AL934" t="str">
        <f>IF($AK934="","",SUMIFS(OPERATING_COEFFS!$C:$C,OPERATING_COEFFS!$A:$A,"UrgencyClass",OPERATING_COEFFS!$B:$B,$AK934))</f>
        <v/>
      </c>
      <c r="AN934" t="str">
        <f>IF($AM934="","",INDEX(TAX_MODES!$B:$B,MATCH($AM934,TAX_MODES!$A:$A,0)))</f>
        <v/>
      </c>
    </row>
    <row r="935" spans="24:40" x14ac:dyDescent="0.3">
      <c r="X935" s="13"/>
      <c r="Y935" s="13" t="str">
        <f>IF($X935="","",SUMIFS(TARIFF_PROFILES!$D:$D,TARIFF_PROFILES!$A:$A,$X935))</f>
        <v/>
      </c>
      <c r="Z935" s="13" t="str">
        <f>IF($X935="","",SUMIFS(TARIFF_PROFILES!$E:$E,TARIFF_PROFILES!$A:$A,$X935))</f>
        <v/>
      </c>
      <c r="AA935" s="13" t="str">
        <f>IF($X935="","",SUMIFS(TARIFF_PROFILES!$F:$F,TARIFF_PROFILES!$A:$A,$X935))</f>
        <v/>
      </c>
      <c r="AB935" s="13" t="str">
        <f>IF($X935="","",SUMIFS(TARIFF_PROFILES!$G:$G,TARIFF_PROFILES!$A:$A,$X935))</f>
        <v/>
      </c>
      <c r="AC935" s="13" t="str">
        <f>IF($X935="","",SUMIFS(TARIFF_PROFILES!$H:$H,TARIFF_PROFILES!$A:$A,$X935))</f>
        <v/>
      </c>
      <c r="AD935" s="13" t="str">
        <f>IF($X935="","",INDEX(TARIFF_PROFILES!$J:$J,MATCH($X935,TARIFF_PROFILES!$A:$A,0)))</f>
        <v/>
      </c>
      <c r="AE935" s="13" t="str">
        <f>IF($X935="","",INDEX(TARIFF_PROFILES!$K:$K,MATCH($X935,TARIFF_PROFILES!$A:$A,0)))</f>
        <v/>
      </c>
      <c r="AH935" t="str">
        <f>IF($AG935="","",SUMIFS(OPERATING_COEFFS!$C:$C,OPERATING_COEFFS!$A:$A,"DistanceClass",OPERATING_COEFFS!$B:$B,$AG935))</f>
        <v/>
      </c>
      <c r="AJ935" t="str">
        <f>IF($AI935="","",SUMIFS(OPERATING_COEFFS!$C:$C,OPERATING_COEFFS!$A:$A,"SeasonClass",OPERATING_COEFFS!$B:$B,$AI935))</f>
        <v/>
      </c>
      <c r="AL935" t="str">
        <f>IF($AK935="","",SUMIFS(OPERATING_COEFFS!$C:$C,OPERATING_COEFFS!$A:$A,"UrgencyClass",OPERATING_COEFFS!$B:$B,$AK935))</f>
        <v/>
      </c>
      <c r="AN935" t="str">
        <f>IF($AM935="","",INDEX(TAX_MODES!$B:$B,MATCH($AM935,TAX_MODES!$A:$A,0)))</f>
        <v/>
      </c>
    </row>
    <row r="936" spans="24:40" x14ac:dyDescent="0.3">
      <c r="X936" s="13"/>
      <c r="Y936" s="13" t="str">
        <f>IF($X936="","",SUMIFS(TARIFF_PROFILES!$D:$D,TARIFF_PROFILES!$A:$A,$X936))</f>
        <v/>
      </c>
      <c r="Z936" s="13" t="str">
        <f>IF($X936="","",SUMIFS(TARIFF_PROFILES!$E:$E,TARIFF_PROFILES!$A:$A,$X936))</f>
        <v/>
      </c>
      <c r="AA936" s="13" t="str">
        <f>IF($X936="","",SUMIFS(TARIFF_PROFILES!$F:$F,TARIFF_PROFILES!$A:$A,$X936))</f>
        <v/>
      </c>
      <c r="AB936" s="13" t="str">
        <f>IF($X936="","",SUMIFS(TARIFF_PROFILES!$G:$G,TARIFF_PROFILES!$A:$A,$X936))</f>
        <v/>
      </c>
      <c r="AC936" s="13" t="str">
        <f>IF($X936="","",SUMIFS(TARIFF_PROFILES!$H:$H,TARIFF_PROFILES!$A:$A,$X936))</f>
        <v/>
      </c>
      <c r="AD936" s="13" t="str">
        <f>IF($X936="","",INDEX(TARIFF_PROFILES!$J:$J,MATCH($X936,TARIFF_PROFILES!$A:$A,0)))</f>
        <v/>
      </c>
      <c r="AE936" s="13" t="str">
        <f>IF($X936="","",INDEX(TARIFF_PROFILES!$K:$K,MATCH($X936,TARIFF_PROFILES!$A:$A,0)))</f>
        <v/>
      </c>
      <c r="AH936" t="str">
        <f>IF($AG936="","",SUMIFS(OPERATING_COEFFS!$C:$C,OPERATING_COEFFS!$A:$A,"DistanceClass",OPERATING_COEFFS!$B:$B,$AG936))</f>
        <v/>
      </c>
      <c r="AJ936" t="str">
        <f>IF($AI936="","",SUMIFS(OPERATING_COEFFS!$C:$C,OPERATING_COEFFS!$A:$A,"SeasonClass",OPERATING_COEFFS!$B:$B,$AI936))</f>
        <v/>
      </c>
      <c r="AL936" t="str">
        <f>IF($AK936="","",SUMIFS(OPERATING_COEFFS!$C:$C,OPERATING_COEFFS!$A:$A,"UrgencyClass",OPERATING_COEFFS!$B:$B,$AK936))</f>
        <v/>
      </c>
      <c r="AN936" t="str">
        <f>IF($AM936="","",INDEX(TAX_MODES!$B:$B,MATCH($AM936,TAX_MODES!$A:$A,0)))</f>
        <v/>
      </c>
    </row>
    <row r="937" spans="24:40" x14ac:dyDescent="0.3">
      <c r="X937" s="13"/>
      <c r="Y937" s="13" t="str">
        <f>IF($X937="","",SUMIFS(TARIFF_PROFILES!$D:$D,TARIFF_PROFILES!$A:$A,$X937))</f>
        <v/>
      </c>
      <c r="Z937" s="13" t="str">
        <f>IF($X937="","",SUMIFS(TARIFF_PROFILES!$E:$E,TARIFF_PROFILES!$A:$A,$X937))</f>
        <v/>
      </c>
      <c r="AA937" s="13" t="str">
        <f>IF($X937="","",SUMIFS(TARIFF_PROFILES!$F:$F,TARIFF_PROFILES!$A:$A,$X937))</f>
        <v/>
      </c>
      <c r="AB937" s="13" t="str">
        <f>IF($X937="","",SUMIFS(TARIFF_PROFILES!$G:$G,TARIFF_PROFILES!$A:$A,$X937))</f>
        <v/>
      </c>
      <c r="AC937" s="13" t="str">
        <f>IF($X937="","",SUMIFS(TARIFF_PROFILES!$H:$H,TARIFF_PROFILES!$A:$A,$X937))</f>
        <v/>
      </c>
      <c r="AD937" s="13" t="str">
        <f>IF($X937="","",INDEX(TARIFF_PROFILES!$J:$J,MATCH($X937,TARIFF_PROFILES!$A:$A,0)))</f>
        <v/>
      </c>
      <c r="AE937" s="13" t="str">
        <f>IF($X937="","",INDEX(TARIFF_PROFILES!$K:$K,MATCH($X937,TARIFF_PROFILES!$A:$A,0)))</f>
        <v/>
      </c>
      <c r="AH937" t="str">
        <f>IF($AG937="","",SUMIFS(OPERATING_COEFFS!$C:$C,OPERATING_COEFFS!$A:$A,"DistanceClass",OPERATING_COEFFS!$B:$B,$AG937))</f>
        <v/>
      </c>
      <c r="AJ937" t="str">
        <f>IF($AI937="","",SUMIFS(OPERATING_COEFFS!$C:$C,OPERATING_COEFFS!$A:$A,"SeasonClass",OPERATING_COEFFS!$B:$B,$AI937))</f>
        <v/>
      </c>
      <c r="AL937" t="str">
        <f>IF($AK937="","",SUMIFS(OPERATING_COEFFS!$C:$C,OPERATING_COEFFS!$A:$A,"UrgencyClass",OPERATING_COEFFS!$B:$B,$AK937))</f>
        <v/>
      </c>
      <c r="AN937" t="str">
        <f>IF($AM937="","",INDEX(TAX_MODES!$B:$B,MATCH($AM937,TAX_MODES!$A:$A,0)))</f>
        <v/>
      </c>
    </row>
    <row r="938" spans="24:40" x14ac:dyDescent="0.3">
      <c r="X938" s="13"/>
      <c r="Y938" s="13" t="str">
        <f>IF($X938="","",SUMIFS(TARIFF_PROFILES!$D:$D,TARIFF_PROFILES!$A:$A,$X938))</f>
        <v/>
      </c>
      <c r="Z938" s="13" t="str">
        <f>IF($X938="","",SUMIFS(TARIFF_PROFILES!$E:$E,TARIFF_PROFILES!$A:$A,$X938))</f>
        <v/>
      </c>
      <c r="AA938" s="13" t="str">
        <f>IF($X938="","",SUMIFS(TARIFF_PROFILES!$F:$F,TARIFF_PROFILES!$A:$A,$X938))</f>
        <v/>
      </c>
      <c r="AB938" s="13" t="str">
        <f>IF($X938="","",SUMIFS(TARIFF_PROFILES!$G:$G,TARIFF_PROFILES!$A:$A,$X938))</f>
        <v/>
      </c>
      <c r="AC938" s="13" t="str">
        <f>IF($X938="","",SUMIFS(TARIFF_PROFILES!$H:$H,TARIFF_PROFILES!$A:$A,$X938))</f>
        <v/>
      </c>
      <c r="AD938" s="13" t="str">
        <f>IF($X938="","",INDEX(TARIFF_PROFILES!$J:$J,MATCH($X938,TARIFF_PROFILES!$A:$A,0)))</f>
        <v/>
      </c>
      <c r="AE938" s="13" t="str">
        <f>IF($X938="","",INDEX(TARIFF_PROFILES!$K:$K,MATCH($X938,TARIFF_PROFILES!$A:$A,0)))</f>
        <v/>
      </c>
      <c r="AH938" t="str">
        <f>IF($AG938="","",SUMIFS(OPERATING_COEFFS!$C:$C,OPERATING_COEFFS!$A:$A,"DistanceClass",OPERATING_COEFFS!$B:$B,$AG938))</f>
        <v/>
      </c>
      <c r="AJ938" t="str">
        <f>IF($AI938="","",SUMIFS(OPERATING_COEFFS!$C:$C,OPERATING_COEFFS!$A:$A,"SeasonClass",OPERATING_COEFFS!$B:$B,$AI938))</f>
        <v/>
      </c>
      <c r="AL938" t="str">
        <f>IF($AK938="","",SUMIFS(OPERATING_COEFFS!$C:$C,OPERATING_COEFFS!$A:$A,"UrgencyClass",OPERATING_COEFFS!$B:$B,$AK938))</f>
        <v/>
      </c>
      <c r="AN938" t="str">
        <f>IF($AM938="","",INDEX(TAX_MODES!$B:$B,MATCH($AM938,TAX_MODES!$A:$A,0)))</f>
        <v/>
      </c>
    </row>
    <row r="939" spans="24:40" x14ac:dyDescent="0.3">
      <c r="X939" s="13"/>
      <c r="Y939" s="13" t="str">
        <f>IF($X939="","",SUMIFS(TARIFF_PROFILES!$D:$D,TARIFF_PROFILES!$A:$A,$X939))</f>
        <v/>
      </c>
      <c r="Z939" s="13" t="str">
        <f>IF($X939="","",SUMIFS(TARIFF_PROFILES!$E:$E,TARIFF_PROFILES!$A:$A,$X939))</f>
        <v/>
      </c>
      <c r="AA939" s="13" t="str">
        <f>IF($X939="","",SUMIFS(TARIFF_PROFILES!$F:$F,TARIFF_PROFILES!$A:$A,$X939))</f>
        <v/>
      </c>
      <c r="AB939" s="13" t="str">
        <f>IF($X939="","",SUMIFS(TARIFF_PROFILES!$G:$G,TARIFF_PROFILES!$A:$A,$X939))</f>
        <v/>
      </c>
      <c r="AC939" s="13" t="str">
        <f>IF($X939="","",SUMIFS(TARIFF_PROFILES!$H:$H,TARIFF_PROFILES!$A:$A,$X939))</f>
        <v/>
      </c>
      <c r="AD939" s="13" t="str">
        <f>IF($X939="","",INDEX(TARIFF_PROFILES!$J:$J,MATCH($X939,TARIFF_PROFILES!$A:$A,0)))</f>
        <v/>
      </c>
      <c r="AE939" s="13" t="str">
        <f>IF($X939="","",INDEX(TARIFF_PROFILES!$K:$K,MATCH($X939,TARIFF_PROFILES!$A:$A,0)))</f>
        <v/>
      </c>
      <c r="AH939" t="str">
        <f>IF($AG939="","",SUMIFS(OPERATING_COEFFS!$C:$C,OPERATING_COEFFS!$A:$A,"DistanceClass",OPERATING_COEFFS!$B:$B,$AG939))</f>
        <v/>
      </c>
      <c r="AJ939" t="str">
        <f>IF($AI939="","",SUMIFS(OPERATING_COEFFS!$C:$C,OPERATING_COEFFS!$A:$A,"SeasonClass",OPERATING_COEFFS!$B:$B,$AI939))</f>
        <v/>
      </c>
      <c r="AL939" t="str">
        <f>IF($AK939="","",SUMIFS(OPERATING_COEFFS!$C:$C,OPERATING_COEFFS!$A:$A,"UrgencyClass",OPERATING_COEFFS!$B:$B,$AK939))</f>
        <v/>
      </c>
      <c r="AN939" t="str">
        <f>IF($AM939="","",INDEX(TAX_MODES!$B:$B,MATCH($AM939,TAX_MODES!$A:$A,0)))</f>
        <v/>
      </c>
    </row>
    <row r="940" spans="24:40" x14ac:dyDescent="0.3">
      <c r="X940" s="13"/>
      <c r="Y940" s="13" t="str">
        <f>IF($X940="","",SUMIFS(TARIFF_PROFILES!$D:$D,TARIFF_PROFILES!$A:$A,$X940))</f>
        <v/>
      </c>
      <c r="Z940" s="13" t="str">
        <f>IF($X940="","",SUMIFS(TARIFF_PROFILES!$E:$E,TARIFF_PROFILES!$A:$A,$X940))</f>
        <v/>
      </c>
      <c r="AA940" s="13" t="str">
        <f>IF($X940="","",SUMIFS(TARIFF_PROFILES!$F:$F,TARIFF_PROFILES!$A:$A,$X940))</f>
        <v/>
      </c>
      <c r="AB940" s="13" t="str">
        <f>IF($X940="","",SUMIFS(TARIFF_PROFILES!$G:$G,TARIFF_PROFILES!$A:$A,$X940))</f>
        <v/>
      </c>
      <c r="AC940" s="13" t="str">
        <f>IF($X940="","",SUMIFS(TARIFF_PROFILES!$H:$H,TARIFF_PROFILES!$A:$A,$X940))</f>
        <v/>
      </c>
      <c r="AD940" s="13" t="str">
        <f>IF($X940="","",INDEX(TARIFF_PROFILES!$J:$J,MATCH($X940,TARIFF_PROFILES!$A:$A,0)))</f>
        <v/>
      </c>
      <c r="AE940" s="13" t="str">
        <f>IF($X940="","",INDEX(TARIFF_PROFILES!$K:$K,MATCH($X940,TARIFF_PROFILES!$A:$A,0)))</f>
        <v/>
      </c>
      <c r="AH940" t="str">
        <f>IF($AG940="","",SUMIFS(OPERATING_COEFFS!$C:$C,OPERATING_COEFFS!$A:$A,"DistanceClass",OPERATING_COEFFS!$B:$B,$AG940))</f>
        <v/>
      </c>
      <c r="AJ940" t="str">
        <f>IF($AI940="","",SUMIFS(OPERATING_COEFFS!$C:$C,OPERATING_COEFFS!$A:$A,"SeasonClass",OPERATING_COEFFS!$B:$B,$AI940))</f>
        <v/>
      </c>
      <c r="AL940" t="str">
        <f>IF($AK940="","",SUMIFS(OPERATING_COEFFS!$C:$C,OPERATING_COEFFS!$A:$A,"UrgencyClass",OPERATING_COEFFS!$B:$B,$AK940))</f>
        <v/>
      </c>
      <c r="AN940" t="str">
        <f>IF($AM940="","",INDEX(TAX_MODES!$B:$B,MATCH($AM940,TAX_MODES!$A:$A,0)))</f>
        <v/>
      </c>
    </row>
    <row r="941" spans="24:40" x14ac:dyDescent="0.3">
      <c r="X941" s="13"/>
      <c r="Y941" s="13" t="str">
        <f>IF($X941="","",SUMIFS(TARIFF_PROFILES!$D:$D,TARIFF_PROFILES!$A:$A,$X941))</f>
        <v/>
      </c>
      <c r="Z941" s="13" t="str">
        <f>IF($X941="","",SUMIFS(TARIFF_PROFILES!$E:$E,TARIFF_PROFILES!$A:$A,$X941))</f>
        <v/>
      </c>
      <c r="AA941" s="13" t="str">
        <f>IF($X941="","",SUMIFS(TARIFF_PROFILES!$F:$F,TARIFF_PROFILES!$A:$A,$X941))</f>
        <v/>
      </c>
      <c r="AB941" s="13" t="str">
        <f>IF($X941="","",SUMIFS(TARIFF_PROFILES!$G:$G,TARIFF_PROFILES!$A:$A,$X941))</f>
        <v/>
      </c>
      <c r="AC941" s="13" t="str">
        <f>IF($X941="","",SUMIFS(TARIFF_PROFILES!$H:$H,TARIFF_PROFILES!$A:$A,$X941))</f>
        <v/>
      </c>
      <c r="AD941" s="13" t="str">
        <f>IF($X941="","",INDEX(TARIFF_PROFILES!$J:$J,MATCH($X941,TARIFF_PROFILES!$A:$A,0)))</f>
        <v/>
      </c>
      <c r="AE941" s="13" t="str">
        <f>IF($X941="","",INDEX(TARIFF_PROFILES!$K:$K,MATCH($X941,TARIFF_PROFILES!$A:$A,0)))</f>
        <v/>
      </c>
      <c r="AH941" t="str">
        <f>IF($AG941="","",SUMIFS(OPERATING_COEFFS!$C:$C,OPERATING_COEFFS!$A:$A,"DistanceClass",OPERATING_COEFFS!$B:$B,$AG941))</f>
        <v/>
      </c>
      <c r="AJ941" t="str">
        <f>IF($AI941="","",SUMIFS(OPERATING_COEFFS!$C:$C,OPERATING_COEFFS!$A:$A,"SeasonClass",OPERATING_COEFFS!$B:$B,$AI941))</f>
        <v/>
      </c>
      <c r="AL941" t="str">
        <f>IF($AK941="","",SUMIFS(OPERATING_COEFFS!$C:$C,OPERATING_COEFFS!$A:$A,"UrgencyClass",OPERATING_COEFFS!$B:$B,$AK941))</f>
        <v/>
      </c>
      <c r="AN941" t="str">
        <f>IF($AM941="","",INDEX(TAX_MODES!$B:$B,MATCH($AM941,TAX_MODES!$A:$A,0)))</f>
        <v/>
      </c>
    </row>
    <row r="942" spans="24:40" x14ac:dyDescent="0.3">
      <c r="X942" s="13"/>
      <c r="Y942" s="13" t="str">
        <f>IF($X942="","",SUMIFS(TARIFF_PROFILES!$D:$D,TARIFF_PROFILES!$A:$A,$X942))</f>
        <v/>
      </c>
      <c r="Z942" s="13" t="str">
        <f>IF($X942="","",SUMIFS(TARIFF_PROFILES!$E:$E,TARIFF_PROFILES!$A:$A,$X942))</f>
        <v/>
      </c>
      <c r="AA942" s="13" t="str">
        <f>IF($X942="","",SUMIFS(TARIFF_PROFILES!$F:$F,TARIFF_PROFILES!$A:$A,$X942))</f>
        <v/>
      </c>
      <c r="AB942" s="13" t="str">
        <f>IF($X942="","",SUMIFS(TARIFF_PROFILES!$G:$G,TARIFF_PROFILES!$A:$A,$X942))</f>
        <v/>
      </c>
      <c r="AC942" s="13" t="str">
        <f>IF($X942="","",SUMIFS(TARIFF_PROFILES!$H:$H,TARIFF_PROFILES!$A:$A,$X942))</f>
        <v/>
      </c>
      <c r="AD942" s="13" t="str">
        <f>IF($X942="","",INDEX(TARIFF_PROFILES!$J:$J,MATCH($X942,TARIFF_PROFILES!$A:$A,0)))</f>
        <v/>
      </c>
      <c r="AE942" s="13" t="str">
        <f>IF($X942="","",INDEX(TARIFF_PROFILES!$K:$K,MATCH($X942,TARIFF_PROFILES!$A:$A,0)))</f>
        <v/>
      </c>
      <c r="AH942" t="str">
        <f>IF($AG942="","",SUMIFS(OPERATING_COEFFS!$C:$C,OPERATING_COEFFS!$A:$A,"DistanceClass",OPERATING_COEFFS!$B:$B,$AG942))</f>
        <v/>
      </c>
      <c r="AJ942" t="str">
        <f>IF($AI942="","",SUMIFS(OPERATING_COEFFS!$C:$C,OPERATING_COEFFS!$A:$A,"SeasonClass",OPERATING_COEFFS!$B:$B,$AI942))</f>
        <v/>
      </c>
      <c r="AL942" t="str">
        <f>IF($AK942="","",SUMIFS(OPERATING_COEFFS!$C:$C,OPERATING_COEFFS!$A:$A,"UrgencyClass",OPERATING_COEFFS!$B:$B,$AK942))</f>
        <v/>
      </c>
      <c r="AN942" t="str">
        <f>IF($AM942="","",INDEX(TAX_MODES!$B:$B,MATCH($AM942,TAX_MODES!$A:$A,0)))</f>
        <v/>
      </c>
    </row>
    <row r="943" spans="24:40" x14ac:dyDescent="0.3">
      <c r="X943" s="13"/>
      <c r="Y943" s="13" t="str">
        <f>IF($X943="","",SUMIFS(TARIFF_PROFILES!$D:$D,TARIFF_PROFILES!$A:$A,$X943))</f>
        <v/>
      </c>
      <c r="Z943" s="13" t="str">
        <f>IF($X943="","",SUMIFS(TARIFF_PROFILES!$E:$E,TARIFF_PROFILES!$A:$A,$X943))</f>
        <v/>
      </c>
      <c r="AA943" s="13" t="str">
        <f>IF($X943="","",SUMIFS(TARIFF_PROFILES!$F:$F,TARIFF_PROFILES!$A:$A,$X943))</f>
        <v/>
      </c>
      <c r="AB943" s="13" t="str">
        <f>IF($X943="","",SUMIFS(TARIFF_PROFILES!$G:$G,TARIFF_PROFILES!$A:$A,$X943))</f>
        <v/>
      </c>
      <c r="AC943" s="13" t="str">
        <f>IF($X943="","",SUMIFS(TARIFF_PROFILES!$H:$H,TARIFF_PROFILES!$A:$A,$X943))</f>
        <v/>
      </c>
      <c r="AD943" s="13" t="str">
        <f>IF($X943="","",INDEX(TARIFF_PROFILES!$J:$J,MATCH($X943,TARIFF_PROFILES!$A:$A,0)))</f>
        <v/>
      </c>
      <c r="AE943" s="13" t="str">
        <f>IF($X943="","",INDEX(TARIFF_PROFILES!$K:$K,MATCH($X943,TARIFF_PROFILES!$A:$A,0)))</f>
        <v/>
      </c>
      <c r="AH943" t="str">
        <f>IF($AG943="","",SUMIFS(OPERATING_COEFFS!$C:$C,OPERATING_COEFFS!$A:$A,"DistanceClass",OPERATING_COEFFS!$B:$B,$AG943))</f>
        <v/>
      </c>
      <c r="AJ943" t="str">
        <f>IF($AI943="","",SUMIFS(OPERATING_COEFFS!$C:$C,OPERATING_COEFFS!$A:$A,"SeasonClass",OPERATING_COEFFS!$B:$B,$AI943))</f>
        <v/>
      </c>
      <c r="AL943" t="str">
        <f>IF($AK943="","",SUMIFS(OPERATING_COEFFS!$C:$C,OPERATING_COEFFS!$A:$A,"UrgencyClass",OPERATING_COEFFS!$B:$B,$AK943))</f>
        <v/>
      </c>
      <c r="AN943" t="str">
        <f>IF($AM943="","",INDEX(TAX_MODES!$B:$B,MATCH($AM943,TAX_MODES!$A:$A,0)))</f>
        <v/>
      </c>
    </row>
    <row r="944" spans="24:40" x14ac:dyDescent="0.3">
      <c r="X944" s="13"/>
      <c r="Y944" s="13" t="str">
        <f>IF($X944="","",SUMIFS(TARIFF_PROFILES!$D:$D,TARIFF_PROFILES!$A:$A,$X944))</f>
        <v/>
      </c>
      <c r="Z944" s="13" t="str">
        <f>IF($X944="","",SUMIFS(TARIFF_PROFILES!$E:$E,TARIFF_PROFILES!$A:$A,$X944))</f>
        <v/>
      </c>
      <c r="AA944" s="13" t="str">
        <f>IF($X944="","",SUMIFS(TARIFF_PROFILES!$F:$F,TARIFF_PROFILES!$A:$A,$X944))</f>
        <v/>
      </c>
      <c r="AB944" s="13" t="str">
        <f>IF($X944="","",SUMIFS(TARIFF_PROFILES!$G:$G,TARIFF_PROFILES!$A:$A,$X944))</f>
        <v/>
      </c>
      <c r="AC944" s="13" t="str">
        <f>IF($X944="","",SUMIFS(TARIFF_PROFILES!$H:$H,TARIFF_PROFILES!$A:$A,$X944))</f>
        <v/>
      </c>
      <c r="AD944" s="13" t="str">
        <f>IF($X944="","",INDEX(TARIFF_PROFILES!$J:$J,MATCH($X944,TARIFF_PROFILES!$A:$A,0)))</f>
        <v/>
      </c>
      <c r="AE944" s="13" t="str">
        <f>IF($X944="","",INDEX(TARIFF_PROFILES!$K:$K,MATCH($X944,TARIFF_PROFILES!$A:$A,0)))</f>
        <v/>
      </c>
      <c r="AH944" t="str">
        <f>IF($AG944="","",SUMIFS(OPERATING_COEFFS!$C:$C,OPERATING_COEFFS!$A:$A,"DistanceClass",OPERATING_COEFFS!$B:$B,$AG944))</f>
        <v/>
      </c>
      <c r="AJ944" t="str">
        <f>IF($AI944="","",SUMIFS(OPERATING_COEFFS!$C:$C,OPERATING_COEFFS!$A:$A,"SeasonClass",OPERATING_COEFFS!$B:$B,$AI944))</f>
        <v/>
      </c>
      <c r="AL944" t="str">
        <f>IF($AK944="","",SUMIFS(OPERATING_COEFFS!$C:$C,OPERATING_COEFFS!$A:$A,"UrgencyClass",OPERATING_COEFFS!$B:$B,$AK944))</f>
        <v/>
      </c>
      <c r="AN944" t="str">
        <f>IF($AM944="","",INDEX(TAX_MODES!$B:$B,MATCH($AM944,TAX_MODES!$A:$A,0)))</f>
        <v/>
      </c>
    </row>
    <row r="945" spans="24:40" x14ac:dyDescent="0.3">
      <c r="X945" s="13"/>
      <c r="Y945" s="13" t="str">
        <f>IF($X945="","",SUMIFS(TARIFF_PROFILES!$D:$D,TARIFF_PROFILES!$A:$A,$X945))</f>
        <v/>
      </c>
      <c r="Z945" s="13" t="str">
        <f>IF($X945="","",SUMIFS(TARIFF_PROFILES!$E:$E,TARIFF_PROFILES!$A:$A,$X945))</f>
        <v/>
      </c>
      <c r="AA945" s="13" t="str">
        <f>IF($X945="","",SUMIFS(TARIFF_PROFILES!$F:$F,TARIFF_PROFILES!$A:$A,$X945))</f>
        <v/>
      </c>
      <c r="AB945" s="13" t="str">
        <f>IF($X945="","",SUMIFS(TARIFF_PROFILES!$G:$G,TARIFF_PROFILES!$A:$A,$X945))</f>
        <v/>
      </c>
      <c r="AC945" s="13" t="str">
        <f>IF($X945="","",SUMIFS(TARIFF_PROFILES!$H:$H,TARIFF_PROFILES!$A:$A,$X945))</f>
        <v/>
      </c>
      <c r="AD945" s="13" t="str">
        <f>IF($X945="","",INDEX(TARIFF_PROFILES!$J:$J,MATCH($X945,TARIFF_PROFILES!$A:$A,0)))</f>
        <v/>
      </c>
      <c r="AE945" s="13" t="str">
        <f>IF($X945="","",INDEX(TARIFF_PROFILES!$K:$K,MATCH($X945,TARIFF_PROFILES!$A:$A,0)))</f>
        <v/>
      </c>
      <c r="AH945" t="str">
        <f>IF($AG945="","",SUMIFS(OPERATING_COEFFS!$C:$C,OPERATING_COEFFS!$A:$A,"DistanceClass",OPERATING_COEFFS!$B:$B,$AG945))</f>
        <v/>
      </c>
      <c r="AJ945" t="str">
        <f>IF($AI945="","",SUMIFS(OPERATING_COEFFS!$C:$C,OPERATING_COEFFS!$A:$A,"SeasonClass",OPERATING_COEFFS!$B:$B,$AI945))</f>
        <v/>
      </c>
      <c r="AL945" t="str">
        <f>IF($AK945="","",SUMIFS(OPERATING_COEFFS!$C:$C,OPERATING_COEFFS!$A:$A,"UrgencyClass",OPERATING_COEFFS!$B:$B,$AK945))</f>
        <v/>
      </c>
      <c r="AN945" t="str">
        <f>IF($AM945="","",INDEX(TAX_MODES!$B:$B,MATCH($AM945,TAX_MODES!$A:$A,0)))</f>
        <v/>
      </c>
    </row>
    <row r="946" spans="24:40" x14ac:dyDescent="0.3">
      <c r="X946" s="13"/>
      <c r="Y946" s="13" t="str">
        <f>IF($X946="","",SUMIFS(TARIFF_PROFILES!$D:$D,TARIFF_PROFILES!$A:$A,$X946))</f>
        <v/>
      </c>
      <c r="Z946" s="13" t="str">
        <f>IF($X946="","",SUMIFS(TARIFF_PROFILES!$E:$E,TARIFF_PROFILES!$A:$A,$X946))</f>
        <v/>
      </c>
      <c r="AA946" s="13" t="str">
        <f>IF($X946="","",SUMIFS(TARIFF_PROFILES!$F:$F,TARIFF_PROFILES!$A:$A,$X946))</f>
        <v/>
      </c>
      <c r="AB946" s="13" t="str">
        <f>IF($X946="","",SUMIFS(TARIFF_PROFILES!$G:$G,TARIFF_PROFILES!$A:$A,$X946))</f>
        <v/>
      </c>
      <c r="AC946" s="13" t="str">
        <f>IF($X946="","",SUMIFS(TARIFF_PROFILES!$H:$H,TARIFF_PROFILES!$A:$A,$X946))</f>
        <v/>
      </c>
      <c r="AD946" s="13" t="str">
        <f>IF($X946="","",INDEX(TARIFF_PROFILES!$J:$J,MATCH($X946,TARIFF_PROFILES!$A:$A,0)))</f>
        <v/>
      </c>
      <c r="AE946" s="13" t="str">
        <f>IF($X946="","",INDEX(TARIFF_PROFILES!$K:$K,MATCH($X946,TARIFF_PROFILES!$A:$A,0)))</f>
        <v/>
      </c>
      <c r="AH946" t="str">
        <f>IF($AG946="","",SUMIFS(OPERATING_COEFFS!$C:$C,OPERATING_COEFFS!$A:$A,"DistanceClass",OPERATING_COEFFS!$B:$B,$AG946))</f>
        <v/>
      </c>
      <c r="AJ946" t="str">
        <f>IF($AI946="","",SUMIFS(OPERATING_COEFFS!$C:$C,OPERATING_COEFFS!$A:$A,"SeasonClass",OPERATING_COEFFS!$B:$B,$AI946))</f>
        <v/>
      </c>
      <c r="AL946" t="str">
        <f>IF($AK946="","",SUMIFS(OPERATING_COEFFS!$C:$C,OPERATING_COEFFS!$A:$A,"UrgencyClass",OPERATING_COEFFS!$B:$B,$AK946))</f>
        <v/>
      </c>
      <c r="AN946" t="str">
        <f>IF($AM946="","",INDEX(TAX_MODES!$B:$B,MATCH($AM946,TAX_MODES!$A:$A,0)))</f>
        <v/>
      </c>
    </row>
    <row r="947" spans="24:40" x14ac:dyDescent="0.3">
      <c r="X947" s="13"/>
      <c r="Y947" s="13" t="str">
        <f>IF($X947="","",SUMIFS(TARIFF_PROFILES!$D:$D,TARIFF_PROFILES!$A:$A,$X947))</f>
        <v/>
      </c>
      <c r="Z947" s="13" t="str">
        <f>IF($X947="","",SUMIFS(TARIFF_PROFILES!$E:$E,TARIFF_PROFILES!$A:$A,$X947))</f>
        <v/>
      </c>
      <c r="AA947" s="13" t="str">
        <f>IF($X947="","",SUMIFS(TARIFF_PROFILES!$F:$F,TARIFF_PROFILES!$A:$A,$X947))</f>
        <v/>
      </c>
      <c r="AB947" s="13" t="str">
        <f>IF($X947="","",SUMIFS(TARIFF_PROFILES!$G:$G,TARIFF_PROFILES!$A:$A,$X947))</f>
        <v/>
      </c>
      <c r="AC947" s="13" t="str">
        <f>IF($X947="","",SUMIFS(TARIFF_PROFILES!$H:$H,TARIFF_PROFILES!$A:$A,$X947))</f>
        <v/>
      </c>
      <c r="AD947" s="13" t="str">
        <f>IF($X947="","",INDEX(TARIFF_PROFILES!$J:$J,MATCH($X947,TARIFF_PROFILES!$A:$A,0)))</f>
        <v/>
      </c>
      <c r="AE947" s="13" t="str">
        <f>IF($X947="","",INDEX(TARIFF_PROFILES!$K:$K,MATCH($X947,TARIFF_PROFILES!$A:$A,0)))</f>
        <v/>
      </c>
      <c r="AH947" t="str">
        <f>IF($AG947="","",SUMIFS(OPERATING_COEFFS!$C:$C,OPERATING_COEFFS!$A:$A,"DistanceClass",OPERATING_COEFFS!$B:$B,$AG947))</f>
        <v/>
      </c>
      <c r="AJ947" t="str">
        <f>IF($AI947="","",SUMIFS(OPERATING_COEFFS!$C:$C,OPERATING_COEFFS!$A:$A,"SeasonClass",OPERATING_COEFFS!$B:$B,$AI947))</f>
        <v/>
      </c>
      <c r="AL947" t="str">
        <f>IF($AK947="","",SUMIFS(OPERATING_COEFFS!$C:$C,OPERATING_COEFFS!$A:$A,"UrgencyClass",OPERATING_COEFFS!$B:$B,$AK947))</f>
        <v/>
      </c>
      <c r="AN947" t="str">
        <f>IF($AM947="","",INDEX(TAX_MODES!$B:$B,MATCH($AM947,TAX_MODES!$A:$A,0)))</f>
        <v/>
      </c>
    </row>
    <row r="948" spans="24:40" x14ac:dyDescent="0.3">
      <c r="X948" s="13"/>
      <c r="Y948" s="13" t="str">
        <f>IF($X948="","",SUMIFS(TARIFF_PROFILES!$D:$D,TARIFF_PROFILES!$A:$A,$X948))</f>
        <v/>
      </c>
      <c r="Z948" s="13" t="str">
        <f>IF($X948="","",SUMIFS(TARIFF_PROFILES!$E:$E,TARIFF_PROFILES!$A:$A,$X948))</f>
        <v/>
      </c>
      <c r="AA948" s="13" t="str">
        <f>IF($X948="","",SUMIFS(TARIFF_PROFILES!$F:$F,TARIFF_PROFILES!$A:$A,$X948))</f>
        <v/>
      </c>
      <c r="AB948" s="13" t="str">
        <f>IF($X948="","",SUMIFS(TARIFF_PROFILES!$G:$G,TARIFF_PROFILES!$A:$A,$X948))</f>
        <v/>
      </c>
      <c r="AC948" s="13" t="str">
        <f>IF($X948="","",SUMIFS(TARIFF_PROFILES!$H:$H,TARIFF_PROFILES!$A:$A,$X948))</f>
        <v/>
      </c>
      <c r="AD948" s="13" t="str">
        <f>IF($X948="","",INDEX(TARIFF_PROFILES!$J:$J,MATCH($X948,TARIFF_PROFILES!$A:$A,0)))</f>
        <v/>
      </c>
      <c r="AE948" s="13" t="str">
        <f>IF($X948="","",INDEX(TARIFF_PROFILES!$K:$K,MATCH($X948,TARIFF_PROFILES!$A:$A,0)))</f>
        <v/>
      </c>
      <c r="AH948" t="str">
        <f>IF($AG948="","",SUMIFS(OPERATING_COEFFS!$C:$C,OPERATING_COEFFS!$A:$A,"DistanceClass",OPERATING_COEFFS!$B:$B,$AG948))</f>
        <v/>
      </c>
      <c r="AJ948" t="str">
        <f>IF($AI948="","",SUMIFS(OPERATING_COEFFS!$C:$C,OPERATING_COEFFS!$A:$A,"SeasonClass",OPERATING_COEFFS!$B:$B,$AI948))</f>
        <v/>
      </c>
      <c r="AL948" t="str">
        <f>IF($AK948="","",SUMIFS(OPERATING_COEFFS!$C:$C,OPERATING_COEFFS!$A:$A,"UrgencyClass",OPERATING_COEFFS!$B:$B,$AK948))</f>
        <v/>
      </c>
      <c r="AN948" t="str">
        <f>IF($AM948="","",INDEX(TAX_MODES!$B:$B,MATCH($AM948,TAX_MODES!$A:$A,0)))</f>
        <v/>
      </c>
    </row>
    <row r="949" spans="24:40" x14ac:dyDescent="0.3">
      <c r="X949" s="13"/>
      <c r="Y949" s="13" t="str">
        <f>IF($X949="","",SUMIFS(TARIFF_PROFILES!$D:$D,TARIFF_PROFILES!$A:$A,$X949))</f>
        <v/>
      </c>
      <c r="Z949" s="13" t="str">
        <f>IF($X949="","",SUMIFS(TARIFF_PROFILES!$E:$E,TARIFF_PROFILES!$A:$A,$X949))</f>
        <v/>
      </c>
      <c r="AA949" s="13" t="str">
        <f>IF($X949="","",SUMIFS(TARIFF_PROFILES!$F:$F,TARIFF_PROFILES!$A:$A,$X949))</f>
        <v/>
      </c>
      <c r="AB949" s="13" t="str">
        <f>IF($X949="","",SUMIFS(TARIFF_PROFILES!$G:$G,TARIFF_PROFILES!$A:$A,$X949))</f>
        <v/>
      </c>
      <c r="AC949" s="13" t="str">
        <f>IF($X949="","",SUMIFS(TARIFF_PROFILES!$H:$H,TARIFF_PROFILES!$A:$A,$X949))</f>
        <v/>
      </c>
      <c r="AD949" s="13" t="str">
        <f>IF($X949="","",INDEX(TARIFF_PROFILES!$J:$J,MATCH($X949,TARIFF_PROFILES!$A:$A,0)))</f>
        <v/>
      </c>
      <c r="AE949" s="13" t="str">
        <f>IF($X949="","",INDEX(TARIFF_PROFILES!$K:$K,MATCH($X949,TARIFF_PROFILES!$A:$A,0)))</f>
        <v/>
      </c>
      <c r="AH949" t="str">
        <f>IF($AG949="","",SUMIFS(OPERATING_COEFFS!$C:$C,OPERATING_COEFFS!$A:$A,"DistanceClass",OPERATING_COEFFS!$B:$B,$AG949))</f>
        <v/>
      </c>
      <c r="AJ949" t="str">
        <f>IF($AI949="","",SUMIFS(OPERATING_COEFFS!$C:$C,OPERATING_COEFFS!$A:$A,"SeasonClass",OPERATING_COEFFS!$B:$B,$AI949))</f>
        <v/>
      </c>
      <c r="AL949" t="str">
        <f>IF($AK949="","",SUMIFS(OPERATING_COEFFS!$C:$C,OPERATING_COEFFS!$A:$A,"UrgencyClass",OPERATING_COEFFS!$B:$B,$AK949))</f>
        <v/>
      </c>
      <c r="AN949" t="str">
        <f>IF($AM949="","",INDEX(TAX_MODES!$B:$B,MATCH($AM949,TAX_MODES!$A:$A,0)))</f>
        <v/>
      </c>
    </row>
    <row r="950" spans="24:40" x14ac:dyDescent="0.3">
      <c r="X950" s="13"/>
      <c r="Y950" s="13" t="str">
        <f>IF($X950="","",SUMIFS(TARIFF_PROFILES!$D:$D,TARIFF_PROFILES!$A:$A,$X950))</f>
        <v/>
      </c>
      <c r="Z950" s="13" t="str">
        <f>IF($X950="","",SUMIFS(TARIFF_PROFILES!$E:$E,TARIFF_PROFILES!$A:$A,$X950))</f>
        <v/>
      </c>
      <c r="AA950" s="13" t="str">
        <f>IF($X950="","",SUMIFS(TARIFF_PROFILES!$F:$F,TARIFF_PROFILES!$A:$A,$X950))</f>
        <v/>
      </c>
      <c r="AB950" s="13" t="str">
        <f>IF($X950="","",SUMIFS(TARIFF_PROFILES!$G:$G,TARIFF_PROFILES!$A:$A,$X950))</f>
        <v/>
      </c>
      <c r="AC950" s="13" t="str">
        <f>IF($X950="","",SUMIFS(TARIFF_PROFILES!$H:$H,TARIFF_PROFILES!$A:$A,$X950))</f>
        <v/>
      </c>
      <c r="AD950" s="13" t="str">
        <f>IF($X950="","",INDEX(TARIFF_PROFILES!$J:$J,MATCH($X950,TARIFF_PROFILES!$A:$A,0)))</f>
        <v/>
      </c>
      <c r="AE950" s="13" t="str">
        <f>IF($X950="","",INDEX(TARIFF_PROFILES!$K:$K,MATCH($X950,TARIFF_PROFILES!$A:$A,0)))</f>
        <v/>
      </c>
      <c r="AH950" t="str">
        <f>IF($AG950="","",SUMIFS(OPERATING_COEFFS!$C:$C,OPERATING_COEFFS!$A:$A,"DistanceClass",OPERATING_COEFFS!$B:$B,$AG950))</f>
        <v/>
      </c>
      <c r="AJ950" t="str">
        <f>IF($AI950="","",SUMIFS(OPERATING_COEFFS!$C:$C,OPERATING_COEFFS!$A:$A,"SeasonClass",OPERATING_COEFFS!$B:$B,$AI950))</f>
        <v/>
      </c>
      <c r="AL950" t="str">
        <f>IF($AK950="","",SUMIFS(OPERATING_COEFFS!$C:$C,OPERATING_COEFFS!$A:$A,"UrgencyClass",OPERATING_COEFFS!$B:$B,$AK950))</f>
        <v/>
      </c>
      <c r="AN950" t="str">
        <f>IF($AM950="","",INDEX(TAX_MODES!$B:$B,MATCH($AM950,TAX_MODES!$A:$A,0)))</f>
        <v/>
      </c>
    </row>
    <row r="951" spans="24:40" x14ac:dyDescent="0.3">
      <c r="X951" s="13"/>
      <c r="Y951" s="13" t="str">
        <f>IF($X951="","",SUMIFS(TARIFF_PROFILES!$D:$D,TARIFF_PROFILES!$A:$A,$X951))</f>
        <v/>
      </c>
      <c r="Z951" s="13" t="str">
        <f>IF($X951="","",SUMIFS(TARIFF_PROFILES!$E:$E,TARIFF_PROFILES!$A:$A,$X951))</f>
        <v/>
      </c>
      <c r="AA951" s="13" t="str">
        <f>IF($X951="","",SUMIFS(TARIFF_PROFILES!$F:$F,TARIFF_PROFILES!$A:$A,$X951))</f>
        <v/>
      </c>
      <c r="AB951" s="13" t="str">
        <f>IF($X951="","",SUMIFS(TARIFF_PROFILES!$G:$G,TARIFF_PROFILES!$A:$A,$X951))</f>
        <v/>
      </c>
      <c r="AC951" s="13" t="str">
        <f>IF($X951="","",SUMIFS(TARIFF_PROFILES!$H:$H,TARIFF_PROFILES!$A:$A,$X951))</f>
        <v/>
      </c>
      <c r="AD951" s="13" t="str">
        <f>IF($X951="","",INDEX(TARIFF_PROFILES!$J:$J,MATCH($X951,TARIFF_PROFILES!$A:$A,0)))</f>
        <v/>
      </c>
      <c r="AE951" s="13" t="str">
        <f>IF($X951="","",INDEX(TARIFF_PROFILES!$K:$K,MATCH($X951,TARIFF_PROFILES!$A:$A,0)))</f>
        <v/>
      </c>
      <c r="AH951" t="str">
        <f>IF($AG951="","",SUMIFS(OPERATING_COEFFS!$C:$C,OPERATING_COEFFS!$A:$A,"DistanceClass",OPERATING_COEFFS!$B:$B,$AG951))</f>
        <v/>
      </c>
      <c r="AJ951" t="str">
        <f>IF($AI951="","",SUMIFS(OPERATING_COEFFS!$C:$C,OPERATING_COEFFS!$A:$A,"SeasonClass",OPERATING_COEFFS!$B:$B,$AI951))</f>
        <v/>
      </c>
      <c r="AL951" t="str">
        <f>IF($AK951="","",SUMIFS(OPERATING_COEFFS!$C:$C,OPERATING_COEFFS!$A:$A,"UrgencyClass",OPERATING_COEFFS!$B:$B,$AK951))</f>
        <v/>
      </c>
      <c r="AN951" t="str">
        <f>IF($AM951="","",INDEX(TAX_MODES!$B:$B,MATCH($AM951,TAX_MODES!$A:$A,0)))</f>
        <v/>
      </c>
    </row>
    <row r="952" spans="24:40" x14ac:dyDescent="0.3">
      <c r="X952" s="13"/>
      <c r="Y952" s="13" t="str">
        <f>IF($X952="","",SUMIFS(TARIFF_PROFILES!$D:$D,TARIFF_PROFILES!$A:$A,$X952))</f>
        <v/>
      </c>
      <c r="Z952" s="13" t="str">
        <f>IF($X952="","",SUMIFS(TARIFF_PROFILES!$E:$E,TARIFF_PROFILES!$A:$A,$X952))</f>
        <v/>
      </c>
      <c r="AA952" s="13" t="str">
        <f>IF($X952="","",SUMIFS(TARIFF_PROFILES!$F:$F,TARIFF_PROFILES!$A:$A,$X952))</f>
        <v/>
      </c>
      <c r="AB952" s="13" t="str">
        <f>IF($X952="","",SUMIFS(TARIFF_PROFILES!$G:$G,TARIFF_PROFILES!$A:$A,$X952))</f>
        <v/>
      </c>
      <c r="AC952" s="13" t="str">
        <f>IF($X952="","",SUMIFS(TARIFF_PROFILES!$H:$H,TARIFF_PROFILES!$A:$A,$X952))</f>
        <v/>
      </c>
      <c r="AD952" s="13" t="str">
        <f>IF($X952="","",INDEX(TARIFF_PROFILES!$J:$J,MATCH($X952,TARIFF_PROFILES!$A:$A,0)))</f>
        <v/>
      </c>
      <c r="AE952" s="13" t="str">
        <f>IF($X952="","",INDEX(TARIFF_PROFILES!$K:$K,MATCH($X952,TARIFF_PROFILES!$A:$A,0)))</f>
        <v/>
      </c>
      <c r="AH952" t="str">
        <f>IF($AG952="","",SUMIFS(OPERATING_COEFFS!$C:$C,OPERATING_COEFFS!$A:$A,"DistanceClass",OPERATING_COEFFS!$B:$B,$AG952))</f>
        <v/>
      </c>
      <c r="AJ952" t="str">
        <f>IF($AI952="","",SUMIFS(OPERATING_COEFFS!$C:$C,OPERATING_COEFFS!$A:$A,"SeasonClass",OPERATING_COEFFS!$B:$B,$AI952))</f>
        <v/>
      </c>
      <c r="AL952" t="str">
        <f>IF($AK952="","",SUMIFS(OPERATING_COEFFS!$C:$C,OPERATING_COEFFS!$A:$A,"UrgencyClass",OPERATING_COEFFS!$B:$B,$AK952))</f>
        <v/>
      </c>
      <c r="AN952" t="str">
        <f>IF($AM952="","",INDEX(TAX_MODES!$B:$B,MATCH($AM952,TAX_MODES!$A:$A,0)))</f>
        <v/>
      </c>
    </row>
    <row r="953" spans="24:40" x14ac:dyDescent="0.3">
      <c r="X953" s="13"/>
      <c r="Y953" s="13" t="str">
        <f>IF($X953="","",SUMIFS(TARIFF_PROFILES!$D:$D,TARIFF_PROFILES!$A:$A,$X953))</f>
        <v/>
      </c>
      <c r="Z953" s="13" t="str">
        <f>IF($X953="","",SUMIFS(TARIFF_PROFILES!$E:$E,TARIFF_PROFILES!$A:$A,$X953))</f>
        <v/>
      </c>
      <c r="AA953" s="13" t="str">
        <f>IF($X953="","",SUMIFS(TARIFF_PROFILES!$F:$F,TARIFF_PROFILES!$A:$A,$X953))</f>
        <v/>
      </c>
      <c r="AB953" s="13" t="str">
        <f>IF($X953="","",SUMIFS(TARIFF_PROFILES!$G:$G,TARIFF_PROFILES!$A:$A,$X953))</f>
        <v/>
      </c>
      <c r="AC953" s="13" t="str">
        <f>IF($X953="","",SUMIFS(TARIFF_PROFILES!$H:$H,TARIFF_PROFILES!$A:$A,$X953))</f>
        <v/>
      </c>
      <c r="AD953" s="13" t="str">
        <f>IF($X953="","",INDEX(TARIFF_PROFILES!$J:$J,MATCH($X953,TARIFF_PROFILES!$A:$A,0)))</f>
        <v/>
      </c>
      <c r="AE953" s="13" t="str">
        <f>IF($X953="","",INDEX(TARIFF_PROFILES!$K:$K,MATCH($X953,TARIFF_PROFILES!$A:$A,0)))</f>
        <v/>
      </c>
      <c r="AH953" t="str">
        <f>IF($AG953="","",SUMIFS(OPERATING_COEFFS!$C:$C,OPERATING_COEFFS!$A:$A,"DistanceClass",OPERATING_COEFFS!$B:$B,$AG953))</f>
        <v/>
      </c>
      <c r="AJ953" t="str">
        <f>IF($AI953="","",SUMIFS(OPERATING_COEFFS!$C:$C,OPERATING_COEFFS!$A:$A,"SeasonClass",OPERATING_COEFFS!$B:$B,$AI953))</f>
        <v/>
      </c>
      <c r="AL953" t="str">
        <f>IF($AK953="","",SUMIFS(OPERATING_COEFFS!$C:$C,OPERATING_COEFFS!$A:$A,"UrgencyClass",OPERATING_COEFFS!$B:$B,$AK953))</f>
        <v/>
      </c>
      <c r="AN953" t="str">
        <f>IF($AM953="","",INDEX(TAX_MODES!$B:$B,MATCH($AM953,TAX_MODES!$A:$A,0)))</f>
        <v/>
      </c>
    </row>
    <row r="954" spans="24:40" x14ac:dyDescent="0.3">
      <c r="X954" s="13"/>
      <c r="Y954" s="13" t="str">
        <f>IF($X954="","",SUMIFS(TARIFF_PROFILES!$D:$D,TARIFF_PROFILES!$A:$A,$X954))</f>
        <v/>
      </c>
      <c r="Z954" s="13" t="str">
        <f>IF($X954="","",SUMIFS(TARIFF_PROFILES!$E:$E,TARIFF_PROFILES!$A:$A,$X954))</f>
        <v/>
      </c>
      <c r="AA954" s="13" t="str">
        <f>IF($X954="","",SUMIFS(TARIFF_PROFILES!$F:$F,TARIFF_PROFILES!$A:$A,$X954))</f>
        <v/>
      </c>
      <c r="AB954" s="13" t="str">
        <f>IF($X954="","",SUMIFS(TARIFF_PROFILES!$G:$G,TARIFF_PROFILES!$A:$A,$X954))</f>
        <v/>
      </c>
      <c r="AC954" s="13" t="str">
        <f>IF($X954="","",SUMIFS(TARIFF_PROFILES!$H:$H,TARIFF_PROFILES!$A:$A,$X954))</f>
        <v/>
      </c>
      <c r="AD954" s="13" t="str">
        <f>IF($X954="","",INDEX(TARIFF_PROFILES!$J:$J,MATCH($X954,TARIFF_PROFILES!$A:$A,0)))</f>
        <v/>
      </c>
      <c r="AE954" s="13" t="str">
        <f>IF($X954="","",INDEX(TARIFF_PROFILES!$K:$K,MATCH($X954,TARIFF_PROFILES!$A:$A,0)))</f>
        <v/>
      </c>
      <c r="AH954" t="str">
        <f>IF($AG954="","",SUMIFS(OPERATING_COEFFS!$C:$C,OPERATING_COEFFS!$A:$A,"DistanceClass",OPERATING_COEFFS!$B:$B,$AG954))</f>
        <v/>
      </c>
      <c r="AJ954" t="str">
        <f>IF($AI954="","",SUMIFS(OPERATING_COEFFS!$C:$C,OPERATING_COEFFS!$A:$A,"SeasonClass",OPERATING_COEFFS!$B:$B,$AI954))</f>
        <v/>
      </c>
      <c r="AL954" t="str">
        <f>IF($AK954="","",SUMIFS(OPERATING_COEFFS!$C:$C,OPERATING_COEFFS!$A:$A,"UrgencyClass",OPERATING_COEFFS!$B:$B,$AK954))</f>
        <v/>
      </c>
      <c r="AN954" t="str">
        <f>IF($AM954="","",INDEX(TAX_MODES!$B:$B,MATCH($AM954,TAX_MODES!$A:$A,0)))</f>
        <v/>
      </c>
    </row>
    <row r="955" spans="24:40" x14ac:dyDescent="0.3">
      <c r="X955" s="13"/>
      <c r="Y955" s="13" t="str">
        <f>IF($X955="","",SUMIFS(TARIFF_PROFILES!$D:$D,TARIFF_PROFILES!$A:$A,$X955))</f>
        <v/>
      </c>
      <c r="Z955" s="13" t="str">
        <f>IF($X955="","",SUMIFS(TARIFF_PROFILES!$E:$E,TARIFF_PROFILES!$A:$A,$X955))</f>
        <v/>
      </c>
      <c r="AA955" s="13" t="str">
        <f>IF($X955="","",SUMIFS(TARIFF_PROFILES!$F:$F,TARIFF_PROFILES!$A:$A,$X955))</f>
        <v/>
      </c>
      <c r="AB955" s="13" t="str">
        <f>IF($X955="","",SUMIFS(TARIFF_PROFILES!$G:$G,TARIFF_PROFILES!$A:$A,$X955))</f>
        <v/>
      </c>
      <c r="AC955" s="13" t="str">
        <f>IF($X955="","",SUMIFS(TARIFF_PROFILES!$H:$H,TARIFF_PROFILES!$A:$A,$X955))</f>
        <v/>
      </c>
      <c r="AD955" s="13" t="str">
        <f>IF($X955="","",INDEX(TARIFF_PROFILES!$J:$J,MATCH($X955,TARIFF_PROFILES!$A:$A,0)))</f>
        <v/>
      </c>
      <c r="AE955" s="13" t="str">
        <f>IF($X955="","",INDEX(TARIFF_PROFILES!$K:$K,MATCH($X955,TARIFF_PROFILES!$A:$A,0)))</f>
        <v/>
      </c>
      <c r="AH955" t="str">
        <f>IF($AG955="","",SUMIFS(OPERATING_COEFFS!$C:$C,OPERATING_COEFFS!$A:$A,"DistanceClass",OPERATING_COEFFS!$B:$B,$AG955))</f>
        <v/>
      </c>
      <c r="AJ955" t="str">
        <f>IF($AI955="","",SUMIFS(OPERATING_COEFFS!$C:$C,OPERATING_COEFFS!$A:$A,"SeasonClass",OPERATING_COEFFS!$B:$B,$AI955))</f>
        <v/>
      </c>
      <c r="AL955" t="str">
        <f>IF($AK955="","",SUMIFS(OPERATING_COEFFS!$C:$C,OPERATING_COEFFS!$A:$A,"UrgencyClass",OPERATING_COEFFS!$B:$B,$AK955))</f>
        <v/>
      </c>
      <c r="AN955" t="str">
        <f>IF($AM955="","",INDEX(TAX_MODES!$B:$B,MATCH($AM955,TAX_MODES!$A:$A,0)))</f>
        <v/>
      </c>
    </row>
    <row r="956" spans="24:40" x14ac:dyDescent="0.3">
      <c r="X956" s="13"/>
      <c r="Y956" s="13" t="str">
        <f>IF($X956="","",SUMIFS(TARIFF_PROFILES!$D:$D,TARIFF_PROFILES!$A:$A,$X956))</f>
        <v/>
      </c>
      <c r="Z956" s="13" t="str">
        <f>IF($X956="","",SUMIFS(TARIFF_PROFILES!$E:$E,TARIFF_PROFILES!$A:$A,$X956))</f>
        <v/>
      </c>
      <c r="AA956" s="13" t="str">
        <f>IF($X956="","",SUMIFS(TARIFF_PROFILES!$F:$F,TARIFF_PROFILES!$A:$A,$X956))</f>
        <v/>
      </c>
      <c r="AB956" s="13" t="str">
        <f>IF($X956="","",SUMIFS(TARIFF_PROFILES!$G:$G,TARIFF_PROFILES!$A:$A,$X956))</f>
        <v/>
      </c>
      <c r="AC956" s="13" t="str">
        <f>IF($X956="","",SUMIFS(TARIFF_PROFILES!$H:$H,TARIFF_PROFILES!$A:$A,$X956))</f>
        <v/>
      </c>
      <c r="AD956" s="13" t="str">
        <f>IF($X956="","",INDEX(TARIFF_PROFILES!$J:$J,MATCH($X956,TARIFF_PROFILES!$A:$A,0)))</f>
        <v/>
      </c>
      <c r="AE956" s="13" t="str">
        <f>IF($X956="","",INDEX(TARIFF_PROFILES!$K:$K,MATCH($X956,TARIFF_PROFILES!$A:$A,0)))</f>
        <v/>
      </c>
      <c r="AH956" t="str">
        <f>IF($AG956="","",SUMIFS(OPERATING_COEFFS!$C:$C,OPERATING_COEFFS!$A:$A,"DistanceClass",OPERATING_COEFFS!$B:$B,$AG956))</f>
        <v/>
      </c>
      <c r="AJ956" t="str">
        <f>IF($AI956="","",SUMIFS(OPERATING_COEFFS!$C:$C,OPERATING_COEFFS!$A:$A,"SeasonClass",OPERATING_COEFFS!$B:$B,$AI956))</f>
        <v/>
      </c>
      <c r="AL956" t="str">
        <f>IF($AK956="","",SUMIFS(OPERATING_COEFFS!$C:$C,OPERATING_COEFFS!$A:$A,"UrgencyClass",OPERATING_COEFFS!$B:$B,$AK956))</f>
        <v/>
      </c>
      <c r="AN956" t="str">
        <f>IF($AM956="","",INDEX(TAX_MODES!$B:$B,MATCH($AM956,TAX_MODES!$A:$A,0)))</f>
        <v/>
      </c>
    </row>
    <row r="957" spans="24:40" x14ac:dyDescent="0.3">
      <c r="X957" s="13"/>
      <c r="Y957" s="13" t="str">
        <f>IF($X957="","",SUMIFS(TARIFF_PROFILES!$D:$D,TARIFF_PROFILES!$A:$A,$X957))</f>
        <v/>
      </c>
      <c r="Z957" s="13" t="str">
        <f>IF($X957="","",SUMIFS(TARIFF_PROFILES!$E:$E,TARIFF_PROFILES!$A:$A,$X957))</f>
        <v/>
      </c>
      <c r="AA957" s="13" t="str">
        <f>IF($X957="","",SUMIFS(TARIFF_PROFILES!$F:$F,TARIFF_PROFILES!$A:$A,$X957))</f>
        <v/>
      </c>
      <c r="AB957" s="13" t="str">
        <f>IF($X957="","",SUMIFS(TARIFF_PROFILES!$G:$G,TARIFF_PROFILES!$A:$A,$X957))</f>
        <v/>
      </c>
      <c r="AC957" s="13" t="str">
        <f>IF($X957="","",SUMIFS(TARIFF_PROFILES!$H:$H,TARIFF_PROFILES!$A:$A,$X957))</f>
        <v/>
      </c>
      <c r="AD957" s="13" t="str">
        <f>IF($X957="","",INDEX(TARIFF_PROFILES!$J:$J,MATCH($X957,TARIFF_PROFILES!$A:$A,0)))</f>
        <v/>
      </c>
      <c r="AE957" s="13" t="str">
        <f>IF($X957="","",INDEX(TARIFF_PROFILES!$K:$K,MATCH($X957,TARIFF_PROFILES!$A:$A,0)))</f>
        <v/>
      </c>
      <c r="AH957" t="str">
        <f>IF($AG957="","",SUMIFS(OPERATING_COEFFS!$C:$C,OPERATING_COEFFS!$A:$A,"DistanceClass",OPERATING_COEFFS!$B:$B,$AG957))</f>
        <v/>
      </c>
      <c r="AJ957" t="str">
        <f>IF($AI957="","",SUMIFS(OPERATING_COEFFS!$C:$C,OPERATING_COEFFS!$A:$A,"SeasonClass",OPERATING_COEFFS!$B:$B,$AI957))</f>
        <v/>
      </c>
      <c r="AL957" t="str">
        <f>IF($AK957="","",SUMIFS(OPERATING_COEFFS!$C:$C,OPERATING_COEFFS!$A:$A,"UrgencyClass",OPERATING_COEFFS!$B:$B,$AK957))</f>
        <v/>
      </c>
      <c r="AN957" t="str">
        <f>IF($AM957="","",INDEX(TAX_MODES!$B:$B,MATCH($AM957,TAX_MODES!$A:$A,0)))</f>
        <v/>
      </c>
    </row>
    <row r="958" spans="24:40" x14ac:dyDescent="0.3">
      <c r="X958" s="13"/>
      <c r="Y958" s="13" t="str">
        <f>IF($X958="","",SUMIFS(TARIFF_PROFILES!$D:$D,TARIFF_PROFILES!$A:$A,$X958))</f>
        <v/>
      </c>
      <c r="Z958" s="13" t="str">
        <f>IF($X958="","",SUMIFS(TARIFF_PROFILES!$E:$E,TARIFF_PROFILES!$A:$A,$X958))</f>
        <v/>
      </c>
      <c r="AA958" s="13" t="str">
        <f>IF($X958="","",SUMIFS(TARIFF_PROFILES!$F:$F,TARIFF_PROFILES!$A:$A,$X958))</f>
        <v/>
      </c>
      <c r="AB958" s="13" t="str">
        <f>IF($X958="","",SUMIFS(TARIFF_PROFILES!$G:$G,TARIFF_PROFILES!$A:$A,$X958))</f>
        <v/>
      </c>
      <c r="AC958" s="13" t="str">
        <f>IF($X958="","",SUMIFS(TARIFF_PROFILES!$H:$H,TARIFF_PROFILES!$A:$A,$X958))</f>
        <v/>
      </c>
      <c r="AD958" s="13" t="str">
        <f>IF($X958="","",INDEX(TARIFF_PROFILES!$J:$J,MATCH($X958,TARIFF_PROFILES!$A:$A,0)))</f>
        <v/>
      </c>
      <c r="AE958" s="13" t="str">
        <f>IF($X958="","",INDEX(TARIFF_PROFILES!$K:$K,MATCH($X958,TARIFF_PROFILES!$A:$A,0)))</f>
        <v/>
      </c>
      <c r="AH958" t="str">
        <f>IF($AG958="","",SUMIFS(OPERATING_COEFFS!$C:$C,OPERATING_COEFFS!$A:$A,"DistanceClass",OPERATING_COEFFS!$B:$B,$AG958))</f>
        <v/>
      </c>
      <c r="AJ958" t="str">
        <f>IF($AI958="","",SUMIFS(OPERATING_COEFFS!$C:$C,OPERATING_COEFFS!$A:$A,"SeasonClass",OPERATING_COEFFS!$B:$B,$AI958))</f>
        <v/>
      </c>
      <c r="AL958" t="str">
        <f>IF($AK958="","",SUMIFS(OPERATING_COEFFS!$C:$C,OPERATING_COEFFS!$A:$A,"UrgencyClass",OPERATING_COEFFS!$B:$B,$AK958))</f>
        <v/>
      </c>
      <c r="AN958" t="str">
        <f>IF($AM958="","",INDEX(TAX_MODES!$B:$B,MATCH($AM958,TAX_MODES!$A:$A,0)))</f>
        <v/>
      </c>
    </row>
    <row r="959" spans="24:40" x14ac:dyDescent="0.3">
      <c r="X959" s="13"/>
      <c r="Y959" s="13" t="str">
        <f>IF($X959="","",SUMIFS(TARIFF_PROFILES!$D:$D,TARIFF_PROFILES!$A:$A,$X959))</f>
        <v/>
      </c>
      <c r="Z959" s="13" t="str">
        <f>IF($X959="","",SUMIFS(TARIFF_PROFILES!$E:$E,TARIFF_PROFILES!$A:$A,$X959))</f>
        <v/>
      </c>
      <c r="AA959" s="13" t="str">
        <f>IF($X959="","",SUMIFS(TARIFF_PROFILES!$F:$F,TARIFF_PROFILES!$A:$A,$X959))</f>
        <v/>
      </c>
      <c r="AB959" s="13" t="str">
        <f>IF($X959="","",SUMIFS(TARIFF_PROFILES!$G:$G,TARIFF_PROFILES!$A:$A,$X959))</f>
        <v/>
      </c>
      <c r="AC959" s="13" t="str">
        <f>IF($X959="","",SUMIFS(TARIFF_PROFILES!$H:$H,TARIFF_PROFILES!$A:$A,$X959))</f>
        <v/>
      </c>
      <c r="AD959" s="13" t="str">
        <f>IF($X959="","",INDEX(TARIFF_PROFILES!$J:$J,MATCH($X959,TARIFF_PROFILES!$A:$A,0)))</f>
        <v/>
      </c>
      <c r="AE959" s="13" t="str">
        <f>IF($X959="","",INDEX(TARIFF_PROFILES!$K:$K,MATCH($X959,TARIFF_PROFILES!$A:$A,0)))</f>
        <v/>
      </c>
      <c r="AH959" t="str">
        <f>IF($AG959="","",SUMIFS(OPERATING_COEFFS!$C:$C,OPERATING_COEFFS!$A:$A,"DistanceClass",OPERATING_COEFFS!$B:$B,$AG959))</f>
        <v/>
      </c>
      <c r="AJ959" t="str">
        <f>IF($AI959="","",SUMIFS(OPERATING_COEFFS!$C:$C,OPERATING_COEFFS!$A:$A,"SeasonClass",OPERATING_COEFFS!$B:$B,$AI959))</f>
        <v/>
      </c>
      <c r="AL959" t="str">
        <f>IF($AK959="","",SUMIFS(OPERATING_COEFFS!$C:$C,OPERATING_COEFFS!$A:$A,"UrgencyClass",OPERATING_COEFFS!$B:$B,$AK959))</f>
        <v/>
      </c>
      <c r="AN959" t="str">
        <f>IF($AM959="","",INDEX(TAX_MODES!$B:$B,MATCH($AM959,TAX_MODES!$A:$A,0)))</f>
        <v/>
      </c>
    </row>
    <row r="960" spans="24:40" x14ac:dyDescent="0.3">
      <c r="X960" s="13"/>
      <c r="Y960" s="13" t="str">
        <f>IF($X960="","",SUMIFS(TARIFF_PROFILES!$D:$D,TARIFF_PROFILES!$A:$A,$X960))</f>
        <v/>
      </c>
      <c r="Z960" s="13" t="str">
        <f>IF($X960="","",SUMIFS(TARIFF_PROFILES!$E:$E,TARIFF_PROFILES!$A:$A,$X960))</f>
        <v/>
      </c>
      <c r="AA960" s="13" t="str">
        <f>IF($X960="","",SUMIFS(TARIFF_PROFILES!$F:$F,TARIFF_PROFILES!$A:$A,$X960))</f>
        <v/>
      </c>
      <c r="AB960" s="13" t="str">
        <f>IF($X960="","",SUMIFS(TARIFF_PROFILES!$G:$G,TARIFF_PROFILES!$A:$A,$X960))</f>
        <v/>
      </c>
      <c r="AC960" s="13" t="str">
        <f>IF($X960="","",SUMIFS(TARIFF_PROFILES!$H:$H,TARIFF_PROFILES!$A:$A,$X960))</f>
        <v/>
      </c>
      <c r="AD960" s="13" t="str">
        <f>IF($X960="","",INDEX(TARIFF_PROFILES!$J:$J,MATCH($X960,TARIFF_PROFILES!$A:$A,0)))</f>
        <v/>
      </c>
      <c r="AE960" s="13" t="str">
        <f>IF($X960="","",INDEX(TARIFF_PROFILES!$K:$K,MATCH($X960,TARIFF_PROFILES!$A:$A,0)))</f>
        <v/>
      </c>
      <c r="AH960" t="str">
        <f>IF($AG960="","",SUMIFS(OPERATING_COEFFS!$C:$C,OPERATING_COEFFS!$A:$A,"DistanceClass",OPERATING_COEFFS!$B:$B,$AG960))</f>
        <v/>
      </c>
      <c r="AJ960" t="str">
        <f>IF($AI960="","",SUMIFS(OPERATING_COEFFS!$C:$C,OPERATING_COEFFS!$A:$A,"SeasonClass",OPERATING_COEFFS!$B:$B,$AI960))</f>
        <v/>
      </c>
      <c r="AL960" t="str">
        <f>IF($AK960="","",SUMIFS(OPERATING_COEFFS!$C:$C,OPERATING_COEFFS!$A:$A,"UrgencyClass",OPERATING_COEFFS!$B:$B,$AK960))</f>
        <v/>
      </c>
      <c r="AN960" t="str">
        <f>IF($AM960="","",INDEX(TAX_MODES!$B:$B,MATCH($AM960,TAX_MODES!$A:$A,0)))</f>
        <v/>
      </c>
    </row>
    <row r="961" spans="24:40" x14ac:dyDescent="0.3">
      <c r="X961" s="13"/>
      <c r="Y961" s="13" t="str">
        <f>IF($X961="","",SUMIFS(TARIFF_PROFILES!$D:$D,TARIFF_PROFILES!$A:$A,$X961))</f>
        <v/>
      </c>
      <c r="Z961" s="13" t="str">
        <f>IF($X961="","",SUMIFS(TARIFF_PROFILES!$E:$E,TARIFF_PROFILES!$A:$A,$X961))</f>
        <v/>
      </c>
      <c r="AA961" s="13" t="str">
        <f>IF($X961="","",SUMIFS(TARIFF_PROFILES!$F:$F,TARIFF_PROFILES!$A:$A,$X961))</f>
        <v/>
      </c>
      <c r="AB961" s="13" t="str">
        <f>IF($X961="","",SUMIFS(TARIFF_PROFILES!$G:$G,TARIFF_PROFILES!$A:$A,$X961))</f>
        <v/>
      </c>
      <c r="AC961" s="13" t="str">
        <f>IF($X961="","",SUMIFS(TARIFF_PROFILES!$H:$H,TARIFF_PROFILES!$A:$A,$X961))</f>
        <v/>
      </c>
      <c r="AD961" s="13" t="str">
        <f>IF($X961="","",INDEX(TARIFF_PROFILES!$J:$J,MATCH($X961,TARIFF_PROFILES!$A:$A,0)))</f>
        <v/>
      </c>
      <c r="AE961" s="13" t="str">
        <f>IF($X961="","",INDEX(TARIFF_PROFILES!$K:$K,MATCH($X961,TARIFF_PROFILES!$A:$A,0)))</f>
        <v/>
      </c>
      <c r="AH961" t="str">
        <f>IF($AG961="","",SUMIFS(OPERATING_COEFFS!$C:$C,OPERATING_COEFFS!$A:$A,"DistanceClass",OPERATING_COEFFS!$B:$B,$AG961))</f>
        <v/>
      </c>
      <c r="AJ961" t="str">
        <f>IF($AI961="","",SUMIFS(OPERATING_COEFFS!$C:$C,OPERATING_COEFFS!$A:$A,"SeasonClass",OPERATING_COEFFS!$B:$B,$AI961))</f>
        <v/>
      </c>
      <c r="AL961" t="str">
        <f>IF($AK961="","",SUMIFS(OPERATING_COEFFS!$C:$C,OPERATING_COEFFS!$A:$A,"UrgencyClass",OPERATING_COEFFS!$B:$B,$AK961))</f>
        <v/>
      </c>
      <c r="AN961" t="str">
        <f>IF($AM961="","",INDEX(TAX_MODES!$B:$B,MATCH($AM961,TAX_MODES!$A:$A,0)))</f>
        <v/>
      </c>
    </row>
    <row r="962" spans="24:40" x14ac:dyDescent="0.3">
      <c r="X962" s="13"/>
      <c r="Y962" s="13" t="str">
        <f>IF($X962="","",SUMIFS(TARIFF_PROFILES!$D:$D,TARIFF_PROFILES!$A:$A,$X962))</f>
        <v/>
      </c>
      <c r="Z962" s="13" t="str">
        <f>IF($X962="","",SUMIFS(TARIFF_PROFILES!$E:$E,TARIFF_PROFILES!$A:$A,$X962))</f>
        <v/>
      </c>
      <c r="AA962" s="13" t="str">
        <f>IF($X962="","",SUMIFS(TARIFF_PROFILES!$F:$F,TARIFF_PROFILES!$A:$A,$X962))</f>
        <v/>
      </c>
      <c r="AB962" s="13" t="str">
        <f>IF($X962="","",SUMIFS(TARIFF_PROFILES!$G:$G,TARIFF_PROFILES!$A:$A,$X962))</f>
        <v/>
      </c>
      <c r="AC962" s="13" t="str">
        <f>IF($X962="","",SUMIFS(TARIFF_PROFILES!$H:$H,TARIFF_PROFILES!$A:$A,$X962))</f>
        <v/>
      </c>
      <c r="AD962" s="13" t="str">
        <f>IF($X962="","",INDEX(TARIFF_PROFILES!$J:$J,MATCH($X962,TARIFF_PROFILES!$A:$A,0)))</f>
        <v/>
      </c>
      <c r="AE962" s="13" t="str">
        <f>IF($X962="","",INDEX(TARIFF_PROFILES!$K:$K,MATCH($X962,TARIFF_PROFILES!$A:$A,0)))</f>
        <v/>
      </c>
      <c r="AH962" t="str">
        <f>IF($AG962="","",SUMIFS(OPERATING_COEFFS!$C:$C,OPERATING_COEFFS!$A:$A,"DistanceClass",OPERATING_COEFFS!$B:$B,$AG962))</f>
        <v/>
      </c>
      <c r="AJ962" t="str">
        <f>IF($AI962="","",SUMIFS(OPERATING_COEFFS!$C:$C,OPERATING_COEFFS!$A:$A,"SeasonClass",OPERATING_COEFFS!$B:$B,$AI962))</f>
        <v/>
      </c>
      <c r="AL962" t="str">
        <f>IF($AK962="","",SUMIFS(OPERATING_COEFFS!$C:$C,OPERATING_COEFFS!$A:$A,"UrgencyClass",OPERATING_COEFFS!$B:$B,$AK962))</f>
        <v/>
      </c>
      <c r="AN962" t="str">
        <f>IF($AM962="","",INDEX(TAX_MODES!$B:$B,MATCH($AM962,TAX_MODES!$A:$A,0)))</f>
        <v/>
      </c>
    </row>
    <row r="963" spans="24:40" x14ac:dyDescent="0.3">
      <c r="X963" s="13"/>
      <c r="Y963" s="13" t="str">
        <f>IF($X963="","",SUMIFS(TARIFF_PROFILES!$D:$D,TARIFF_PROFILES!$A:$A,$X963))</f>
        <v/>
      </c>
      <c r="Z963" s="13" t="str">
        <f>IF($X963="","",SUMIFS(TARIFF_PROFILES!$E:$E,TARIFF_PROFILES!$A:$A,$X963))</f>
        <v/>
      </c>
      <c r="AA963" s="13" t="str">
        <f>IF($X963="","",SUMIFS(TARIFF_PROFILES!$F:$F,TARIFF_PROFILES!$A:$A,$X963))</f>
        <v/>
      </c>
      <c r="AB963" s="13" t="str">
        <f>IF($X963="","",SUMIFS(TARIFF_PROFILES!$G:$G,TARIFF_PROFILES!$A:$A,$X963))</f>
        <v/>
      </c>
      <c r="AC963" s="13" t="str">
        <f>IF($X963="","",SUMIFS(TARIFF_PROFILES!$H:$H,TARIFF_PROFILES!$A:$A,$X963))</f>
        <v/>
      </c>
      <c r="AD963" s="13" t="str">
        <f>IF($X963="","",INDEX(TARIFF_PROFILES!$J:$J,MATCH($X963,TARIFF_PROFILES!$A:$A,0)))</f>
        <v/>
      </c>
      <c r="AE963" s="13" t="str">
        <f>IF($X963="","",INDEX(TARIFF_PROFILES!$K:$K,MATCH($X963,TARIFF_PROFILES!$A:$A,0)))</f>
        <v/>
      </c>
      <c r="AH963" t="str">
        <f>IF($AG963="","",SUMIFS(OPERATING_COEFFS!$C:$C,OPERATING_COEFFS!$A:$A,"DistanceClass",OPERATING_COEFFS!$B:$B,$AG963))</f>
        <v/>
      </c>
      <c r="AJ963" t="str">
        <f>IF($AI963="","",SUMIFS(OPERATING_COEFFS!$C:$C,OPERATING_COEFFS!$A:$A,"SeasonClass",OPERATING_COEFFS!$B:$B,$AI963))</f>
        <v/>
      </c>
      <c r="AL963" t="str">
        <f>IF($AK963="","",SUMIFS(OPERATING_COEFFS!$C:$C,OPERATING_COEFFS!$A:$A,"UrgencyClass",OPERATING_COEFFS!$B:$B,$AK963))</f>
        <v/>
      </c>
      <c r="AN963" t="str">
        <f>IF($AM963="","",INDEX(TAX_MODES!$B:$B,MATCH($AM963,TAX_MODES!$A:$A,0)))</f>
        <v/>
      </c>
    </row>
    <row r="964" spans="24:40" x14ac:dyDescent="0.3">
      <c r="X964" s="13"/>
      <c r="Y964" s="13" t="str">
        <f>IF($X964="","",SUMIFS(TARIFF_PROFILES!$D:$D,TARIFF_PROFILES!$A:$A,$X964))</f>
        <v/>
      </c>
      <c r="Z964" s="13" t="str">
        <f>IF($X964="","",SUMIFS(TARIFF_PROFILES!$E:$E,TARIFF_PROFILES!$A:$A,$X964))</f>
        <v/>
      </c>
      <c r="AA964" s="13" t="str">
        <f>IF($X964="","",SUMIFS(TARIFF_PROFILES!$F:$F,TARIFF_PROFILES!$A:$A,$X964))</f>
        <v/>
      </c>
      <c r="AB964" s="13" t="str">
        <f>IF($X964="","",SUMIFS(TARIFF_PROFILES!$G:$G,TARIFF_PROFILES!$A:$A,$X964))</f>
        <v/>
      </c>
      <c r="AC964" s="13" t="str">
        <f>IF($X964="","",SUMIFS(TARIFF_PROFILES!$H:$H,TARIFF_PROFILES!$A:$A,$X964))</f>
        <v/>
      </c>
      <c r="AD964" s="13" t="str">
        <f>IF($X964="","",INDEX(TARIFF_PROFILES!$J:$J,MATCH($X964,TARIFF_PROFILES!$A:$A,0)))</f>
        <v/>
      </c>
      <c r="AE964" s="13" t="str">
        <f>IF($X964="","",INDEX(TARIFF_PROFILES!$K:$K,MATCH($X964,TARIFF_PROFILES!$A:$A,0)))</f>
        <v/>
      </c>
      <c r="AH964" t="str">
        <f>IF($AG964="","",SUMIFS(OPERATING_COEFFS!$C:$C,OPERATING_COEFFS!$A:$A,"DistanceClass",OPERATING_COEFFS!$B:$B,$AG964))</f>
        <v/>
      </c>
      <c r="AJ964" t="str">
        <f>IF($AI964="","",SUMIFS(OPERATING_COEFFS!$C:$C,OPERATING_COEFFS!$A:$A,"SeasonClass",OPERATING_COEFFS!$B:$B,$AI964))</f>
        <v/>
      </c>
      <c r="AL964" t="str">
        <f>IF($AK964="","",SUMIFS(OPERATING_COEFFS!$C:$C,OPERATING_COEFFS!$A:$A,"UrgencyClass",OPERATING_COEFFS!$B:$B,$AK964))</f>
        <v/>
      </c>
      <c r="AN964" t="str">
        <f>IF($AM964="","",INDEX(TAX_MODES!$B:$B,MATCH($AM964,TAX_MODES!$A:$A,0)))</f>
        <v/>
      </c>
    </row>
    <row r="965" spans="24:40" x14ac:dyDescent="0.3">
      <c r="X965" s="13"/>
      <c r="Y965" s="13" t="str">
        <f>IF($X965="","",SUMIFS(TARIFF_PROFILES!$D:$D,TARIFF_PROFILES!$A:$A,$X965))</f>
        <v/>
      </c>
      <c r="Z965" s="13" t="str">
        <f>IF($X965="","",SUMIFS(TARIFF_PROFILES!$E:$E,TARIFF_PROFILES!$A:$A,$X965))</f>
        <v/>
      </c>
      <c r="AA965" s="13" t="str">
        <f>IF($X965="","",SUMIFS(TARIFF_PROFILES!$F:$F,TARIFF_PROFILES!$A:$A,$X965))</f>
        <v/>
      </c>
      <c r="AB965" s="13" t="str">
        <f>IF($X965="","",SUMIFS(TARIFF_PROFILES!$G:$G,TARIFF_PROFILES!$A:$A,$X965))</f>
        <v/>
      </c>
      <c r="AC965" s="13" t="str">
        <f>IF($X965="","",SUMIFS(TARIFF_PROFILES!$H:$H,TARIFF_PROFILES!$A:$A,$X965))</f>
        <v/>
      </c>
      <c r="AD965" s="13" t="str">
        <f>IF($X965="","",INDEX(TARIFF_PROFILES!$J:$J,MATCH($X965,TARIFF_PROFILES!$A:$A,0)))</f>
        <v/>
      </c>
      <c r="AE965" s="13" t="str">
        <f>IF($X965="","",INDEX(TARIFF_PROFILES!$K:$K,MATCH($X965,TARIFF_PROFILES!$A:$A,0)))</f>
        <v/>
      </c>
      <c r="AH965" t="str">
        <f>IF($AG965="","",SUMIFS(OPERATING_COEFFS!$C:$C,OPERATING_COEFFS!$A:$A,"DistanceClass",OPERATING_COEFFS!$B:$B,$AG965))</f>
        <v/>
      </c>
      <c r="AJ965" t="str">
        <f>IF($AI965="","",SUMIFS(OPERATING_COEFFS!$C:$C,OPERATING_COEFFS!$A:$A,"SeasonClass",OPERATING_COEFFS!$B:$B,$AI965))</f>
        <v/>
      </c>
      <c r="AL965" t="str">
        <f>IF($AK965="","",SUMIFS(OPERATING_COEFFS!$C:$C,OPERATING_COEFFS!$A:$A,"UrgencyClass",OPERATING_COEFFS!$B:$B,$AK965))</f>
        <v/>
      </c>
      <c r="AN965" t="str">
        <f>IF($AM965="","",INDEX(TAX_MODES!$B:$B,MATCH($AM965,TAX_MODES!$A:$A,0)))</f>
        <v/>
      </c>
    </row>
    <row r="966" spans="24:40" x14ac:dyDescent="0.3">
      <c r="X966" s="13"/>
      <c r="Y966" s="13" t="str">
        <f>IF($X966="","",SUMIFS(TARIFF_PROFILES!$D:$D,TARIFF_PROFILES!$A:$A,$X966))</f>
        <v/>
      </c>
      <c r="Z966" s="13" t="str">
        <f>IF($X966="","",SUMIFS(TARIFF_PROFILES!$E:$E,TARIFF_PROFILES!$A:$A,$X966))</f>
        <v/>
      </c>
      <c r="AA966" s="13" t="str">
        <f>IF($X966="","",SUMIFS(TARIFF_PROFILES!$F:$F,TARIFF_PROFILES!$A:$A,$X966))</f>
        <v/>
      </c>
      <c r="AB966" s="13" t="str">
        <f>IF($X966="","",SUMIFS(TARIFF_PROFILES!$G:$G,TARIFF_PROFILES!$A:$A,$X966))</f>
        <v/>
      </c>
      <c r="AC966" s="13" t="str">
        <f>IF($X966="","",SUMIFS(TARIFF_PROFILES!$H:$H,TARIFF_PROFILES!$A:$A,$X966))</f>
        <v/>
      </c>
      <c r="AD966" s="13" t="str">
        <f>IF($X966="","",INDEX(TARIFF_PROFILES!$J:$J,MATCH($X966,TARIFF_PROFILES!$A:$A,0)))</f>
        <v/>
      </c>
      <c r="AE966" s="13" t="str">
        <f>IF($X966="","",INDEX(TARIFF_PROFILES!$K:$K,MATCH($X966,TARIFF_PROFILES!$A:$A,0)))</f>
        <v/>
      </c>
      <c r="AH966" t="str">
        <f>IF($AG966="","",SUMIFS(OPERATING_COEFFS!$C:$C,OPERATING_COEFFS!$A:$A,"DistanceClass",OPERATING_COEFFS!$B:$B,$AG966))</f>
        <v/>
      </c>
      <c r="AJ966" t="str">
        <f>IF($AI966="","",SUMIFS(OPERATING_COEFFS!$C:$C,OPERATING_COEFFS!$A:$A,"SeasonClass",OPERATING_COEFFS!$B:$B,$AI966))</f>
        <v/>
      </c>
      <c r="AL966" t="str">
        <f>IF($AK966="","",SUMIFS(OPERATING_COEFFS!$C:$C,OPERATING_COEFFS!$A:$A,"UrgencyClass",OPERATING_COEFFS!$B:$B,$AK966))</f>
        <v/>
      </c>
      <c r="AN966" t="str">
        <f>IF($AM966="","",INDEX(TAX_MODES!$B:$B,MATCH($AM966,TAX_MODES!$A:$A,0)))</f>
        <v/>
      </c>
    </row>
    <row r="967" spans="24:40" x14ac:dyDescent="0.3">
      <c r="X967" s="13"/>
      <c r="Y967" s="13" t="str">
        <f>IF($X967="","",SUMIFS(TARIFF_PROFILES!$D:$D,TARIFF_PROFILES!$A:$A,$X967))</f>
        <v/>
      </c>
      <c r="Z967" s="13" t="str">
        <f>IF($X967="","",SUMIFS(TARIFF_PROFILES!$E:$E,TARIFF_PROFILES!$A:$A,$X967))</f>
        <v/>
      </c>
      <c r="AA967" s="13" t="str">
        <f>IF($X967="","",SUMIFS(TARIFF_PROFILES!$F:$F,TARIFF_PROFILES!$A:$A,$X967))</f>
        <v/>
      </c>
      <c r="AB967" s="13" t="str">
        <f>IF($X967="","",SUMIFS(TARIFF_PROFILES!$G:$G,TARIFF_PROFILES!$A:$A,$X967))</f>
        <v/>
      </c>
      <c r="AC967" s="13" t="str">
        <f>IF($X967="","",SUMIFS(TARIFF_PROFILES!$H:$H,TARIFF_PROFILES!$A:$A,$X967))</f>
        <v/>
      </c>
      <c r="AD967" s="13" t="str">
        <f>IF($X967="","",INDEX(TARIFF_PROFILES!$J:$J,MATCH($X967,TARIFF_PROFILES!$A:$A,0)))</f>
        <v/>
      </c>
      <c r="AE967" s="13" t="str">
        <f>IF($X967="","",INDEX(TARIFF_PROFILES!$K:$K,MATCH($X967,TARIFF_PROFILES!$A:$A,0)))</f>
        <v/>
      </c>
      <c r="AH967" t="str">
        <f>IF($AG967="","",SUMIFS(OPERATING_COEFFS!$C:$C,OPERATING_COEFFS!$A:$A,"DistanceClass",OPERATING_COEFFS!$B:$B,$AG967))</f>
        <v/>
      </c>
      <c r="AJ967" t="str">
        <f>IF($AI967="","",SUMIFS(OPERATING_COEFFS!$C:$C,OPERATING_COEFFS!$A:$A,"SeasonClass",OPERATING_COEFFS!$B:$B,$AI967))</f>
        <v/>
      </c>
      <c r="AL967" t="str">
        <f>IF($AK967="","",SUMIFS(OPERATING_COEFFS!$C:$C,OPERATING_COEFFS!$A:$A,"UrgencyClass",OPERATING_COEFFS!$B:$B,$AK967))</f>
        <v/>
      </c>
      <c r="AN967" t="str">
        <f>IF($AM967="","",INDEX(TAX_MODES!$B:$B,MATCH($AM967,TAX_MODES!$A:$A,0)))</f>
        <v/>
      </c>
    </row>
    <row r="968" spans="24:40" x14ac:dyDescent="0.3">
      <c r="X968" s="13"/>
      <c r="Y968" s="13" t="str">
        <f>IF($X968="","",SUMIFS(TARIFF_PROFILES!$D:$D,TARIFF_PROFILES!$A:$A,$X968))</f>
        <v/>
      </c>
      <c r="Z968" s="13" t="str">
        <f>IF($X968="","",SUMIFS(TARIFF_PROFILES!$E:$E,TARIFF_PROFILES!$A:$A,$X968))</f>
        <v/>
      </c>
      <c r="AA968" s="13" t="str">
        <f>IF($X968="","",SUMIFS(TARIFF_PROFILES!$F:$F,TARIFF_PROFILES!$A:$A,$X968))</f>
        <v/>
      </c>
      <c r="AB968" s="13" t="str">
        <f>IF($X968="","",SUMIFS(TARIFF_PROFILES!$G:$G,TARIFF_PROFILES!$A:$A,$X968))</f>
        <v/>
      </c>
      <c r="AC968" s="13" t="str">
        <f>IF($X968="","",SUMIFS(TARIFF_PROFILES!$H:$H,TARIFF_PROFILES!$A:$A,$X968))</f>
        <v/>
      </c>
      <c r="AD968" s="13" t="str">
        <f>IF($X968="","",INDEX(TARIFF_PROFILES!$J:$J,MATCH($X968,TARIFF_PROFILES!$A:$A,0)))</f>
        <v/>
      </c>
      <c r="AE968" s="13" t="str">
        <f>IF($X968="","",INDEX(TARIFF_PROFILES!$K:$K,MATCH($X968,TARIFF_PROFILES!$A:$A,0)))</f>
        <v/>
      </c>
      <c r="AH968" t="str">
        <f>IF($AG968="","",SUMIFS(OPERATING_COEFFS!$C:$C,OPERATING_COEFFS!$A:$A,"DistanceClass",OPERATING_COEFFS!$B:$B,$AG968))</f>
        <v/>
      </c>
      <c r="AJ968" t="str">
        <f>IF($AI968="","",SUMIFS(OPERATING_COEFFS!$C:$C,OPERATING_COEFFS!$A:$A,"SeasonClass",OPERATING_COEFFS!$B:$B,$AI968))</f>
        <v/>
      </c>
      <c r="AL968" t="str">
        <f>IF($AK968="","",SUMIFS(OPERATING_COEFFS!$C:$C,OPERATING_COEFFS!$A:$A,"UrgencyClass",OPERATING_COEFFS!$B:$B,$AK968))</f>
        <v/>
      </c>
      <c r="AN968" t="str">
        <f>IF($AM968="","",INDEX(TAX_MODES!$B:$B,MATCH($AM968,TAX_MODES!$A:$A,0)))</f>
        <v/>
      </c>
    </row>
    <row r="969" spans="24:40" x14ac:dyDescent="0.3">
      <c r="X969" s="13"/>
      <c r="Y969" s="13" t="str">
        <f>IF($X969="","",SUMIFS(TARIFF_PROFILES!$D:$D,TARIFF_PROFILES!$A:$A,$X969))</f>
        <v/>
      </c>
      <c r="Z969" s="13" t="str">
        <f>IF($X969="","",SUMIFS(TARIFF_PROFILES!$E:$E,TARIFF_PROFILES!$A:$A,$X969))</f>
        <v/>
      </c>
      <c r="AA969" s="13" t="str">
        <f>IF($X969="","",SUMIFS(TARIFF_PROFILES!$F:$F,TARIFF_PROFILES!$A:$A,$X969))</f>
        <v/>
      </c>
      <c r="AB969" s="13" t="str">
        <f>IF($X969="","",SUMIFS(TARIFF_PROFILES!$G:$G,TARIFF_PROFILES!$A:$A,$X969))</f>
        <v/>
      </c>
      <c r="AC969" s="13" t="str">
        <f>IF($X969="","",SUMIFS(TARIFF_PROFILES!$H:$H,TARIFF_PROFILES!$A:$A,$X969))</f>
        <v/>
      </c>
      <c r="AD969" s="13" t="str">
        <f>IF($X969="","",INDEX(TARIFF_PROFILES!$J:$J,MATCH($X969,TARIFF_PROFILES!$A:$A,0)))</f>
        <v/>
      </c>
      <c r="AE969" s="13" t="str">
        <f>IF($X969="","",INDEX(TARIFF_PROFILES!$K:$K,MATCH($X969,TARIFF_PROFILES!$A:$A,0)))</f>
        <v/>
      </c>
      <c r="AH969" t="str">
        <f>IF($AG969="","",SUMIFS(OPERATING_COEFFS!$C:$C,OPERATING_COEFFS!$A:$A,"DistanceClass",OPERATING_COEFFS!$B:$B,$AG969))</f>
        <v/>
      </c>
      <c r="AJ969" t="str">
        <f>IF($AI969="","",SUMIFS(OPERATING_COEFFS!$C:$C,OPERATING_COEFFS!$A:$A,"SeasonClass",OPERATING_COEFFS!$B:$B,$AI969))</f>
        <v/>
      </c>
      <c r="AL969" t="str">
        <f>IF($AK969="","",SUMIFS(OPERATING_COEFFS!$C:$C,OPERATING_COEFFS!$A:$A,"UrgencyClass",OPERATING_COEFFS!$B:$B,$AK969))</f>
        <v/>
      </c>
      <c r="AN969" t="str">
        <f>IF($AM969="","",INDEX(TAX_MODES!$B:$B,MATCH($AM969,TAX_MODES!$A:$A,0)))</f>
        <v/>
      </c>
    </row>
    <row r="970" spans="24:40" x14ac:dyDescent="0.3">
      <c r="X970" s="13"/>
      <c r="Y970" s="13" t="str">
        <f>IF($X970="","",SUMIFS(TARIFF_PROFILES!$D:$D,TARIFF_PROFILES!$A:$A,$X970))</f>
        <v/>
      </c>
      <c r="Z970" s="13" t="str">
        <f>IF($X970="","",SUMIFS(TARIFF_PROFILES!$E:$E,TARIFF_PROFILES!$A:$A,$X970))</f>
        <v/>
      </c>
      <c r="AA970" s="13" t="str">
        <f>IF($X970="","",SUMIFS(TARIFF_PROFILES!$F:$F,TARIFF_PROFILES!$A:$A,$X970))</f>
        <v/>
      </c>
      <c r="AB970" s="13" t="str">
        <f>IF($X970="","",SUMIFS(TARIFF_PROFILES!$G:$G,TARIFF_PROFILES!$A:$A,$X970))</f>
        <v/>
      </c>
      <c r="AC970" s="13" t="str">
        <f>IF($X970="","",SUMIFS(TARIFF_PROFILES!$H:$H,TARIFF_PROFILES!$A:$A,$X970))</f>
        <v/>
      </c>
      <c r="AD970" s="13" t="str">
        <f>IF($X970="","",INDEX(TARIFF_PROFILES!$J:$J,MATCH($X970,TARIFF_PROFILES!$A:$A,0)))</f>
        <v/>
      </c>
      <c r="AE970" s="13" t="str">
        <f>IF($X970="","",INDEX(TARIFF_PROFILES!$K:$K,MATCH($X970,TARIFF_PROFILES!$A:$A,0)))</f>
        <v/>
      </c>
      <c r="AH970" t="str">
        <f>IF($AG970="","",SUMIFS(OPERATING_COEFFS!$C:$C,OPERATING_COEFFS!$A:$A,"DistanceClass",OPERATING_COEFFS!$B:$B,$AG970))</f>
        <v/>
      </c>
      <c r="AJ970" t="str">
        <f>IF($AI970="","",SUMIFS(OPERATING_COEFFS!$C:$C,OPERATING_COEFFS!$A:$A,"SeasonClass",OPERATING_COEFFS!$B:$B,$AI970))</f>
        <v/>
      </c>
      <c r="AL970" t="str">
        <f>IF($AK970="","",SUMIFS(OPERATING_COEFFS!$C:$C,OPERATING_COEFFS!$A:$A,"UrgencyClass",OPERATING_COEFFS!$B:$B,$AK970))</f>
        <v/>
      </c>
      <c r="AN970" t="str">
        <f>IF($AM970="","",INDEX(TAX_MODES!$B:$B,MATCH($AM970,TAX_MODES!$A:$A,0)))</f>
        <v/>
      </c>
    </row>
    <row r="971" spans="24:40" x14ac:dyDescent="0.3">
      <c r="X971" s="13"/>
      <c r="Y971" s="13" t="str">
        <f>IF($X971="","",SUMIFS(TARIFF_PROFILES!$D:$D,TARIFF_PROFILES!$A:$A,$X971))</f>
        <v/>
      </c>
      <c r="Z971" s="13" t="str">
        <f>IF($X971="","",SUMIFS(TARIFF_PROFILES!$E:$E,TARIFF_PROFILES!$A:$A,$X971))</f>
        <v/>
      </c>
      <c r="AA971" s="13" t="str">
        <f>IF($X971="","",SUMIFS(TARIFF_PROFILES!$F:$F,TARIFF_PROFILES!$A:$A,$X971))</f>
        <v/>
      </c>
      <c r="AB971" s="13" t="str">
        <f>IF($X971="","",SUMIFS(TARIFF_PROFILES!$G:$G,TARIFF_PROFILES!$A:$A,$X971))</f>
        <v/>
      </c>
      <c r="AC971" s="13" t="str">
        <f>IF($X971="","",SUMIFS(TARIFF_PROFILES!$H:$H,TARIFF_PROFILES!$A:$A,$X971))</f>
        <v/>
      </c>
      <c r="AD971" s="13" t="str">
        <f>IF($X971="","",INDEX(TARIFF_PROFILES!$J:$J,MATCH($X971,TARIFF_PROFILES!$A:$A,0)))</f>
        <v/>
      </c>
      <c r="AE971" s="13" t="str">
        <f>IF($X971="","",INDEX(TARIFF_PROFILES!$K:$K,MATCH($X971,TARIFF_PROFILES!$A:$A,0)))</f>
        <v/>
      </c>
      <c r="AH971" t="str">
        <f>IF($AG971="","",SUMIFS(OPERATING_COEFFS!$C:$C,OPERATING_COEFFS!$A:$A,"DistanceClass",OPERATING_COEFFS!$B:$B,$AG971))</f>
        <v/>
      </c>
      <c r="AJ971" t="str">
        <f>IF($AI971="","",SUMIFS(OPERATING_COEFFS!$C:$C,OPERATING_COEFFS!$A:$A,"SeasonClass",OPERATING_COEFFS!$B:$B,$AI971))</f>
        <v/>
      </c>
      <c r="AL971" t="str">
        <f>IF($AK971="","",SUMIFS(OPERATING_COEFFS!$C:$C,OPERATING_COEFFS!$A:$A,"UrgencyClass",OPERATING_COEFFS!$B:$B,$AK971))</f>
        <v/>
      </c>
      <c r="AN971" t="str">
        <f>IF($AM971="","",INDEX(TAX_MODES!$B:$B,MATCH($AM971,TAX_MODES!$A:$A,0)))</f>
        <v/>
      </c>
    </row>
    <row r="972" spans="24:40" x14ac:dyDescent="0.3">
      <c r="X972" s="13"/>
      <c r="Y972" s="13" t="str">
        <f>IF($X972="","",SUMIFS(TARIFF_PROFILES!$D:$D,TARIFF_PROFILES!$A:$A,$X972))</f>
        <v/>
      </c>
      <c r="Z972" s="13" t="str">
        <f>IF($X972="","",SUMIFS(TARIFF_PROFILES!$E:$E,TARIFF_PROFILES!$A:$A,$X972))</f>
        <v/>
      </c>
      <c r="AA972" s="13" t="str">
        <f>IF($X972="","",SUMIFS(TARIFF_PROFILES!$F:$F,TARIFF_PROFILES!$A:$A,$X972))</f>
        <v/>
      </c>
      <c r="AB972" s="13" t="str">
        <f>IF($X972="","",SUMIFS(TARIFF_PROFILES!$G:$G,TARIFF_PROFILES!$A:$A,$X972))</f>
        <v/>
      </c>
      <c r="AC972" s="13" t="str">
        <f>IF($X972="","",SUMIFS(TARIFF_PROFILES!$H:$H,TARIFF_PROFILES!$A:$A,$X972))</f>
        <v/>
      </c>
      <c r="AD972" s="13" t="str">
        <f>IF($X972="","",INDEX(TARIFF_PROFILES!$J:$J,MATCH($X972,TARIFF_PROFILES!$A:$A,0)))</f>
        <v/>
      </c>
      <c r="AE972" s="13" t="str">
        <f>IF($X972="","",INDEX(TARIFF_PROFILES!$K:$K,MATCH($X972,TARIFF_PROFILES!$A:$A,0)))</f>
        <v/>
      </c>
      <c r="AH972" t="str">
        <f>IF($AG972="","",SUMIFS(OPERATING_COEFFS!$C:$C,OPERATING_COEFFS!$A:$A,"DistanceClass",OPERATING_COEFFS!$B:$B,$AG972))</f>
        <v/>
      </c>
      <c r="AJ972" t="str">
        <f>IF($AI972="","",SUMIFS(OPERATING_COEFFS!$C:$C,OPERATING_COEFFS!$A:$A,"SeasonClass",OPERATING_COEFFS!$B:$B,$AI972))</f>
        <v/>
      </c>
      <c r="AL972" t="str">
        <f>IF($AK972="","",SUMIFS(OPERATING_COEFFS!$C:$C,OPERATING_COEFFS!$A:$A,"UrgencyClass",OPERATING_COEFFS!$B:$B,$AK972))</f>
        <v/>
      </c>
      <c r="AN972" t="str">
        <f>IF($AM972="","",INDEX(TAX_MODES!$B:$B,MATCH($AM972,TAX_MODES!$A:$A,0)))</f>
        <v/>
      </c>
    </row>
    <row r="973" spans="24:40" x14ac:dyDescent="0.3">
      <c r="X973" s="13"/>
      <c r="Y973" s="13" t="str">
        <f>IF($X973="","",SUMIFS(TARIFF_PROFILES!$D:$D,TARIFF_PROFILES!$A:$A,$X973))</f>
        <v/>
      </c>
      <c r="Z973" s="13" t="str">
        <f>IF($X973="","",SUMIFS(TARIFF_PROFILES!$E:$E,TARIFF_PROFILES!$A:$A,$X973))</f>
        <v/>
      </c>
      <c r="AA973" s="13" t="str">
        <f>IF($X973="","",SUMIFS(TARIFF_PROFILES!$F:$F,TARIFF_PROFILES!$A:$A,$X973))</f>
        <v/>
      </c>
      <c r="AB973" s="13" t="str">
        <f>IF($X973="","",SUMIFS(TARIFF_PROFILES!$G:$G,TARIFF_PROFILES!$A:$A,$X973))</f>
        <v/>
      </c>
      <c r="AC973" s="13" t="str">
        <f>IF($X973="","",SUMIFS(TARIFF_PROFILES!$H:$H,TARIFF_PROFILES!$A:$A,$X973))</f>
        <v/>
      </c>
      <c r="AD973" s="13" t="str">
        <f>IF($X973="","",INDEX(TARIFF_PROFILES!$J:$J,MATCH($X973,TARIFF_PROFILES!$A:$A,0)))</f>
        <v/>
      </c>
      <c r="AE973" s="13" t="str">
        <f>IF($X973="","",INDEX(TARIFF_PROFILES!$K:$K,MATCH($X973,TARIFF_PROFILES!$A:$A,0)))</f>
        <v/>
      </c>
      <c r="AH973" t="str">
        <f>IF($AG973="","",SUMIFS(OPERATING_COEFFS!$C:$C,OPERATING_COEFFS!$A:$A,"DistanceClass",OPERATING_COEFFS!$B:$B,$AG973))</f>
        <v/>
      </c>
      <c r="AJ973" t="str">
        <f>IF($AI973="","",SUMIFS(OPERATING_COEFFS!$C:$C,OPERATING_COEFFS!$A:$A,"SeasonClass",OPERATING_COEFFS!$B:$B,$AI973))</f>
        <v/>
      </c>
      <c r="AL973" t="str">
        <f>IF($AK973="","",SUMIFS(OPERATING_COEFFS!$C:$C,OPERATING_COEFFS!$A:$A,"UrgencyClass",OPERATING_COEFFS!$B:$B,$AK973))</f>
        <v/>
      </c>
      <c r="AN973" t="str">
        <f>IF($AM973="","",INDEX(TAX_MODES!$B:$B,MATCH($AM973,TAX_MODES!$A:$A,0)))</f>
        <v/>
      </c>
    </row>
    <row r="974" spans="24:40" x14ac:dyDescent="0.3">
      <c r="X974" s="13"/>
      <c r="Y974" s="13" t="str">
        <f>IF($X974="","",SUMIFS(TARIFF_PROFILES!$D:$D,TARIFF_PROFILES!$A:$A,$X974))</f>
        <v/>
      </c>
      <c r="Z974" s="13" t="str">
        <f>IF($X974="","",SUMIFS(TARIFF_PROFILES!$E:$E,TARIFF_PROFILES!$A:$A,$X974))</f>
        <v/>
      </c>
      <c r="AA974" s="13" t="str">
        <f>IF($X974="","",SUMIFS(TARIFF_PROFILES!$F:$F,TARIFF_PROFILES!$A:$A,$X974))</f>
        <v/>
      </c>
      <c r="AB974" s="13" t="str">
        <f>IF($X974="","",SUMIFS(TARIFF_PROFILES!$G:$G,TARIFF_PROFILES!$A:$A,$X974))</f>
        <v/>
      </c>
      <c r="AC974" s="13" t="str">
        <f>IF($X974="","",SUMIFS(TARIFF_PROFILES!$H:$H,TARIFF_PROFILES!$A:$A,$X974))</f>
        <v/>
      </c>
      <c r="AD974" s="13" t="str">
        <f>IF($X974="","",INDEX(TARIFF_PROFILES!$J:$J,MATCH($X974,TARIFF_PROFILES!$A:$A,0)))</f>
        <v/>
      </c>
      <c r="AE974" s="13" t="str">
        <f>IF($X974="","",INDEX(TARIFF_PROFILES!$K:$K,MATCH($X974,TARIFF_PROFILES!$A:$A,0)))</f>
        <v/>
      </c>
      <c r="AH974" t="str">
        <f>IF($AG974="","",SUMIFS(OPERATING_COEFFS!$C:$C,OPERATING_COEFFS!$A:$A,"DistanceClass",OPERATING_COEFFS!$B:$B,$AG974))</f>
        <v/>
      </c>
      <c r="AJ974" t="str">
        <f>IF($AI974="","",SUMIFS(OPERATING_COEFFS!$C:$C,OPERATING_COEFFS!$A:$A,"SeasonClass",OPERATING_COEFFS!$B:$B,$AI974))</f>
        <v/>
      </c>
      <c r="AL974" t="str">
        <f>IF($AK974="","",SUMIFS(OPERATING_COEFFS!$C:$C,OPERATING_COEFFS!$A:$A,"UrgencyClass",OPERATING_COEFFS!$B:$B,$AK974))</f>
        <v/>
      </c>
      <c r="AN974" t="str">
        <f>IF($AM974="","",INDEX(TAX_MODES!$B:$B,MATCH($AM974,TAX_MODES!$A:$A,0)))</f>
        <v/>
      </c>
    </row>
    <row r="975" spans="24:40" x14ac:dyDescent="0.3">
      <c r="X975" s="13"/>
      <c r="Y975" s="13" t="str">
        <f>IF($X975="","",SUMIFS(TARIFF_PROFILES!$D:$D,TARIFF_PROFILES!$A:$A,$X975))</f>
        <v/>
      </c>
      <c r="Z975" s="13" t="str">
        <f>IF($X975="","",SUMIFS(TARIFF_PROFILES!$E:$E,TARIFF_PROFILES!$A:$A,$X975))</f>
        <v/>
      </c>
      <c r="AA975" s="13" t="str">
        <f>IF($X975="","",SUMIFS(TARIFF_PROFILES!$F:$F,TARIFF_PROFILES!$A:$A,$X975))</f>
        <v/>
      </c>
      <c r="AB975" s="13" t="str">
        <f>IF($X975="","",SUMIFS(TARIFF_PROFILES!$G:$G,TARIFF_PROFILES!$A:$A,$X975))</f>
        <v/>
      </c>
      <c r="AC975" s="13" t="str">
        <f>IF($X975="","",SUMIFS(TARIFF_PROFILES!$H:$H,TARIFF_PROFILES!$A:$A,$X975))</f>
        <v/>
      </c>
      <c r="AD975" s="13" t="str">
        <f>IF($X975="","",INDEX(TARIFF_PROFILES!$J:$J,MATCH($X975,TARIFF_PROFILES!$A:$A,0)))</f>
        <v/>
      </c>
      <c r="AE975" s="13" t="str">
        <f>IF($X975="","",INDEX(TARIFF_PROFILES!$K:$K,MATCH($X975,TARIFF_PROFILES!$A:$A,0)))</f>
        <v/>
      </c>
      <c r="AH975" t="str">
        <f>IF($AG975="","",SUMIFS(OPERATING_COEFFS!$C:$C,OPERATING_COEFFS!$A:$A,"DistanceClass",OPERATING_COEFFS!$B:$B,$AG975))</f>
        <v/>
      </c>
      <c r="AJ975" t="str">
        <f>IF($AI975="","",SUMIFS(OPERATING_COEFFS!$C:$C,OPERATING_COEFFS!$A:$A,"SeasonClass",OPERATING_COEFFS!$B:$B,$AI975))</f>
        <v/>
      </c>
      <c r="AL975" t="str">
        <f>IF($AK975="","",SUMIFS(OPERATING_COEFFS!$C:$C,OPERATING_COEFFS!$A:$A,"UrgencyClass",OPERATING_COEFFS!$B:$B,$AK975))</f>
        <v/>
      </c>
      <c r="AN975" t="str">
        <f>IF($AM975="","",INDEX(TAX_MODES!$B:$B,MATCH($AM975,TAX_MODES!$A:$A,0)))</f>
        <v/>
      </c>
    </row>
    <row r="976" spans="24:40" x14ac:dyDescent="0.3">
      <c r="X976" s="13"/>
      <c r="Y976" s="13" t="str">
        <f>IF($X976="","",SUMIFS(TARIFF_PROFILES!$D:$D,TARIFF_PROFILES!$A:$A,$X976))</f>
        <v/>
      </c>
      <c r="Z976" s="13" t="str">
        <f>IF($X976="","",SUMIFS(TARIFF_PROFILES!$E:$E,TARIFF_PROFILES!$A:$A,$X976))</f>
        <v/>
      </c>
      <c r="AA976" s="13" t="str">
        <f>IF($X976="","",SUMIFS(TARIFF_PROFILES!$F:$F,TARIFF_PROFILES!$A:$A,$X976))</f>
        <v/>
      </c>
      <c r="AB976" s="13" t="str">
        <f>IF($X976="","",SUMIFS(TARIFF_PROFILES!$G:$G,TARIFF_PROFILES!$A:$A,$X976))</f>
        <v/>
      </c>
      <c r="AC976" s="13" t="str">
        <f>IF($X976="","",SUMIFS(TARIFF_PROFILES!$H:$H,TARIFF_PROFILES!$A:$A,$X976))</f>
        <v/>
      </c>
      <c r="AD976" s="13" t="str">
        <f>IF($X976="","",INDEX(TARIFF_PROFILES!$J:$J,MATCH($X976,TARIFF_PROFILES!$A:$A,0)))</f>
        <v/>
      </c>
      <c r="AE976" s="13" t="str">
        <f>IF($X976="","",INDEX(TARIFF_PROFILES!$K:$K,MATCH($X976,TARIFF_PROFILES!$A:$A,0)))</f>
        <v/>
      </c>
      <c r="AH976" t="str">
        <f>IF($AG976="","",SUMIFS(OPERATING_COEFFS!$C:$C,OPERATING_COEFFS!$A:$A,"DistanceClass",OPERATING_COEFFS!$B:$B,$AG976))</f>
        <v/>
      </c>
      <c r="AJ976" t="str">
        <f>IF($AI976="","",SUMIFS(OPERATING_COEFFS!$C:$C,OPERATING_COEFFS!$A:$A,"SeasonClass",OPERATING_COEFFS!$B:$B,$AI976))</f>
        <v/>
      </c>
      <c r="AL976" t="str">
        <f>IF($AK976="","",SUMIFS(OPERATING_COEFFS!$C:$C,OPERATING_COEFFS!$A:$A,"UrgencyClass",OPERATING_COEFFS!$B:$B,$AK976))</f>
        <v/>
      </c>
      <c r="AN976" t="str">
        <f>IF($AM976="","",INDEX(TAX_MODES!$B:$B,MATCH($AM976,TAX_MODES!$A:$A,0)))</f>
        <v/>
      </c>
    </row>
    <row r="977" spans="24:40" x14ac:dyDescent="0.3">
      <c r="X977" s="13"/>
      <c r="Y977" s="13" t="str">
        <f>IF($X977="","",SUMIFS(TARIFF_PROFILES!$D:$D,TARIFF_PROFILES!$A:$A,$X977))</f>
        <v/>
      </c>
      <c r="Z977" s="13" t="str">
        <f>IF($X977="","",SUMIFS(TARIFF_PROFILES!$E:$E,TARIFF_PROFILES!$A:$A,$X977))</f>
        <v/>
      </c>
      <c r="AA977" s="13" t="str">
        <f>IF($X977="","",SUMIFS(TARIFF_PROFILES!$F:$F,TARIFF_PROFILES!$A:$A,$X977))</f>
        <v/>
      </c>
      <c r="AB977" s="13" t="str">
        <f>IF($X977="","",SUMIFS(TARIFF_PROFILES!$G:$G,TARIFF_PROFILES!$A:$A,$X977))</f>
        <v/>
      </c>
      <c r="AC977" s="13" t="str">
        <f>IF($X977="","",SUMIFS(TARIFF_PROFILES!$H:$H,TARIFF_PROFILES!$A:$A,$X977))</f>
        <v/>
      </c>
      <c r="AD977" s="13" t="str">
        <f>IF($X977="","",INDEX(TARIFF_PROFILES!$J:$J,MATCH($X977,TARIFF_PROFILES!$A:$A,0)))</f>
        <v/>
      </c>
      <c r="AE977" s="13" t="str">
        <f>IF($X977="","",INDEX(TARIFF_PROFILES!$K:$K,MATCH($X977,TARIFF_PROFILES!$A:$A,0)))</f>
        <v/>
      </c>
      <c r="AH977" t="str">
        <f>IF($AG977="","",SUMIFS(OPERATING_COEFFS!$C:$C,OPERATING_COEFFS!$A:$A,"DistanceClass",OPERATING_COEFFS!$B:$B,$AG977))</f>
        <v/>
      </c>
      <c r="AJ977" t="str">
        <f>IF($AI977="","",SUMIFS(OPERATING_COEFFS!$C:$C,OPERATING_COEFFS!$A:$A,"SeasonClass",OPERATING_COEFFS!$B:$B,$AI977))</f>
        <v/>
      </c>
      <c r="AL977" t="str">
        <f>IF($AK977="","",SUMIFS(OPERATING_COEFFS!$C:$C,OPERATING_COEFFS!$A:$A,"UrgencyClass",OPERATING_COEFFS!$B:$B,$AK977))</f>
        <v/>
      </c>
      <c r="AN977" t="str">
        <f>IF($AM977="","",INDEX(TAX_MODES!$B:$B,MATCH($AM977,TAX_MODES!$A:$A,0)))</f>
        <v/>
      </c>
    </row>
    <row r="978" spans="24:40" x14ac:dyDescent="0.3">
      <c r="X978" s="13"/>
      <c r="Y978" s="13" t="str">
        <f>IF($X978="","",SUMIFS(TARIFF_PROFILES!$D:$D,TARIFF_PROFILES!$A:$A,$X978))</f>
        <v/>
      </c>
      <c r="Z978" s="13" t="str">
        <f>IF($X978="","",SUMIFS(TARIFF_PROFILES!$E:$E,TARIFF_PROFILES!$A:$A,$X978))</f>
        <v/>
      </c>
      <c r="AA978" s="13" t="str">
        <f>IF($X978="","",SUMIFS(TARIFF_PROFILES!$F:$F,TARIFF_PROFILES!$A:$A,$X978))</f>
        <v/>
      </c>
      <c r="AB978" s="13" t="str">
        <f>IF($X978="","",SUMIFS(TARIFF_PROFILES!$G:$G,TARIFF_PROFILES!$A:$A,$X978))</f>
        <v/>
      </c>
      <c r="AC978" s="13" t="str">
        <f>IF($X978="","",SUMIFS(TARIFF_PROFILES!$H:$H,TARIFF_PROFILES!$A:$A,$X978))</f>
        <v/>
      </c>
      <c r="AD978" s="13" t="str">
        <f>IF($X978="","",INDEX(TARIFF_PROFILES!$J:$J,MATCH($X978,TARIFF_PROFILES!$A:$A,0)))</f>
        <v/>
      </c>
      <c r="AE978" s="13" t="str">
        <f>IF($X978="","",INDEX(TARIFF_PROFILES!$K:$K,MATCH($X978,TARIFF_PROFILES!$A:$A,0)))</f>
        <v/>
      </c>
      <c r="AH978" t="str">
        <f>IF($AG978="","",SUMIFS(OPERATING_COEFFS!$C:$C,OPERATING_COEFFS!$A:$A,"DistanceClass",OPERATING_COEFFS!$B:$B,$AG978))</f>
        <v/>
      </c>
      <c r="AJ978" t="str">
        <f>IF($AI978="","",SUMIFS(OPERATING_COEFFS!$C:$C,OPERATING_COEFFS!$A:$A,"SeasonClass",OPERATING_COEFFS!$B:$B,$AI978))</f>
        <v/>
      </c>
      <c r="AL978" t="str">
        <f>IF($AK978="","",SUMIFS(OPERATING_COEFFS!$C:$C,OPERATING_COEFFS!$A:$A,"UrgencyClass",OPERATING_COEFFS!$B:$B,$AK978))</f>
        <v/>
      </c>
      <c r="AN978" t="str">
        <f>IF($AM978="","",INDEX(TAX_MODES!$B:$B,MATCH($AM978,TAX_MODES!$A:$A,0)))</f>
        <v/>
      </c>
    </row>
    <row r="979" spans="24:40" x14ac:dyDescent="0.3">
      <c r="X979" s="13"/>
      <c r="Y979" s="13" t="str">
        <f>IF($X979="","",SUMIFS(TARIFF_PROFILES!$D:$D,TARIFF_PROFILES!$A:$A,$X979))</f>
        <v/>
      </c>
      <c r="Z979" s="13" t="str">
        <f>IF($X979="","",SUMIFS(TARIFF_PROFILES!$E:$E,TARIFF_PROFILES!$A:$A,$X979))</f>
        <v/>
      </c>
      <c r="AA979" s="13" t="str">
        <f>IF($X979="","",SUMIFS(TARIFF_PROFILES!$F:$F,TARIFF_PROFILES!$A:$A,$X979))</f>
        <v/>
      </c>
      <c r="AB979" s="13" t="str">
        <f>IF($X979="","",SUMIFS(TARIFF_PROFILES!$G:$G,TARIFF_PROFILES!$A:$A,$X979))</f>
        <v/>
      </c>
      <c r="AC979" s="13" t="str">
        <f>IF($X979="","",SUMIFS(TARIFF_PROFILES!$H:$H,TARIFF_PROFILES!$A:$A,$X979))</f>
        <v/>
      </c>
      <c r="AD979" s="13" t="str">
        <f>IF($X979="","",INDEX(TARIFF_PROFILES!$J:$J,MATCH($X979,TARIFF_PROFILES!$A:$A,0)))</f>
        <v/>
      </c>
      <c r="AE979" s="13" t="str">
        <f>IF($X979="","",INDEX(TARIFF_PROFILES!$K:$K,MATCH($X979,TARIFF_PROFILES!$A:$A,0)))</f>
        <v/>
      </c>
      <c r="AH979" t="str">
        <f>IF($AG979="","",SUMIFS(OPERATING_COEFFS!$C:$C,OPERATING_COEFFS!$A:$A,"DistanceClass",OPERATING_COEFFS!$B:$B,$AG979))</f>
        <v/>
      </c>
      <c r="AJ979" t="str">
        <f>IF($AI979="","",SUMIFS(OPERATING_COEFFS!$C:$C,OPERATING_COEFFS!$A:$A,"SeasonClass",OPERATING_COEFFS!$B:$B,$AI979))</f>
        <v/>
      </c>
      <c r="AL979" t="str">
        <f>IF($AK979="","",SUMIFS(OPERATING_COEFFS!$C:$C,OPERATING_COEFFS!$A:$A,"UrgencyClass",OPERATING_COEFFS!$B:$B,$AK979))</f>
        <v/>
      </c>
      <c r="AN979" t="str">
        <f>IF($AM979="","",INDEX(TAX_MODES!$B:$B,MATCH($AM979,TAX_MODES!$A:$A,0)))</f>
        <v/>
      </c>
    </row>
    <row r="980" spans="24:40" x14ac:dyDescent="0.3">
      <c r="X980" s="13"/>
      <c r="Y980" s="13" t="str">
        <f>IF($X980="","",SUMIFS(TARIFF_PROFILES!$D:$D,TARIFF_PROFILES!$A:$A,$X980))</f>
        <v/>
      </c>
      <c r="Z980" s="13" t="str">
        <f>IF($X980="","",SUMIFS(TARIFF_PROFILES!$E:$E,TARIFF_PROFILES!$A:$A,$X980))</f>
        <v/>
      </c>
      <c r="AA980" s="13" t="str">
        <f>IF($X980="","",SUMIFS(TARIFF_PROFILES!$F:$F,TARIFF_PROFILES!$A:$A,$X980))</f>
        <v/>
      </c>
      <c r="AB980" s="13" t="str">
        <f>IF($X980="","",SUMIFS(TARIFF_PROFILES!$G:$G,TARIFF_PROFILES!$A:$A,$X980))</f>
        <v/>
      </c>
      <c r="AC980" s="13" t="str">
        <f>IF($X980="","",SUMIFS(TARIFF_PROFILES!$H:$H,TARIFF_PROFILES!$A:$A,$X980))</f>
        <v/>
      </c>
      <c r="AD980" s="13" t="str">
        <f>IF($X980="","",INDEX(TARIFF_PROFILES!$J:$J,MATCH($X980,TARIFF_PROFILES!$A:$A,0)))</f>
        <v/>
      </c>
      <c r="AE980" s="13" t="str">
        <f>IF($X980="","",INDEX(TARIFF_PROFILES!$K:$K,MATCH($X980,TARIFF_PROFILES!$A:$A,0)))</f>
        <v/>
      </c>
      <c r="AH980" t="str">
        <f>IF($AG980="","",SUMIFS(OPERATING_COEFFS!$C:$C,OPERATING_COEFFS!$A:$A,"DistanceClass",OPERATING_COEFFS!$B:$B,$AG980))</f>
        <v/>
      </c>
      <c r="AJ980" t="str">
        <f>IF($AI980="","",SUMIFS(OPERATING_COEFFS!$C:$C,OPERATING_COEFFS!$A:$A,"SeasonClass",OPERATING_COEFFS!$B:$B,$AI980))</f>
        <v/>
      </c>
      <c r="AL980" t="str">
        <f>IF($AK980="","",SUMIFS(OPERATING_COEFFS!$C:$C,OPERATING_COEFFS!$A:$A,"UrgencyClass",OPERATING_COEFFS!$B:$B,$AK980))</f>
        <v/>
      </c>
      <c r="AN980" t="str">
        <f>IF($AM980="","",INDEX(TAX_MODES!$B:$B,MATCH($AM980,TAX_MODES!$A:$A,0)))</f>
        <v/>
      </c>
    </row>
    <row r="981" spans="24:40" x14ac:dyDescent="0.3">
      <c r="X981" s="13"/>
      <c r="Y981" s="13" t="str">
        <f>IF($X981="","",SUMIFS(TARIFF_PROFILES!$D:$D,TARIFF_PROFILES!$A:$A,$X981))</f>
        <v/>
      </c>
      <c r="Z981" s="13" t="str">
        <f>IF($X981="","",SUMIFS(TARIFF_PROFILES!$E:$E,TARIFF_PROFILES!$A:$A,$X981))</f>
        <v/>
      </c>
      <c r="AA981" s="13" t="str">
        <f>IF($X981="","",SUMIFS(TARIFF_PROFILES!$F:$F,TARIFF_PROFILES!$A:$A,$X981))</f>
        <v/>
      </c>
      <c r="AB981" s="13" t="str">
        <f>IF($X981="","",SUMIFS(TARIFF_PROFILES!$G:$G,TARIFF_PROFILES!$A:$A,$X981))</f>
        <v/>
      </c>
      <c r="AC981" s="13" t="str">
        <f>IF($X981="","",SUMIFS(TARIFF_PROFILES!$H:$H,TARIFF_PROFILES!$A:$A,$X981))</f>
        <v/>
      </c>
      <c r="AD981" s="13" t="str">
        <f>IF($X981="","",INDEX(TARIFF_PROFILES!$J:$J,MATCH($X981,TARIFF_PROFILES!$A:$A,0)))</f>
        <v/>
      </c>
      <c r="AE981" s="13" t="str">
        <f>IF($X981="","",INDEX(TARIFF_PROFILES!$K:$K,MATCH($X981,TARIFF_PROFILES!$A:$A,0)))</f>
        <v/>
      </c>
      <c r="AH981" t="str">
        <f>IF($AG981="","",SUMIFS(OPERATING_COEFFS!$C:$C,OPERATING_COEFFS!$A:$A,"DistanceClass",OPERATING_COEFFS!$B:$B,$AG981))</f>
        <v/>
      </c>
      <c r="AJ981" t="str">
        <f>IF($AI981="","",SUMIFS(OPERATING_COEFFS!$C:$C,OPERATING_COEFFS!$A:$A,"SeasonClass",OPERATING_COEFFS!$B:$B,$AI981))</f>
        <v/>
      </c>
      <c r="AL981" t="str">
        <f>IF($AK981="","",SUMIFS(OPERATING_COEFFS!$C:$C,OPERATING_COEFFS!$A:$A,"UrgencyClass",OPERATING_COEFFS!$B:$B,$AK981))</f>
        <v/>
      </c>
      <c r="AN981" t="str">
        <f>IF($AM981="","",INDEX(TAX_MODES!$B:$B,MATCH($AM981,TAX_MODES!$A:$A,0)))</f>
        <v/>
      </c>
    </row>
    <row r="982" spans="24:40" x14ac:dyDescent="0.3">
      <c r="X982" s="13"/>
      <c r="Y982" s="13" t="str">
        <f>IF($X982="","",SUMIFS(TARIFF_PROFILES!$D:$D,TARIFF_PROFILES!$A:$A,$X982))</f>
        <v/>
      </c>
      <c r="Z982" s="13" t="str">
        <f>IF($X982="","",SUMIFS(TARIFF_PROFILES!$E:$E,TARIFF_PROFILES!$A:$A,$X982))</f>
        <v/>
      </c>
      <c r="AA982" s="13" t="str">
        <f>IF($X982="","",SUMIFS(TARIFF_PROFILES!$F:$F,TARIFF_PROFILES!$A:$A,$X982))</f>
        <v/>
      </c>
      <c r="AB982" s="13" t="str">
        <f>IF($X982="","",SUMIFS(TARIFF_PROFILES!$G:$G,TARIFF_PROFILES!$A:$A,$X982))</f>
        <v/>
      </c>
      <c r="AC982" s="13" t="str">
        <f>IF($X982="","",SUMIFS(TARIFF_PROFILES!$H:$H,TARIFF_PROFILES!$A:$A,$X982))</f>
        <v/>
      </c>
      <c r="AD982" s="13" t="str">
        <f>IF($X982="","",INDEX(TARIFF_PROFILES!$J:$J,MATCH($X982,TARIFF_PROFILES!$A:$A,0)))</f>
        <v/>
      </c>
      <c r="AE982" s="13" t="str">
        <f>IF($X982="","",INDEX(TARIFF_PROFILES!$K:$K,MATCH($X982,TARIFF_PROFILES!$A:$A,0)))</f>
        <v/>
      </c>
      <c r="AH982" t="str">
        <f>IF($AG982="","",SUMIFS(OPERATING_COEFFS!$C:$C,OPERATING_COEFFS!$A:$A,"DistanceClass",OPERATING_COEFFS!$B:$B,$AG982))</f>
        <v/>
      </c>
      <c r="AJ982" t="str">
        <f>IF($AI982="","",SUMIFS(OPERATING_COEFFS!$C:$C,OPERATING_COEFFS!$A:$A,"SeasonClass",OPERATING_COEFFS!$B:$B,$AI982))</f>
        <v/>
      </c>
      <c r="AL982" t="str">
        <f>IF($AK982="","",SUMIFS(OPERATING_COEFFS!$C:$C,OPERATING_COEFFS!$A:$A,"UrgencyClass",OPERATING_COEFFS!$B:$B,$AK982))</f>
        <v/>
      </c>
      <c r="AN982" t="str">
        <f>IF($AM982="","",INDEX(TAX_MODES!$B:$B,MATCH($AM982,TAX_MODES!$A:$A,0)))</f>
        <v/>
      </c>
    </row>
    <row r="983" spans="24:40" x14ac:dyDescent="0.3">
      <c r="X983" s="13"/>
      <c r="Y983" s="13" t="str">
        <f>IF($X983="","",SUMIFS(TARIFF_PROFILES!$D:$D,TARIFF_PROFILES!$A:$A,$X983))</f>
        <v/>
      </c>
      <c r="Z983" s="13" t="str">
        <f>IF($X983="","",SUMIFS(TARIFF_PROFILES!$E:$E,TARIFF_PROFILES!$A:$A,$X983))</f>
        <v/>
      </c>
      <c r="AA983" s="13" t="str">
        <f>IF($X983="","",SUMIFS(TARIFF_PROFILES!$F:$F,TARIFF_PROFILES!$A:$A,$X983))</f>
        <v/>
      </c>
      <c r="AB983" s="13" t="str">
        <f>IF($X983="","",SUMIFS(TARIFF_PROFILES!$G:$G,TARIFF_PROFILES!$A:$A,$X983))</f>
        <v/>
      </c>
      <c r="AC983" s="13" t="str">
        <f>IF($X983="","",SUMIFS(TARIFF_PROFILES!$H:$H,TARIFF_PROFILES!$A:$A,$X983))</f>
        <v/>
      </c>
      <c r="AD983" s="13" t="str">
        <f>IF($X983="","",INDEX(TARIFF_PROFILES!$J:$J,MATCH($X983,TARIFF_PROFILES!$A:$A,0)))</f>
        <v/>
      </c>
      <c r="AE983" s="13" t="str">
        <f>IF($X983="","",INDEX(TARIFF_PROFILES!$K:$K,MATCH($X983,TARIFF_PROFILES!$A:$A,0)))</f>
        <v/>
      </c>
      <c r="AH983" t="str">
        <f>IF($AG983="","",SUMIFS(OPERATING_COEFFS!$C:$C,OPERATING_COEFFS!$A:$A,"DistanceClass",OPERATING_COEFFS!$B:$B,$AG983))</f>
        <v/>
      </c>
      <c r="AJ983" t="str">
        <f>IF($AI983="","",SUMIFS(OPERATING_COEFFS!$C:$C,OPERATING_COEFFS!$A:$A,"SeasonClass",OPERATING_COEFFS!$B:$B,$AI983))</f>
        <v/>
      </c>
      <c r="AL983" t="str">
        <f>IF($AK983="","",SUMIFS(OPERATING_COEFFS!$C:$C,OPERATING_COEFFS!$A:$A,"UrgencyClass",OPERATING_COEFFS!$B:$B,$AK983))</f>
        <v/>
      </c>
      <c r="AN983" t="str">
        <f>IF($AM983="","",INDEX(TAX_MODES!$B:$B,MATCH($AM983,TAX_MODES!$A:$A,0)))</f>
        <v/>
      </c>
    </row>
    <row r="984" spans="24:40" x14ac:dyDescent="0.3">
      <c r="X984" s="13"/>
      <c r="Y984" s="13" t="str">
        <f>IF($X984="","",SUMIFS(TARIFF_PROFILES!$D:$D,TARIFF_PROFILES!$A:$A,$X984))</f>
        <v/>
      </c>
      <c r="Z984" s="13" t="str">
        <f>IF($X984="","",SUMIFS(TARIFF_PROFILES!$E:$E,TARIFF_PROFILES!$A:$A,$X984))</f>
        <v/>
      </c>
      <c r="AA984" s="13" t="str">
        <f>IF($X984="","",SUMIFS(TARIFF_PROFILES!$F:$F,TARIFF_PROFILES!$A:$A,$X984))</f>
        <v/>
      </c>
      <c r="AB984" s="13" t="str">
        <f>IF($X984="","",SUMIFS(TARIFF_PROFILES!$G:$G,TARIFF_PROFILES!$A:$A,$X984))</f>
        <v/>
      </c>
      <c r="AC984" s="13" t="str">
        <f>IF($X984="","",SUMIFS(TARIFF_PROFILES!$H:$H,TARIFF_PROFILES!$A:$A,$X984))</f>
        <v/>
      </c>
      <c r="AD984" s="13" t="str">
        <f>IF($X984="","",INDEX(TARIFF_PROFILES!$J:$J,MATCH($X984,TARIFF_PROFILES!$A:$A,0)))</f>
        <v/>
      </c>
      <c r="AE984" s="13" t="str">
        <f>IF($X984="","",INDEX(TARIFF_PROFILES!$K:$K,MATCH($X984,TARIFF_PROFILES!$A:$A,0)))</f>
        <v/>
      </c>
      <c r="AH984" t="str">
        <f>IF($AG984="","",SUMIFS(OPERATING_COEFFS!$C:$C,OPERATING_COEFFS!$A:$A,"DistanceClass",OPERATING_COEFFS!$B:$B,$AG984))</f>
        <v/>
      </c>
      <c r="AJ984" t="str">
        <f>IF($AI984="","",SUMIFS(OPERATING_COEFFS!$C:$C,OPERATING_COEFFS!$A:$A,"SeasonClass",OPERATING_COEFFS!$B:$B,$AI984))</f>
        <v/>
      </c>
      <c r="AL984" t="str">
        <f>IF($AK984="","",SUMIFS(OPERATING_COEFFS!$C:$C,OPERATING_COEFFS!$A:$A,"UrgencyClass",OPERATING_COEFFS!$B:$B,$AK984))</f>
        <v/>
      </c>
      <c r="AN984" t="str">
        <f>IF($AM984="","",INDEX(TAX_MODES!$B:$B,MATCH($AM984,TAX_MODES!$A:$A,0)))</f>
        <v/>
      </c>
    </row>
    <row r="985" spans="24:40" x14ac:dyDescent="0.3">
      <c r="X985" s="13"/>
      <c r="Y985" s="13" t="str">
        <f>IF($X985="","",SUMIFS(TARIFF_PROFILES!$D:$D,TARIFF_PROFILES!$A:$A,$X985))</f>
        <v/>
      </c>
      <c r="Z985" s="13" t="str">
        <f>IF($X985="","",SUMIFS(TARIFF_PROFILES!$E:$E,TARIFF_PROFILES!$A:$A,$X985))</f>
        <v/>
      </c>
      <c r="AA985" s="13" t="str">
        <f>IF($X985="","",SUMIFS(TARIFF_PROFILES!$F:$F,TARIFF_PROFILES!$A:$A,$X985))</f>
        <v/>
      </c>
      <c r="AB985" s="13" t="str">
        <f>IF($X985="","",SUMIFS(TARIFF_PROFILES!$G:$G,TARIFF_PROFILES!$A:$A,$X985))</f>
        <v/>
      </c>
      <c r="AC985" s="13" t="str">
        <f>IF($X985="","",SUMIFS(TARIFF_PROFILES!$H:$H,TARIFF_PROFILES!$A:$A,$X985))</f>
        <v/>
      </c>
      <c r="AD985" s="13" t="str">
        <f>IF($X985="","",INDEX(TARIFF_PROFILES!$J:$J,MATCH($X985,TARIFF_PROFILES!$A:$A,0)))</f>
        <v/>
      </c>
      <c r="AE985" s="13" t="str">
        <f>IF($X985="","",INDEX(TARIFF_PROFILES!$K:$K,MATCH($X985,TARIFF_PROFILES!$A:$A,0)))</f>
        <v/>
      </c>
      <c r="AH985" t="str">
        <f>IF($AG985="","",SUMIFS(OPERATING_COEFFS!$C:$C,OPERATING_COEFFS!$A:$A,"DistanceClass",OPERATING_COEFFS!$B:$B,$AG985))</f>
        <v/>
      </c>
      <c r="AJ985" t="str">
        <f>IF($AI985="","",SUMIFS(OPERATING_COEFFS!$C:$C,OPERATING_COEFFS!$A:$A,"SeasonClass",OPERATING_COEFFS!$B:$B,$AI985))</f>
        <v/>
      </c>
      <c r="AL985" t="str">
        <f>IF($AK985="","",SUMIFS(OPERATING_COEFFS!$C:$C,OPERATING_COEFFS!$A:$A,"UrgencyClass",OPERATING_COEFFS!$B:$B,$AK985))</f>
        <v/>
      </c>
      <c r="AN985" t="str">
        <f>IF($AM985="","",INDEX(TAX_MODES!$B:$B,MATCH($AM985,TAX_MODES!$A:$A,0)))</f>
        <v/>
      </c>
    </row>
    <row r="986" spans="24:40" x14ac:dyDescent="0.3">
      <c r="X986" s="13"/>
      <c r="Y986" s="13" t="str">
        <f>IF($X986="","",SUMIFS(TARIFF_PROFILES!$D:$D,TARIFF_PROFILES!$A:$A,$X986))</f>
        <v/>
      </c>
      <c r="Z986" s="13" t="str">
        <f>IF($X986="","",SUMIFS(TARIFF_PROFILES!$E:$E,TARIFF_PROFILES!$A:$A,$X986))</f>
        <v/>
      </c>
      <c r="AA986" s="13" t="str">
        <f>IF($X986="","",SUMIFS(TARIFF_PROFILES!$F:$F,TARIFF_PROFILES!$A:$A,$X986))</f>
        <v/>
      </c>
      <c r="AB986" s="13" t="str">
        <f>IF($X986="","",SUMIFS(TARIFF_PROFILES!$G:$G,TARIFF_PROFILES!$A:$A,$X986))</f>
        <v/>
      </c>
      <c r="AC986" s="13" t="str">
        <f>IF($X986="","",SUMIFS(TARIFF_PROFILES!$H:$H,TARIFF_PROFILES!$A:$A,$X986))</f>
        <v/>
      </c>
      <c r="AD986" s="13" t="str">
        <f>IF($X986="","",INDEX(TARIFF_PROFILES!$J:$J,MATCH($X986,TARIFF_PROFILES!$A:$A,0)))</f>
        <v/>
      </c>
      <c r="AE986" s="13" t="str">
        <f>IF($X986="","",INDEX(TARIFF_PROFILES!$K:$K,MATCH($X986,TARIFF_PROFILES!$A:$A,0)))</f>
        <v/>
      </c>
      <c r="AH986" t="str">
        <f>IF($AG986="","",SUMIFS(OPERATING_COEFFS!$C:$C,OPERATING_COEFFS!$A:$A,"DistanceClass",OPERATING_COEFFS!$B:$B,$AG986))</f>
        <v/>
      </c>
      <c r="AJ986" t="str">
        <f>IF($AI986="","",SUMIFS(OPERATING_COEFFS!$C:$C,OPERATING_COEFFS!$A:$A,"SeasonClass",OPERATING_COEFFS!$B:$B,$AI986))</f>
        <v/>
      </c>
      <c r="AL986" t="str">
        <f>IF($AK986="","",SUMIFS(OPERATING_COEFFS!$C:$C,OPERATING_COEFFS!$A:$A,"UrgencyClass",OPERATING_COEFFS!$B:$B,$AK986))</f>
        <v/>
      </c>
      <c r="AN986" t="str">
        <f>IF($AM986="","",INDEX(TAX_MODES!$B:$B,MATCH($AM986,TAX_MODES!$A:$A,0)))</f>
        <v/>
      </c>
    </row>
    <row r="987" spans="24:40" x14ac:dyDescent="0.3">
      <c r="X987" s="13"/>
      <c r="Y987" s="13" t="str">
        <f>IF($X987="","",SUMIFS(TARIFF_PROFILES!$D:$D,TARIFF_PROFILES!$A:$A,$X987))</f>
        <v/>
      </c>
      <c r="Z987" s="13" t="str">
        <f>IF($X987="","",SUMIFS(TARIFF_PROFILES!$E:$E,TARIFF_PROFILES!$A:$A,$X987))</f>
        <v/>
      </c>
      <c r="AA987" s="13" t="str">
        <f>IF($X987="","",SUMIFS(TARIFF_PROFILES!$F:$F,TARIFF_PROFILES!$A:$A,$X987))</f>
        <v/>
      </c>
      <c r="AB987" s="13" t="str">
        <f>IF($X987="","",SUMIFS(TARIFF_PROFILES!$G:$G,TARIFF_PROFILES!$A:$A,$X987))</f>
        <v/>
      </c>
      <c r="AC987" s="13" t="str">
        <f>IF($X987="","",SUMIFS(TARIFF_PROFILES!$H:$H,TARIFF_PROFILES!$A:$A,$X987))</f>
        <v/>
      </c>
      <c r="AD987" s="13" t="str">
        <f>IF($X987="","",INDEX(TARIFF_PROFILES!$J:$J,MATCH($X987,TARIFF_PROFILES!$A:$A,0)))</f>
        <v/>
      </c>
      <c r="AE987" s="13" t="str">
        <f>IF($X987="","",INDEX(TARIFF_PROFILES!$K:$K,MATCH($X987,TARIFF_PROFILES!$A:$A,0)))</f>
        <v/>
      </c>
      <c r="AH987" t="str">
        <f>IF($AG987="","",SUMIFS(OPERATING_COEFFS!$C:$C,OPERATING_COEFFS!$A:$A,"DistanceClass",OPERATING_COEFFS!$B:$B,$AG987))</f>
        <v/>
      </c>
      <c r="AJ987" t="str">
        <f>IF($AI987="","",SUMIFS(OPERATING_COEFFS!$C:$C,OPERATING_COEFFS!$A:$A,"SeasonClass",OPERATING_COEFFS!$B:$B,$AI987))</f>
        <v/>
      </c>
      <c r="AL987" t="str">
        <f>IF($AK987="","",SUMIFS(OPERATING_COEFFS!$C:$C,OPERATING_COEFFS!$A:$A,"UrgencyClass",OPERATING_COEFFS!$B:$B,$AK987))</f>
        <v/>
      </c>
      <c r="AN987" t="str">
        <f>IF($AM987="","",INDEX(TAX_MODES!$B:$B,MATCH($AM987,TAX_MODES!$A:$A,0)))</f>
        <v/>
      </c>
    </row>
    <row r="988" spans="24:40" x14ac:dyDescent="0.3">
      <c r="X988" s="13"/>
      <c r="Y988" s="13" t="str">
        <f>IF($X988="","",SUMIFS(TARIFF_PROFILES!$D:$D,TARIFF_PROFILES!$A:$A,$X988))</f>
        <v/>
      </c>
      <c r="Z988" s="13" t="str">
        <f>IF($X988="","",SUMIFS(TARIFF_PROFILES!$E:$E,TARIFF_PROFILES!$A:$A,$X988))</f>
        <v/>
      </c>
      <c r="AA988" s="13" t="str">
        <f>IF($X988="","",SUMIFS(TARIFF_PROFILES!$F:$F,TARIFF_PROFILES!$A:$A,$X988))</f>
        <v/>
      </c>
      <c r="AB988" s="13" t="str">
        <f>IF($X988="","",SUMIFS(TARIFF_PROFILES!$G:$G,TARIFF_PROFILES!$A:$A,$X988))</f>
        <v/>
      </c>
      <c r="AC988" s="13" t="str">
        <f>IF($X988="","",SUMIFS(TARIFF_PROFILES!$H:$H,TARIFF_PROFILES!$A:$A,$X988))</f>
        <v/>
      </c>
      <c r="AD988" s="13" t="str">
        <f>IF($X988="","",INDEX(TARIFF_PROFILES!$J:$J,MATCH($X988,TARIFF_PROFILES!$A:$A,0)))</f>
        <v/>
      </c>
      <c r="AE988" s="13" t="str">
        <f>IF($X988="","",INDEX(TARIFF_PROFILES!$K:$K,MATCH($X988,TARIFF_PROFILES!$A:$A,0)))</f>
        <v/>
      </c>
      <c r="AH988" t="str">
        <f>IF($AG988="","",SUMIFS(OPERATING_COEFFS!$C:$C,OPERATING_COEFFS!$A:$A,"DistanceClass",OPERATING_COEFFS!$B:$B,$AG988))</f>
        <v/>
      </c>
      <c r="AJ988" t="str">
        <f>IF($AI988="","",SUMIFS(OPERATING_COEFFS!$C:$C,OPERATING_COEFFS!$A:$A,"SeasonClass",OPERATING_COEFFS!$B:$B,$AI988))</f>
        <v/>
      </c>
      <c r="AL988" t="str">
        <f>IF($AK988="","",SUMIFS(OPERATING_COEFFS!$C:$C,OPERATING_COEFFS!$A:$A,"UrgencyClass",OPERATING_COEFFS!$B:$B,$AK988))</f>
        <v/>
      </c>
      <c r="AN988" t="str">
        <f>IF($AM988="","",INDEX(TAX_MODES!$B:$B,MATCH($AM988,TAX_MODES!$A:$A,0)))</f>
        <v/>
      </c>
    </row>
    <row r="989" spans="24:40" x14ac:dyDescent="0.3">
      <c r="X989" s="13"/>
      <c r="Y989" s="13" t="str">
        <f>IF($X989="","",SUMIFS(TARIFF_PROFILES!$D:$D,TARIFF_PROFILES!$A:$A,$X989))</f>
        <v/>
      </c>
      <c r="Z989" s="13" t="str">
        <f>IF($X989="","",SUMIFS(TARIFF_PROFILES!$E:$E,TARIFF_PROFILES!$A:$A,$X989))</f>
        <v/>
      </c>
      <c r="AA989" s="13" t="str">
        <f>IF($X989="","",SUMIFS(TARIFF_PROFILES!$F:$F,TARIFF_PROFILES!$A:$A,$X989))</f>
        <v/>
      </c>
      <c r="AB989" s="13" t="str">
        <f>IF($X989="","",SUMIFS(TARIFF_PROFILES!$G:$G,TARIFF_PROFILES!$A:$A,$X989))</f>
        <v/>
      </c>
      <c r="AC989" s="13" t="str">
        <f>IF($X989="","",SUMIFS(TARIFF_PROFILES!$H:$H,TARIFF_PROFILES!$A:$A,$X989))</f>
        <v/>
      </c>
      <c r="AD989" s="13" t="str">
        <f>IF($X989="","",INDEX(TARIFF_PROFILES!$J:$J,MATCH($X989,TARIFF_PROFILES!$A:$A,0)))</f>
        <v/>
      </c>
      <c r="AE989" s="13" t="str">
        <f>IF($X989="","",INDEX(TARIFF_PROFILES!$K:$K,MATCH($X989,TARIFF_PROFILES!$A:$A,0)))</f>
        <v/>
      </c>
      <c r="AH989" t="str">
        <f>IF($AG989="","",SUMIFS(OPERATING_COEFFS!$C:$C,OPERATING_COEFFS!$A:$A,"DistanceClass",OPERATING_COEFFS!$B:$B,$AG989))</f>
        <v/>
      </c>
      <c r="AJ989" t="str">
        <f>IF($AI989="","",SUMIFS(OPERATING_COEFFS!$C:$C,OPERATING_COEFFS!$A:$A,"SeasonClass",OPERATING_COEFFS!$B:$B,$AI989))</f>
        <v/>
      </c>
      <c r="AL989" t="str">
        <f>IF($AK989="","",SUMIFS(OPERATING_COEFFS!$C:$C,OPERATING_COEFFS!$A:$A,"UrgencyClass",OPERATING_COEFFS!$B:$B,$AK989))</f>
        <v/>
      </c>
      <c r="AN989" t="str">
        <f>IF($AM989="","",INDEX(TAX_MODES!$B:$B,MATCH($AM989,TAX_MODES!$A:$A,0)))</f>
        <v/>
      </c>
    </row>
    <row r="990" spans="24:40" x14ac:dyDescent="0.3">
      <c r="X990" s="13"/>
      <c r="Y990" s="13" t="str">
        <f>IF($X990="","",SUMIFS(TARIFF_PROFILES!$D:$D,TARIFF_PROFILES!$A:$A,$X990))</f>
        <v/>
      </c>
      <c r="Z990" s="13" t="str">
        <f>IF($X990="","",SUMIFS(TARIFF_PROFILES!$E:$E,TARIFF_PROFILES!$A:$A,$X990))</f>
        <v/>
      </c>
      <c r="AA990" s="13" t="str">
        <f>IF($X990="","",SUMIFS(TARIFF_PROFILES!$F:$F,TARIFF_PROFILES!$A:$A,$X990))</f>
        <v/>
      </c>
      <c r="AB990" s="13" t="str">
        <f>IF($X990="","",SUMIFS(TARIFF_PROFILES!$G:$G,TARIFF_PROFILES!$A:$A,$X990))</f>
        <v/>
      </c>
      <c r="AC990" s="13" t="str">
        <f>IF($X990="","",SUMIFS(TARIFF_PROFILES!$H:$H,TARIFF_PROFILES!$A:$A,$X990))</f>
        <v/>
      </c>
      <c r="AD990" s="13" t="str">
        <f>IF($X990="","",INDEX(TARIFF_PROFILES!$J:$J,MATCH($X990,TARIFF_PROFILES!$A:$A,0)))</f>
        <v/>
      </c>
      <c r="AE990" s="13" t="str">
        <f>IF($X990="","",INDEX(TARIFF_PROFILES!$K:$K,MATCH($X990,TARIFF_PROFILES!$A:$A,0)))</f>
        <v/>
      </c>
      <c r="AH990" t="str">
        <f>IF($AG990="","",SUMIFS(OPERATING_COEFFS!$C:$C,OPERATING_COEFFS!$A:$A,"DistanceClass",OPERATING_COEFFS!$B:$B,$AG990))</f>
        <v/>
      </c>
      <c r="AJ990" t="str">
        <f>IF($AI990="","",SUMIFS(OPERATING_COEFFS!$C:$C,OPERATING_COEFFS!$A:$A,"SeasonClass",OPERATING_COEFFS!$B:$B,$AI990))</f>
        <v/>
      </c>
      <c r="AL990" t="str">
        <f>IF($AK990="","",SUMIFS(OPERATING_COEFFS!$C:$C,OPERATING_COEFFS!$A:$A,"UrgencyClass",OPERATING_COEFFS!$B:$B,$AK990))</f>
        <v/>
      </c>
      <c r="AN990" t="str">
        <f>IF($AM990="","",INDEX(TAX_MODES!$B:$B,MATCH($AM990,TAX_MODES!$A:$A,0)))</f>
        <v/>
      </c>
    </row>
    <row r="991" spans="24:40" x14ac:dyDescent="0.3">
      <c r="X991" s="13"/>
      <c r="Y991" s="13" t="str">
        <f>IF($X991="","",SUMIFS(TARIFF_PROFILES!$D:$D,TARIFF_PROFILES!$A:$A,$X991))</f>
        <v/>
      </c>
      <c r="Z991" s="13" t="str">
        <f>IF($X991="","",SUMIFS(TARIFF_PROFILES!$E:$E,TARIFF_PROFILES!$A:$A,$X991))</f>
        <v/>
      </c>
      <c r="AA991" s="13" t="str">
        <f>IF($X991="","",SUMIFS(TARIFF_PROFILES!$F:$F,TARIFF_PROFILES!$A:$A,$X991))</f>
        <v/>
      </c>
      <c r="AB991" s="13" t="str">
        <f>IF($X991="","",SUMIFS(TARIFF_PROFILES!$G:$G,TARIFF_PROFILES!$A:$A,$X991))</f>
        <v/>
      </c>
      <c r="AC991" s="13" t="str">
        <f>IF($X991="","",SUMIFS(TARIFF_PROFILES!$H:$H,TARIFF_PROFILES!$A:$A,$X991))</f>
        <v/>
      </c>
      <c r="AD991" s="13" t="str">
        <f>IF($X991="","",INDEX(TARIFF_PROFILES!$J:$J,MATCH($X991,TARIFF_PROFILES!$A:$A,0)))</f>
        <v/>
      </c>
      <c r="AE991" s="13" t="str">
        <f>IF($X991="","",INDEX(TARIFF_PROFILES!$K:$K,MATCH($X991,TARIFF_PROFILES!$A:$A,0)))</f>
        <v/>
      </c>
      <c r="AH991" t="str">
        <f>IF($AG991="","",SUMIFS(OPERATING_COEFFS!$C:$C,OPERATING_COEFFS!$A:$A,"DistanceClass",OPERATING_COEFFS!$B:$B,$AG991))</f>
        <v/>
      </c>
      <c r="AJ991" t="str">
        <f>IF($AI991="","",SUMIFS(OPERATING_COEFFS!$C:$C,OPERATING_COEFFS!$A:$A,"SeasonClass",OPERATING_COEFFS!$B:$B,$AI991))</f>
        <v/>
      </c>
      <c r="AL991" t="str">
        <f>IF($AK991="","",SUMIFS(OPERATING_COEFFS!$C:$C,OPERATING_COEFFS!$A:$A,"UrgencyClass",OPERATING_COEFFS!$B:$B,$AK991))</f>
        <v/>
      </c>
      <c r="AN991" t="str">
        <f>IF($AM991="","",INDEX(TAX_MODES!$B:$B,MATCH($AM991,TAX_MODES!$A:$A,0)))</f>
        <v/>
      </c>
    </row>
    <row r="992" spans="24:40" x14ac:dyDescent="0.3">
      <c r="X992" s="13"/>
      <c r="Y992" s="13" t="str">
        <f>IF($X992="","",SUMIFS(TARIFF_PROFILES!$D:$D,TARIFF_PROFILES!$A:$A,$X992))</f>
        <v/>
      </c>
      <c r="Z992" s="13" t="str">
        <f>IF($X992="","",SUMIFS(TARIFF_PROFILES!$E:$E,TARIFF_PROFILES!$A:$A,$X992))</f>
        <v/>
      </c>
      <c r="AA992" s="13" t="str">
        <f>IF($X992="","",SUMIFS(TARIFF_PROFILES!$F:$F,TARIFF_PROFILES!$A:$A,$X992))</f>
        <v/>
      </c>
      <c r="AB992" s="13" t="str">
        <f>IF($X992="","",SUMIFS(TARIFF_PROFILES!$G:$G,TARIFF_PROFILES!$A:$A,$X992))</f>
        <v/>
      </c>
      <c r="AC992" s="13" t="str">
        <f>IF($X992="","",SUMIFS(TARIFF_PROFILES!$H:$H,TARIFF_PROFILES!$A:$A,$X992))</f>
        <v/>
      </c>
      <c r="AD992" s="13" t="str">
        <f>IF($X992="","",INDEX(TARIFF_PROFILES!$J:$J,MATCH($X992,TARIFF_PROFILES!$A:$A,0)))</f>
        <v/>
      </c>
      <c r="AE992" s="13" t="str">
        <f>IF($X992="","",INDEX(TARIFF_PROFILES!$K:$K,MATCH($X992,TARIFF_PROFILES!$A:$A,0)))</f>
        <v/>
      </c>
      <c r="AH992" t="str">
        <f>IF($AG992="","",SUMIFS(OPERATING_COEFFS!$C:$C,OPERATING_COEFFS!$A:$A,"DistanceClass",OPERATING_COEFFS!$B:$B,$AG992))</f>
        <v/>
      </c>
      <c r="AJ992" t="str">
        <f>IF($AI992="","",SUMIFS(OPERATING_COEFFS!$C:$C,OPERATING_COEFFS!$A:$A,"SeasonClass",OPERATING_COEFFS!$B:$B,$AI992))</f>
        <v/>
      </c>
      <c r="AL992" t="str">
        <f>IF($AK992="","",SUMIFS(OPERATING_COEFFS!$C:$C,OPERATING_COEFFS!$A:$A,"UrgencyClass",OPERATING_COEFFS!$B:$B,$AK992))</f>
        <v/>
      </c>
      <c r="AN992" t="str">
        <f>IF($AM992="","",INDEX(TAX_MODES!$B:$B,MATCH($AM992,TAX_MODES!$A:$A,0)))</f>
        <v/>
      </c>
    </row>
    <row r="993" spans="24:40" x14ac:dyDescent="0.3">
      <c r="X993" s="13"/>
      <c r="Y993" s="13" t="str">
        <f>IF($X993="","",SUMIFS(TARIFF_PROFILES!$D:$D,TARIFF_PROFILES!$A:$A,$X993))</f>
        <v/>
      </c>
      <c r="Z993" s="13" t="str">
        <f>IF($X993="","",SUMIFS(TARIFF_PROFILES!$E:$E,TARIFF_PROFILES!$A:$A,$X993))</f>
        <v/>
      </c>
      <c r="AA993" s="13" t="str">
        <f>IF($X993="","",SUMIFS(TARIFF_PROFILES!$F:$F,TARIFF_PROFILES!$A:$A,$X993))</f>
        <v/>
      </c>
      <c r="AB993" s="13" t="str">
        <f>IF($X993="","",SUMIFS(TARIFF_PROFILES!$G:$G,TARIFF_PROFILES!$A:$A,$X993))</f>
        <v/>
      </c>
      <c r="AC993" s="13" t="str">
        <f>IF($X993="","",SUMIFS(TARIFF_PROFILES!$H:$H,TARIFF_PROFILES!$A:$A,$X993))</f>
        <v/>
      </c>
      <c r="AD993" s="13" t="str">
        <f>IF($X993="","",INDEX(TARIFF_PROFILES!$J:$J,MATCH($X993,TARIFF_PROFILES!$A:$A,0)))</f>
        <v/>
      </c>
      <c r="AE993" s="13" t="str">
        <f>IF($X993="","",INDEX(TARIFF_PROFILES!$K:$K,MATCH($X993,TARIFF_PROFILES!$A:$A,0)))</f>
        <v/>
      </c>
      <c r="AH993" t="str">
        <f>IF($AG993="","",SUMIFS(OPERATING_COEFFS!$C:$C,OPERATING_COEFFS!$A:$A,"DistanceClass",OPERATING_COEFFS!$B:$B,$AG993))</f>
        <v/>
      </c>
      <c r="AJ993" t="str">
        <f>IF($AI993="","",SUMIFS(OPERATING_COEFFS!$C:$C,OPERATING_COEFFS!$A:$A,"SeasonClass",OPERATING_COEFFS!$B:$B,$AI993))</f>
        <v/>
      </c>
      <c r="AL993" t="str">
        <f>IF($AK993="","",SUMIFS(OPERATING_COEFFS!$C:$C,OPERATING_COEFFS!$A:$A,"UrgencyClass",OPERATING_COEFFS!$B:$B,$AK993))</f>
        <v/>
      </c>
      <c r="AN993" t="str">
        <f>IF($AM993="","",INDEX(TAX_MODES!$B:$B,MATCH($AM993,TAX_MODES!$A:$A,0)))</f>
        <v/>
      </c>
    </row>
    <row r="994" spans="24:40" x14ac:dyDescent="0.3">
      <c r="X994" s="13"/>
      <c r="Y994" s="13" t="str">
        <f>IF($X994="","",SUMIFS(TARIFF_PROFILES!$D:$D,TARIFF_PROFILES!$A:$A,$X994))</f>
        <v/>
      </c>
      <c r="Z994" s="13" t="str">
        <f>IF($X994="","",SUMIFS(TARIFF_PROFILES!$E:$E,TARIFF_PROFILES!$A:$A,$X994))</f>
        <v/>
      </c>
      <c r="AA994" s="13" t="str">
        <f>IF($X994="","",SUMIFS(TARIFF_PROFILES!$F:$F,TARIFF_PROFILES!$A:$A,$X994))</f>
        <v/>
      </c>
      <c r="AB994" s="13" t="str">
        <f>IF($X994="","",SUMIFS(TARIFF_PROFILES!$G:$G,TARIFF_PROFILES!$A:$A,$X994))</f>
        <v/>
      </c>
      <c r="AC994" s="13" t="str">
        <f>IF($X994="","",SUMIFS(TARIFF_PROFILES!$H:$H,TARIFF_PROFILES!$A:$A,$X994))</f>
        <v/>
      </c>
      <c r="AD994" s="13" t="str">
        <f>IF($X994="","",INDEX(TARIFF_PROFILES!$J:$J,MATCH($X994,TARIFF_PROFILES!$A:$A,0)))</f>
        <v/>
      </c>
      <c r="AE994" s="13" t="str">
        <f>IF($X994="","",INDEX(TARIFF_PROFILES!$K:$K,MATCH($X994,TARIFF_PROFILES!$A:$A,0)))</f>
        <v/>
      </c>
      <c r="AH994" t="str">
        <f>IF($AG994="","",SUMIFS(OPERATING_COEFFS!$C:$C,OPERATING_COEFFS!$A:$A,"DistanceClass",OPERATING_COEFFS!$B:$B,$AG994))</f>
        <v/>
      </c>
      <c r="AJ994" t="str">
        <f>IF($AI994="","",SUMIFS(OPERATING_COEFFS!$C:$C,OPERATING_COEFFS!$A:$A,"SeasonClass",OPERATING_COEFFS!$B:$B,$AI994))</f>
        <v/>
      </c>
      <c r="AL994" t="str">
        <f>IF($AK994="","",SUMIFS(OPERATING_COEFFS!$C:$C,OPERATING_COEFFS!$A:$A,"UrgencyClass",OPERATING_COEFFS!$B:$B,$AK994))</f>
        <v/>
      </c>
      <c r="AN994" t="str">
        <f>IF($AM994="","",INDEX(TAX_MODES!$B:$B,MATCH($AM994,TAX_MODES!$A:$A,0)))</f>
        <v/>
      </c>
    </row>
    <row r="995" spans="24:40" x14ac:dyDescent="0.3">
      <c r="X995" s="13"/>
      <c r="Y995" s="13" t="str">
        <f>IF($X995="","",SUMIFS(TARIFF_PROFILES!$D:$D,TARIFF_PROFILES!$A:$A,$X995))</f>
        <v/>
      </c>
      <c r="Z995" s="13" t="str">
        <f>IF($X995="","",SUMIFS(TARIFF_PROFILES!$E:$E,TARIFF_PROFILES!$A:$A,$X995))</f>
        <v/>
      </c>
      <c r="AA995" s="13" t="str">
        <f>IF($X995="","",SUMIFS(TARIFF_PROFILES!$F:$F,TARIFF_PROFILES!$A:$A,$X995))</f>
        <v/>
      </c>
      <c r="AB995" s="13" t="str">
        <f>IF($X995="","",SUMIFS(TARIFF_PROFILES!$G:$G,TARIFF_PROFILES!$A:$A,$X995))</f>
        <v/>
      </c>
      <c r="AC995" s="13" t="str">
        <f>IF($X995="","",SUMIFS(TARIFF_PROFILES!$H:$H,TARIFF_PROFILES!$A:$A,$X995))</f>
        <v/>
      </c>
      <c r="AD995" s="13" t="str">
        <f>IF($X995="","",INDEX(TARIFF_PROFILES!$J:$J,MATCH($X995,TARIFF_PROFILES!$A:$A,0)))</f>
        <v/>
      </c>
      <c r="AE995" s="13" t="str">
        <f>IF($X995="","",INDEX(TARIFF_PROFILES!$K:$K,MATCH($X995,TARIFF_PROFILES!$A:$A,0)))</f>
        <v/>
      </c>
      <c r="AH995" t="str">
        <f>IF($AG995="","",SUMIFS(OPERATING_COEFFS!$C:$C,OPERATING_COEFFS!$A:$A,"DistanceClass",OPERATING_COEFFS!$B:$B,$AG995))</f>
        <v/>
      </c>
      <c r="AJ995" t="str">
        <f>IF($AI995="","",SUMIFS(OPERATING_COEFFS!$C:$C,OPERATING_COEFFS!$A:$A,"SeasonClass",OPERATING_COEFFS!$B:$B,$AI995))</f>
        <v/>
      </c>
      <c r="AL995" t="str">
        <f>IF($AK995="","",SUMIFS(OPERATING_COEFFS!$C:$C,OPERATING_COEFFS!$A:$A,"UrgencyClass",OPERATING_COEFFS!$B:$B,$AK995))</f>
        <v/>
      </c>
      <c r="AN995" t="str">
        <f>IF($AM995="","",INDEX(TAX_MODES!$B:$B,MATCH($AM995,TAX_MODES!$A:$A,0)))</f>
        <v/>
      </c>
    </row>
    <row r="996" spans="24:40" x14ac:dyDescent="0.3">
      <c r="X996" s="13"/>
      <c r="Y996" s="13" t="str">
        <f>IF($X996="","",SUMIFS(TARIFF_PROFILES!$D:$D,TARIFF_PROFILES!$A:$A,$X996))</f>
        <v/>
      </c>
      <c r="Z996" s="13" t="str">
        <f>IF($X996="","",SUMIFS(TARIFF_PROFILES!$E:$E,TARIFF_PROFILES!$A:$A,$X996))</f>
        <v/>
      </c>
      <c r="AA996" s="13" t="str">
        <f>IF($X996="","",SUMIFS(TARIFF_PROFILES!$F:$F,TARIFF_PROFILES!$A:$A,$X996))</f>
        <v/>
      </c>
      <c r="AB996" s="13" t="str">
        <f>IF($X996="","",SUMIFS(TARIFF_PROFILES!$G:$G,TARIFF_PROFILES!$A:$A,$X996))</f>
        <v/>
      </c>
      <c r="AC996" s="13" t="str">
        <f>IF($X996="","",SUMIFS(TARIFF_PROFILES!$H:$H,TARIFF_PROFILES!$A:$A,$X996))</f>
        <v/>
      </c>
      <c r="AD996" s="13" t="str">
        <f>IF($X996="","",INDEX(TARIFF_PROFILES!$J:$J,MATCH($X996,TARIFF_PROFILES!$A:$A,0)))</f>
        <v/>
      </c>
      <c r="AE996" s="13" t="str">
        <f>IF($X996="","",INDEX(TARIFF_PROFILES!$K:$K,MATCH($X996,TARIFF_PROFILES!$A:$A,0)))</f>
        <v/>
      </c>
      <c r="AH996" t="str">
        <f>IF($AG996="","",SUMIFS(OPERATING_COEFFS!$C:$C,OPERATING_COEFFS!$A:$A,"DistanceClass",OPERATING_COEFFS!$B:$B,$AG996))</f>
        <v/>
      </c>
      <c r="AJ996" t="str">
        <f>IF($AI996="","",SUMIFS(OPERATING_COEFFS!$C:$C,OPERATING_COEFFS!$A:$A,"SeasonClass",OPERATING_COEFFS!$B:$B,$AI996))</f>
        <v/>
      </c>
      <c r="AL996" t="str">
        <f>IF($AK996="","",SUMIFS(OPERATING_COEFFS!$C:$C,OPERATING_COEFFS!$A:$A,"UrgencyClass",OPERATING_COEFFS!$B:$B,$AK996))</f>
        <v/>
      </c>
      <c r="AN996" t="str">
        <f>IF($AM996="","",INDEX(TAX_MODES!$B:$B,MATCH($AM996,TAX_MODES!$A:$A,0)))</f>
        <v/>
      </c>
    </row>
    <row r="997" spans="24:40" x14ac:dyDescent="0.3">
      <c r="X997" s="13"/>
      <c r="Y997" s="13" t="str">
        <f>IF($X997="","",SUMIFS(TARIFF_PROFILES!$D:$D,TARIFF_PROFILES!$A:$A,$X997))</f>
        <v/>
      </c>
      <c r="Z997" s="13" t="str">
        <f>IF($X997="","",SUMIFS(TARIFF_PROFILES!$E:$E,TARIFF_PROFILES!$A:$A,$X997))</f>
        <v/>
      </c>
      <c r="AA997" s="13" t="str">
        <f>IF($X997="","",SUMIFS(TARIFF_PROFILES!$F:$F,TARIFF_PROFILES!$A:$A,$X997))</f>
        <v/>
      </c>
      <c r="AB997" s="13" t="str">
        <f>IF($X997="","",SUMIFS(TARIFF_PROFILES!$G:$G,TARIFF_PROFILES!$A:$A,$X997))</f>
        <v/>
      </c>
      <c r="AC997" s="13" t="str">
        <f>IF($X997="","",SUMIFS(TARIFF_PROFILES!$H:$H,TARIFF_PROFILES!$A:$A,$X997))</f>
        <v/>
      </c>
      <c r="AD997" s="13" t="str">
        <f>IF($X997="","",INDEX(TARIFF_PROFILES!$J:$J,MATCH($X997,TARIFF_PROFILES!$A:$A,0)))</f>
        <v/>
      </c>
      <c r="AE997" s="13" t="str">
        <f>IF($X997="","",INDEX(TARIFF_PROFILES!$K:$K,MATCH($X997,TARIFF_PROFILES!$A:$A,0)))</f>
        <v/>
      </c>
      <c r="AH997" t="str">
        <f>IF($AG997="","",SUMIFS(OPERATING_COEFFS!$C:$C,OPERATING_COEFFS!$A:$A,"DistanceClass",OPERATING_COEFFS!$B:$B,$AG997))</f>
        <v/>
      </c>
      <c r="AJ997" t="str">
        <f>IF($AI997="","",SUMIFS(OPERATING_COEFFS!$C:$C,OPERATING_COEFFS!$A:$A,"SeasonClass",OPERATING_COEFFS!$B:$B,$AI997))</f>
        <v/>
      </c>
      <c r="AL997" t="str">
        <f>IF($AK997="","",SUMIFS(OPERATING_COEFFS!$C:$C,OPERATING_COEFFS!$A:$A,"UrgencyClass",OPERATING_COEFFS!$B:$B,$AK997))</f>
        <v/>
      </c>
      <c r="AN997" t="str">
        <f>IF($AM997="","",INDEX(TAX_MODES!$B:$B,MATCH($AM997,TAX_MODES!$A:$A,0)))</f>
        <v/>
      </c>
    </row>
    <row r="998" spans="24:40" x14ac:dyDescent="0.3">
      <c r="X998" s="13"/>
      <c r="Y998" s="13" t="str">
        <f>IF($X998="","",SUMIFS(TARIFF_PROFILES!$D:$D,TARIFF_PROFILES!$A:$A,$X998))</f>
        <v/>
      </c>
      <c r="Z998" s="13" t="str">
        <f>IF($X998="","",SUMIFS(TARIFF_PROFILES!$E:$E,TARIFF_PROFILES!$A:$A,$X998))</f>
        <v/>
      </c>
      <c r="AA998" s="13" t="str">
        <f>IF($X998="","",SUMIFS(TARIFF_PROFILES!$F:$F,TARIFF_PROFILES!$A:$A,$X998))</f>
        <v/>
      </c>
      <c r="AB998" s="13" t="str">
        <f>IF($X998="","",SUMIFS(TARIFF_PROFILES!$G:$G,TARIFF_PROFILES!$A:$A,$X998))</f>
        <v/>
      </c>
      <c r="AC998" s="13" t="str">
        <f>IF($X998="","",SUMIFS(TARIFF_PROFILES!$H:$H,TARIFF_PROFILES!$A:$A,$X998))</f>
        <v/>
      </c>
      <c r="AD998" s="13" t="str">
        <f>IF($X998="","",INDEX(TARIFF_PROFILES!$J:$J,MATCH($X998,TARIFF_PROFILES!$A:$A,0)))</f>
        <v/>
      </c>
      <c r="AE998" s="13" t="str">
        <f>IF($X998="","",INDEX(TARIFF_PROFILES!$K:$K,MATCH($X998,TARIFF_PROFILES!$A:$A,0)))</f>
        <v/>
      </c>
      <c r="AH998" t="str">
        <f>IF($AG998="","",SUMIFS(OPERATING_COEFFS!$C:$C,OPERATING_COEFFS!$A:$A,"DistanceClass",OPERATING_COEFFS!$B:$B,$AG998))</f>
        <v/>
      </c>
      <c r="AJ998" t="str">
        <f>IF($AI998="","",SUMIFS(OPERATING_COEFFS!$C:$C,OPERATING_COEFFS!$A:$A,"SeasonClass",OPERATING_COEFFS!$B:$B,$AI998))</f>
        <v/>
      </c>
      <c r="AL998" t="str">
        <f>IF($AK998="","",SUMIFS(OPERATING_COEFFS!$C:$C,OPERATING_COEFFS!$A:$A,"UrgencyClass",OPERATING_COEFFS!$B:$B,$AK998))</f>
        <v/>
      </c>
      <c r="AN998" t="str">
        <f>IF($AM998="","",INDEX(TAX_MODES!$B:$B,MATCH($AM998,TAX_MODES!$A:$A,0)))</f>
        <v/>
      </c>
    </row>
    <row r="999" spans="24:40" x14ac:dyDescent="0.3">
      <c r="X999" s="13"/>
      <c r="Y999" s="13" t="str">
        <f>IF($X999="","",SUMIFS(TARIFF_PROFILES!$D:$D,TARIFF_PROFILES!$A:$A,$X999))</f>
        <v/>
      </c>
      <c r="Z999" s="13" t="str">
        <f>IF($X999="","",SUMIFS(TARIFF_PROFILES!$E:$E,TARIFF_PROFILES!$A:$A,$X999))</f>
        <v/>
      </c>
      <c r="AA999" s="13" t="str">
        <f>IF($X999="","",SUMIFS(TARIFF_PROFILES!$F:$F,TARIFF_PROFILES!$A:$A,$X999))</f>
        <v/>
      </c>
      <c r="AB999" s="13" t="str">
        <f>IF($X999="","",SUMIFS(TARIFF_PROFILES!$G:$G,TARIFF_PROFILES!$A:$A,$X999))</f>
        <v/>
      </c>
      <c r="AC999" s="13" t="str">
        <f>IF($X999="","",SUMIFS(TARIFF_PROFILES!$H:$H,TARIFF_PROFILES!$A:$A,$X999))</f>
        <v/>
      </c>
      <c r="AD999" s="13" t="str">
        <f>IF($X999="","",INDEX(TARIFF_PROFILES!$J:$J,MATCH($X999,TARIFF_PROFILES!$A:$A,0)))</f>
        <v/>
      </c>
      <c r="AE999" s="13" t="str">
        <f>IF($X999="","",INDEX(TARIFF_PROFILES!$K:$K,MATCH($X999,TARIFF_PROFILES!$A:$A,0)))</f>
        <v/>
      </c>
      <c r="AH999" t="str">
        <f>IF($AG999="","",SUMIFS(OPERATING_COEFFS!$C:$C,OPERATING_COEFFS!$A:$A,"DistanceClass",OPERATING_COEFFS!$B:$B,$AG999))</f>
        <v/>
      </c>
      <c r="AJ999" t="str">
        <f>IF($AI999="","",SUMIFS(OPERATING_COEFFS!$C:$C,OPERATING_COEFFS!$A:$A,"SeasonClass",OPERATING_COEFFS!$B:$B,$AI999))</f>
        <v/>
      </c>
      <c r="AL999" t="str">
        <f>IF($AK999="","",SUMIFS(OPERATING_COEFFS!$C:$C,OPERATING_COEFFS!$A:$A,"UrgencyClass",OPERATING_COEFFS!$B:$B,$AK999))</f>
        <v/>
      </c>
      <c r="AN999" t="str">
        <f>IF($AM999="","",INDEX(TAX_MODES!$B:$B,MATCH($AM999,TAX_MODES!$A:$A,0)))</f>
        <v/>
      </c>
    </row>
    <row r="1000" spans="24:40" x14ac:dyDescent="0.3">
      <c r="X1000" s="13"/>
      <c r="Y1000" s="13" t="str">
        <f>IF($X1000="","",SUMIFS(TARIFF_PROFILES!$D:$D,TARIFF_PROFILES!$A:$A,$X1000))</f>
        <v/>
      </c>
      <c r="Z1000" s="13" t="str">
        <f>IF($X1000="","",SUMIFS(TARIFF_PROFILES!$E:$E,TARIFF_PROFILES!$A:$A,$X1000))</f>
        <v/>
      </c>
      <c r="AA1000" s="13" t="str">
        <f>IF($X1000="","",SUMIFS(TARIFF_PROFILES!$F:$F,TARIFF_PROFILES!$A:$A,$X1000))</f>
        <v/>
      </c>
      <c r="AB1000" s="13" t="str">
        <f>IF($X1000="","",SUMIFS(TARIFF_PROFILES!$G:$G,TARIFF_PROFILES!$A:$A,$X1000))</f>
        <v/>
      </c>
      <c r="AC1000" s="13" t="str">
        <f>IF($X1000="","",SUMIFS(TARIFF_PROFILES!$H:$H,TARIFF_PROFILES!$A:$A,$X1000))</f>
        <v/>
      </c>
      <c r="AD1000" s="13" t="str">
        <f>IF($X1000="","",INDEX(TARIFF_PROFILES!$J:$J,MATCH($X1000,TARIFF_PROFILES!$A:$A,0)))</f>
        <v/>
      </c>
      <c r="AE1000" s="13" t="str">
        <f>IF($X1000="","",INDEX(TARIFF_PROFILES!$K:$K,MATCH($X1000,TARIFF_PROFILES!$A:$A,0)))</f>
        <v/>
      </c>
      <c r="AH1000" t="str">
        <f>IF($AG1000="","",SUMIFS(OPERATING_COEFFS!$C:$C,OPERATING_COEFFS!$A:$A,"DistanceClass",OPERATING_COEFFS!$B:$B,$AG1000))</f>
        <v/>
      </c>
      <c r="AJ1000" t="str">
        <f>IF($AI1000="","",SUMIFS(OPERATING_COEFFS!$C:$C,OPERATING_COEFFS!$A:$A,"SeasonClass",OPERATING_COEFFS!$B:$B,$AI1000))</f>
        <v/>
      </c>
      <c r="AL1000" t="str">
        <f>IF($AK1000="","",SUMIFS(OPERATING_COEFFS!$C:$C,OPERATING_COEFFS!$A:$A,"UrgencyClass",OPERATING_COEFFS!$B:$B,$AK1000))</f>
        <v/>
      </c>
      <c r="AN1000" t="str">
        <f>IF($AM1000="","",INDEX(TAX_MODES!$B:$B,MATCH($AM1000,TAX_MODES!$A:$A,0)))</f>
        <v/>
      </c>
    </row>
  </sheetData>
  <autoFilter ref="A1:AP1000" xr:uid="{00000000-0009-0000-0000-00000B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xr:uid="{00000000-0002-0000-0B00-000000000000}">
          <x14:formula1>
            <xm:f>DICTIONARIES!$P$2:$P$5</xm:f>
          </x14:formula1>
          <xm:sqref>C2:C1000</xm:sqref>
        </x14:dataValidation>
        <x14:dataValidation type="list" allowBlank="1" xr:uid="{00000000-0002-0000-0B00-000001000000}">
          <x14:formula1>
            <xm:f>DICTIONARIES!$Q$2:$Q$5</xm:f>
          </x14:formula1>
          <xm:sqref>E2:E1000</xm:sqref>
        </x14:dataValidation>
        <x14:dataValidation type="list" allowBlank="1" xr:uid="{00000000-0002-0000-0B00-000002000000}">
          <x14:formula1>
            <xm:f>DICTIONARIES!$R$2:$R$4</xm:f>
          </x14:formula1>
          <xm:sqref>G2:G1000</xm:sqref>
        </x14:dataValidation>
        <x14:dataValidation type="list" allowBlank="1" xr:uid="{00000000-0002-0000-0B00-000003000000}">
          <x14:formula1>
            <xm:f>DICTIONARIES!$S$2:$S$5</xm:f>
          </x14:formula1>
          <xm:sqref>I2:I1000</xm:sqref>
        </x14:dataValidation>
        <x14:dataValidation type="list" allowBlank="1" xr:uid="{00000000-0002-0000-0B00-000004000000}">
          <x14:formula1>
            <xm:f>DICTIONARIES!$T$2:$T$4</xm:f>
          </x14:formula1>
          <xm:sqref>K2:K1000</xm:sqref>
        </x14:dataValidation>
        <x14:dataValidation type="list" allowBlank="1" xr:uid="{00000000-0002-0000-0B00-000005000000}">
          <x14:formula1>
            <xm:f>DICTIONARIES!$U$2:$U$4</xm:f>
          </x14:formula1>
          <xm:sqref>M2:M1000</xm:sqref>
        </x14:dataValidation>
        <x14:dataValidation type="list" allowBlank="1" xr:uid="{00000000-0002-0000-0B00-000006000000}">
          <x14:formula1>
            <xm:f>DICTIONARIES!$V$2:$V$4</xm:f>
          </x14:formula1>
          <xm:sqref>O2:O1000</xm:sqref>
        </x14:dataValidation>
        <x14:dataValidation type="list" allowBlank="1" xr:uid="{00000000-0002-0000-0B00-000007000000}">
          <x14:formula1>
            <xm:f>DICTIONARIES!$W$2:$W$4</xm:f>
          </x14:formula1>
          <xm:sqref>Q2:Q1000</xm:sqref>
        </x14:dataValidation>
        <x14:dataValidation type="list" allowBlank="1" xr:uid="{00000000-0002-0000-0B00-000008000000}">
          <x14:formula1>
            <xm:f>DICTIONARIES!$X$2:$X$4</xm:f>
          </x14:formula1>
          <xm:sqref>S2:S1000</xm:sqref>
        </x14:dataValidation>
        <x14:dataValidation type="list" allowBlank="1" xr:uid="{00000000-0002-0000-0B00-000009000000}">
          <x14:formula1>
            <xm:f>DICTIONARIES!$AF$2:$AF$5</xm:f>
          </x14:formula1>
          <xm:sqref>V2:V1000</xm:sqref>
        </x14:dataValidation>
        <x14:dataValidation type="list" allowBlank="1" xr:uid="{00000000-0002-0000-0B00-00000A000000}">
          <x14:formula1>
            <xm:f>DICTIONARIES!$AJ$2:$AJ$4</xm:f>
          </x14:formula1>
          <xm:sqref>X2:X1000</xm:sqref>
        </x14:dataValidation>
        <x14:dataValidation type="list" allowBlank="1" xr:uid="{00000000-0002-0000-0B00-00000B000000}">
          <x14:formula1>
            <xm:f>DICTIONARIES!$AO$2:$AO$5</xm:f>
          </x14:formula1>
          <xm:sqref>AG2:AG1000</xm:sqref>
        </x14:dataValidation>
        <x14:dataValidation type="list" allowBlank="1" xr:uid="{00000000-0002-0000-0B00-00000C000000}">
          <x14:formula1>
            <xm:f>DICTIONARIES!$AM$2:$AM$5</xm:f>
          </x14:formula1>
          <xm:sqref>AI2:AI1000</xm:sqref>
        </x14:dataValidation>
        <x14:dataValidation type="list" allowBlank="1" xr:uid="{00000000-0002-0000-0B00-00000D000000}">
          <x14:formula1>
            <xm:f>DICTIONARIES!$AN$2:$AN$4</xm:f>
          </x14:formula1>
          <xm:sqref>AK2:AK1000</xm:sqref>
        </x14:dataValidation>
        <x14:dataValidation type="list" allowBlank="1" xr:uid="{00000000-0002-0000-0B00-00000E000000}">
          <x14:formula1>
            <xm:f>DICTIONARIES!$AP$2:$AP$4</xm:f>
          </x14:formula1>
          <xm:sqref>AM2:AM1000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50"/>
  <sheetViews>
    <sheetView workbookViewId="0"/>
  </sheetViews>
  <sheetFormatPr defaultRowHeight="14.4" x14ac:dyDescent="0.3"/>
  <cols>
    <col min="1" max="1" width="22" customWidth="1"/>
    <col min="2" max="2" width="20" customWidth="1"/>
    <col min="3" max="3" width="12" customWidth="1"/>
    <col min="4" max="4" width="34" customWidth="1"/>
    <col min="5" max="5" width="44" customWidth="1"/>
  </cols>
  <sheetData>
    <row r="1" spans="1:5" x14ac:dyDescent="0.3">
      <c r="A1" s="3" t="s">
        <v>658</v>
      </c>
      <c r="B1" s="3" t="s">
        <v>659</v>
      </c>
      <c r="C1" s="3" t="s">
        <v>660</v>
      </c>
      <c r="D1" s="3" t="s">
        <v>661</v>
      </c>
      <c r="E1" s="3" t="s">
        <v>116</v>
      </c>
    </row>
    <row r="2" spans="1:5" x14ac:dyDescent="0.3">
      <c r="A2" s="13" t="s">
        <v>203</v>
      </c>
      <c r="B2" s="13" t="s">
        <v>253</v>
      </c>
      <c r="C2" s="21">
        <v>0.95</v>
      </c>
      <c r="D2" s="13" t="s">
        <v>662</v>
      </c>
      <c r="E2" s="13" t="s">
        <v>663</v>
      </c>
    </row>
    <row r="3" spans="1:5" x14ac:dyDescent="0.3">
      <c r="A3" s="13" t="s">
        <v>203</v>
      </c>
      <c r="B3" s="13" t="s">
        <v>293</v>
      </c>
      <c r="C3" s="21">
        <v>1</v>
      </c>
      <c r="D3" s="13" t="s">
        <v>664</v>
      </c>
      <c r="E3" s="13" t="s">
        <v>665</v>
      </c>
    </row>
    <row r="4" spans="1:5" x14ac:dyDescent="0.3">
      <c r="A4" s="13" t="s">
        <v>203</v>
      </c>
      <c r="B4" s="13" t="s">
        <v>331</v>
      </c>
      <c r="C4" s="21">
        <v>1.1200000000000001</v>
      </c>
      <c r="D4" s="13" t="s">
        <v>666</v>
      </c>
      <c r="E4" s="13" t="s">
        <v>667</v>
      </c>
    </row>
    <row r="5" spans="1:5" ht="28.8" x14ac:dyDescent="0.3">
      <c r="A5" s="13" t="s">
        <v>203</v>
      </c>
      <c r="B5" s="13" t="s">
        <v>368</v>
      </c>
      <c r="C5" s="21">
        <v>1.22</v>
      </c>
      <c r="D5" s="13" t="s">
        <v>668</v>
      </c>
      <c r="E5" s="13" t="s">
        <v>669</v>
      </c>
    </row>
    <row r="6" spans="1:5" x14ac:dyDescent="0.3">
      <c r="A6" s="13" t="s">
        <v>204</v>
      </c>
      <c r="B6" s="13" t="s">
        <v>254</v>
      </c>
      <c r="C6" s="21">
        <v>0.98</v>
      </c>
      <c r="D6" s="13" t="s">
        <v>670</v>
      </c>
      <c r="E6" s="13" t="s">
        <v>671</v>
      </c>
    </row>
    <row r="7" spans="1:5" x14ac:dyDescent="0.3">
      <c r="A7" s="13" t="s">
        <v>204</v>
      </c>
      <c r="B7" s="13" t="s">
        <v>294</v>
      </c>
      <c r="C7" s="21">
        <v>1</v>
      </c>
      <c r="D7" s="13" t="s">
        <v>672</v>
      </c>
      <c r="E7" s="13" t="s">
        <v>673</v>
      </c>
    </row>
    <row r="8" spans="1:5" x14ac:dyDescent="0.3">
      <c r="A8" s="13" t="s">
        <v>204</v>
      </c>
      <c r="B8" s="13" t="s">
        <v>332</v>
      </c>
      <c r="C8" s="21">
        <v>1.06</v>
      </c>
      <c r="D8" s="13" t="s">
        <v>674</v>
      </c>
      <c r="E8" s="13" t="s">
        <v>675</v>
      </c>
    </row>
    <row r="9" spans="1:5" x14ac:dyDescent="0.3">
      <c r="A9" s="13" t="s">
        <v>204</v>
      </c>
      <c r="B9" s="13" t="s">
        <v>369</v>
      </c>
      <c r="C9" s="21">
        <v>1.1499999999999999</v>
      </c>
      <c r="D9" s="13" t="s">
        <v>676</v>
      </c>
      <c r="E9" s="13" t="s">
        <v>677</v>
      </c>
    </row>
    <row r="10" spans="1:5" x14ac:dyDescent="0.3">
      <c r="A10" s="13" t="s">
        <v>205</v>
      </c>
      <c r="B10" s="13" t="s">
        <v>255</v>
      </c>
      <c r="C10" s="21">
        <v>1</v>
      </c>
      <c r="D10" s="13" t="s">
        <v>678</v>
      </c>
      <c r="E10" s="13" t="s">
        <v>673</v>
      </c>
    </row>
    <row r="11" spans="1:5" x14ac:dyDescent="0.3">
      <c r="A11" s="13" t="s">
        <v>205</v>
      </c>
      <c r="B11" s="13" t="s">
        <v>295</v>
      </c>
      <c r="C11" s="21">
        <v>1.08</v>
      </c>
      <c r="D11" s="13" t="s">
        <v>679</v>
      </c>
      <c r="E11" s="13" t="s">
        <v>680</v>
      </c>
    </row>
    <row r="12" spans="1:5" ht="28.8" x14ac:dyDescent="0.3">
      <c r="A12" s="13" t="s">
        <v>205</v>
      </c>
      <c r="B12" s="13" t="s">
        <v>333</v>
      </c>
      <c r="C12" s="21">
        <v>1.18</v>
      </c>
      <c r="D12" s="13" t="s">
        <v>681</v>
      </c>
      <c r="E12" s="13" t="s">
        <v>682</v>
      </c>
    </row>
    <row r="13" spans="1:5" x14ac:dyDescent="0.3">
      <c r="A13" s="13" t="s">
        <v>206</v>
      </c>
      <c r="B13" s="13" t="s">
        <v>256</v>
      </c>
      <c r="C13" s="21">
        <v>1</v>
      </c>
      <c r="D13" s="13" t="s">
        <v>683</v>
      </c>
      <c r="E13" s="13" t="s">
        <v>673</v>
      </c>
    </row>
    <row r="14" spans="1:5" x14ac:dyDescent="0.3">
      <c r="A14" s="13" t="s">
        <v>206</v>
      </c>
      <c r="B14" s="13" t="s">
        <v>296</v>
      </c>
      <c r="C14" s="21">
        <v>1.05</v>
      </c>
      <c r="D14" s="13" t="s">
        <v>684</v>
      </c>
      <c r="E14" s="13" t="s">
        <v>685</v>
      </c>
    </row>
    <row r="15" spans="1:5" x14ac:dyDescent="0.3">
      <c r="A15" s="13" t="s">
        <v>206</v>
      </c>
      <c r="B15" s="13" t="s">
        <v>334</v>
      </c>
      <c r="C15" s="21">
        <v>1.1200000000000001</v>
      </c>
      <c r="D15" s="13" t="s">
        <v>686</v>
      </c>
      <c r="E15" s="13" t="s">
        <v>687</v>
      </c>
    </row>
    <row r="16" spans="1:5" ht="28.8" x14ac:dyDescent="0.3">
      <c r="A16" s="13" t="s">
        <v>206</v>
      </c>
      <c r="B16" s="13" t="s">
        <v>370</v>
      </c>
      <c r="C16" s="21">
        <v>1.2</v>
      </c>
      <c r="D16" s="13" t="s">
        <v>688</v>
      </c>
      <c r="E16" s="13" t="s">
        <v>689</v>
      </c>
    </row>
    <row r="17" spans="1:5" x14ac:dyDescent="0.3">
      <c r="A17" s="13" t="s">
        <v>345</v>
      </c>
      <c r="B17" s="13" t="s">
        <v>257</v>
      </c>
      <c r="C17" s="21">
        <v>1</v>
      </c>
      <c r="D17" s="13" t="s">
        <v>690</v>
      </c>
      <c r="E17" s="13" t="s">
        <v>673</v>
      </c>
    </row>
    <row r="18" spans="1:5" x14ac:dyDescent="0.3">
      <c r="A18" s="13" t="s">
        <v>345</v>
      </c>
      <c r="B18" s="13" t="s">
        <v>293</v>
      </c>
      <c r="C18" s="21">
        <v>1.05</v>
      </c>
      <c r="D18" s="13" t="s">
        <v>691</v>
      </c>
      <c r="E18" s="13" t="s">
        <v>692</v>
      </c>
    </row>
    <row r="19" spans="1:5" x14ac:dyDescent="0.3">
      <c r="A19" s="13" t="s">
        <v>345</v>
      </c>
      <c r="B19" s="13" t="s">
        <v>335</v>
      </c>
      <c r="C19" s="21">
        <v>1.1200000000000001</v>
      </c>
      <c r="D19" s="13" t="s">
        <v>693</v>
      </c>
      <c r="E19" s="13" t="s">
        <v>694</v>
      </c>
    </row>
    <row r="20" spans="1:5" x14ac:dyDescent="0.3">
      <c r="A20" s="13" t="s">
        <v>208</v>
      </c>
      <c r="B20" s="13" t="s">
        <v>258</v>
      </c>
      <c r="C20" s="21">
        <v>1</v>
      </c>
      <c r="D20" s="13" t="s">
        <v>695</v>
      </c>
      <c r="E20" s="13" t="s">
        <v>673</v>
      </c>
    </row>
    <row r="21" spans="1:5" x14ac:dyDescent="0.3">
      <c r="A21" s="13" t="s">
        <v>208</v>
      </c>
      <c r="B21" s="13" t="s">
        <v>297</v>
      </c>
      <c r="C21" s="21">
        <v>1.08</v>
      </c>
      <c r="D21" s="13" t="s">
        <v>696</v>
      </c>
      <c r="E21" s="13" t="s">
        <v>697</v>
      </c>
    </row>
    <row r="22" spans="1:5" x14ac:dyDescent="0.3">
      <c r="A22" s="13" t="s">
        <v>208</v>
      </c>
      <c r="B22" s="13" t="s">
        <v>336</v>
      </c>
      <c r="C22" s="21">
        <v>1.18</v>
      </c>
      <c r="D22" s="13" t="s">
        <v>698</v>
      </c>
      <c r="E22" s="13" t="s">
        <v>699</v>
      </c>
    </row>
    <row r="23" spans="1:5" x14ac:dyDescent="0.3">
      <c r="A23" s="13" t="s">
        <v>209</v>
      </c>
      <c r="B23" s="13" t="s">
        <v>259</v>
      </c>
      <c r="C23" s="21">
        <v>1</v>
      </c>
      <c r="D23" s="13" t="s">
        <v>700</v>
      </c>
      <c r="E23" s="13" t="s">
        <v>673</v>
      </c>
    </row>
    <row r="24" spans="1:5" x14ac:dyDescent="0.3">
      <c r="A24" s="13" t="s">
        <v>209</v>
      </c>
      <c r="B24" s="13" t="s">
        <v>298</v>
      </c>
      <c r="C24" s="21">
        <v>1.06</v>
      </c>
      <c r="D24" s="13" t="s">
        <v>701</v>
      </c>
      <c r="E24" s="13" t="s">
        <v>702</v>
      </c>
    </row>
    <row r="25" spans="1:5" x14ac:dyDescent="0.3">
      <c r="A25" s="13" t="s">
        <v>209</v>
      </c>
      <c r="B25" s="13" t="s">
        <v>255</v>
      </c>
      <c r="C25" s="21">
        <v>1.1399999999999999</v>
      </c>
      <c r="D25" s="13" t="s">
        <v>703</v>
      </c>
      <c r="E25" s="13" t="s">
        <v>704</v>
      </c>
    </row>
    <row r="26" spans="1:5" x14ac:dyDescent="0.3">
      <c r="A26" s="13" t="s">
        <v>395</v>
      </c>
      <c r="B26" s="13" t="s">
        <v>260</v>
      </c>
      <c r="C26" s="21">
        <v>1</v>
      </c>
      <c r="D26" s="13" t="s">
        <v>705</v>
      </c>
      <c r="E26" s="13" t="s">
        <v>673</v>
      </c>
    </row>
    <row r="27" spans="1:5" x14ac:dyDescent="0.3">
      <c r="A27" s="13" t="s">
        <v>395</v>
      </c>
      <c r="B27" s="13" t="s">
        <v>299</v>
      </c>
      <c r="C27" s="21">
        <v>1.06</v>
      </c>
      <c r="D27" s="13" t="s">
        <v>706</v>
      </c>
      <c r="E27" s="13" t="s">
        <v>707</v>
      </c>
    </row>
    <row r="28" spans="1:5" ht="28.8" x14ac:dyDescent="0.3">
      <c r="A28" s="13" t="s">
        <v>395</v>
      </c>
      <c r="B28" s="13" t="s">
        <v>337</v>
      </c>
      <c r="C28" s="21">
        <v>1.1499999999999999</v>
      </c>
      <c r="D28" s="13" t="s">
        <v>708</v>
      </c>
      <c r="E28" s="13" t="s">
        <v>709</v>
      </c>
    </row>
    <row r="29" spans="1:5" x14ac:dyDescent="0.3">
      <c r="A29" s="13" t="s">
        <v>211</v>
      </c>
      <c r="B29" s="13" t="s">
        <v>245</v>
      </c>
      <c r="C29" s="21">
        <v>1</v>
      </c>
      <c r="D29" s="13" t="s">
        <v>710</v>
      </c>
      <c r="E29" s="13" t="s">
        <v>673</v>
      </c>
    </row>
    <row r="30" spans="1:5" x14ac:dyDescent="0.3">
      <c r="A30" s="13" t="s">
        <v>211</v>
      </c>
      <c r="B30" s="13" t="s">
        <v>300</v>
      </c>
      <c r="C30" s="21">
        <v>1.1000000000000001</v>
      </c>
      <c r="D30" s="13" t="s">
        <v>711</v>
      </c>
      <c r="E30" s="13" t="s">
        <v>712</v>
      </c>
    </row>
    <row r="31" spans="1:5" x14ac:dyDescent="0.3">
      <c r="A31" s="13" t="s">
        <v>211</v>
      </c>
      <c r="B31" s="13" t="s">
        <v>255</v>
      </c>
      <c r="C31" s="21">
        <v>1.25</v>
      </c>
      <c r="D31" s="13" t="s">
        <v>713</v>
      </c>
      <c r="E31" s="13" t="s">
        <v>714</v>
      </c>
    </row>
    <row r="32" spans="1:5" x14ac:dyDescent="0.3">
      <c r="A32" s="13" t="s">
        <v>218</v>
      </c>
      <c r="B32" s="13" t="s">
        <v>265</v>
      </c>
      <c r="C32" s="21">
        <v>1</v>
      </c>
      <c r="D32" s="13" t="s">
        <v>715</v>
      </c>
      <c r="E32" s="13" t="s">
        <v>716</v>
      </c>
    </row>
    <row r="33" spans="1:5" x14ac:dyDescent="0.3">
      <c r="A33" s="13" t="s">
        <v>218</v>
      </c>
      <c r="B33" s="13" t="s">
        <v>293</v>
      </c>
      <c r="C33" s="21">
        <v>1.03</v>
      </c>
      <c r="D33" s="13" t="s">
        <v>717</v>
      </c>
      <c r="E33" s="13" t="s">
        <v>718</v>
      </c>
    </row>
    <row r="34" spans="1:5" ht="28.8" x14ac:dyDescent="0.3">
      <c r="A34" s="13" t="s">
        <v>218</v>
      </c>
      <c r="B34" s="13" t="s">
        <v>342</v>
      </c>
      <c r="C34" s="21">
        <v>1.07</v>
      </c>
      <c r="D34" s="13" t="s">
        <v>719</v>
      </c>
      <c r="E34" s="13" t="s">
        <v>720</v>
      </c>
    </row>
    <row r="35" spans="1:5" ht="28.8" x14ac:dyDescent="0.3">
      <c r="A35" s="13" t="s">
        <v>218</v>
      </c>
      <c r="B35" s="13" t="s">
        <v>375</v>
      </c>
      <c r="C35" s="21">
        <v>1.1200000000000001</v>
      </c>
      <c r="D35" s="13" t="s">
        <v>721</v>
      </c>
      <c r="E35" s="13" t="s">
        <v>722</v>
      </c>
    </row>
    <row r="36" spans="1:5" x14ac:dyDescent="0.3">
      <c r="A36" s="13"/>
      <c r="B36" s="13"/>
      <c r="C36" s="21"/>
      <c r="D36" s="13"/>
      <c r="E36" s="13"/>
    </row>
    <row r="37" spans="1:5" x14ac:dyDescent="0.3">
      <c r="A37" s="13"/>
      <c r="B37" s="13"/>
      <c r="C37" s="21"/>
      <c r="D37" s="13"/>
      <c r="E37" s="13"/>
    </row>
    <row r="38" spans="1:5" x14ac:dyDescent="0.3">
      <c r="A38" s="13"/>
      <c r="B38" s="13"/>
      <c r="C38" s="21"/>
      <c r="D38" s="13"/>
      <c r="E38" s="13"/>
    </row>
    <row r="39" spans="1:5" x14ac:dyDescent="0.3">
      <c r="A39" s="13"/>
      <c r="B39" s="13"/>
      <c r="C39" s="21"/>
      <c r="D39" s="13"/>
      <c r="E39" s="13"/>
    </row>
    <row r="40" spans="1:5" x14ac:dyDescent="0.3">
      <c r="A40" s="13"/>
      <c r="B40" s="13"/>
      <c r="C40" s="21"/>
      <c r="D40" s="13"/>
      <c r="E40" s="13"/>
    </row>
    <row r="41" spans="1:5" x14ac:dyDescent="0.3">
      <c r="A41" s="13"/>
      <c r="B41" s="13"/>
      <c r="C41" s="21"/>
      <c r="D41" s="13"/>
      <c r="E41" s="13"/>
    </row>
    <row r="42" spans="1:5" x14ac:dyDescent="0.3">
      <c r="A42" s="13"/>
      <c r="B42" s="13"/>
      <c r="C42" s="21"/>
      <c r="D42" s="13"/>
      <c r="E42" s="13"/>
    </row>
    <row r="43" spans="1:5" x14ac:dyDescent="0.3">
      <c r="A43" s="13"/>
      <c r="B43" s="13"/>
      <c r="C43" s="21"/>
      <c r="D43" s="13"/>
      <c r="E43" s="13"/>
    </row>
    <row r="44" spans="1:5" x14ac:dyDescent="0.3">
      <c r="A44" s="13"/>
      <c r="B44" s="13"/>
      <c r="C44" s="21"/>
      <c r="D44" s="13"/>
      <c r="E44" s="13"/>
    </row>
    <row r="45" spans="1:5" x14ac:dyDescent="0.3">
      <c r="A45" s="13"/>
      <c r="B45" s="13"/>
      <c r="C45" s="21"/>
      <c r="D45" s="13"/>
      <c r="E45" s="13"/>
    </row>
    <row r="46" spans="1:5" x14ac:dyDescent="0.3">
      <c r="A46" s="13"/>
      <c r="B46" s="13"/>
      <c r="C46" s="21"/>
      <c r="D46" s="13"/>
      <c r="E46" s="13"/>
    </row>
    <row r="47" spans="1:5" x14ac:dyDescent="0.3">
      <c r="A47" s="13"/>
      <c r="B47" s="13"/>
      <c r="C47" s="21"/>
      <c r="D47" s="13"/>
      <c r="E47" s="13"/>
    </row>
    <row r="48" spans="1:5" x14ac:dyDescent="0.3">
      <c r="A48" s="13"/>
      <c r="B48" s="13"/>
      <c r="C48" s="21"/>
      <c r="D48" s="13"/>
      <c r="E48" s="13"/>
    </row>
    <row r="49" spans="1:5" x14ac:dyDescent="0.3">
      <c r="A49" s="13"/>
      <c r="B49" s="13"/>
      <c r="C49" s="21"/>
      <c r="D49" s="13"/>
      <c r="E49" s="13"/>
    </row>
    <row r="50" spans="1:5" x14ac:dyDescent="0.3">
      <c r="A50" s="13"/>
      <c r="B50" s="13"/>
      <c r="C50" s="21"/>
      <c r="D50" s="13"/>
      <c r="E50" s="13"/>
    </row>
    <row r="51" spans="1:5" x14ac:dyDescent="0.3">
      <c r="A51" s="13"/>
      <c r="B51" s="13"/>
      <c r="C51" s="21"/>
      <c r="D51" s="13"/>
      <c r="E51" s="13"/>
    </row>
    <row r="52" spans="1:5" x14ac:dyDescent="0.3">
      <c r="A52" s="13"/>
      <c r="B52" s="13"/>
      <c r="C52" s="21"/>
      <c r="D52" s="13"/>
      <c r="E52" s="13"/>
    </row>
    <row r="53" spans="1:5" x14ac:dyDescent="0.3">
      <c r="A53" s="13"/>
      <c r="B53" s="13"/>
      <c r="C53" s="21"/>
      <c r="D53" s="13"/>
      <c r="E53" s="13"/>
    </row>
    <row r="54" spans="1:5" x14ac:dyDescent="0.3">
      <c r="A54" s="13"/>
      <c r="B54" s="13"/>
      <c r="C54" s="21"/>
      <c r="D54" s="13"/>
      <c r="E54" s="13"/>
    </row>
    <row r="55" spans="1:5" x14ac:dyDescent="0.3">
      <c r="A55" s="13"/>
      <c r="B55" s="13"/>
      <c r="C55" s="21"/>
      <c r="D55" s="13"/>
      <c r="E55" s="13"/>
    </row>
    <row r="56" spans="1:5" x14ac:dyDescent="0.3">
      <c r="A56" s="13"/>
      <c r="B56" s="13"/>
      <c r="C56" s="21"/>
      <c r="D56" s="13"/>
      <c r="E56" s="13"/>
    </row>
    <row r="57" spans="1:5" x14ac:dyDescent="0.3">
      <c r="A57" s="13"/>
      <c r="B57" s="13"/>
      <c r="C57" s="21"/>
      <c r="D57" s="13"/>
      <c r="E57" s="13"/>
    </row>
    <row r="58" spans="1:5" x14ac:dyDescent="0.3">
      <c r="A58" s="13"/>
      <c r="B58" s="13"/>
      <c r="C58" s="21"/>
      <c r="D58" s="13"/>
      <c r="E58" s="13"/>
    </row>
    <row r="59" spans="1:5" x14ac:dyDescent="0.3">
      <c r="A59" s="13"/>
      <c r="B59" s="13"/>
      <c r="C59" s="21"/>
      <c r="D59" s="13"/>
      <c r="E59" s="13"/>
    </row>
    <row r="60" spans="1:5" x14ac:dyDescent="0.3">
      <c r="A60" s="13"/>
      <c r="B60" s="13"/>
      <c r="C60" s="21"/>
      <c r="D60" s="13"/>
      <c r="E60" s="13"/>
    </row>
    <row r="61" spans="1:5" x14ac:dyDescent="0.3">
      <c r="A61" s="13"/>
      <c r="B61" s="13"/>
      <c r="C61" s="21"/>
      <c r="D61" s="13"/>
      <c r="E61" s="13"/>
    </row>
    <row r="62" spans="1:5" x14ac:dyDescent="0.3">
      <c r="A62" s="13"/>
      <c r="B62" s="13"/>
      <c r="C62" s="21"/>
      <c r="D62" s="13"/>
      <c r="E62" s="13"/>
    </row>
    <row r="63" spans="1:5" x14ac:dyDescent="0.3">
      <c r="A63" s="13"/>
      <c r="B63" s="13"/>
      <c r="C63" s="21"/>
      <c r="D63" s="13"/>
      <c r="E63" s="13"/>
    </row>
    <row r="64" spans="1:5" x14ac:dyDescent="0.3">
      <c r="A64" s="13"/>
      <c r="B64" s="13"/>
      <c r="C64" s="21"/>
      <c r="D64" s="13"/>
      <c r="E64" s="13"/>
    </row>
    <row r="65" spans="1:5" x14ac:dyDescent="0.3">
      <c r="A65" s="13"/>
      <c r="B65" s="13"/>
      <c r="C65" s="21"/>
      <c r="D65" s="13"/>
      <c r="E65" s="13"/>
    </row>
    <row r="66" spans="1:5" x14ac:dyDescent="0.3">
      <c r="A66" s="13"/>
      <c r="B66" s="13"/>
      <c r="C66" s="21"/>
      <c r="D66" s="13"/>
      <c r="E66" s="13"/>
    </row>
    <row r="67" spans="1:5" x14ac:dyDescent="0.3">
      <c r="A67" s="13"/>
      <c r="B67" s="13"/>
      <c r="C67" s="21"/>
      <c r="D67" s="13"/>
      <c r="E67" s="13"/>
    </row>
    <row r="68" spans="1:5" x14ac:dyDescent="0.3">
      <c r="A68" s="13"/>
      <c r="B68" s="13"/>
      <c r="C68" s="21"/>
      <c r="D68" s="13"/>
      <c r="E68" s="13"/>
    </row>
    <row r="69" spans="1:5" x14ac:dyDescent="0.3">
      <c r="A69" s="13"/>
      <c r="B69" s="13"/>
      <c r="C69" s="21"/>
      <c r="D69" s="13"/>
      <c r="E69" s="13"/>
    </row>
    <row r="70" spans="1:5" x14ac:dyDescent="0.3">
      <c r="A70" s="13"/>
      <c r="B70" s="13"/>
      <c r="C70" s="21"/>
      <c r="D70" s="13"/>
      <c r="E70" s="13"/>
    </row>
    <row r="71" spans="1:5" x14ac:dyDescent="0.3">
      <c r="A71" s="13"/>
      <c r="B71" s="13"/>
      <c r="C71" s="21"/>
      <c r="D71" s="13"/>
      <c r="E71" s="13"/>
    </row>
    <row r="72" spans="1:5" x14ac:dyDescent="0.3">
      <c r="A72" s="13"/>
      <c r="B72" s="13"/>
      <c r="C72" s="21"/>
      <c r="D72" s="13"/>
      <c r="E72" s="13"/>
    </row>
    <row r="73" spans="1:5" x14ac:dyDescent="0.3">
      <c r="A73" s="13"/>
      <c r="B73" s="13"/>
      <c r="C73" s="21"/>
      <c r="D73" s="13"/>
      <c r="E73" s="13"/>
    </row>
    <row r="74" spans="1:5" x14ac:dyDescent="0.3">
      <c r="A74" s="13"/>
      <c r="B74" s="13"/>
      <c r="C74" s="21"/>
      <c r="D74" s="13"/>
      <c r="E74" s="13"/>
    </row>
    <row r="75" spans="1:5" x14ac:dyDescent="0.3">
      <c r="A75" s="13"/>
      <c r="B75" s="13"/>
      <c r="C75" s="21"/>
      <c r="D75" s="13"/>
      <c r="E75" s="13"/>
    </row>
    <row r="76" spans="1:5" x14ac:dyDescent="0.3">
      <c r="A76" s="13"/>
      <c r="B76" s="13"/>
      <c r="C76" s="21"/>
      <c r="D76" s="13"/>
      <c r="E76" s="13"/>
    </row>
    <row r="77" spans="1:5" x14ac:dyDescent="0.3">
      <c r="A77" s="13"/>
      <c r="B77" s="13"/>
      <c r="C77" s="21"/>
      <c r="D77" s="13"/>
      <c r="E77" s="13"/>
    </row>
    <row r="78" spans="1:5" x14ac:dyDescent="0.3">
      <c r="A78" s="13"/>
      <c r="B78" s="13"/>
      <c r="C78" s="21"/>
      <c r="D78" s="13"/>
      <c r="E78" s="13"/>
    </row>
    <row r="79" spans="1:5" x14ac:dyDescent="0.3">
      <c r="A79" s="13"/>
      <c r="B79" s="13"/>
      <c r="C79" s="21"/>
      <c r="D79" s="13"/>
      <c r="E79" s="13"/>
    </row>
    <row r="80" spans="1:5" x14ac:dyDescent="0.3">
      <c r="A80" s="13"/>
      <c r="B80" s="13"/>
      <c r="C80" s="21"/>
      <c r="D80" s="13"/>
      <c r="E80" s="13"/>
    </row>
    <row r="81" spans="1:5" x14ac:dyDescent="0.3">
      <c r="A81" s="13"/>
      <c r="B81" s="13"/>
      <c r="C81" s="21"/>
      <c r="D81" s="13"/>
      <c r="E81" s="13"/>
    </row>
    <row r="82" spans="1:5" x14ac:dyDescent="0.3">
      <c r="A82" s="13"/>
      <c r="B82" s="13"/>
      <c r="C82" s="21"/>
      <c r="D82" s="13"/>
      <c r="E82" s="13"/>
    </row>
    <row r="83" spans="1:5" x14ac:dyDescent="0.3">
      <c r="A83" s="13"/>
      <c r="B83" s="13"/>
      <c r="C83" s="21"/>
      <c r="D83" s="13"/>
      <c r="E83" s="13"/>
    </row>
    <row r="84" spans="1:5" x14ac:dyDescent="0.3">
      <c r="A84" s="13"/>
      <c r="B84" s="13"/>
      <c r="C84" s="21"/>
      <c r="D84" s="13"/>
      <c r="E84" s="13"/>
    </row>
    <row r="85" spans="1:5" x14ac:dyDescent="0.3">
      <c r="A85" s="13"/>
      <c r="B85" s="13"/>
      <c r="C85" s="21"/>
      <c r="D85" s="13"/>
      <c r="E85" s="13"/>
    </row>
    <row r="86" spans="1:5" x14ac:dyDescent="0.3">
      <c r="A86" s="13"/>
      <c r="B86" s="13"/>
      <c r="C86" s="21"/>
      <c r="D86" s="13"/>
      <c r="E86" s="13"/>
    </row>
    <row r="87" spans="1:5" x14ac:dyDescent="0.3">
      <c r="A87" s="13"/>
      <c r="B87" s="13"/>
      <c r="C87" s="21"/>
      <c r="D87" s="13"/>
      <c r="E87" s="13"/>
    </row>
    <row r="88" spans="1:5" x14ac:dyDescent="0.3">
      <c r="A88" s="13"/>
      <c r="B88" s="13"/>
      <c r="C88" s="21"/>
      <c r="D88" s="13"/>
      <c r="E88" s="13"/>
    </row>
    <row r="89" spans="1:5" x14ac:dyDescent="0.3">
      <c r="A89" s="13"/>
      <c r="B89" s="13"/>
      <c r="C89" s="21"/>
      <c r="D89" s="13"/>
      <c r="E89" s="13"/>
    </row>
    <row r="90" spans="1:5" x14ac:dyDescent="0.3">
      <c r="A90" s="13"/>
      <c r="B90" s="13"/>
      <c r="C90" s="21"/>
      <c r="D90" s="13"/>
      <c r="E90" s="13"/>
    </row>
    <row r="91" spans="1:5" x14ac:dyDescent="0.3">
      <c r="A91" s="13"/>
      <c r="B91" s="13"/>
      <c r="C91" s="21"/>
      <c r="D91" s="13"/>
      <c r="E91" s="13"/>
    </row>
    <row r="92" spans="1:5" x14ac:dyDescent="0.3">
      <c r="A92" s="13"/>
      <c r="B92" s="13"/>
      <c r="C92" s="21"/>
      <c r="D92" s="13"/>
      <c r="E92" s="13"/>
    </row>
    <row r="93" spans="1:5" x14ac:dyDescent="0.3">
      <c r="A93" s="13"/>
      <c r="B93" s="13"/>
      <c r="C93" s="21"/>
      <c r="D93" s="13"/>
      <c r="E93" s="13"/>
    </row>
    <row r="94" spans="1:5" x14ac:dyDescent="0.3">
      <c r="A94" s="13"/>
      <c r="B94" s="13"/>
      <c r="C94" s="21"/>
      <c r="D94" s="13"/>
      <c r="E94" s="13"/>
    </row>
    <row r="95" spans="1:5" x14ac:dyDescent="0.3">
      <c r="A95" s="13"/>
      <c r="B95" s="13"/>
      <c r="C95" s="21"/>
      <c r="D95" s="13"/>
      <c r="E95" s="13"/>
    </row>
    <row r="96" spans="1:5" x14ac:dyDescent="0.3">
      <c r="A96" s="13"/>
      <c r="B96" s="13"/>
      <c r="C96" s="21"/>
      <c r="D96" s="13"/>
      <c r="E96" s="13"/>
    </row>
    <row r="97" spans="1:5" x14ac:dyDescent="0.3">
      <c r="A97" s="13"/>
      <c r="B97" s="13"/>
      <c r="C97" s="21"/>
      <c r="D97" s="13"/>
      <c r="E97" s="13"/>
    </row>
    <row r="98" spans="1:5" x14ac:dyDescent="0.3">
      <c r="A98" s="13"/>
      <c r="B98" s="13"/>
      <c r="C98" s="21"/>
      <c r="D98" s="13"/>
      <c r="E98" s="13"/>
    </row>
    <row r="99" spans="1:5" x14ac:dyDescent="0.3">
      <c r="A99" s="13"/>
      <c r="B99" s="13"/>
      <c r="C99" s="21"/>
      <c r="D99" s="13"/>
      <c r="E99" s="13"/>
    </row>
    <row r="100" spans="1:5" x14ac:dyDescent="0.3">
      <c r="A100" s="13"/>
      <c r="B100" s="13"/>
      <c r="C100" s="21"/>
      <c r="D100" s="13"/>
      <c r="E100" s="13"/>
    </row>
    <row r="101" spans="1:5" x14ac:dyDescent="0.3">
      <c r="A101" s="13"/>
      <c r="B101" s="13"/>
      <c r="C101" s="21"/>
      <c r="D101" s="13"/>
      <c r="E101" s="13"/>
    </row>
    <row r="102" spans="1:5" x14ac:dyDescent="0.3">
      <c r="A102" s="13"/>
      <c r="B102" s="13"/>
      <c r="C102" s="21"/>
      <c r="D102" s="13"/>
      <c r="E102" s="13"/>
    </row>
    <row r="103" spans="1:5" x14ac:dyDescent="0.3">
      <c r="A103" s="13"/>
      <c r="B103" s="13"/>
      <c r="C103" s="21"/>
      <c r="D103" s="13"/>
      <c r="E103" s="13"/>
    </row>
    <row r="104" spans="1:5" x14ac:dyDescent="0.3">
      <c r="A104" s="13"/>
      <c r="B104" s="13"/>
      <c r="C104" s="21"/>
      <c r="D104" s="13"/>
      <c r="E104" s="13"/>
    </row>
    <row r="105" spans="1:5" x14ac:dyDescent="0.3">
      <c r="A105" s="13"/>
      <c r="B105" s="13"/>
      <c r="C105" s="21"/>
      <c r="D105" s="13"/>
      <c r="E105" s="13"/>
    </row>
    <row r="106" spans="1:5" x14ac:dyDescent="0.3">
      <c r="A106" s="13"/>
      <c r="B106" s="13"/>
      <c r="C106" s="21"/>
      <c r="D106" s="13"/>
      <c r="E106" s="13"/>
    </row>
    <row r="107" spans="1:5" x14ac:dyDescent="0.3">
      <c r="A107" s="13"/>
      <c r="B107" s="13"/>
      <c r="C107" s="21"/>
      <c r="D107" s="13"/>
      <c r="E107" s="13"/>
    </row>
    <row r="108" spans="1:5" x14ac:dyDescent="0.3">
      <c r="A108" s="13"/>
      <c r="B108" s="13"/>
      <c r="C108" s="21"/>
      <c r="D108" s="13"/>
      <c r="E108" s="13"/>
    </row>
    <row r="109" spans="1:5" x14ac:dyDescent="0.3">
      <c r="A109" s="13"/>
      <c r="B109" s="13"/>
      <c r="C109" s="21"/>
      <c r="D109" s="13"/>
      <c r="E109" s="13"/>
    </row>
    <row r="110" spans="1:5" x14ac:dyDescent="0.3">
      <c r="A110" s="13"/>
      <c r="B110" s="13"/>
      <c r="C110" s="21"/>
      <c r="D110" s="13"/>
      <c r="E110" s="13"/>
    </row>
    <row r="111" spans="1:5" x14ac:dyDescent="0.3">
      <c r="A111" s="13"/>
      <c r="B111" s="13"/>
      <c r="C111" s="21"/>
      <c r="D111" s="13"/>
      <c r="E111" s="13"/>
    </row>
    <row r="112" spans="1:5" x14ac:dyDescent="0.3">
      <c r="A112" s="13"/>
      <c r="B112" s="13"/>
      <c r="C112" s="21"/>
      <c r="D112" s="13"/>
      <c r="E112" s="13"/>
    </row>
    <row r="113" spans="1:5" x14ac:dyDescent="0.3">
      <c r="A113" s="13"/>
      <c r="B113" s="13"/>
      <c r="C113" s="21"/>
      <c r="D113" s="13"/>
      <c r="E113" s="13"/>
    </row>
    <row r="114" spans="1:5" x14ac:dyDescent="0.3">
      <c r="A114" s="13"/>
      <c r="B114" s="13"/>
      <c r="C114" s="21"/>
      <c r="D114" s="13"/>
      <c r="E114" s="13"/>
    </row>
    <row r="115" spans="1:5" x14ac:dyDescent="0.3">
      <c r="A115" s="13"/>
      <c r="B115" s="13"/>
      <c r="C115" s="21"/>
      <c r="D115" s="13"/>
      <c r="E115" s="13"/>
    </row>
    <row r="116" spans="1:5" x14ac:dyDescent="0.3">
      <c r="A116" s="13"/>
      <c r="B116" s="13"/>
      <c r="C116" s="21"/>
      <c r="D116" s="13"/>
      <c r="E116" s="13"/>
    </row>
    <row r="117" spans="1:5" x14ac:dyDescent="0.3">
      <c r="A117" s="13"/>
      <c r="B117" s="13"/>
      <c r="C117" s="21"/>
      <c r="D117" s="13"/>
      <c r="E117" s="13"/>
    </row>
    <row r="118" spans="1:5" x14ac:dyDescent="0.3">
      <c r="A118" s="13"/>
      <c r="B118" s="13"/>
      <c r="C118" s="21"/>
      <c r="D118" s="13"/>
      <c r="E118" s="13"/>
    </row>
    <row r="119" spans="1:5" x14ac:dyDescent="0.3">
      <c r="A119" s="13"/>
      <c r="B119" s="13"/>
      <c r="C119" s="21"/>
      <c r="D119" s="13"/>
      <c r="E119" s="13"/>
    </row>
    <row r="120" spans="1:5" x14ac:dyDescent="0.3">
      <c r="A120" s="13"/>
      <c r="B120" s="13"/>
      <c r="C120" s="21"/>
      <c r="D120" s="13"/>
      <c r="E120" s="13"/>
    </row>
    <row r="121" spans="1:5" x14ac:dyDescent="0.3">
      <c r="A121" s="13"/>
      <c r="B121" s="13"/>
      <c r="C121" s="21"/>
      <c r="D121" s="13"/>
      <c r="E121" s="13"/>
    </row>
    <row r="122" spans="1:5" x14ac:dyDescent="0.3">
      <c r="A122" s="13"/>
      <c r="B122" s="13"/>
      <c r="C122" s="21"/>
      <c r="D122" s="13"/>
      <c r="E122" s="13"/>
    </row>
    <row r="123" spans="1:5" x14ac:dyDescent="0.3">
      <c r="A123" s="13"/>
      <c r="B123" s="13"/>
      <c r="C123" s="21"/>
      <c r="D123" s="13"/>
      <c r="E123" s="13"/>
    </row>
    <row r="124" spans="1:5" x14ac:dyDescent="0.3">
      <c r="A124" s="13"/>
      <c r="B124" s="13"/>
      <c r="C124" s="21"/>
      <c r="D124" s="13"/>
      <c r="E124" s="13"/>
    </row>
    <row r="125" spans="1:5" x14ac:dyDescent="0.3">
      <c r="A125" s="13"/>
      <c r="B125" s="13"/>
      <c r="C125" s="21"/>
      <c r="D125" s="13"/>
      <c r="E125" s="13"/>
    </row>
    <row r="126" spans="1:5" x14ac:dyDescent="0.3">
      <c r="A126" s="13"/>
      <c r="B126" s="13"/>
      <c r="C126" s="21"/>
      <c r="D126" s="13"/>
      <c r="E126" s="13"/>
    </row>
    <row r="127" spans="1:5" x14ac:dyDescent="0.3">
      <c r="A127" s="13"/>
      <c r="B127" s="13"/>
      <c r="C127" s="21"/>
      <c r="D127" s="13"/>
      <c r="E127" s="13"/>
    </row>
    <row r="128" spans="1:5" x14ac:dyDescent="0.3">
      <c r="A128" s="13"/>
      <c r="B128" s="13"/>
      <c r="C128" s="21"/>
      <c r="D128" s="13"/>
      <c r="E128" s="13"/>
    </row>
    <row r="129" spans="1:5" x14ac:dyDescent="0.3">
      <c r="A129" s="13"/>
      <c r="B129" s="13"/>
      <c r="C129" s="21"/>
      <c r="D129" s="13"/>
      <c r="E129" s="13"/>
    </row>
    <row r="130" spans="1:5" x14ac:dyDescent="0.3">
      <c r="A130" s="13"/>
      <c r="B130" s="13"/>
      <c r="C130" s="21"/>
      <c r="D130" s="13"/>
      <c r="E130" s="13"/>
    </row>
    <row r="131" spans="1:5" x14ac:dyDescent="0.3">
      <c r="A131" s="13"/>
      <c r="B131" s="13"/>
      <c r="C131" s="21"/>
      <c r="D131" s="13"/>
      <c r="E131" s="13"/>
    </row>
    <row r="132" spans="1:5" x14ac:dyDescent="0.3">
      <c r="A132" s="13"/>
      <c r="B132" s="13"/>
      <c r="C132" s="21"/>
      <c r="D132" s="13"/>
      <c r="E132" s="13"/>
    </row>
    <row r="133" spans="1:5" x14ac:dyDescent="0.3">
      <c r="A133" s="13"/>
      <c r="B133" s="13"/>
      <c r="C133" s="21"/>
      <c r="D133" s="13"/>
      <c r="E133" s="13"/>
    </row>
    <row r="134" spans="1:5" x14ac:dyDescent="0.3">
      <c r="A134" s="13"/>
      <c r="B134" s="13"/>
      <c r="C134" s="21"/>
      <c r="D134" s="13"/>
      <c r="E134" s="13"/>
    </row>
    <row r="135" spans="1:5" x14ac:dyDescent="0.3">
      <c r="A135" s="13"/>
      <c r="B135" s="13"/>
      <c r="C135" s="21"/>
      <c r="D135" s="13"/>
      <c r="E135" s="13"/>
    </row>
    <row r="136" spans="1:5" x14ac:dyDescent="0.3">
      <c r="A136" s="13"/>
      <c r="B136" s="13"/>
      <c r="C136" s="21"/>
      <c r="D136" s="13"/>
      <c r="E136" s="13"/>
    </row>
    <row r="137" spans="1:5" x14ac:dyDescent="0.3">
      <c r="A137" s="13"/>
      <c r="B137" s="13"/>
      <c r="C137" s="21"/>
      <c r="D137" s="13"/>
      <c r="E137" s="13"/>
    </row>
    <row r="138" spans="1:5" x14ac:dyDescent="0.3">
      <c r="A138" s="13"/>
      <c r="B138" s="13"/>
      <c r="C138" s="21"/>
      <c r="D138" s="13"/>
      <c r="E138" s="13"/>
    </row>
    <row r="139" spans="1:5" x14ac:dyDescent="0.3">
      <c r="A139" s="13"/>
      <c r="B139" s="13"/>
      <c r="C139" s="21"/>
      <c r="D139" s="13"/>
      <c r="E139" s="13"/>
    </row>
    <row r="140" spans="1:5" x14ac:dyDescent="0.3">
      <c r="A140" s="13"/>
      <c r="B140" s="13"/>
      <c r="C140" s="21"/>
      <c r="D140" s="13"/>
      <c r="E140" s="13"/>
    </row>
    <row r="141" spans="1:5" x14ac:dyDescent="0.3">
      <c r="A141" s="13"/>
      <c r="B141" s="13"/>
      <c r="C141" s="21"/>
      <c r="D141" s="13"/>
      <c r="E141" s="13"/>
    </row>
    <row r="142" spans="1:5" x14ac:dyDescent="0.3">
      <c r="A142" s="13"/>
      <c r="B142" s="13"/>
      <c r="C142" s="21"/>
      <c r="D142" s="13"/>
      <c r="E142" s="13"/>
    </row>
    <row r="143" spans="1:5" x14ac:dyDescent="0.3">
      <c r="A143" s="13"/>
      <c r="B143" s="13"/>
      <c r="C143" s="21"/>
      <c r="D143" s="13"/>
      <c r="E143" s="13"/>
    </row>
    <row r="144" spans="1:5" x14ac:dyDescent="0.3">
      <c r="A144" s="13"/>
      <c r="B144" s="13"/>
      <c r="C144" s="21"/>
      <c r="D144" s="13"/>
      <c r="E144" s="13"/>
    </row>
    <row r="145" spans="1:5" x14ac:dyDescent="0.3">
      <c r="A145" s="13"/>
      <c r="B145" s="13"/>
      <c r="C145" s="21"/>
      <c r="D145" s="13"/>
      <c r="E145" s="13"/>
    </row>
    <row r="146" spans="1:5" x14ac:dyDescent="0.3">
      <c r="A146" s="13"/>
      <c r="B146" s="13"/>
      <c r="C146" s="21"/>
      <c r="D146" s="13"/>
      <c r="E146" s="13"/>
    </row>
    <row r="147" spans="1:5" x14ac:dyDescent="0.3">
      <c r="A147" s="13"/>
      <c r="B147" s="13"/>
      <c r="C147" s="21"/>
      <c r="D147" s="13"/>
      <c r="E147" s="13"/>
    </row>
    <row r="148" spans="1:5" x14ac:dyDescent="0.3">
      <c r="A148" s="13"/>
      <c r="B148" s="13"/>
      <c r="C148" s="21"/>
      <c r="D148" s="13"/>
      <c r="E148" s="13"/>
    </row>
    <row r="149" spans="1:5" x14ac:dyDescent="0.3">
      <c r="A149" s="13"/>
      <c r="B149" s="13"/>
      <c r="C149" s="21"/>
      <c r="D149" s="13"/>
      <c r="E149" s="13"/>
    </row>
    <row r="150" spans="1:5" x14ac:dyDescent="0.3">
      <c r="A150" s="13"/>
      <c r="B150" s="13"/>
      <c r="C150" s="13"/>
      <c r="D150" s="13"/>
      <c r="E150" s="1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8" customWidth="1"/>
    <col min="3" max="3" width="12" customWidth="1"/>
    <col min="4" max="4" width="16" customWidth="1"/>
    <col min="5" max="5" width="18" customWidth="1"/>
    <col min="6" max="6" width="24" customWidth="1"/>
  </cols>
  <sheetData>
    <row r="1" spans="1:6" x14ac:dyDescent="0.3">
      <c r="A1" s="3" t="s">
        <v>658</v>
      </c>
      <c r="B1" s="3" t="s">
        <v>659</v>
      </c>
      <c r="C1" s="3" t="s">
        <v>660</v>
      </c>
      <c r="D1" s="3" t="s">
        <v>723</v>
      </c>
      <c r="E1" s="3" t="s">
        <v>661</v>
      </c>
      <c r="F1" s="3" t="s">
        <v>116</v>
      </c>
    </row>
    <row r="2" spans="1:6" x14ac:dyDescent="0.3">
      <c r="A2" s="17" t="s">
        <v>227</v>
      </c>
      <c r="B2" s="17" t="s">
        <v>271</v>
      </c>
      <c r="C2" s="31">
        <v>1</v>
      </c>
      <c r="D2" s="17" t="s">
        <v>724</v>
      </c>
      <c r="E2" s="17" t="s">
        <v>725</v>
      </c>
      <c r="F2" s="17"/>
    </row>
    <row r="3" spans="1:6" x14ac:dyDescent="0.3">
      <c r="A3" s="17" t="s">
        <v>227</v>
      </c>
      <c r="B3" s="17" t="s">
        <v>310</v>
      </c>
      <c r="C3" s="31">
        <v>1.05</v>
      </c>
      <c r="D3" s="17" t="s">
        <v>724</v>
      </c>
      <c r="E3" s="17" t="s">
        <v>726</v>
      </c>
      <c r="F3" s="17"/>
    </row>
    <row r="4" spans="1:6" x14ac:dyDescent="0.3">
      <c r="A4" s="17" t="s">
        <v>227</v>
      </c>
      <c r="B4" s="17" t="s">
        <v>349</v>
      </c>
      <c r="C4" s="31">
        <v>1.1200000000000001</v>
      </c>
      <c r="D4" s="17" t="s">
        <v>724</v>
      </c>
      <c r="E4" s="17" t="s">
        <v>727</v>
      </c>
      <c r="F4" s="17"/>
    </row>
    <row r="5" spans="1:6" ht="28.8" x14ac:dyDescent="0.3">
      <c r="A5" s="17" t="s">
        <v>227</v>
      </c>
      <c r="B5" s="17" t="s">
        <v>379</v>
      </c>
      <c r="C5" s="31">
        <v>1.22</v>
      </c>
      <c r="D5" s="17" t="s">
        <v>724</v>
      </c>
      <c r="E5" s="17" t="s">
        <v>728</v>
      </c>
      <c r="F5" s="17"/>
    </row>
    <row r="6" spans="1:6" x14ac:dyDescent="0.3">
      <c r="A6" s="17" t="s">
        <v>225</v>
      </c>
      <c r="B6" s="17" t="s">
        <v>308</v>
      </c>
      <c r="C6" s="31">
        <v>1</v>
      </c>
      <c r="D6" s="17" t="s">
        <v>729</v>
      </c>
      <c r="E6" s="17" t="s">
        <v>730</v>
      </c>
      <c r="F6" s="17"/>
    </row>
    <row r="7" spans="1:6" ht="28.8" x14ac:dyDescent="0.3">
      <c r="A7" s="17" t="s">
        <v>225</v>
      </c>
      <c r="B7" s="17" t="s">
        <v>269</v>
      </c>
      <c r="C7" s="31">
        <v>0.97</v>
      </c>
      <c r="D7" s="17" t="s">
        <v>729</v>
      </c>
      <c r="E7" s="17" t="s">
        <v>731</v>
      </c>
      <c r="F7" s="17"/>
    </row>
    <row r="8" spans="1:6" x14ac:dyDescent="0.3">
      <c r="A8" s="17" t="s">
        <v>225</v>
      </c>
      <c r="B8" s="17" t="s">
        <v>347</v>
      </c>
      <c r="C8" s="31">
        <v>1.08</v>
      </c>
      <c r="D8" s="17" t="s">
        <v>729</v>
      </c>
      <c r="E8" s="17" t="s">
        <v>732</v>
      </c>
      <c r="F8" s="17"/>
    </row>
    <row r="9" spans="1:6" ht="28.8" x14ac:dyDescent="0.3">
      <c r="A9" s="17" t="s">
        <v>225</v>
      </c>
      <c r="B9" s="17" t="s">
        <v>378</v>
      </c>
      <c r="C9" s="31">
        <v>1.18</v>
      </c>
      <c r="D9" s="17" t="s">
        <v>729</v>
      </c>
      <c r="E9" s="17" t="s">
        <v>733</v>
      </c>
      <c r="F9" s="17"/>
    </row>
    <row r="10" spans="1:6" ht="28.8" x14ac:dyDescent="0.3">
      <c r="A10" s="17" t="s">
        <v>226</v>
      </c>
      <c r="B10" s="17" t="s">
        <v>270</v>
      </c>
      <c r="C10" s="31">
        <v>1</v>
      </c>
      <c r="D10" s="17" t="s">
        <v>734</v>
      </c>
      <c r="E10" s="17" t="s">
        <v>735</v>
      </c>
      <c r="F10" s="17"/>
    </row>
    <row r="11" spans="1:6" ht="28.8" x14ac:dyDescent="0.3">
      <c r="A11" s="17" t="s">
        <v>226</v>
      </c>
      <c r="B11" s="17" t="s">
        <v>309</v>
      </c>
      <c r="C11" s="31">
        <v>1.07</v>
      </c>
      <c r="D11" s="17" t="s">
        <v>734</v>
      </c>
      <c r="E11" s="17" t="s">
        <v>736</v>
      </c>
      <c r="F11" s="17"/>
    </row>
    <row r="12" spans="1:6" ht="28.8" x14ac:dyDescent="0.3">
      <c r="A12" s="17" t="s">
        <v>226</v>
      </c>
      <c r="B12" s="17" t="s">
        <v>348</v>
      </c>
      <c r="C12" s="31">
        <v>1.1499999999999999</v>
      </c>
      <c r="D12" s="17" t="s">
        <v>734</v>
      </c>
      <c r="E12" s="17" t="s">
        <v>737</v>
      </c>
      <c r="F12" s="17"/>
    </row>
  </sheetData>
  <autoFilter ref="A1:F12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0" customWidth="1"/>
    <col min="3" max="3" width="28" customWidth="1"/>
    <col min="4" max="4" width="24" customWidth="1"/>
  </cols>
  <sheetData>
    <row r="1" spans="1:4" x14ac:dyDescent="0.3">
      <c r="A1" s="3" t="s">
        <v>441</v>
      </c>
      <c r="B1" s="3" t="s">
        <v>650</v>
      </c>
      <c r="C1" s="3" t="s">
        <v>738</v>
      </c>
      <c r="D1" s="3" t="s">
        <v>116</v>
      </c>
    </row>
    <row r="2" spans="1:4" ht="28.8" x14ac:dyDescent="0.3">
      <c r="A2" s="17" t="s">
        <v>272</v>
      </c>
      <c r="B2" s="32">
        <v>0</v>
      </c>
      <c r="C2" s="17" t="s">
        <v>739</v>
      </c>
      <c r="D2" s="17" t="s">
        <v>740</v>
      </c>
    </row>
    <row r="3" spans="1:4" x14ac:dyDescent="0.3">
      <c r="A3" s="17" t="s">
        <v>311</v>
      </c>
      <c r="B3" s="32">
        <v>0.2</v>
      </c>
      <c r="C3" s="17" t="s">
        <v>741</v>
      </c>
      <c r="D3" s="17" t="s">
        <v>742</v>
      </c>
    </row>
    <row r="4" spans="1:4" ht="28.8" x14ac:dyDescent="0.3">
      <c r="A4" s="17" t="s">
        <v>350</v>
      </c>
      <c r="B4" s="32">
        <v>0.1</v>
      </c>
      <c r="C4" s="17" t="s">
        <v>743</v>
      </c>
      <c r="D4" s="17" t="s">
        <v>744</v>
      </c>
    </row>
  </sheetData>
  <autoFilter ref="A1:D4" xr:uid="{00000000-0009-0000-0000-00000E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150"/>
  <sheetViews>
    <sheetView workbookViewId="0"/>
  </sheetViews>
  <sheetFormatPr defaultRowHeight="14.4" x14ac:dyDescent="0.3"/>
  <cols>
    <col min="1" max="1" width="14" customWidth="1"/>
    <col min="2" max="2" width="28" customWidth="1"/>
    <col min="3" max="3" width="11" customWidth="1"/>
    <col min="4" max="4" width="13" customWidth="1"/>
    <col min="5" max="6" width="11" customWidth="1"/>
    <col min="7" max="7" width="15" customWidth="1"/>
    <col min="8" max="8" width="12" customWidth="1"/>
    <col min="9" max="11" width="14" customWidth="1"/>
    <col min="12" max="12" width="15" customWidth="1"/>
    <col min="13" max="13" width="18" customWidth="1"/>
    <col min="14" max="14" width="14" customWidth="1"/>
    <col min="15" max="15" width="15" customWidth="1"/>
    <col min="16" max="16" width="38" customWidth="1"/>
  </cols>
  <sheetData>
    <row r="1" spans="1:16" ht="28.8" x14ac:dyDescent="0.3">
      <c r="A1" s="3" t="s">
        <v>424</v>
      </c>
      <c r="B1" s="3" t="s">
        <v>425</v>
      </c>
      <c r="C1" s="3" t="s">
        <v>745</v>
      </c>
      <c r="D1" s="3" t="s">
        <v>746</v>
      </c>
      <c r="E1" s="3" t="s">
        <v>747</v>
      </c>
      <c r="F1" s="3" t="s">
        <v>748</v>
      </c>
      <c r="G1" s="3" t="s">
        <v>749</v>
      </c>
      <c r="H1" s="3" t="s">
        <v>750</v>
      </c>
      <c r="I1" s="3" t="s">
        <v>751</v>
      </c>
      <c r="J1" s="3" t="s">
        <v>752</v>
      </c>
      <c r="K1" s="3" t="s">
        <v>753</v>
      </c>
      <c r="L1" s="3" t="s">
        <v>754</v>
      </c>
      <c r="M1" s="3" t="s">
        <v>755</v>
      </c>
      <c r="N1" s="3" t="s">
        <v>756</v>
      </c>
      <c r="O1" s="3" t="s">
        <v>757</v>
      </c>
      <c r="P1" s="3" t="s">
        <v>116</v>
      </c>
    </row>
    <row r="2" spans="1:16" ht="28.8" x14ac:dyDescent="0.3">
      <c r="A2" s="13" t="s">
        <v>444</v>
      </c>
      <c r="B2" s="13" t="s">
        <v>445</v>
      </c>
      <c r="C2" s="15">
        <v>0.9</v>
      </c>
      <c r="D2" s="15">
        <v>0.7</v>
      </c>
      <c r="E2" s="15">
        <v>0.6</v>
      </c>
      <c r="F2" s="15">
        <v>0.5</v>
      </c>
      <c r="G2" s="15">
        <v>0.4</v>
      </c>
      <c r="H2" s="15">
        <v>0.4</v>
      </c>
      <c r="I2" s="15">
        <v>0.3</v>
      </c>
      <c r="J2" s="15">
        <v>0.3</v>
      </c>
      <c r="K2" s="15">
        <v>0.5</v>
      </c>
      <c r="L2" s="13" t="s">
        <v>245</v>
      </c>
      <c r="M2" s="13" t="s">
        <v>245</v>
      </c>
      <c r="N2" s="13" t="s">
        <v>617</v>
      </c>
      <c r="O2" s="14">
        <f>IF($N2="","",ROUND(1+($C2*(SUMIFS(OBJECT_CONDITIONS!$D:$D,OBJECT_CONDITIONS!$A:$A,$N2)-1))+($D2*(SUMIFS(OBJECT_CONDITIONS!$F:$F,OBJECT_CONDITIONS!$A:$A,$N2)-1))+($E2*(SUMIFS(OBJECT_CONDITIONS!$H:$H,OBJECT_CONDITIONS!$A:$A,$N2)-1))+($F2*(SUMIFS(OBJECT_CONDITIONS!$J:$J,OBJECT_CONDITIONS!$A:$A,$N2)-1))+($G2*(SUMIFS(OBJECT_CONDITIONS!$L:$L,OBJECT_CONDITIONS!$A:$A,$N2)-1))+($H2*(SUMIFS(OBJECT_CONDITIONS!$N:$N,OBJECT_CONDITIONS!$A:$A,$N2)-1))+($I2*(SUMIFS(OBJECT_CONDITIONS!$P:$P,OBJECT_CONDITIONS!$A:$A,$N2)-1))+($J2*(SUMIFS(OBJECT_CONDITIONS!$R:$R,OBJECT_CONDITIONS!$A:$A,$N2)-1))+($K2*(SUMIFS(OBJECT_CONDITIONS!$T:$T,OBJECT_CONDITIONS!$A:$A,$N2)-1)),3))</f>
        <v>1.3959999999999999</v>
      </c>
      <c r="P2" s="13" t="s">
        <v>758</v>
      </c>
    </row>
    <row r="3" spans="1:16" ht="28.8" x14ac:dyDescent="0.3">
      <c r="A3" s="13" t="s">
        <v>451</v>
      </c>
      <c r="B3" s="13" t="s">
        <v>452</v>
      </c>
      <c r="C3" s="15">
        <v>0.7</v>
      </c>
      <c r="D3" s="15">
        <v>0.5</v>
      </c>
      <c r="E3" s="15">
        <v>0.3</v>
      </c>
      <c r="F3" s="15">
        <v>0.4</v>
      </c>
      <c r="G3" s="15">
        <v>0.4</v>
      </c>
      <c r="H3" s="15">
        <v>0.3</v>
      </c>
      <c r="I3" s="15">
        <v>0.2</v>
      </c>
      <c r="J3" s="15">
        <v>0.1</v>
      </c>
      <c r="K3" s="15">
        <v>0.3</v>
      </c>
      <c r="L3" s="13" t="s">
        <v>245</v>
      </c>
      <c r="M3" s="13" t="s">
        <v>245</v>
      </c>
      <c r="N3" s="13" t="s">
        <v>617</v>
      </c>
      <c r="O3" s="14">
        <f>IF($N3="","",ROUND(1+($C3*(SUMIFS(OBJECT_CONDITIONS!$D:$D,OBJECT_CONDITIONS!$A:$A,$N3)-1))+($D3*(SUMIFS(OBJECT_CONDITIONS!$F:$F,OBJECT_CONDITIONS!$A:$A,$N3)-1))+($E3*(SUMIFS(OBJECT_CONDITIONS!$H:$H,OBJECT_CONDITIONS!$A:$A,$N3)-1))+($F3*(SUMIFS(OBJECT_CONDITIONS!$J:$J,OBJECT_CONDITIONS!$A:$A,$N3)-1))+($G3*(SUMIFS(OBJECT_CONDITIONS!$L:$L,OBJECT_CONDITIONS!$A:$A,$N3)-1))+($H3*(SUMIFS(OBJECT_CONDITIONS!$N:$N,OBJECT_CONDITIONS!$A:$A,$N3)-1))+($I3*(SUMIFS(OBJECT_CONDITIONS!$P:$P,OBJECT_CONDITIONS!$A:$A,$N3)-1))+($J3*(SUMIFS(OBJECT_CONDITIONS!$R:$R,OBJECT_CONDITIONS!$A:$A,$N3)-1))+($K3*(SUMIFS(OBJECT_CONDITIONS!$T:$T,OBJECT_CONDITIONS!$A:$A,$N3)-1)),3))</f>
        <v>1.278</v>
      </c>
      <c r="P3" s="13" t="s">
        <v>759</v>
      </c>
    </row>
    <row r="4" spans="1:16" ht="28.8" x14ac:dyDescent="0.3">
      <c r="A4" s="13" t="s">
        <v>456</v>
      </c>
      <c r="B4" s="13" t="s">
        <v>457</v>
      </c>
      <c r="C4" s="15">
        <v>0.9</v>
      </c>
      <c r="D4" s="15">
        <v>0.8</v>
      </c>
      <c r="E4" s="15">
        <v>0.6</v>
      </c>
      <c r="F4" s="15">
        <v>0.3</v>
      </c>
      <c r="G4" s="15">
        <v>0.2</v>
      </c>
      <c r="H4" s="15">
        <v>0.6</v>
      </c>
      <c r="I4" s="15">
        <v>0.5</v>
      </c>
      <c r="J4" s="15">
        <v>0.6</v>
      </c>
      <c r="K4" s="15">
        <v>0.7</v>
      </c>
      <c r="L4" s="13" t="s">
        <v>245</v>
      </c>
      <c r="M4" s="13" t="s">
        <v>245</v>
      </c>
      <c r="N4" s="13" t="s">
        <v>617</v>
      </c>
      <c r="O4" s="14">
        <f>IF($N4="","",ROUND(1+($C4*(SUMIFS(OBJECT_CONDITIONS!$D:$D,OBJECT_CONDITIONS!$A:$A,$N4)-1))+($D4*(SUMIFS(OBJECT_CONDITIONS!$F:$F,OBJECT_CONDITIONS!$A:$A,$N4)-1))+($E4*(SUMIFS(OBJECT_CONDITIONS!$H:$H,OBJECT_CONDITIONS!$A:$A,$N4)-1))+($F4*(SUMIFS(OBJECT_CONDITIONS!$J:$J,OBJECT_CONDITIONS!$A:$A,$N4)-1))+($G4*(SUMIFS(OBJECT_CONDITIONS!$L:$L,OBJECT_CONDITIONS!$A:$A,$N4)-1))+($H4*(SUMIFS(OBJECT_CONDITIONS!$N:$N,OBJECT_CONDITIONS!$A:$A,$N4)-1))+($I4*(SUMIFS(OBJECT_CONDITIONS!$P:$P,OBJECT_CONDITIONS!$A:$A,$N4)-1))+($J4*(SUMIFS(OBJECT_CONDITIONS!$R:$R,OBJECT_CONDITIONS!$A:$A,$N4)-1))+($K4*(SUMIFS(OBJECT_CONDITIONS!$T:$T,OBJECT_CONDITIONS!$A:$A,$N4)-1)),3))</f>
        <v>1.4339999999999999</v>
      </c>
      <c r="P4" s="13" t="s">
        <v>760</v>
      </c>
    </row>
    <row r="5" spans="1:16" ht="28.8" x14ac:dyDescent="0.3">
      <c r="A5" s="13" t="s">
        <v>462</v>
      </c>
      <c r="B5" s="13" t="s">
        <v>463</v>
      </c>
      <c r="C5" s="15">
        <v>0.1</v>
      </c>
      <c r="D5" s="15">
        <v>0.1</v>
      </c>
      <c r="E5" s="15">
        <v>0.1</v>
      </c>
      <c r="F5" s="15">
        <v>0.4</v>
      </c>
      <c r="G5" s="15">
        <v>0.3</v>
      </c>
      <c r="H5" s="15">
        <v>0.2</v>
      </c>
      <c r="I5" s="15">
        <v>0.1</v>
      </c>
      <c r="J5" s="15">
        <v>0.2</v>
      </c>
      <c r="K5" s="15">
        <v>0.1</v>
      </c>
      <c r="L5" s="13" t="s">
        <v>245</v>
      </c>
      <c r="M5" s="13" t="s">
        <v>255</v>
      </c>
      <c r="N5" s="13" t="s">
        <v>617</v>
      </c>
      <c r="O5" s="14">
        <f>IF($N5="","",ROUND(1+($C5*(SUMIFS(OBJECT_CONDITIONS!$D:$D,OBJECT_CONDITIONS!$A:$A,$N5)-1))+($D5*(SUMIFS(OBJECT_CONDITIONS!$F:$F,OBJECT_CONDITIONS!$A:$A,$N5)-1))+($E5*(SUMIFS(OBJECT_CONDITIONS!$H:$H,OBJECT_CONDITIONS!$A:$A,$N5)-1))+($F5*(SUMIFS(OBJECT_CONDITIONS!$J:$J,OBJECT_CONDITIONS!$A:$A,$N5)-1))+($G5*(SUMIFS(OBJECT_CONDITIONS!$L:$L,OBJECT_CONDITIONS!$A:$A,$N5)-1))+($H5*(SUMIFS(OBJECT_CONDITIONS!$N:$N,OBJECT_CONDITIONS!$A:$A,$N5)-1))+($I5*(SUMIFS(OBJECT_CONDITIONS!$P:$P,OBJECT_CONDITIONS!$A:$A,$N5)-1))+($J5*(SUMIFS(OBJECT_CONDITIONS!$R:$R,OBJECT_CONDITIONS!$A:$A,$N5)-1))+($K5*(SUMIFS(OBJECT_CONDITIONS!$T:$T,OBJECT_CONDITIONS!$A:$A,$N5)-1)),3))</f>
        <v>1.133</v>
      </c>
      <c r="P5" s="13" t="s">
        <v>761</v>
      </c>
    </row>
    <row r="6" spans="1:16" x14ac:dyDescent="0.3">
      <c r="A6" s="13"/>
      <c r="B6" s="13"/>
      <c r="C6" s="15"/>
      <c r="D6" s="15"/>
      <c r="E6" s="15"/>
      <c r="F6" s="15"/>
      <c r="G6" s="15"/>
      <c r="H6" s="15"/>
      <c r="I6" s="15"/>
      <c r="J6" s="15"/>
      <c r="K6" s="15"/>
      <c r="L6" s="13"/>
      <c r="M6" s="13"/>
      <c r="N6" s="13"/>
      <c r="O6" s="14" t="str">
        <f>IF($N6="","",ROUND(1+($C6*(SUMIFS(OBJECT_CONDITIONS!$D:$D,OBJECT_CONDITIONS!$A:$A,$N6)-1))+($D6*(SUMIFS(OBJECT_CONDITIONS!$F:$F,OBJECT_CONDITIONS!$A:$A,$N6)-1))+($E6*(SUMIFS(OBJECT_CONDITIONS!$H:$H,OBJECT_CONDITIONS!$A:$A,$N6)-1))+($F6*(SUMIFS(OBJECT_CONDITIONS!$J:$J,OBJECT_CONDITIONS!$A:$A,$N6)-1))+($G6*(SUMIFS(OBJECT_CONDITIONS!$L:$L,OBJECT_CONDITIONS!$A:$A,$N6)-1))+($H6*(SUMIFS(OBJECT_CONDITIONS!$N:$N,OBJECT_CONDITIONS!$A:$A,$N6)-1))+($I6*(SUMIFS(OBJECT_CONDITIONS!$P:$P,OBJECT_CONDITIONS!$A:$A,$N6)-1))+($J6*(SUMIFS(OBJECT_CONDITIONS!$R:$R,OBJECT_CONDITIONS!$A:$A,$N6)-1))+($K6*(SUMIFS(OBJECT_CONDITIONS!$T:$T,OBJECT_CONDITIONS!$A:$A,$N6)-1)),3))</f>
        <v/>
      </c>
      <c r="P6" s="13"/>
    </row>
    <row r="7" spans="1:16" x14ac:dyDescent="0.3">
      <c r="A7" s="13"/>
      <c r="B7" s="13"/>
      <c r="C7" s="15"/>
      <c r="D7" s="15"/>
      <c r="E7" s="15"/>
      <c r="F7" s="15"/>
      <c r="G7" s="15"/>
      <c r="H7" s="15"/>
      <c r="I7" s="15"/>
      <c r="J7" s="15"/>
      <c r="K7" s="15"/>
      <c r="L7" s="13"/>
      <c r="M7" s="13"/>
      <c r="N7" s="13"/>
      <c r="O7" s="14" t="str">
        <f>IF($N7="","",ROUND(1+($C7*(SUMIFS(OBJECT_CONDITIONS!$D:$D,OBJECT_CONDITIONS!$A:$A,$N7)-1))+($D7*(SUMIFS(OBJECT_CONDITIONS!$F:$F,OBJECT_CONDITIONS!$A:$A,$N7)-1))+($E7*(SUMIFS(OBJECT_CONDITIONS!$H:$H,OBJECT_CONDITIONS!$A:$A,$N7)-1))+($F7*(SUMIFS(OBJECT_CONDITIONS!$J:$J,OBJECT_CONDITIONS!$A:$A,$N7)-1))+($G7*(SUMIFS(OBJECT_CONDITIONS!$L:$L,OBJECT_CONDITIONS!$A:$A,$N7)-1))+($H7*(SUMIFS(OBJECT_CONDITIONS!$N:$N,OBJECT_CONDITIONS!$A:$A,$N7)-1))+($I7*(SUMIFS(OBJECT_CONDITIONS!$P:$P,OBJECT_CONDITIONS!$A:$A,$N7)-1))+($J7*(SUMIFS(OBJECT_CONDITIONS!$R:$R,OBJECT_CONDITIONS!$A:$A,$N7)-1))+($K7*(SUMIFS(OBJECT_CONDITIONS!$T:$T,OBJECT_CONDITIONS!$A:$A,$N7)-1)),3))</f>
        <v/>
      </c>
      <c r="P7" s="13"/>
    </row>
    <row r="8" spans="1:16" x14ac:dyDescent="0.3">
      <c r="A8" s="13"/>
      <c r="B8" s="13"/>
      <c r="C8" s="15"/>
      <c r="D8" s="15"/>
      <c r="E8" s="15"/>
      <c r="F8" s="15"/>
      <c r="G8" s="15"/>
      <c r="H8" s="15"/>
      <c r="I8" s="15"/>
      <c r="J8" s="15"/>
      <c r="K8" s="15"/>
      <c r="L8" s="13"/>
      <c r="M8" s="13"/>
      <c r="N8" s="13"/>
      <c r="O8" s="14" t="str">
        <f>IF($N8="","",ROUND(1+($C8*(SUMIFS(OBJECT_CONDITIONS!$D:$D,OBJECT_CONDITIONS!$A:$A,$N8)-1))+($D8*(SUMIFS(OBJECT_CONDITIONS!$F:$F,OBJECT_CONDITIONS!$A:$A,$N8)-1))+($E8*(SUMIFS(OBJECT_CONDITIONS!$H:$H,OBJECT_CONDITIONS!$A:$A,$N8)-1))+($F8*(SUMIFS(OBJECT_CONDITIONS!$J:$J,OBJECT_CONDITIONS!$A:$A,$N8)-1))+($G8*(SUMIFS(OBJECT_CONDITIONS!$L:$L,OBJECT_CONDITIONS!$A:$A,$N8)-1))+($H8*(SUMIFS(OBJECT_CONDITIONS!$N:$N,OBJECT_CONDITIONS!$A:$A,$N8)-1))+($I8*(SUMIFS(OBJECT_CONDITIONS!$P:$P,OBJECT_CONDITIONS!$A:$A,$N8)-1))+($J8*(SUMIFS(OBJECT_CONDITIONS!$R:$R,OBJECT_CONDITIONS!$A:$A,$N8)-1))+($K8*(SUMIFS(OBJECT_CONDITIONS!$T:$T,OBJECT_CONDITIONS!$A:$A,$N8)-1)),3))</f>
        <v/>
      </c>
      <c r="P8" s="13"/>
    </row>
    <row r="9" spans="1:16" x14ac:dyDescent="0.3">
      <c r="A9" s="13"/>
      <c r="B9" s="13"/>
      <c r="C9" s="15"/>
      <c r="D9" s="15"/>
      <c r="E9" s="15"/>
      <c r="F9" s="15"/>
      <c r="G9" s="15"/>
      <c r="H9" s="15"/>
      <c r="I9" s="15"/>
      <c r="J9" s="15"/>
      <c r="K9" s="15"/>
      <c r="L9" s="13"/>
      <c r="M9" s="13"/>
      <c r="N9" s="13"/>
      <c r="O9" s="14" t="str">
        <f>IF($N9="","",ROUND(1+($C9*(SUMIFS(OBJECT_CONDITIONS!$D:$D,OBJECT_CONDITIONS!$A:$A,$N9)-1))+($D9*(SUMIFS(OBJECT_CONDITIONS!$F:$F,OBJECT_CONDITIONS!$A:$A,$N9)-1))+($E9*(SUMIFS(OBJECT_CONDITIONS!$H:$H,OBJECT_CONDITIONS!$A:$A,$N9)-1))+($F9*(SUMIFS(OBJECT_CONDITIONS!$J:$J,OBJECT_CONDITIONS!$A:$A,$N9)-1))+($G9*(SUMIFS(OBJECT_CONDITIONS!$L:$L,OBJECT_CONDITIONS!$A:$A,$N9)-1))+($H9*(SUMIFS(OBJECT_CONDITIONS!$N:$N,OBJECT_CONDITIONS!$A:$A,$N9)-1))+($I9*(SUMIFS(OBJECT_CONDITIONS!$P:$P,OBJECT_CONDITIONS!$A:$A,$N9)-1))+($J9*(SUMIFS(OBJECT_CONDITIONS!$R:$R,OBJECT_CONDITIONS!$A:$A,$N9)-1))+($K9*(SUMIFS(OBJECT_CONDITIONS!$T:$T,OBJECT_CONDITIONS!$A:$A,$N9)-1)),3))</f>
        <v/>
      </c>
      <c r="P9" s="13"/>
    </row>
    <row r="10" spans="1:16" x14ac:dyDescent="0.3">
      <c r="A10" s="13"/>
      <c r="B10" s="13"/>
      <c r="C10" s="15"/>
      <c r="D10" s="15"/>
      <c r="E10" s="15"/>
      <c r="F10" s="15"/>
      <c r="G10" s="15"/>
      <c r="H10" s="15"/>
      <c r="I10" s="15"/>
      <c r="J10" s="15"/>
      <c r="K10" s="15"/>
      <c r="L10" s="13"/>
      <c r="M10" s="13"/>
      <c r="N10" s="13"/>
      <c r="O10" s="14" t="str">
        <f>IF($N10="","",ROUND(1+($C10*(SUMIFS(OBJECT_CONDITIONS!$D:$D,OBJECT_CONDITIONS!$A:$A,$N10)-1))+($D10*(SUMIFS(OBJECT_CONDITIONS!$F:$F,OBJECT_CONDITIONS!$A:$A,$N10)-1))+($E10*(SUMIFS(OBJECT_CONDITIONS!$H:$H,OBJECT_CONDITIONS!$A:$A,$N10)-1))+($F10*(SUMIFS(OBJECT_CONDITIONS!$J:$J,OBJECT_CONDITIONS!$A:$A,$N10)-1))+($G10*(SUMIFS(OBJECT_CONDITIONS!$L:$L,OBJECT_CONDITIONS!$A:$A,$N10)-1))+($H10*(SUMIFS(OBJECT_CONDITIONS!$N:$N,OBJECT_CONDITIONS!$A:$A,$N10)-1))+($I10*(SUMIFS(OBJECT_CONDITIONS!$P:$P,OBJECT_CONDITIONS!$A:$A,$N10)-1))+($J10*(SUMIFS(OBJECT_CONDITIONS!$R:$R,OBJECT_CONDITIONS!$A:$A,$N10)-1))+($K10*(SUMIFS(OBJECT_CONDITIONS!$T:$T,OBJECT_CONDITIONS!$A:$A,$N10)-1)),3))</f>
        <v/>
      </c>
      <c r="P10" s="13"/>
    </row>
    <row r="11" spans="1:16" x14ac:dyDescent="0.3">
      <c r="A11" s="13"/>
      <c r="B11" s="13"/>
      <c r="C11" s="15"/>
      <c r="D11" s="15"/>
      <c r="E11" s="15"/>
      <c r="F11" s="15"/>
      <c r="G11" s="15"/>
      <c r="H11" s="15"/>
      <c r="I11" s="15"/>
      <c r="J11" s="15"/>
      <c r="K11" s="15"/>
      <c r="L11" s="13"/>
      <c r="M11" s="13"/>
      <c r="N11" s="13"/>
      <c r="O11" s="14" t="str">
        <f>IF($N11="","",ROUND(1+($C11*(SUMIFS(OBJECT_CONDITIONS!$D:$D,OBJECT_CONDITIONS!$A:$A,$N11)-1))+($D11*(SUMIFS(OBJECT_CONDITIONS!$F:$F,OBJECT_CONDITIONS!$A:$A,$N11)-1))+($E11*(SUMIFS(OBJECT_CONDITIONS!$H:$H,OBJECT_CONDITIONS!$A:$A,$N11)-1))+($F11*(SUMIFS(OBJECT_CONDITIONS!$J:$J,OBJECT_CONDITIONS!$A:$A,$N11)-1))+($G11*(SUMIFS(OBJECT_CONDITIONS!$L:$L,OBJECT_CONDITIONS!$A:$A,$N11)-1))+($H11*(SUMIFS(OBJECT_CONDITIONS!$N:$N,OBJECT_CONDITIONS!$A:$A,$N11)-1))+($I11*(SUMIFS(OBJECT_CONDITIONS!$P:$P,OBJECT_CONDITIONS!$A:$A,$N11)-1))+($J11*(SUMIFS(OBJECT_CONDITIONS!$R:$R,OBJECT_CONDITIONS!$A:$A,$N11)-1))+($K11*(SUMIFS(OBJECT_CONDITIONS!$T:$T,OBJECT_CONDITIONS!$A:$A,$N11)-1)),3))</f>
        <v/>
      </c>
      <c r="P11" s="13"/>
    </row>
    <row r="12" spans="1:16" x14ac:dyDescent="0.3">
      <c r="A12" s="13"/>
      <c r="B12" s="13"/>
      <c r="C12" s="15"/>
      <c r="D12" s="15"/>
      <c r="E12" s="15"/>
      <c r="F12" s="15"/>
      <c r="G12" s="15"/>
      <c r="H12" s="15"/>
      <c r="I12" s="15"/>
      <c r="J12" s="15"/>
      <c r="K12" s="15"/>
      <c r="L12" s="13"/>
      <c r="M12" s="13"/>
      <c r="N12" s="13"/>
      <c r="O12" s="14" t="str">
        <f>IF($N12="","",ROUND(1+($C12*(SUMIFS(OBJECT_CONDITIONS!$D:$D,OBJECT_CONDITIONS!$A:$A,$N12)-1))+($D12*(SUMIFS(OBJECT_CONDITIONS!$F:$F,OBJECT_CONDITIONS!$A:$A,$N12)-1))+($E12*(SUMIFS(OBJECT_CONDITIONS!$H:$H,OBJECT_CONDITIONS!$A:$A,$N12)-1))+($F12*(SUMIFS(OBJECT_CONDITIONS!$J:$J,OBJECT_CONDITIONS!$A:$A,$N12)-1))+($G12*(SUMIFS(OBJECT_CONDITIONS!$L:$L,OBJECT_CONDITIONS!$A:$A,$N12)-1))+($H12*(SUMIFS(OBJECT_CONDITIONS!$N:$N,OBJECT_CONDITIONS!$A:$A,$N12)-1))+($I12*(SUMIFS(OBJECT_CONDITIONS!$P:$P,OBJECT_CONDITIONS!$A:$A,$N12)-1))+($J12*(SUMIFS(OBJECT_CONDITIONS!$R:$R,OBJECT_CONDITIONS!$A:$A,$N12)-1))+($K12*(SUMIFS(OBJECT_CONDITIONS!$T:$T,OBJECT_CONDITIONS!$A:$A,$N12)-1)),3))</f>
        <v/>
      </c>
      <c r="P12" s="13"/>
    </row>
    <row r="13" spans="1:16" x14ac:dyDescent="0.3">
      <c r="A13" s="13"/>
      <c r="B13" s="13"/>
      <c r="C13" s="15"/>
      <c r="D13" s="15"/>
      <c r="E13" s="15"/>
      <c r="F13" s="15"/>
      <c r="G13" s="15"/>
      <c r="H13" s="15"/>
      <c r="I13" s="15"/>
      <c r="J13" s="15"/>
      <c r="K13" s="15"/>
      <c r="L13" s="13"/>
      <c r="M13" s="13"/>
      <c r="N13" s="13"/>
      <c r="O13" s="14" t="str">
        <f>IF($N13="","",ROUND(1+($C13*(SUMIFS(OBJECT_CONDITIONS!$D:$D,OBJECT_CONDITIONS!$A:$A,$N13)-1))+($D13*(SUMIFS(OBJECT_CONDITIONS!$F:$F,OBJECT_CONDITIONS!$A:$A,$N13)-1))+($E13*(SUMIFS(OBJECT_CONDITIONS!$H:$H,OBJECT_CONDITIONS!$A:$A,$N13)-1))+($F13*(SUMIFS(OBJECT_CONDITIONS!$J:$J,OBJECT_CONDITIONS!$A:$A,$N13)-1))+($G13*(SUMIFS(OBJECT_CONDITIONS!$L:$L,OBJECT_CONDITIONS!$A:$A,$N13)-1))+($H13*(SUMIFS(OBJECT_CONDITIONS!$N:$N,OBJECT_CONDITIONS!$A:$A,$N13)-1))+($I13*(SUMIFS(OBJECT_CONDITIONS!$P:$P,OBJECT_CONDITIONS!$A:$A,$N13)-1))+($J13*(SUMIFS(OBJECT_CONDITIONS!$R:$R,OBJECT_CONDITIONS!$A:$A,$N13)-1))+($K13*(SUMIFS(OBJECT_CONDITIONS!$T:$T,OBJECT_CONDITIONS!$A:$A,$N13)-1)),3))</f>
        <v/>
      </c>
      <c r="P13" s="13"/>
    </row>
    <row r="14" spans="1:16" x14ac:dyDescent="0.3">
      <c r="A14" s="13"/>
      <c r="B14" s="13"/>
      <c r="C14" s="15"/>
      <c r="D14" s="15"/>
      <c r="E14" s="15"/>
      <c r="F14" s="15"/>
      <c r="G14" s="15"/>
      <c r="H14" s="15"/>
      <c r="I14" s="15"/>
      <c r="J14" s="15"/>
      <c r="K14" s="15"/>
      <c r="L14" s="13"/>
      <c r="M14" s="13"/>
      <c r="N14" s="13"/>
      <c r="O14" s="14" t="str">
        <f>IF($N14="","",ROUND(1+($C14*(SUMIFS(OBJECT_CONDITIONS!$D:$D,OBJECT_CONDITIONS!$A:$A,$N14)-1))+($D14*(SUMIFS(OBJECT_CONDITIONS!$F:$F,OBJECT_CONDITIONS!$A:$A,$N14)-1))+($E14*(SUMIFS(OBJECT_CONDITIONS!$H:$H,OBJECT_CONDITIONS!$A:$A,$N14)-1))+($F14*(SUMIFS(OBJECT_CONDITIONS!$J:$J,OBJECT_CONDITIONS!$A:$A,$N14)-1))+($G14*(SUMIFS(OBJECT_CONDITIONS!$L:$L,OBJECT_CONDITIONS!$A:$A,$N14)-1))+($H14*(SUMIFS(OBJECT_CONDITIONS!$N:$N,OBJECT_CONDITIONS!$A:$A,$N14)-1))+($I14*(SUMIFS(OBJECT_CONDITIONS!$P:$P,OBJECT_CONDITIONS!$A:$A,$N14)-1))+($J14*(SUMIFS(OBJECT_CONDITIONS!$R:$R,OBJECT_CONDITIONS!$A:$A,$N14)-1))+($K14*(SUMIFS(OBJECT_CONDITIONS!$T:$T,OBJECT_CONDITIONS!$A:$A,$N14)-1)),3))</f>
        <v/>
      </c>
      <c r="P14" s="13"/>
    </row>
    <row r="15" spans="1:16" x14ac:dyDescent="0.3">
      <c r="A15" s="13"/>
      <c r="B15" s="13"/>
      <c r="C15" s="15"/>
      <c r="D15" s="15"/>
      <c r="E15" s="15"/>
      <c r="F15" s="15"/>
      <c r="G15" s="15"/>
      <c r="H15" s="15"/>
      <c r="I15" s="15"/>
      <c r="J15" s="15"/>
      <c r="K15" s="15"/>
      <c r="L15" s="13"/>
      <c r="M15" s="13"/>
      <c r="N15" s="13"/>
      <c r="O15" s="14" t="str">
        <f>IF($N15="","",ROUND(1+($C15*(SUMIFS(OBJECT_CONDITIONS!$D:$D,OBJECT_CONDITIONS!$A:$A,$N15)-1))+($D15*(SUMIFS(OBJECT_CONDITIONS!$F:$F,OBJECT_CONDITIONS!$A:$A,$N15)-1))+($E15*(SUMIFS(OBJECT_CONDITIONS!$H:$H,OBJECT_CONDITIONS!$A:$A,$N15)-1))+($F15*(SUMIFS(OBJECT_CONDITIONS!$J:$J,OBJECT_CONDITIONS!$A:$A,$N15)-1))+($G15*(SUMIFS(OBJECT_CONDITIONS!$L:$L,OBJECT_CONDITIONS!$A:$A,$N15)-1))+($H15*(SUMIFS(OBJECT_CONDITIONS!$N:$N,OBJECT_CONDITIONS!$A:$A,$N15)-1))+($I15*(SUMIFS(OBJECT_CONDITIONS!$P:$P,OBJECT_CONDITIONS!$A:$A,$N15)-1))+($J15*(SUMIFS(OBJECT_CONDITIONS!$R:$R,OBJECT_CONDITIONS!$A:$A,$N15)-1))+($K15*(SUMIFS(OBJECT_CONDITIONS!$T:$T,OBJECT_CONDITIONS!$A:$A,$N15)-1)),3))</f>
        <v/>
      </c>
      <c r="P15" s="13"/>
    </row>
    <row r="16" spans="1:16" x14ac:dyDescent="0.3">
      <c r="A16" s="13"/>
      <c r="B16" s="13"/>
      <c r="C16" s="15"/>
      <c r="D16" s="15"/>
      <c r="E16" s="15"/>
      <c r="F16" s="15"/>
      <c r="G16" s="15"/>
      <c r="H16" s="15"/>
      <c r="I16" s="15"/>
      <c r="J16" s="15"/>
      <c r="K16" s="15"/>
      <c r="L16" s="13"/>
      <c r="M16" s="13"/>
      <c r="N16" s="13"/>
      <c r="O16" s="14" t="str">
        <f>IF($N16="","",ROUND(1+($C16*(SUMIFS(OBJECT_CONDITIONS!$D:$D,OBJECT_CONDITIONS!$A:$A,$N16)-1))+($D16*(SUMIFS(OBJECT_CONDITIONS!$F:$F,OBJECT_CONDITIONS!$A:$A,$N16)-1))+($E16*(SUMIFS(OBJECT_CONDITIONS!$H:$H,OBJECT_CONDITIONS!$A:$A,$N16)-1))+($F16*(SUMIFS(OBJECT_CONDITIONS!$J:$J,OBJECT_CONDITIONS!$A:$A,$N16)-1))+($G16*(SUMIFS(OBJECT_CONDITIONS!$L:$L,OBJECT_CONDITIONS!$A:$A,$N16)-1))+($H16*(SUMIFS(OBJECT_CONDITIONS!$N:$N,OBJECT_CONDITIONS!$A:$A,$N16)-1))+($I16*(SUMIFS(OBJECT_CONDITIONS!$P:$P,OBJECT_CONDITIONS!$A:$A,$N16)-1))+($J16*(SUMIFS(OBJECT_CONDITIONS!$R:$R,OBJECT_CONDITIONS!$A:$A,$N16)-1))+($K16*(SUMIFS(OBJECT_CONDITIONS!$T:$T,OBJECT_CONDITIONS!$A:$A,$N16)-1)),3))</f>
        <v/>
      </c>
      <c r="P16" s="13"/>
    </row>
    <row r="17" spans="1:16" x14ac:dyDescent="0.3">
      <c r="A17" s="13"/>
      <c r="B17" s="13"/>
      <c r="C17" s="15"/>
      <c r="D17" s="15"/>
      <c r="E17" s="15"/>
      <c r="F17" s="15"/>
      <c r="G17" s="15"/>
      <c r="H17" s="15"/>
      <c r="I17" s="15"/>
      <c r="J17" s="15"/>
      <c r="K17" s="15"/>
      <c r="L17" s="13"/>
      <c r="M17" s="13"/>
      <c r="N17" s="13"/>
      <c r="O17" s="14" t="str">
        <f>IF($N17="","",ROUND(1+($C17*(SUMIFS(OBJECT_CONDITIONS!$D:$D,OBJECT_CONDITIONS!$A:$A,$N17)-1))+($D17*(SUMIFS(OBJECT_CONDITIONS!$F:$F,OBJECT_CONDITIONS!$A:$A,$N17)-1))+($E17*(SUMIFS(OBJECT_CONDITIONS!$H:$H,OBJECT_CONDITIONS!$A:$A,$N17)-1))+($F17*(SUMIFS(OBJECT_CONDITIONS!$J:$J,OBJECT_CONDITIONS!$A:$A,$N17)-1))+($G17*(SUMIFS(OBJECT_CONDITIONS!$L:$L,OBJECT_CONDITIONS!$A:$A,$N17)-1))+($H17*(SUMIFS(OBJECT_CONDITIONS!$N:$N,OBJECT_CONDITIONS!$A:$A,$N17)-1))+($I17*(SUMIFS(OBJECT_CONDITIONS!$P:$P,OBJECT_CONDITIONS!$A:$A,$N17)-1))+($J17*(SUMIFS(OBJECT_CONDITIONS!$R:$R,OBJECT_CONDITIONS!$A:$A,$N17)-1))+($K17*(SUMIFS(OBJECT_CONDITIONS!$T:$T,OBJECT_CONDITIONS!$A:$A,$N17)-1)),3))</f>
        <v/>
      </c>
      <c r="P17" s="13"/>
    </row>
    <row r="18" spans="1:16" x14ac:dyDescent="0.3">
      <c r="A18" s="13"/>
      <c r="B18" s="13"/>
      <c r="C18" s="15"/>
      <c r="D18" s="15"/>
      <c r="E18" s="15"/>
      <c r="F18" s="15"/>
      <c r="G18" s="15"/>
      <c r="H18" s="15"/>
      <c r="I18" s="15"/>
      <c r="J18" s="15"/>
      <c r="K18" s="15"/>
      <c r="L18" s="13"/>
      <c r="M18" s="13"/>
      <c r="N18" s="13"/>
      <c r="O18" s="14" t="str">
        <f>IF($N18="","",ROUND(1+($C18*(SUMIFS(OBJECT_CONDITIONS!$D:$D,OBJECT_CONDITIONS!$A:$A,$N18)-1))+($D18*(SUMIFS(OBJECT_CONDITIONS!$F:$F,OBJECT_CONDITIONS!$A:$A,$N18)-1))+($E18*(SUMIFS(OBJECT_CONDITIONS!$H:$H,OBJECT_CONDITIONS!$A:$A,$N18)-1))+($F18*(SUMIFS(OBJECT_CONDITIONS!$J:$J,OBJECT_CONDITIONS!$A:$A,$N18)-1))+($G18*(SUMIFS(OBJECT_CONDITIONS!$L:$L,OBJECT_CONDITIONS!$A:$A,$N18)-1))+($H18*(SUMIFS(OBJECT_CONDITIONS!$N:$N,OBJECT_CONDITIONS!$A:$A,$N18)-1))+($I18*(SUMIFS(OBJECT_CONDITIONS!$P:$P,OBJECT_CONDITIONS!$A:$A,$N18)-1))+($J18*(SUMIFS(OBJECT_CONDITIONS!$R:$R,OBJECT_CONDITIONS!$A:$A,$N18)-1))+($K18*(SUMIFS(OBJECT_CONDITIONS!$T:$T,OBJECT_CONDITIONS!$A:$A,$N18)-1)),3))</f>
        <v/>
      </c>
      <c r="P18" s="13"/>
    </row>
    <row r="19" spans="1:16" x14ac:dyDescent="0.3">
      <c r="A19" s="13"/>
      <c r="B19" s="13"/>
      <c r="C19" s="15"/>
      <c r="D19" s="15"/>
      <c r="E19" s="15"/>
      <c r="F19" s="15"/>
      <c r="G19" s="15"/>
      <c r="H19" s="15"/>
      <c r="I19" s="15"/>
      <c r="J19" s="15"/>
      <c r="K19" s="15"/>
      <c r="L19" s="13"/>
      <c r="M19" s="13"/>
      <c r="N19" s="13"/>
      <c r="O19" s="14" t="str">
        <f>IF($N19="","",ROUND(1+($C19*(SUMIFS(OBJECT_CONDITIONS!$D:$D,OBJECT_CONDITIONS!$A:$A,$N19)-1))+($D19*(SUMIFS(OBJECT_CONDITIONS!$F:$F,OBJECT_CONDITIONS!$A:$A,$N19)-1))+($E19*(SUMIFS(OBJECT_CONDITIONS!$H:$H,OBJECT_CONDITIONS!$A:$A,$N19)-1))+($F19*(SUMIFS(OBJECT_CONDITIONS!$J:$J,OBJECT_CONDITIONS!$A:$A,$N19)-1))+($G19*(SUMIFS(OBJECT_CONDITIONS!$L:$L,OBJECT_CONDITIONS!$A:$A,$N19)-1))+($H19*(SUMIFS(OBJECT_CONDITIONS!$N:$N,OBJECT_CONDITIONS!$A:$A,$N19)-1))+($I19*(SUMIFS(OBJECT_CONDITIONS!$P:$P,OBJECT_CONDITIONS!$A:$A,$N19)-1))+($J19*(SUMIFS(OBJECT_CONDITIONS!$R:$R,OBJECT_CONDITIONS!$A:$A,$N19)-1))+($K19*(SUMIFS(OBJECT_CONDITIONS!$T:$T,OBJECT_CONDITIONS!$A:$A,$N19)-1)),3))</f>
        <v/>
      </c>
      <c r="P19" s="13"/>
    </row>
    <row r="20" spans="1:16" x14ac:dyDescent="0.3">
      <c r="A20" s="13"/>
      <c r="B20" s="13"/>
      <c r="C20" s="15"/>
      <c r="D20" s="15"/>
      <c r="E20" s="15"/>
      <c r="F20" s="15"/>
      <c r="G20" s="15"/>
      <c r="H20" s="15"/>
      <c r="I20" s="15"/>
      <c r="J20" s="15"/>
      <c r="K20" s="15"/>
      <c r="L20" s="13"/>
      <c r="M20" s="13"/>
      <c r="N20" s="13"/>
      <c r="O20" s="14" t="str">
        <f>IF($N20="","",ROUND(1+($C20*(SUMIFS(OBJECT_CONDITIONS!$D:$D,OBJECT_CONDITIONS!$A:$A,$N20)-1))+($D20*(SUMIFS(OBJECT_CONDITIONS!$F:$F,OBJECT_CONDITIONS!$A:$A,$N20)-1))+($E20*(SUMIFS(OBJECT_CONDITIONS!$H:$H,OBJECT_CONDITIONS!$A:$A,$N20)-1))+($F20*(SUMIFS(OBJECT_CONDITIONS!$J:$J,OBJECT_CONDITIONS!$A:$A,$N20)-1))+($G20*(SUMIFS(OBJECT_CONDITIONS!$L:$L,OBJECT_CONDITIONS!$A:$A,$N20)-1))+($H20*(SUMIFS(OBJECT_CONDITIONS!$N:$N,OBJECT_CONDITIONS!$A:$A,$N20)-1))+($I20*(SUMIFS(OBJECT_CONDITIONS!$P:$P,OBJECT_CONDITIONS!$A:$A,$N20)-1))+($J20*(SUMIFS(OBJECT_CONDITIONS!$R:$R,OBJECT_CONDITIONS!$A:$A,$N20)-1))+($K20*(SUMIFS(OBJECT_CONDITIONS!$T:$T,OBJECT_CONDITIONS!$A:$A,$N20)-1)),3))</f>
        <v/>
      </c>
      <c r="P20" s="13"/>
    </row>
    <row r="21" spans="1:16" x14ac:dyDescent="0.3">
      <c r="A21" s="13"/>
      <c r="B21" s="13"/>
      <c r="C21" s="15"/>
      <c r="D21" s="15"/>
      <c r="E21" s="15"/>
      <c r="F21" s="15"/>
      <c r="G21" s="15"/>
      <c r="H21" s="15"/>
      <c r="I21" s="15"/>
      <c r="J21" s="15"/>
      <c r="K21" s="15"/>
      <c r="L21" s="13"/>
      <c r="M21" s="13"/>
      <c r="N21" s="13"/>
      <c r="O21" s="14" t="str">
        <f>IF($N21="","",ROUND(1+($C21*(SUMIFS(OBJECT_CONDITIONS!$D:$D,OBJECT_CONDITIONS!$A:$A,$N21)-1))+($D21*(SUMIFS(OBJECT_CONDITIONS!$F:$F,OBJECT_CONDITIONS!$A:$A,$N21)-1))+($E21*(SUMIFS(OBJECT_CONDITIONS!$H:$H,OBJECT_CONDITIONS!$A:$A,$N21)-1))+($F21*(SUMIFS(OBJECT_CONDITIONS!$J:$J,OBJECT_CONDITIONS!$A:$A,$N21)-1))+($G21*(SUMIFS(OBJECT_CONDITIONS!$L:$L,OBJECT_CONDITIONS!$A:$A,$N21)-1))+($H21*(SUMIFS(OBJECT_CONDITIONS!$N:$N,OBJECT_CONDITIONS!$A:$A,$N21)-1))+($I21*(SUMIFS(OBJECT_CONDITIONS!$P:$P,OBJECT_CONDITIONS!$A:$A,$N21)-1))+($J21*(SUMIFS(OBJECT_CONDITIONS!$R:$R,OBJECT_CONDITIONS!$A:$A,$N21)-1))+($K21*(SUMIFS(OBJECT_CONDITIONS!$T:$T,OBJECT_CONDITIONS!$A:$A,$N21)-1)),3))</f>
        <v/>
      </c>
      <c r="P21" s="13"/>
    </row>
    <row r="22" spans="1:16" x14ac:dyDescent="0.3">
      <c r="A22" s="13"/>
      <c r="B22" s="13"/>
      <c r="C22" s="15"/>
      <c r="D22" s="15"/>
      <c r="E22" s="15"/>
      <c r="F22" s="15"/>
      <c r="G22" s="15"/>
      <c r="H22" s="15"/>
      <c r="I22" s="15"/>
      <c r="J22" s="15"/>
      <c r="K22" s="15"/>
      <c r="L22" s="13"/>
      <c r="M22" s="13"/>
      <c r="N22" s="13"/>
      <c r="O22" s="14" t="str">
        <f>IF($N22="","",ROUND(1+($C22*(SUMIFS(OBJECT_CONDITIONS!$D:$D,OBJECT_CONDITIONS!$A:$A,$N22)-1))+($D22*(SUMIFS(OBJECT_CONDITIONS!$F:$F,OBJECT_CONDITIONS!$A:$A,$N22)-1))+($E22*(SUMIFS(OBJECT_CONDITIONS!$H:$H,OBJECT_CONDITIONS!$A:$A,$N22)-1))+($F22*(SUMIFS(OBJECT_CONDITIONS!$J:$J,OBJECT_CONDITIONS!$A:$A,$N22)-1))+($G22*(SUMIFS(OBJECT_CONDITIONS!$L:$L,OBJECT_CONDITIONS!$A:$A,$N22)-1))+($H22*(SUMIFS(OBJECT_CONDITIONS!$N:$N,OBJECT_CONDITIONS!$A:$A,$N22)-1))+($I22*(SUMIFS(OBJECT_CONDITIONS!$P:$P,OBJECT_CONDITIONS!$A:$A,$N22)-1))+($J22*(SUMIFS(OBJECT_CONDITIONS!$R:$R,OBJECT_CONDITIONS!$A:$A,$N22)-1))+($K22*(SUMIFS(OBJECT_CONDITIONS!$T:$T,OBJECT_CONDITIONS!$A:$A,$N22)-1)),3))</f>
        <v/>
      </c>
      <c r="P22" s="13"/>
    </row>
    <row r="23" spans="1:16" x14ac:dyDescent="0.3">
      <c r="A23" s="13"/>
      <c r="B23" s="13"/>
      <c r="C23" s="15"/>
      <c r="D23" s="15"/>
      <c r="E23" s="15"/>
      <c r="F23" s="15"/>
      <c r="G23" s="15"/>
      <c r="H23" s="15"/>
      <c r="I23" s="15"/>
      <c r="J23" s="15"/>
      <c r="K23" s="15"/>
      <c r="L23" s="13"/>
      <c r="M23" s="13"/>
      <c r="N23" s="13"/>
      <c r="O23" s="14" t="str">
        <f>IF($N23="","",ROUND(1+($C23*(SUMIFS(OBJECT_CONDITIONS!$D:$D,OBJECT_CONDITIONS!$A:$A,$N23)-1))+($D23*(SUMIFS(OBJECT_CONDITIONS!$F:$F,OBJECT_CONDITIONS!$A:$A,$N23)-1))+($E23*(SUMIFS(OBJECT_CONDITIONS!$H:$H,OBJECT_CONDITIONS!$A:$A,$N23)-1))+($F23*(SUMIFS(OBJECT_CONDITIONS!$J:$J,OBJECT_CONDITIONS!$A:$A,$N23)-1))+($G23*(SUMIFS(OBJECT_CONDITIONS!$L:$L,OBJECT_CONDITIONS!$A:$A,$N23)-1))+($H23*(SUMIFS(OBJECT_CONDITIONS!$N:$N,OBJECT_CONDITIONS!$A:$A,$N23)-1))+($I23*(SUMIFS(OBJECT_CONDITIONS!$P:$P,OBJECT_CONDITIONS!$A:$A,$N23)-1))+($J23*(SUMIFS(OBJECT_CONDITIONS!$R:$R,OBJECT_CONDITIONS!$A:$A,$N23)-1))+($K23*(SUMIFS(OBJECT_CONDITIONS!$T:$T,OBJECT_CONDITIONS!$A:$A,$N23)-1)),3))</f>
        <v/>
      </c>
      <c r="P23" s="13"/>
    </row>
    <row r="24" spans="1:16" x14ac:dyDescent="0.3">
      <c r="A24" s="13"/>
      <c r="B24" s="13"/>
      <c r="C24" s="15"/>
      <c r="D24" s="15"/>
      <c r="E24" s="15"/>
      <c r="F24" s="15"/>
      <c r="G24" s="15"/>
      <c r="H24" s="15"/>
      <c r="I24" s="15"/>
      <c r="J24" s="15"/>
      <c r="K24" s="15"/>
      <c r="L24" s="13"/>
      <c r="M24" s="13"/>
      <c r="N24" s="13"/>
      <c r="O24" s="14" t="str">
        <f>IF($N24="","",ROUND(1+($C24*(SUMIFS(OBJECT_CONDITIONS!$D:$D,OBJECT_CONDITIONS!$A:$A,$N24)-1))+($D24*(SUMIFS(OBJECT_CONDITIONS!$F:$F,OBJECT_CONDITIONS!$A:$A,$N24)-1))+($E24*(SUMIFS(OBJECT_CONDITIONS!$H:$H,OBJECT_CONDITIONS!$A:$A,$N24)-1))+($F24*(SUMIFS(OBJECT_CONDITIONS!$J:$J,OBJECT_CONDITIONS!$A:$A,$N24)-1))+($G24*(SUMIFS(OBJECT_CONDITIONS!$L:$L,OBJECT_CONDITIONS!$A:$A,$N24)-1))+($H24*(SUMIFS(OBJECT_CONDITIONS!$N:$N,OBJECT_CONDITIONS!$A:$A,$N24)-1))+($I24*(SUMIFS(OBJECT_CONDITIONS!$P:$P,OBJECT_CONDITIONS!$A:$A,$N24)-1))+($J24*(SUMIFS(OBJECT_CONDITIONS!$R:$R,OBJECT_CONDITIONS!$A:$A,$N24)-1))+($K24*(SUMIFS(OBJECT_CONDITIONS!$T:$T,OBJECT_CONDITIONS!$A:$A,$N24)-1)),3))</f>
        <v/>
      </c>
      <c r="P24" s="13"/>
    </row>
    <row r="25" spans="1:16" x14ac:dyDescent="0.3">
      <c r="A25" s="13"/>
      <c r="B25" s="13"/>
      <c r="C25" s="15"/>
      <c r="D25" s="15"/>
      <c r="E25" s="15"/>
      <c r="F25" s="15"/>
      <c r="G25" s="15"/>
      <c r="H25" s="15"/>
      <c r="I25" s="15"/>
      <c r="J25" s="15"/>
      <c r="K25" s="15"/>
      <c r="L25" s="13"/>
      <c r="M25" s="13"/>
      <c r="N25" s="13"/>
      <c r="O25" s="14" t="str">
        <f>IF($N25="","",ROUND(1+($C25*(SUMIFS(OBJECT_CONDITIONS!$D:$D,OBJECT_CONDITIONS!$A:$A,$N25)-1))+($D25*(SUMIFS(OBJECT_CONDITIONS!$F:$F,OBJECT_CONDITIONS!$A:$A,$N25)-1))+($E25*(SUMIFS(OBJECT_CONDITIONS!$H:$H,OBJECT_CONDITIONS!$A:$A,$N25)-1))+($F25*(SUMIFS(OBJECT_CONDITIONS!$J:$J,OBJECT_CONDITIONS!$A:$A,$N25)-1))+($G25*(SUMIFS(OBJECT_CONDITIONS!$L:$L,OBJECT_CONDITIONS!$A:$A,$N25)-1))+($H25*(SUMIFS(OBJECT_CONDITIONS!$N:$N,OBJECT_CONDITIONS!$A:$A,$N25)-1))+($I25*(SUMIFS(OBJECT_CONDITIONS!$P:$P,OBJECT_CONDITIONS!$A:$A,$N25)-1))+($J25*(SUMIFS(OBJECT_CONDITIONS!$R:$R,OBJECT_CONDITIONS!$A:$A,$N25)-1))+($K25*(SUMIFS(OBJECT_CONDITIONS!$T:$T,OBJECT_CONDITIONS!$A:$A,$N25)-1)),3))</f>
        <v/>
      </c>
      <c r="P25" s="13"/>
    </row>
    <row r="26" spans="1:16" x14ac:dyDescent="0.3">
      <c r="A26" s="13"/>
      <c r="B26" s="13"/>
      <c r="C26" s="15"/>
      <c r="D26" s="15"/>
      <c r="E26" s="15"/>
      <c r="F26" s="15"/>
      <c r="G26" s="15"/>
      <c r="H26" s="15"/>
      <c r="I26" s="15"/>
      <c r="J26" s="15"/>
      <c r="K26" s="15"/>
      <c r="L26" s="13"/>
      <c r="M26" s="13"/>
      <c r="N26" s="13"/>
      <c r="O26" s="14" t="str">
        <f>IF($N26="","",ROUND(1+($C26*(SUMIFS(OBJECT_CONDITIONS!$D:$D,OBJECT_CONDITIONS!$A:$A,$N26)-1))+($D26*(SUMIFS(OBJECT_CONDITIONS!$F:$F,OBJECT_CONDITIONS!$A:$A,$N26)-1))+($E26*(SUMIFS(OBJECT_CONDITIONS!$H:$H,OBJECT_CONDITIONS!$A:$A,$N26)-1))+($F26*(SUMIFS(OBJECT_CONDITIONS!$J:$J,OBJECT_CONDITIONS!$A:$A,$N26)-1))+($G26*(SUMIFS(OBJECT_CONDITIONS!$L:$L,OBJECT_CONDITIONS!$A:$A,$N26)-1))+($H26*(SUMIFS(OBJECT_CONDITIONS!$N:$N,OBJECT_CONDITIONS!$A:$A,$N26)-1))+($I26*(SUMIFS(OBJECT_CONDITIONS!$P:$P,OBJECT_CONDITIONS!$A:$A,$N26)-1))+($J26*(SUMIFS(OBJECT_CONDITIONS!$R:$R,OBJECT_CONDITIONS!$A:$A,$N26)-1))+($K26*(SUMIFS(OBJECT_CONDITIONS!$T:$T,OBJECT_CONDITIONS!$A:$A,$N26)-1)),3))</f>
        <v/>
      </c>
      <c r="P26" s="13"/>
    </row>
    <row r="27" spans="1:16" x14ac:dyDescent="0.3">
      <c r="A27" s="13"/>
      <c r="B27" s="13"/>
      <c r="C27" s="15"/>
      <c r="D27" s="15"/>
      <c r="E27" s="15"/>
      <c r="F27" s="15"/>
      <c r="G27" s="15"/>
      <c r="H27" s="15"/>
      <c r="I27" s="15"/>
      <c r="J27" s="15"/>
      <c r="K27" s="15"/>
      <c r="L27" s="13"/>
      <c r="M27" s="13"/>
      <c r="N27" s="13"/>
      <c r="O27" s="14" t="str">
        <f>IF($N27="","",ROUND(1+($C27*(SUMIFS(OBJECT_CONDITIONS!$D:$D,OBJECT_CONDITIONS!$A:$A,$N27)-1))+($D27*(SUMIFS(OBJECT_CONDITIONS!$F:$F,OBJECT_CONDITIONS!$A:$A,$N27)-1))+($E27*(SUMIFS(OBJECT_CONDITIONS!$H:$H,OBJECT_CONDITIONS!$A:$A,$N27)-1))+($F27*(SUMIFS(OBJECT_CONDITIONS!$J:$J,OBJECT_CONDITIONS!$A:$A,$N27)-1))+($G27*(SUMIFS(OBJECT_CONDITIONS!$L:$L,OBJECT_CONDITIONS!$A:$A,$N27)-1))+($H27*(SUMIFS(OBJECT_CONDITIONS!$N:$N,OBJECT_CONDITIONS!$A:$A,$N27)-1))+($I27*(SUMIFS(OBJECT_CONDITIONS!$P:$P,OBJECT_CONDITIONS!$A:$A,$N27)-1))+($J27*(SUMIFS(OBJECT_CONDITIONS!$R:$R,OBJECT_CONDITIONS!$A:$A,$N27)-1))+($K27*(SUMIFS(OBJECT_CONDITIONS!$T:$T,OBJECT_CONDITIONS!$A:$A,$N27)-1)),3))</f>
        <v/>
      </c>
      <c r="P27" s="13"/>
    </row>
    <row r="28" spans="1:16" x14ac:dyDescent="0.3">
      <c r="A28" s="13"/>
      <c r="B28" s="13"/>
      <c r="C28" s="15"/>
      <c r="D28" s="15"/>
      <c r="E28" s="15"/>
      <c r="F28" s="15"/>
      <c r="G28" s="15"/>
      <c r="H28" s="15"/>
      <c r="I28" s="15"/>
      <c r="J28" s="15"/>
      <c r="K28" s="15"/>
      <c r="L28" s="13"/>
      <c r="M28" s="13"/>
      <c r="N28" s="13"/>
      <c r="O28" s="14" t="str">
        <f>IF($N28="","",ROUND(1+($C28*(SUMIFS(OBJECT_CONDITIONS!$D:$D,OBJECT_CONDITIONS!$A:$A,$N28)-1))+($D28*(SUMIFS(OBJECT_CONDITIONS!$F:$F,OBJECT_CONDITIONS!$A:$A,$N28)-1))+($E28*(SUMIFS(OBJECT_CONDITIONS!$H:$H,OBJECT_CONDITIONS!$A:$A,$N28)-1))+($F28*(SUMIFS(OBJECT_CONDITIONS!$J:$J,OBJECT_CONDITIONS!$A:$A,$N28)-1))+($G28*(SUMIFS(OBJECT_CONDITIONS!$L:$L,OBJECT_CONDITIONS!$A:$A,$N28)-1))+($H28*(SUMIFS(OBJECT_CONDITIONS!$N:$N,OBJECT_CONDITIONS!$A:$A,$N28)-1))+($I28*(SUMIFS(OBJECT_CONDITIONS!$P:$P,OBJECT_CONDITIONS!$A:$A,$N28)-1))+($J28*(SUMIFS(OBJECT_CONDITIONS!$R:$R,OBJECT_CONDITIONS!$A:$A,$N28)-1))+($K28*(SUMIFS(OBJECT_CONDITIONS!$T:$T,OBJECT_CONDITIONS!$A:$A,$N28)-1)),3))</f>
        <v/>
      </c>
      <c r="P28" s="13"/>
    </row>
    <row r="29" spans="1:16" x14ac:dyDescent="0.3">
      <c r="A29" s="13"/>
      <c r="B29" s="13"/>
      <c r="C29" s="15"/>
      <c r="D29" s="15"/>
      <c r="E29" s="15"/>
      <c r="F29" s="15"/>
      <c r="G29" s="15"/>
      <c r="H29" s="15"/>
      <c r="I29" s="15"/>
      <c r="J29" s="15"/>
      <c r="K29" s="15"/>
      <c r="L29" s="13"/>
      <c r="M29" s="13"/>
      <c r="N29" s="13"/>
      <c r="O29" s="14" t="str">
        <f>IF($N29="","",ROUND(1+($C29*(SUMIFS(OBJECT_CONDITIONS!$D:$D,OBJECT_CONDITIONS!$A:$A,$N29)-1))+($D29*(SUMIFS(OBJECT_CONDITIONS!$F:$F,OBJECT_CONDITIONS!$A:$A,$N29)-1))+($E29*(SUMIFS(OBJECT_CONDITIONS!$H:$H,OBJECT_CONDITIONS!$A:$A,$N29)-1))+($F29*(SUMIFS(OBJECT_CONDITIONS!$J:$J,OBJECT_CONDITIONS!$A:$A,$N29)-1))+($G29*(SUMIFS(OBJECT_CONDITIONS!$L:$L,OBJECT_CONDITIONS!$A:$A,$N29)-1))+($H29*(SUMIFS(OBJECT_CONDITIONS!$N:$N,OBJECT_CONDITIONS!$A:$A,$N29)-1))+($I29*(SUMIFS(OBJECT_CONDITIONS!$P:$P,OBJECT_CONDITIONS!$A:$A,$N29)-1))+($J29*(SUMIFS(OBJECT_CONDITIONS!$R:$R,OBJECT_CONDITIONS!$A:$A,$N29)-1))+($K29*(SUMIFS(OBJECT_CONDITIONS!$T:$T,OBJECT_CONDITIONS!$A:$A,$N29)-1)),3))</f>
        <v/>
      </c>
      <c r="P29" s="13"/>
    </row>
    <row r="30" spans="1:16" x14ac:dyDescent="0.3">
      <c r="A30" s="13"/>
      <c r="B30" s="13"/>
      <c r="C30" s="15"/>
      <c r="D30" s="15"/>
      <c r="E30" s="15"/>
      <c r="F30" s="15"/>
      <c r="G30" s="15"/>
      <c r="H30" s="15"/>
      <c r="I30" s="15"/>
      <c r="J30" s="15"/>
      <c r="K30" s="15"/>
      <c r="L30" s="13"/>
      <c r="M30" s="13"/>
      <c r="N30" s="13"/>
      <c r="O30" s="14" t="str">
        <f>IF($N30="","",ROUND(1+($C30*(SUMIFS(OBJECT_CONDITIONS!$D:$D,OBJECT_CONDITIONS!$A:$A,$N30)-1))+($D30*(SUMIFS(OBJECT_CONDITIONS!$F:$F,OBJECT_CONDITIONS!$A:$A,$N30)-1))+($E30*(SUMIFS(OBJECT_CONDITIONS!$H:$H,OBJECT_CONDITIONS!$A:$A,$N30)-1))+($F30*(SUMIFS(OBJECT_CONDITIONS!$J:$J,OBJECT_CONDITIONS!$A:$A,$N30)-1))+($G30*(SUMIFS(OBJECT_CONDITIONS!$L:$L,OBJECT_CONDITIONS!$A:$A,$N30)-1))+($H30*(SUMIFS(OBJECT_CONDITIONS!$N:$N,OBJECT_CONDITIONS!$A:$A,$N30)-1))+($I30*(SUMIFS(OBJECT_CONDITIONS!$P:$P,OBJECT_CONDITIONS!$A:$A,$N30)-1))+($J30*(SUMIFS(OBJECT_CONDITIONS!$R:$R,OBJECT_CONDITIONS!$A:$A,$N30)-1))+($K30*(SUMIFS(OBJECT_CONDITIONS!$T:$T,OBJECT_CONDITIONS!$A:$A,$N30)-1)),3))</f>
        <v/>
      </c>
      <c r="P30" s="13"/>
    </row>
    <row r="31" spans="1:16" x14ac:dyDescent="0.3">
      <c r="A31" s="13"/>
      <c r="B31" s="13"/>
      <c r="C31" s="15"/>
      <c r="D31" s="15"/>
      <c r="E31" s="15"/>
      <c r="F31" s="15"/>
      <c r="G31" s="15"/>
      <c r="H31" s="15"/>
      <c r="I31" s="15"/>
      <c r="J31" s="15"/>
      <c r="K31" s="15"/>
      <c r="L31" s="13"/>
      <c r="M31" s="13"/>
      <c r="N31" s="13"/>
      <c r="O31" s="14" t="str">
        <f>IF($N31="","",ROUND(1+($C31*(SUMIFS(OBJECT_CONDITIONS!$D:$D,OBJECT_CONDITIONS!$A:$A,$N31)-1))+($D31*(SUMIFS(OBJECT_CONDITIONS!$F:$F,OBJECT_CONDITIONS!$A:$A,$N31)-1))+($E31*(SUMIFS(OBJECT_CONDITIONS!$H:$H,OBJECT_CONDITIONS!$A:$A,$N31)-1))+($F31*(SUMIFS(OBJECT_CONDITIONS!$J:$J,OBJECT_CONDITIONS!$A:$A,$N31)-1))+($G31*(SUMIFS(OBJECT_CONDITIONS!$L:$L,OBJECT_CONDITIONS!$A:$A,$N31)-1))+($H31*(SUMIFS(OBJECT_CONDITIONS!$N:$N,OBJECT_CONDITIONS!$A:$A,$N31)-1))+($I31*(SUMIFS(OBJECT_CONDITIONS!$P:$P,OBJECT_CONDITIONS!$A:$A,$N31)-1))+($J31*(SUMIFS(OBJECT_CONDITIONS!$R:$R,OBJECT_CONDITIONS!$A:$A,$N31)-1))+($K31*(SUMIFS(OBJECT_CONDITIONS!$T:$T,OBJECT_CONDITIONS!$A:$A,$N31)-1)),3))</f>
        <v/>
      </c>
      <c r="P31" s="13"/>
    </row>
    <row r="32" spans="1:16" x14ac:dyDescent="0.3">
      <c r="A32" s="13"/>
      <c r="B32" s="13"/>
      <c r="C32" s="15"/>
      <c r="D32" s="15"/>
      <c r="E32" s="15"/>
      <c r="F32" s="15"/>
      <c r="G32" s="15"/>
      <c r="H32" s="15"/>
      <c r="I32" s="15"/>
      <c r="J32" s="15"/>
      <c r="K32" s="15"/>
      <c r="L32" s="13"/>
      <c r="M32" s="13"/>
      <c r="N32" s="13"/>
      <c r="O32" s="14" t="str">
        <f>IF($N32="","",ROUND(1+($C32*(SUMIFS(OBJECT_CONDITIONS!$D:$D,OBJECT_CONDITIONS!$A:$A,$N32)-1))+($D32*(SUMIFS(OBJECT_CONDITIONS!$F:$F,OBJECT_CONDITIONS!$A:$A,$N32)-1))+($E32*(SUMIFS(OBJECT_CONDITIONS!$H:$H,OBJECT_CONDITIONS!$A:$A,$N32)-1))+($F32*(SUMIFS(OBJECT_CONDITIONS!$J:$J,OBJECT_CONDITIONS!$A:$A,$N32)-1))+($G32*(SUMIFS(OBJECT_CONDITIONS!$L:$L,OBJECT_CONDITIONS!$A:$A,$N32)-1))+($H32*(SUMIFS(OBJECT_CONDITIONS!$N:$N,OBJECT_CONDITIONS!$A:$A,$N32)-1))+($I32*(SUMIFS(OBJECT_CONDITIONS!$P:$P,OBJECT_CONDITIONS!$A:$A,$N32)-1))+($J32*(SUMIFS(OBJECT_CONDITIONS!$R:$R,OBJECT_CONDITIONS!$A:$A,$N32)-1))+($K32*(SUMIFS(OBJECT_CONDITIONS!$T:$T,OBJECT_CONDITIONS!$A:$A,$N32)-1)),3))</f>
        <v/>
      </c>
      <c r="P32" s="13"/>
    </row>
    <row r="33" spans="1:16" x14ac:dyDescent="0.3">
      <c r="A33" s="13"/>
      <c r="B33" s="13"/>
      <c r="C33" s="15"/>
      <c r="D33" s="15"/>
      <c r="E33" s="15"/>
      <c r="F33" s="15"/>
      <c r="G33" s="15"/>
      <c r="H33" s="15"/>
      <c r="I33" s="15"/>
      <c r="J33" s="15"/>
      <c r="K33" s="15"/>
      <c r="L33" s="13"/>
      <c r="M33" s="13"/>
      <c r="N33" s="13"/>
      <c r="O33" s="14" t="str">
        <f>IF($N33="","",ROUND(1+($C33*(SUMIFS(OBJECT_CONDITIONS!$D:$D,OBJECT_CONDITIONS!$A:$A,$N33)-1))+($D33*(SUMIFS(OBJECT_CONDITIONS!$F:$F,OBJECT_CONDITIONS!$A:$A,$N33)-1))+($E33*(SUMIFS(OBJECT_CONDITIONS!$H:$H,OBJECT_CONDITIONS!$A:$A,$N33)-1))+($F33*(SUMIFS(OBJECT_CONDITIONS!$J:$J,OBJECT_CONDITIONS!$A:$A,$N33)-1))+($G33*(SUMIFS(OBJECT_CONDITIONS!$L:$L,OBJECT_CONDITIONS!$A:$A,$N33)-1))+($H33*(SUMIFS(OBJECT_CONDITIONS!$N:$N,OBJECT_CONDITIONS!$A:$A,$N33)-1))+($I33*(SUMIFS(OBJECT_CONDITIONS!$P:$P,OBJECT_CONDITIONS!$A:$A,$N33)-1))+($J33*(SUMIFS(OBJECT_CONDITIONS!$R:$R,OBJECT_CONDITIONS!$A:$A,$N33)-1))+($K33*(SUMIFS(OBJECT_CONDITIONS!$T:$T,OBJECT_CONDITIONS!$A:$A,$N33)-1)),3))</f>
        <v/>
      </c>
      <c r="P33" s="13"/>
    </row>
    <row r="34" spans="1:16" x14ac:dyDescent="0.3">
      <c r="A34" s="13"/>
      <c r="B34" s="13"/>
      <c r="C34" s="15"/>
      <c r="D34" s="15"/>
      <c r="E34" s="15"/>
      <c r="F34" s="15"/>
      <c r="G34" s="15"/>
      <c r="H34" s="15"/>
      <c r="I34" s="15"/>
      <c r="J34" s="15"/>
      <c r="K34" s="15"/>
      <c r="L34" s="13"/>
      <c r="M34" s="13"/>
      <c r="N34" s="13"/>
      <c r="O34" s="14" t="str">
        <f>IF($N34="","",ROUND(1+($C34*(SUMIFS(OBJECT_CONDITIONS!$D:$D,OBJECT_CONDITIONS!$A:$A,$N34)-1))+($D34*(SUMIFS(OBJECT_CONDITIONS!$F:$F,OBJECT_CONDITIONS!$A:$A,$N34)-1))+($E34*(SUMIFS(OBJECT_CONDITIONS!$H:$H,OBJECT_CONDITIONS!$A:$A,$N34)-1))+($F34*(SUMIFS(OBJECT_CONDITIONS!$J:$J,OBJECT_CONDITIONS!$A:$A,$N34)-1))+($G34*(SUMIFS(OBJECT_CONDITIONS!$L:$L,OBJECT_CONDITIONS!$A:$A,$N34)-1))+($H34*(SUMIFS(OBJECT_CONDITIONS!$N:$N,OBJECT_CONDITIONS!$A:$A,$N34)-1))+($I34*(SUMIFS(OBJECT_CONDITIONS!$P:$P,OBJECT_CONDITIONS!$A:$A,$N34)-1))+($J34*(SUMIFS(OBJECT_CONDITIONS!$R:$R,OBJECT_CONDITIONS!$A:$A,$N34)-1))+($K34*(SUMIFS(OBJECT_CONDITIONS!$T:$T,OBJECT_CONDITIONS!$A:$A,$N34)-1)),3))</f>
        <v/>
      </c>
      <c r="P34" s="13"/>
    </row>
    <row r="35" spans="1:16" x14ac:dyDescent="0.3">
      <c r="A35" s="13"/>
      <c r="B35" s="13"/>
      <c r="C35" s="15"/>
      <c r="D35" s="15"/>
      <c r="E35" s="15"/>
      <c r="F35" s="15"/>
      <c r="G35" s="15"/>
      <c r="H35" s="15"/>
      <c r="I35" s="15"/>
      <c r="J35" s="15"/>
      <c r="K35" s="15"/>
      <c r="L35" s="13"/>
      <c r="M35" s="13"/>
      <c r="N35" s="13"/>
      <c r="O35" s="14" t="str">
        <f>IF($N35="","",ROUND(1+($C35*(SUMIFS(OBJECT_CONDITIONS!$D:$D,OBJECT_CONDITIONS!$A:$A,$N35)-1))+($D35*(SUMIFS(OBJECT_CONDITIONS!$F:$F,OBJECT_CONDITIONS!$A:$A,$N35)-1))+($E35*(SUMIFS(OBJECT_CONDITIONS!$H:$H,OBJECT_CONDITIONS!$A:$A,$N35)-1))+($F35*(SUMIFS(OBJECT_CONDITIONS!$J:$J,OBJECT_CONDITIONS!$A:$A,$N35)-1))+($G35*(SUMIFS(OBJECT_CONDITIONS!$L:$L,OBJECT_CONDITIONS!$A:$A,$N35)-1))+($H35*(SUMIFS(OBJECT_CONDITIONS!$N:$N,OBJECT_CONDITIONS!$A:$A,$N35)-1))+($I35*(SUMIFS(OBJECT_CONDITIONS!$P:$P,OBJECT_CONDITIONS!$A:$A,$N35)-1))+($J35*(SUMIFS(OBJECT_CONDITIONS!$R:$R,OBJECT_CONDITIONS!$A:$A,$N35)-1))+($K35*(SUMIFS(OBJECT_CONDITIONS!$T:$T,OBJECT_CONDITIONS!$A:$A,$N35)-1)),3))</f>
        <v/>
      </c>
      <c r="P35" s="13"/>
    </row>
    <row r="36" spans="1:16" x14ac:dyDescent="0.3">
      <c r="A36" s="13"/>
      <c r="B36" s="13"/>
      <c r="C36" s="15"/>
      <c r="D36" s="15"/>
      <c r="E36" s="15"/>
      <c r="F36" s="15"/>
      <c r="G36" s="15"/>
      <c r="H36" s="15"/>
      <c r="I36" s="15"/>
      <c r="J36" s="15"/>
      <c r="K36" s="15"/>
      <c r="L36" s="13"/>
      <c r="M36" s="13"/>
      <c r="N36" s="13"/>
      <c r="O36" s="14" t="str">
        <f>IF($N36="","",ROUND(1+($C36*(SUMIFS(OBJECT_CONDITIONS!$D:$D,OBJECT_CONDITIONS!$A:$A,$N36)-1))+($D36*(SUMIFS(OBJECT_CONDITIONS!$F:$F,OBJECT_CONDITIONS!$A:$A,$N36)-1))+($E36*(SUMIFS(OBJECT_CONDITIONS!$H:$H,OBJECT_CONDITIONS!$A:$A,$N36)-1))+($F36*(SUMIFS(OBJECT_CONDITIONS!$J:$J,OBJECT_CONDITIONS!$A:$A,$N36)-1))+($G36*(SUMIFS(OBJECT_CONDITIONS!$L:$L,OBJECT_CONDITIONS!$A:$A,$N36)-1))+($H36*(SUMIFS(OBJECT_CONDITIONS!$N:$N,OBJECT_CONDITIONS!$A:$A,$N36)-1))+($I36*(SUMIFS(OBJECT_CONDITIONS!$P:$P,OBJECT_CONDITIONS!$A:$A,$N36)-1))+($J36*(SUMIFS(OBJECT_CONDITIONS!$R:$R,OBJECT_CONDITIONS!$A:$A,$N36)-1))+($K36*(SUMIFS(OBJECT_CONDITIONS!$T:$T,OBJECT_CONDITIONS!$A:$A,$N36)-1)),3))</f>
        <v/>
      </c>
      <c r="P36" s="13"/>
    </row>
    <row r="37" spans="1:16" x14ac:dyDescent="0.3">
      <c r="A37" s="13"/>
      <c r="B37" s="13"/>
      <c r="C37" s="15"/>
      <c r="D37" s="15"/>
      <c r="E37" s="15"/>
      <c r="F37" s="15"/>
      <c r="G37" s="15"/>
      <c r="H37" s="15"/>
      <c r="I37" s="15"/>
      <c r="J37" s="15"/>
      <c r="K37" s="15"/>
      <c r="L37" s="13"/>
      <c r="M37" s="13"/>
      <c r="N37" s="13"/>
      <c r="O37" s="14" t="str">
        <f>IF($N37="","",ROUND(1+($C37*(SUMIFS(OBJECT_CONDITIONS!$D:$D,OBJECT_CONDITIONS!$A:$A,$N37)-1))+($D37*(SUMIFS(OBJECT_CONDITIONS!$F:$F,OBJECT_CONDITIONS!$A:$A,$N37)-1))+($E37*(SUMIFS(OBJECT_CONDITIONS!$H:$H,OBJECT_CONDITIONS!$A:$A,$N37)-1))+($F37*(SUMIFS(OBJECT_CONDITIONS!$J:$J,OBJECT_CONDITIONS!$A:$A,$N37)-1))+($G37*(SUMIFS(OBJECT_CONDITIONS!$L:$L,OBJECT_CONDITIONS!$A:$A,$N37)-1))+($H37*(SUMIFS(OBJECT_CONDITIONS!$N:$N,OBJECT_CONDITIONS!$A:$A,$N37)-1))+($I37*(SUMIFS(OBJECT_CONDITIONS!$P:$P,OBJECT_CONDITIONS!$A:$A,$N37)-1))+($J37*(SUMIFS(OBJECT_CONDITIONS!$R:$R,OBJECT_CONDITIONS!$A:$A,$N37)-1))+($K37*(SUMIFS(OBJECT_CONDITIONS!$T:$T,OBJECT_CONDITIONS!$A:$A,$N37)-1)),3))</f>
        <v/>
      </c>
      <c r="P37" s="13"/>
    </row>
    <row r="38" spans="1:16" x14ac:dyDescent="0.3">
      <c r="A38" s="13"/>
      <c r="B38" s="13"/>
      <c r="C38" s="15"/>
      <c r="D38" s="15"/>
      <c r="E38" s="15"/>
      <c r="F38" s="15"/>
      <c r="G38" s="15"/>
      <c r="H38" s="15"/>
      <c r="I38" s="15"/>
      <c r="J38" s="15"/>
      <c r="K38" s="15"/>
      <c r="L38" s="13"/>
      <c r="M38" s="13"/>
      <c r="N38" s="13"/>
      <c r="O38" s="14" t="str">
        <f>IF($N38="","",ROUND(1+($C38*(SUMIFS(OBJECT_CONDITIONS!$D:$D,OBJECT_CONDITIONS!$A:$A,$N38)-1))+($D38*(SUMIFS(OBJECT_CONDITIONS!$F:$F,OBJECT_CONDITIONS!$A:$A,$N38)-1))+($E38*(SUMIFS(OBJECT_CONDITIONS!$H:$H,OBJECT_CONDITIONS!$A:$A,$N38)-1))+($F38*(SUMIFS(OBJECT_CONDITIONS!$J:$J,OBJECT_CONDITIONS!$A:$A,$N38)-1))+($G38*(SUMIFS(OBJECT_CONDITIONS!$L:$L,OBJECT_CONDITIONS!$A:$A,$N38)-1))+($H38*(SUMIFS(OBJECT_CONDITIONS!$N:$N,OBJECT_CONDITIONS!$A:$A,$N38)-1))+($I38*(SUMIFS(OBJECT_CONDITIONS!$P:$P,OBJECT_CONDITIONS!$A:$A,$N38)-1))+($J38*(SUMIFS(OBJECT_CONDITIONS!$R:$R,OBJECT_CONDITIONS!$A:$A,$N38)-1))+($K38*(SUMIFS(OBJECT_CONDITIONS!$T:$T,OBJECT_CONDITIONS!$A:$A,$N38)-1)),3))</f>
        <v/>
      </c>
      <c r="P38" s="13"/>
    </row>
    <row r="39" spans="1:16" x14ac:dyDescent="0.3">
      <c r="A39" s="13"/>
      <c r="B39" s="13"/>
      <c r="C39" s="15"/>
      <c r="D39" s="15"/>
      <c r="E39" s="15"/>
      <c r="F39" s="15"/>
      <c r="G39" s="15"/>
      <c r="H39" s="15"/>
      <c r="I39" s="15"/>
      <c r="J39" s="15"/>
      <c r="K39" s="15"/>
      <c r="L39" s="13"/>
      <c r="M39" s="13"/>
      <c r="N39" s="13"/>
      <c r="O39" s="14" t="str">
        <f>IF($N39="","",ROUND(1+($C39*(SUMIFS(OBJECT_CONDITIONS!$D:$D,OBJECT_CONDITIONS!$A:$A,$N39)-1))+($D39*(SUMIFS(OBJECT_CONDITIONS!$F:$F,OBJECT_CONDITIONS!$A:$A,$N39)-1))+($E39*(SUMIFS(OBJECT_CONDITIONS!$H:$H,OBJECT_CONDITIONS!$A:$A,$N39)-1))+($F39*(SUMIFS(OBJECT_CONDITIONS!$J:$J,OBJECT_CONDITIONS!$A:$A,$N39)-1))+($G39*(SUMIFS(OBJECT_CONDITIONS!$L:$L,OBJECT_CONDITIONS!$A:$A,$N39)-1))+($H39*(SUMIFS(OBJECT_CONDITIONS!$N:$N,OBJECT_CONDITIONS!$A:$A,$N39)-1))+($I39*(SUMIFS(OBJECT_CONDITIONS!$P:$P,OBJECT_CONDITIONS!$A:$A,$N39)-1))+($J39*(SUMIFS(OBJECT_CONDITIONS!$R:$R,OBJECT_CONDITIONS!$A:$A,$N39)-1))+($K39*(SUMIFS(OBJECT_CONDITIONS!$T:$T,OBJECT_CONDITIONS!$A:$A,$N39)-1)),3))</f>
        <v/>
      </c>
      <c r="P39" s="13"/>
    </row>
    <row r="40" spans="1:16" x14ac:dyDescent="0.3">
      <c r="A40" s="13"/>
      <c r="B40" s="13"/>
      <c r="C40" s="15"/>
      <c r="D40" s="15"/>
      <c r="E40" s="15"/>
      <c r="F40" s="15"/>
      <c r="G40" s="15"/>
      <c r="H40" s="15"/>
      <c r="I40" s="15"/>
      <c r="J40" s="15"/>
      <c r="K40" s="15"/>
      <c r="L40" s="13"/>
      <c r="M40" s="13"/>
      <c r="N40" s="13"/>
      <c r="O40" s="14" t="str">
        <f>IF($N40="","",ROUND(1+($C40*(SUMIFS(OBJECT_CONDITIONS!$D:$D,OBJECT_CONDITIONS!$A:$A,$N40)-1))+($D40*(SUMIFS(OBJECT_CONDITIONS!$F:$F,OBJECT_CONDITIONS!$A:$A,$N40)-1))+($E40*(SUMIFS(OBJECT_CONDITIONS!$H:$H,OBJECT_CONDITIONS!$A:$A,$N40)-1))+($F40*(SUMIFS(OBJECT_CONDITIONS!$J:$J,OBJECT_CONDITIONS!$A:$A,$N40)-1))+($G40*(SUMIFS(OBJECT_CONDITIONS!$L:$L,OBJECT_CONDITIONS!$A:$A,$N40)-1))+($H40*(SUMIFS(OBJECT_CONDITIONS!$N:$N,OBJECT_CONDITIONS!$A:$A,$N40)-1))+($I40*(SUMIFS(OBJECT_CONDITIONS!$P:$P,OBJECT_CONDITIONS!$A:$A,$N40)-1))+($J40*(SUMIFS(OBJECT_CONDITIONS!$R:$R,OBJECT_CONDITIONS!$A:$A,$N40)-1))+($K40*(SUMIFS(OBJECT_CONDITIONS!$T:$T,OBJECT_CONDITIONS!$A:$A,$N40)-1)),3))</f>
        <v/>
      </c>
      <c r="P40" s="13"/>
    </row>
    <row r="41" spans="1:16" x14ac:dyDescent="0.3">
      <c r="A41" s="13"/>
      <c r="B41" s="13"/>
      <c r="C41" s="15"/>
      <c r="D41" s="15"/>
      <c r="E41" s="15"/>
      <c r="F41" s="15"/>
      <c r="G41" s="15"/>
      <c r="H41" s="15"/>
      <c r="I41" s="15"/>
      <c r="J41" s="15"/>
      <c r="K41" s="15"/>
      <c r="L41" s="13"/>
      <c r="M41" s="13"/>
      <c r="N41" s="13"/>
      <c r="O41" s="14" t="str">
        <f>IF($N41="","",ROUND(1+($C41*(SUMIFS(OBJECT_CONDITIONS!$D:$D,OBJECT_CONDITIONS!$A:$A,$N41)-1))+($D41*(SUMIFS(OBJECT_CONDITIONS!$F:$F,OBJECT_CONDITIONS!$A:$A,$N41)-1))+($E41*(SUMIFS(OBJECT_CONDITIONS!$H:$H,OBJECT_CONDITIONS!$A:$A,$N41)-1))+($F41*(SUMIFS(OBJECT_CONDITIONS!$J:$J,OBJECT_CONDITIONS!$A:$A,$N41)-1))+($G41*(SUMIFS(OBJECT_CONDITIONS!$L:$L,OBJECT_CONDITIONS!$A:$A,$N41)-1))+($H41*(SUMIFS(OBJECT_CONDITIONS!$N:$N,OBJECT_CONDITIONS!$A:$A,$N41)-1))+($I41*(SUMIFS(OBJECT_CONDITIONS!$P:$P,OBJECT_CONDITIONS!$A:$A,$N41)-1))+($J41*(SUMIFS(OBJECT_CONDITIONS!$R:$R,OBJECT_CONDITIONS!$A:$A,$N41)-1))+($K41*(SUMIFS(OBJECT_CONDITIONS!$T:$T,OBJECT_CONDITIONS!$A:$A,$N41)-1)),3))</f>
        <v/>
      </c>
      <c r="P41" s="13"/>
    </row>
    <row r="42" spans="1:16" x14ac:dyDescent="0.3">
      <c r="A42" s="13"/>
      <c r="B42" s="13"/>
      <c r="C42" s="15"/>
      <c r="D42" s="15"/>
      <c r="E42" s="15"/>
      <c r="F42" s="15"/>
      <c r="G42" s="15"/>
      <c r="H42" s="15"/>
      <c r="I42" s="15"/>
      <c r="J42" s="15"/>
      <c r="K42" s="15"/>
      <c r="L42" s="13"/>
      <c r="M42" s="13"/>
      <c r="N42" s="13"/>
      <c r="O42" s="14" t="str">
        <f>IF($N42="","",ROUND(1+($C42*(SUMIFS(OBJECT_CONDITIONS!$D:$D,OBJECT_CONDITIONS!$A:$A,$N42)-1))+($D42*(SUMIFS(OBJECT_CONDITIONS!$F:$F,OBJECT_CONDITIONS!$A:$A,$N42)-1))+($E42*(SUMIFS(OBJECT_CONDITIONS!$H:$H,OBJECT_CONDITIONS!$A:$A,$N42)-1))+($F42*(SUMIFS(OBJECT_CONDITIONS!$J:$J,OBJECT_CONDITIONS!$A:$A,$N42)-1))+($G42*(SUMIFS(OBJECT_CONDITIONS!$L:$L,OBJECT_CONDITIONS!$A:$A,$N42)-1))+($H42*(SUMIFS(OBJECT_CONDITIONS!$N:$N,OBJECT_CONDITIONS!$A:$A,$N42)-1))+($I42*(SUMIFS(OBJECT_CONDITIONS!$P:$P,OBJECT_CONDITIONS!$A:$A,$N42)-1))+($J42*(SUMIFS(OBJECT_CONDITIONS!$R:$R,OBJECT_CONDITIONS!$A:$A,$N42)-1))+($K42*(SUMIFS(OBJECT_CONDITIONS!$T:$T,OBJECT_CONDITIONS!$A:$A,$N42)-1)),3))</f>
        <v/>
      </c>
      <c r="P42" s="13"/>
    </row>
    <row r="43" spans="1:16" x14ac:dyDescent="0.3">
      <c r="A43" s="13"/>
      <c r="B43" s="13"/>
      <c r="C43" s="15"/>
      <c r="D43" s="15"/>
      <c r="E43" s="15"/>
      <c r="F43" s="15"/>
      <c r="G43" s="15"/>
      <c r="H43" s="15"/>
      <c r="I43" s="15"/>
      <c r="J43" s="15"/>
      <c r="K43" s="15"/>
      <c r="L43" s="13"/>
      <c r="M43" s="13"/>
      <c r="N43" s="13"/>
      <c r="O43" s="14" t="str">
        <f>IF($N43="","",ROUND(1+($C43*(SUMIFS(OBJECT_CONDITIONS!$D:$D,OBJECT_CONDITIONS!$A:$A,$N43)-1))+($D43*(SUMIFS(OBJECT_CONDITIONS!$F:$F,OBJECT_CONDITIONS!$A:$A,$N43)-1))+($E43*(SUMIFS(OBJECT_CONDITIONS!$H:$H,OBJECT_CONDITIONS!$A:$A,$N43)-1))+($F43*(SUMIFS(OBJECT_CONDITIONS!$J:$J,OBJECT_CONDITIONS!$A:$A,$N43)-1))+($G43*(SUMIFS(OBJECT_CONDITIONS!$L:$L,OBJECT_CONDITIONS!$A:$A,$N43)-1))+($H43*(SUMIFS(OBJECT_CONDITIONS!$N:$N,OBJECT_CONDITIONS!$A:$A,$N43)-1))+($I43*(SUMIFS(OBJECT_CONDITIONS!$P:$P,OBJECT_CONDITIONS!$A:$A,$N43)-1))+($J43*(SUMIFS(OBJECT_CONDITIONS!$R:$R,OBJECT_CONDITIONS!$A:$A,$N43)-1))+($K43*(SUMIFS(OBJECT_CONDITIONS!$T:$T,OBJECT_CONDITIONS!$A:$A,$N43)-1)),3))</f>
        <v/>
      </c>
      <c r="P43" s="13"/>
    </row>
    <row r="44" spans="1:16" x14ac:dyDescent="0.3">
      <c r="A44" s="13"/>
      <c r="B44" s="13"/>
      <c r="C44" s="15"/>
      <c r="D44" s="15"/>
      <c r="E44" s="15"/>
      <c r="F44" s="15"/>
      <c r="G44" s="15"/>
      <c r="H44" s="15"/>
      <c r="I44" s="15"/>
      <c r="J44" s="15"/>
      <c r="K44" s="15"/>
      <c r="L44" s="13"/>
      <c r="M44" s="13"/>
      <c r="N44" s="13"/>
      <c r="O44" s="14" t="str">
        <f>IF($N44="","",ROUND(1+($C44*(SUMIFS(OBJECT_CONDITIONS!$D:$D,OBJECT_CONDITIONS!$A:$A,$N44)-1))+($D44*(SUMIFS(OBJECT_CONDITIONS!$F:$F,OBJECT_CONDITIONS!$A:$A,$N44)-1))+($E44*(SUMIFS(OBJECT_CONDITIONS!$H:$H,OBJECT_CONDITIONS!$A:$A,$N44)-1))+($F44*(SUMIFS(OBJECT_CONDITIONS!$J:$J,OBJECT_CONDITIONS!$A:$A,$N44)-1))+($G44*(SUMIFS(OBJECT_CONDITIONS!$L:$L,OBJECT_CONDITIONS!$A:$A,$N44)-1))+($H44*(SUMIFS(OBJECT_CONDITIONS!$N:$N,OBJECT_CONDITIONS!$A:$A,$N44)-1))+($I44*(SUMIFS(OBJECT_CONDITIONS!$P:$P,OBJECT_CONDITIONS!$A:$A,$N44)-1))+($J44*(SUMIFS(OBJECT_CONDITIONS!$R:$R,OBJECT_CONDITIONS!$A:$A,$N44)-1))+($K44*(SUMIFS(OBJECT_CONDITIONS!$T:$T,OBJECT_CONDITIONS!$A:$A,$N44)-1)),3))</f>
        <v/>
      </c>
      <c r="P44" s="13"/>
    </row>
    <row r="45" spans="1:16" x14ac:dyDescent="0.3">
      <c r="A45" s="13"/>
      <c r="B45" s="13"/>
      <c r="C45" s="15"/>
      <c r="D45" s="15"/>
      <c r="E45" s="15"/>
      <c r="F45" s="15"/>
      <c r="G45" s="15"/>
      <c r="H45" s="15"/>
      <c r="I45" s="15"/>
      <c r="J45" s="15"/>
      <c r="K45" s="15"/>
      <c r="L45" s="13"/>
      <c r="M45" s="13"/>
      <c r="N45" s="13"/>
      <c r="O45" s="14" t="str">
        <f>IF($N45="","",ROUND(1+($C45*(SUMIFS(OBJECT_CONDITIONS!$D:$D,OBJECT_CONDITIONS!$A:$A,$N45)-1))+($D45*(SUMIFS(OBJECT_CONDITIONS!$F:$F,OBJECT_CONDITIONS!$A:$A,$N45)-1))+($E45*(SUMIFS(OBJECT_CONDITIONS!$H:$H,OBJECT_CONDITIONS!$A:$A,$N45)-1))+($F45*(SUMIFS(OBJECT_CONDITIONS!$J:$J,OBJECT_CONDITIONS!$A:$A,$N45)-1))+($G45*(SUMIFS(OBJECT_CONDITIONS!$L:$L,OBJECT_CONDITIONS!$A:$A,$N45)-1))+($H45*(SUMIFS(OBJECT_CONDITIONS!$N:$N,OBJECT_CONDITIONS!$A:$A,$N45)-1))+($I45*(SUMIFS(OBJECT_CONDITIONS!$P:$P,OBJECT_CONDITIONS!$A:$A,$N45)-1))+($J45*(SUMIFS(OBJECT_CONDITIONS!$R:$R,OBJECT_CONDITIONS!$A:$A,$N45)-1))+($K45*(SUMIFS(OBJECT_CONDITIONS!$T:$T,OBJECT_CONDITIONS!$A:$A,$N45)-1)),3))</f>
        <v/>
      </c>
      <c r="P45" s="13"/>
    </row>
    <row r="46" spans="1:16" x14ac:dyDescent="0.3">
      <c r="A46" s="13"/>
      <c r="B46" s="13"/>
      <c r="C46" s="15"/>
      <c r="D46" s="15"/>
      <c r="E46" s="15"/>
      <c r="F46" s="15"/>
      <c r="G46" s="15"/>
      <c r="H46" s="15"/>
      <c r="I46" s="15"/>
      <c r="J46" s="15"/>
      <c r="K46" s="15"/>
      <c r="L46" s="13"/>
      <c r="M46" s="13"/>
      <c r="N46" s="13"/>
      <c r="O46" s="14" t="str">
        <f>IF($N46="","",ROUND(1+($C46*(SUMIFS(OBJECT_CONDITIONS!$D:$D,OBJECT_CONDITIONS!$A:$A,$N46)-1))+($D46*(SUMIFS(OBJECT_CONDITIONS!$F:$F,OBJECT_CONDITIONS!$A:$A,$N46)-1))+($E46*(SUMIFS(OBJECT_CONDITIONS!$H:$H,OBJECT_CONDITIONS!$A:$A,$N46)-1))+($F46*(SUMIFS(OBJECT_CONDITIONS!$J:$J,OBJECT_CONDITIONS!$A:$A,$N46)-1))+($G46*(SUMIFS(OBJECT_CONDITIONS!$L:$L,OBJECT_CONDITIONS!$A:$A,$N46)-1))+($H46*(SUMIFS(OBJECT_CONDITIONS!$N:$N,OBJECT_CONDITIONS!$A:$A,$N46)-1))+($I46*(SUMIFS(OBJECT_CONDITIONS!$P:$P,OBJECT_CONDITIONS!$A:$A,$N46)-1))+($J46*(SUMIFS(OBJECT_CONDITIONS!$R:$R,OBJECT_CONDITIONS!$A:$A,$N46)-1))+($K46*(SUMIFS(OBJECT_CONDITIONS!$T:$T,OBJECT_CONDITIONS!$A:$A,$N46)-1)),3))</f>
        <v/>
      </c>
      <c r="P46" s="13"/>
    </row>
    <row r="47" spans="1:16" x14ac:dyDescent="0.3">
      <c r="A47" s="13"/>
      <c r="B47" s="13"/>
      <c r="C47" s="15"/>
      <c r="D47" s="15"/>
      <c r="E47" s="15"/>
      <c r="F47" s="15"/>
      <c r="G47" s="15"/>
      <c r="H47" s="15"/>
      <c r="I47" s="15"/>
      <c r="J47" s="15"/>
      <c r="K47" s="15"/>
      <c r="L47" s="13"/>
      <c r="M47" s="13"/>
      <c r="N47" s="13"/>
      <c r="O47" s="14" t="str">
        <f>IF($N47="","",ROUND(1+($C47*(SUMIFS(OBJECT_CONDITIONS!$D:$D,OBJECT_CONDITIONS!$A:$A,$N47)-1))+($D47*(SUMIFS(OBJECT_CONDITIONS!$F:$F,OBJECT_CONDITIONS!$A:$A,$N47)-1))+($E47*(SUMIFS(OBJECT_CONDITIONS!$H:$H,OBJECT_CONDITIONS!$A:$A,$N47)-1))+($F47*(SUMIFS(OBJECT_CONDITIONS!$J:$J,OBJECT_CONDITIONS!$A:$A,$N47)-1))+($G47*(SUMIFS(OBJECT_CONDITIONS!$L:$L,OBJECT_CONDITIONS!$A:$A,$N47)-1))+($H47*(SUMIFS(OBJECT_CONDITIONS!$N:$N,OBJECT_CONDITIONS!$A:$A,$N47)-1))+($I47*(SUMIFS(OBJECT_CONDITIONS!$P:$P,OBJECT_CONDITIONS!$A:$A,$N47)-1))+($J47*(SUMIFS(OBJECT_CONDITIONS!$R:$R,OBJECT_CONDITIONS!$A:$A,$N47)-1))+($K47*(SUMIFS(OBJECT_CONDITIONS!$T:$T,OBJECT_CONDITIONS!$A:$A,$N47)-1)),3))</f>
        <v/>
      </c>
      <c r="P47" s="13"/>
    </row>
    <row r="48" spans="1:16" x14ac:dyDescent="0.3">
      <c r="A48" s="13"/>
      <c r="B48" s="13"/>
      <c r="C48" s="15"/>
      <c r="D48" s="15"/>
      <c r="E48" s="15"/>
      <c r="F48" s="15"/>
      <c r="G48" s="15"/>
      <c r="H48" s="15"/>
      <c r="I48" s="15"/>
      <c r="J48" s="15"/>
      <c r="K48" s="15"/>
      <c r="L48" s="13"/>
      <c r="M48" s="13"/>
      <c r="N48" s="13"/>
      <c r="O48" s="14" t="str">
        <f>IF($N48="","",ROUND(1+($C48*(SUMIFS(OBJECT_CONDITIONS!$D:$D,OBJECT_CONDITIONS!$A:$A,$N48)-1))+($D48*(SUMIFS(OBJECT_CONDITIONS!$F:$F,OBJECT_CONDITIONS!$A:$A,$N48)-1))+($E48*(SUMIFS(OBJECT_CONDITIONS!$H:$H,OBJECT_CONDITIONS!$A:$A,$N48)-1))+($F48*(SUMIFS(OBJECT_CONDITIONS!$J:$J,OBJECT_CONDITIONS!$A:$A,$N48)-1))+($G48*(SUMIFS(OBJECT_CONDITIONS!$L:$L,OBJECT_CONDITIONS!$A:$A,$N48)-1))+($H48*(SUMIFS(OBJECT_CONDITIONS!$N:$N,OBJECT_CONDITIONS!$A:$A,$N48)-1))+($I48*(SUMIFS(OBJECT_CONDITIONS!$P:$P,OBJECT_CONDITIONS!$A:$A,$N48)-1))+($J48*(SUMIFS(OBJECT_CONDITIONS!$R:$R,OBJECT_CONDITIONS!$A:$A,$N48)-1))+($K48*(SUMIFS(OBJECT_CONDITIONS!$T:$T,OBJECT_CONDITIONS!$A:$A,$N48)-1)),3))</f>
        <v/>
      </c>
      <c r="P48" s="13"/>
    </row>
    <row r="49" spans="1:16" x14ac:dyDescent="0.3">
      <c r="A49" s="13"/>
      <c r="B49" s="13"/>
      <c r="C49" s="15"/>
      <c r="D49" s="15"/>
      <c r="E49" s="15"/>
      <c r="F49" s="15"/>
      <c r="G49" s="15"/>
      <c r="H49" s="15"/>
      <c r="I49" s="15"/>
      <c r="J49" s="15"/>
      <c r="K49" s="15"/>
      <c r="L49" s="13"/>
      <c r="M49" s="13"/>
      <c r="N49" s="13"/>
      <c r="O49" s="14" t="str">
        <f>IF($N49="","",ROUND(1+($C49*(SUMIFS(OBJECT_CONDITIONS!$D:$D,OBJECT_CONDITIONS!$A:$A,$N49)-1))+($D49*(SUMIFS(OBJECT_CONDITIONS!$F:$F,OBJECT_CONDITIONS!$A:$A,$N49)-1))+($E49*(SUMIFS(OBJECT_CONDITIONS!$H:$H,OBJECT_CONDITIONS!$A:$A,$N49)-1))+($F49*(SUMIFS(OBJECT_CONDITIONS!$J:$J,OBJECT_CONDITIONS!$A:$A,$N49)-1))+($G49*(SUMIFS(OBJECT_CONDITIONS!$L:$L,OBJECT_CONDITIONS!$A:$A,$N49)-1))+($H49*(SUMIFS(OBJECT_CONDITIONS!$N:$N,OBJECT_CONDITIONS!$A:$A,$N49)-1))+($I49*(SUMIFS(OBJECT_CONDITIONS!$P:$P,OBJECT_CONDITIONS!$A:$A,$N49)-1))+($J49*(SUMIFS(OBJECT_CONDITIONS!$R:$R,OBJECT_CONDITIONS!$A:$A,$N49)-1))+($K49*(SUMIFS(OBJECT_CONDITIONS!$T:$T,OBJECT_CONDITIONS!$A:$A,$N49)-1)),3))</f>
        <v/>
      </c>
      <c r="P49" s="13"/>
    </row>
    <row r="50" spans="1:16" x14ac:dyDescent="0.3">
      <c r="A50" s="13"/>
      <c r="B50" s="13"/>
      <c r="C50" s="15"/>
      <c r="D50" s="15"/>
      <c r="E50" s="15"/>
      <c r="F50" s="15"/>
      <c r="G50" s="15"/>
      <c r="H50" s="15"/>
      <c r="I50" s="15"/>
      <c r="J50" s="15"/>
      <c r="K50" s="15"/>
      <c r="L50" s="13"/>
      <c r="M50" s="13"/>
      <c r="N50" s="13"/>
      <c r="O50" s="14" t="str">
        <f>IF($N50="","",ROUND(1+($C50*(SUMIFS(OBJECT_CONDITIONS!$D:$D,OBJECT_CONDITIONS!$A:$A,$N50)-1))+($D50*(SUMIFS(OBJECT_CONDITIONS!$F:$F,OBJECT_CONDITIONS!$A:$A,$N50)-1))+($E50*(SUMIFS(OBJECT_CONDITIONS!$H:$H,OBJECT_CONDITIONS!$A:$A,$N50)-1))+($F50*(SUMIFS(OBJECT_CONDITIONS!$J:$J,OBJECT_CONDITIONS!$A:$A,$N50)-1))+($G50*(SUMIFS(OBJECT_CONDITIONS!$L:$L,OBJECT_CONDITIONS!$A:$A,$N50)-1))+($H50*(SUMIFS(OBJECT_CONDITIONS!$N:$N,OBJECT_CONDITIONS!$A:$A,$N50)-1))+($I50*(SUMIFS(OBJECT_CONDITIONS!$P:$P,OBJECT_CONDITIONS!$A:$A,$N50)-1))+($J50*(SUMIFS(OBJECT_CONDITIONS!$R:$R,OBJECT_CONDITIONS!$A:$A,$N50)-1))+($K50*(SUMIFS(OBJECT_CONDITIONS!$T:$T,OBJECT_CONDITIONS!$A:$A,$N50)-1)),3))</f>
        <v/>
      </c>
      <c r="P50" s="13"/>
    </row>
    <row r="51" spans="1:16" x14ac:dyDescent="0.3">
      <c r="A51" s="13"/>
      <c r="B51" s="13"/>
      <c r="C51" s="15"/>
      <c r="D51" s="15"/>
      <c r="E51" s="15"/>
      <c r="F51" s="15"/>
      <c r="G51" s="15"/>
      <c r="H51" s="15"/>
      <c r="I51" s="15"/>
      <c r="J51" s="15"/>
      <c r="K51" s="15"/>
      <c r="L51" s="13"/>
      <c r="M51" s="13"/>
      <c r="N51" s="13"/>
      <c r="O51" s="14" t="str">
        <f>IF($N51="","",ROUND(1+($C51*(SUMIFS(OBJECT_CONDITIONS!$D:$D,OBJECT_CONDITIONS!$A:$A,$N51)-1))+($D51*(SUMIFS(OBJECT_CONDITIONS!$F:$F,OBJECT_CONDITIONS!$A:$A,$N51)-1))+($E51*(SUMIFS(OBJECT_CONDITIONS!$H:$H,OBJECT_CONDITIONS!$A:$A,$N51)-1))+($F51*(SUMIFS(OBJECT_CONDITIONS!$J:$J,OBJECT_CONDITIONS!$A:$A,$N51)-1))+($G51*(SUMIFS(OBJECT_CONDITIONS!$L:$L,OBJECT_CONDITIONS!$A:$A,$N51)-1))+($H51*(SUMIFS(OBJECT_CONDITIONS!$N:$N,OBJECT_CONDITIONS!$A:$A,$N51)-1))+($I51*(SUMIFS(OBJECT_CONDITIONS!$P:$P,OBJECT_CONDITIONS!$A:$A,$N51)-1))+($J51*(SUMIFS(OBJECT_CONDITIONS!$R:$R,OBJECT_CONDITIONS!$A:$A,$N51)-1))+($K51*(SUMIFS(OBJECT_CONDITIONS!$T:$T,OBJECT_CONDITIONS!$A:$A,$N51)-1)),3))</f>
        <v/>
      </c>
      <c r="P51" s="13"/>
    </row>
    <row r="52" spans="1:16" x14ac:dyDescent="0.3">
      <c r="A52" s="13"/>
      <c r="B52" s="13"/>
      <c r="C52" s="15"/>
      <c r="D52" s="15"/>
      <c r="E52" s="15"/>
      <c r="F52" s="15"/>
      <c r="G52" s="15"/>
      <c r="H52" s="15"/>
      <c r="I52" s="15"/>
      <c r="J52" s="15"/>
      <c r="K52" s="15"/>
      <c r="L52" s="13"/>
      <c r="M52" s="13"/>
      <c r="N52" s="13"/>
      <c r="O52" s="14" t="str">
        <f>IF($N52="","",ROUND(1+($C52*(SUMIFS(OBJECT_CONDITIONS!$D:$D,OBJECT_CONDITIONS!$A:$A,$N52)-1))+($D52*(SUMIFS(OBJECT_CONDITIONS!$F:$F,OBJECT_CONDITIONS!$A:$A,$N52)-1))+($E52*(SUMIFS(OBJECT_CONDITIONS!$H:$H,OBJECT_CONDITIONS!$A:$A,$N52)-1))+($F52*(SUMIFS(OBJECT_CONDITIONS!$J:$J,OBJECT_CONDITIONS!$A:$A,$N52)-1))+($G52*(SUMIFS(OBJECT_CONDITIONS!$L:$L,OBJECT_CONDITIONS!$A:$A,$N52)-1))+($H52*(SUMIFS(OBJECT_CONDITIONS!$N:$N,OBJECT_CONDITIONS!$A:$A,$N52)-1))+($I52*(SUMIFS(OBJECT_CONDITIONS!$P:$P,OBJECT_CONDITIONS!$A:$A,$N52)-1))+($J52*(SUMIFS(OBJECT_CONDITIONS!$R:$R,OBJECT_CONDITIONS!$A:$A,$N52)-1))+($K52*(SUMIFS(OBJECT_CONDITIONS!$T:$T,OBJECT_CONDITIONS!$A:$A,$N52)-1)),3))</f>
        <v/>
      </c>
      <c r="P52" s="13"/>
    </row>
    <row r="53" spans="1:16" x14ac:dyDescent="0.3">
      <c r="A53" s="13"/>
      <c r="B53" s="13"/>
      <c r="C53" s="15"/>
      <c r="D53" s="15"/>
      <c r="E53" s="15"/>
      <c r="F53" s="15"/>
      <c r="G53" s="15"/>
      <c r="H53" s="15"/>
      <c r="I53" s="15"/>
      <c r="J53" s="15"/>
      <c r="K53" s="15"/>
      <c r="L53" s="13"/>
      <c r="M53" s="13"/>
      <c r="N53" s="13"/>
      <c r="O53" s="14" t="str">
        <f>IF($N53="","",ROUND(1+($C53*(SUMIFS(OBJECT_CONDITIONS!$D:$D,OBJECT_CONDITIONS!$A:$A,$N53)-1))+($D53*(SUMIFS(OBJECT_CONDITIONS!$F:$F,OBJECT_CONDITIONS!$A:$A,$N53)-1))+($E53*(SUMIFS(OBJECT_CONDITIONS!$H:$H,OBJECT_CONDITIONS!$A:$A,$N53)-1))+($F53*(SUMIFS(OBJECT_CONDITIONS!$J:$J,OBJECT_CONDITIONS!$A:$A,$N53)-1))+($G53*(SUMIFS(OBJECT_CONDITIONS!$L:$L,OBJECT_CONDITIONS!$A:$A,$N53)-1))+($H53*(SUMIFS(OBJECT_CONDITIONS!$N:$N,OBJECT_CONDITIONS!$A:$A,$N53)-1))+($I53*(SUMIFS(OBJECT_CONDITIONS!$P:$P,OBJECT_CONDITIONS!$A:$A,$N53)-1))+($J53*(SUMIFS(OBJECT_CONDITIONS!$R:$R,OBJECT_CONDITIONS!$A:$A,$N53)-1))+($K53*(SUMIFS(OBJECT_CONDITIONS!$T:$T,OBJECT_CONDITIONS!$A:$A,$N53)-1)),3))</f>
        <v/>
      </c>
      <c r="P53" s="13"/>
    </row>
    <row r="54" spans="1:16" x14ac:dyDescent="0.3">
      <c r="A54" s="13"/>
      <c r="B54" s="13"/>
      <c r="C54" s="15"/>
      <c r="D54" s="15"/>
      <c r="E54" s="15"/>
      <c r="F54" s="15"/>
      <c r="G54" s="15"/>
      <c r="H54" s="15"/>
      <c r="I54" s="15"/>
      <c r="J54" s="15"/>
      <c r="K54" s="15"/>
      <c r="L54" s="13"/>
      <c r="M54" s="13"/>
      <c r="N54" s="13"/>
      <c r="O54" s="14" t="str">
        <f>IF($N54="","",ROUND(1+($C54*(SUMIFS(OBJECT_CONDITIONS!$D:$D,OBJECT_CONDITIONS!$A:$A,$N54)-1))+($D54*(SUMIFS(OBJECT_CONDITIONS!$F:$F,OBJECT_CONDITIONS!$A:$A,$N54)-1))+($E54*(SUMIFS(OBJECT_CONDITIONS!$H:$H,OBJECT_CONDITIONS!$A:$A,$N54)-1))+($F54*(SUMIFS(OBJECT_CONDITIONS!$J:$J,OBJECT_CONDITIONS!$A:$A,$N54)-1))+($G54*(SUMIFS(OBJECT_CONDITIONS!$L:$L,OBJECT_CONDITIONS!$A:$A,$N54)-1))+($H54*(SUMIFS(OBJECT_CONDITIONS!$N:$N,OBJECT_CONDITIONS!$A:$A,$N54)-1))+($I54*(SUMIFS(OBJECT_CONDITIONS!$P:$P,OBJECT_CONDITIONS!$A:$A,$N54)-1))+($J54*(SUMIFS(OBJECT_CONDITIONS!$R:$R,OBJECT_CONDITIONS!$A:$A,$N54)-1))+($K54*(SUMIFS(OBJECT_CONDITIONS!$T:$T,OBJECT_CONDITIONS!$A:$A,$N54)-1)),3))</f>
        <v/>
      </c>
      <c r="P54" s="13"/>
    </row>
    <row r="55" spans="1:16" x14ac:dyDescent="0.3">
      <c r="A55" s="13"/>
      <c r="B55" s="13"/>
      <c r="C55" s="15"/>
      <c r="D55" s="15"/>
      <c r="E55" s="15"/>
      <c r="F55" s="15"/>
      <c r="G55" s="15"/>
      <c r="H55" s="15"/>
      <c r="I55" s="15"/>
      <c r="J55" s="15"/>
      <c r="K55" s="15"/>
      <c r="L55" s="13"/>
      <c r="M55" s="13"/>
      <c r="N55" s="13"/>
      <c r="O55" s="14" t="str">
        <f>IF($N55="","",ROUND(1+($C55*(SUMIFS(OBJECT_CONDITIONS!$D:$D,OBJECT_CONDITIONS!$A:$A,$N55)-1))+($D55*(SUMIFS(OBJECT_CONDITIONS!$F:$F,OBJECT_CONDITIONS!$A:$A,$N55)-1))+($E55*(SUMIFS(OBJECT_CONDITIONS!$H:$H,OBJECT_CONDITIONS!$A:$A,$N55)-1))+($F55*(SUMIFS(OBJECT_CONDITIONS!$J:$J,OBJECT_CONDITIONS!$A:$A,$N55)-1))+($G55*(SUMIFS(OBJECT_CONDITIONS!$L:$L,OBJECT_CONDITIONS!$A:$A,$N55)-1))+($H55*(SUMIFS(OBJECT_CONDITIONS!$N:$N,OBJECT_CONDITIONS!$A:$A,$N55)-1))+($I55*(SUMIFS(OBJECT_CONDITIONS!$P:$P,OBJECT_CONDITIONS!$A:$A,$N55)-1))+($J55*(SUMIFS(OBJECT_CONDITIONS!$R:$R,OBJECT_CONDITIONS!$A:$A,$N55)-1))+($K55*(SUMIFS(OBJECT_CONDITIONS!$T:$T,OBJECT_CONDITIONS!$A:$A,$N55)-1)),3))</f>
        <v/>
      </c>
      <c r="P55" s="13"/>
    </row>
    <row r="56" spans="1:16" x14ac:dyDescent="0.3">
      <c r="A56" s="13"/>
      <c r="B56" s="13"/>
      <c r="C56" s="15"/>
      <c r="D56" s="15"/>
      <c r="E56" s="15"/>
      <c r="F56" s="15"/>
      <c r="G56" s="15"/>
      <c r="H56" s="15"/>
      <c r="I56" s="15"/>
      <c r="J56" s="15"/>
      <c r="K56" s="15"/>
      <c r="L56" s="13"/>
      <c r="M56" s="13"/>
      <c r="N56" s="13"/>
      <c r="O56" s="14" t="str">
        <f>IF($N56="","",ROUND(1+($C56*(SUMIFS(OBJECT_CONDITIONS!$D:$D,OBJECT_CONDITIONS!$A:$A,$N56)-1))+($D56*(SUMIFS(OBJECT_CONDITIONS!$F:$F,OBJECT_CONDITIONS!$A:$A,$N56)-1))+($E56*(SUMIFS(OBJECT_CONDITIONS!$H:$H,OBJECT_CONDITIONS!$A:$A,$N56)-1))+($F56*(SUMIFS(OBJECT_CONDITIONS!$J:$J,OBJECT_CONDITIONS!$A:$A,$N56)-1))+($G56*(SUMIFS(OBJECT_CONDITIONS!$L:$L,OBJECT_CONDITIONS!$A:$A,$N56)-1))+($H56*(SUMIFS(OBJECT_CONDITIONS!$N:$N,OBJECT_CONDITIONS!$A:$A,$N56)-1))+($I56*(SUMIFS(OBJECT_CONDITIONS!$P:$P,OBJECT_CONDITIONS!$A:$A,$N56)-1))+($J56*(SUMIFS(OBJECT_CONDITIONS!$R:$R,OBJECT_CONDITIONS!$A:$A,$N56)-1))+($K56*(SUMIFS(OBJECT_CONDITIONS!$T:$T,OBJECT_CONDITIONS!$A:$A,$N56)-1)),3))</f>
        <v/>
      </c>
      <c r="P56" s="13"/>
    </row>
    <row r="57" spans="1:16" x14ac:dyDescent="0.3">
      <c r="A57" s="13"/>
      <c r="B57" s="13"/>
      <c r="C57" s="15"/>
      <c r="D57" s="15"/>
      <c r="E57" s="15"/>
      <c r="F57" s="15"/>
      <c r="G57" s="15"/>
      <c r="H57" s="15"/>
      <c r="I57" s="15"/>
      <c r="J57" s="15"/>
      <c r="K57" s="15"/>
      <c r="L57" s="13"/>
      <c r="M57" s="13"/>
      <c r="N57" s="13"/>
      <c r="O57" s="14" t="str">
        <f>IF($N57="","",ROUND(1+($C57*(SUMIFS(OBJECT_CONDITIONS!$D:$D,OBJECT_CONDITIONS!$A:$A,$N57)-1))+($D57*(SUMIFS(OBJECT_CONDITIONS!$F:$F,OBJECT_CONDITIONS!$A:$A,$N57)-1))+($E57*(SUMIFS(OBJECT_CONDITIONS!$H:$H,OBJECT_CONDITIONS!$A:$A,$N57)-1))+($F57*(SUMIFS(OBJECT_CONDITIONS!$J:$J,OBJECT_CONDITIONS!$A:$A,$N57)-1))+($G57*(SUMIFS(OBJECT_CONDITIONS!$L:$L,OBJECT_CONDITIONS!$A:$A,$N57)-1))+($H57*(SUMIFS(OBJECT_CONDITIONS!$N:$N,OBJECT_CONDITIONS!$A:$A,$N57)-1))+($I57*(SUMIFS(OBJECT_CONDITIONS!$P:$P,OBJECT_CONDITIONS!$A:$A,$N57)-1))+($J57*(SUMIFS(OBJECT_CONDITIONS!$R:$R,OBJECT_CONDITIONS!$A:$A,$N57)-1))+($K57*(SUMIFS(OBJECT_CONDITIONS!$T:$T,OBJECT_CONDITIONS!$A:$A,$N57)-1)),3))</f>
        <v/>
      </c>
      <c r="P57" s="13"/>
    </row>
    <row r="58" spans="1:16" x14ac:dyDescent="0.3">
      <c r="A58" s="13"/>
      <c r="B58" s="13"/>
      <c r="C58" s="15"/>
      <c r="D58" s="15"/>
      <c r="E58" s="15"/>
      <c r="F58" s="15"/>
      <c r="G58" s="15"/>
      <c r="H58" s="15"/>
      <c r="I58" s="15"/>
      <c r="J58" s="15"/>
      <c r="K58" s="15"/>
      <c r="L58" s="13"/>
      <c r="M58" s="13"/>
      <c r="N58" s="13"/>
      <c r="O58" s="14" t="str">
        <f>IF($N58="","",ROUND(1+($C58*(SUMIFS(OBJECT_CONDITIONS!$D:$D,OBJECT_CONDITIONS!$A:$A,$N58)-1))+($D58*(SUMIFS(OBJECT_CONDITIONS!$F:$F,OBJECT_CONDITIONS!$A:$A,$N58)-1))+($E58*(SUMIFS(OBJECT_CONDITIONS!$H:$H,OBJECT_CONDITIONS!$A:$A,$N58)-1))+($F58*(SUMIFS(OBJECT_CONDITIONS!$J:$J,OBJECT_CONDITIONS!$A:$A,$N58)-1))+($G58*(SUMIFS(OBJECT_CONDITIONS!$L:$L,OBJECT_CONDITIONS!$A:$A,$N58)-1))+($H58*(SUMIFS(OBJECT_CONDITIONS!$N:$N,OBJECT_CONDITIONS!$A:$A,$N58)-1))+($I58*(SUMIFS(OBJECT_CONDITIONS!$P:$P,OBJECT_CONDITIONS!$A:$A,$N58)-1))+($J58*(SUMIFS(OBJECT_CONDITIONS!$R:$R,OBJECT_CONDITIONS!$A:$A,$N58)-1))+($K58*(SUMIFS(OBJECT_CONDITIONS!$T:$T,OBJECT_CONDITIONS!$A:$A,$N58)-1)),3))</f>
        <v/>
      </c>
      <c r="P58" s="13"/>
    </row>
    <row r="59" spans="1:16" x14ac:dyDescent="0.3">
      <c r="A59" s="13"/>
      <c r="B59" s="13"/>
      <c r="C59" s="15"/>
      <c r="D59" s="15"/>
      <c r="E59" s="15"/>
      <c r="F59" s="15"/>
      <c r="G59" s="15"/>
      <c r="H59" s="15"/>
      <c r="I59" s="15"/>
      <c r="J59" s="15"/>
      <c r="K59" s="15"/>
      <c r="L59" s="13"/>
      <c r="M59" s="13"/>
      <c r="N59" s="13"/>
      <c r="O59" s="14" t="str">
        <f>IF($N59="","",ROUND(1+($C59*(SUMIFS(OBJECT_CONDITIONS!$D:$D,OBJECT_CONDITIONS!$A:$A,$N59)-1))+($D59*(SUMIFS(OBJECT_CONDITIONS!$F:$F,OBJECT_CONDITIONS!$A:$A,$N59)-1))+($E59*(SUMIFS(OBJECT_CONDITIONS!$H:$H,OBJECT_CONDITIONS!$A:$A,$N59)-1))+($F59*(SUMIFS(OBJECT_CONDITIONS!$J:$J,OBJECT_CONDITIONS!$A:$A,$N59)-1))+($G59*(SUMIFS(OBJECT_CONDITIONS!$L:$L,OBJECT_CONDITIONS!$A:$A,$N59)-1))+($H59*(SUMIFS(OBJECT_CONDITIONS!$N:$N,OBJECT_CONDITIONS!$A:$A,$N59)-1))+($I59*(SUMIFS(OBJECT_CONDITIONS!$P:$P,OBJECT_CONDITIONS!$A:$A,$N59)-1))+($J59*(SUMIFS(OBJECT_CONDITIONS!$R:$R,OBJECT_CONDITIONS!$A:$A,$N59)-1))+($K59*(SUMIFS(OBJECT_CONDITIONS!$T:$T,OBJECT_CONDITIONS!$A:$A,$N59)-1)),3))</f>
        <v/>
      </c>
      <c r="P59" s="13"/>
    </row>
    <row r="60" spans="1:16" x14ac:dyDescent="0.3">
      <c r="A60" s="13"/>
      <c r="B60" s="13"/>
      <c r="C60" s="15"/>
      <c r="D60" s="15"/>
      <c r="E60" s="15"/>
      <c r="F60" s="15"/>
      <c r="G60" s="15"/>
      <c r="H60" s="15"/>
      <c r="I60" s="15"/>
      <c r="J60" s="15"/>
      <c r="K60" s="15"/>
      <c r="L60" s="13"/>
      <c r="M60" s="13"/>
      <c r="N60" s="13"/>
      <c r="O60" s="14" t="str">
        <f>IF($N60="","",ROUND(1+($C60*(SUMIFS(OBJECT_CONDITIONS!$D:$D,OBJECT_CONDITIONS!$A:$A,$N60)-1))+($D60*(SUMIFS(OBJECT_CONDITIONS!$F:$F,OBJECT_CONDITIONS!$A:$A,$N60)-1))+($E60*(SUMIFS(OBJECT_CONDITIONS!$H:$H,OBJECT_CONDITIONS!$A:$A,$N60)-1))+($F60*(SUMIFS(OBJECT_CONDITIONS!$J:$J,OBJECT_CONDITIONS!$A:$A,$N60)-1))+($G60*(SUMIFS(OBJECT_CONDITIONS!$L:$L,OBJECT_CONDITIONS!$A:$A,$N60)-1))+($H60*(SUMIFS(OBJECT_CONDITIONS!$N:$N,OBJECT_CONDITIONS!$A:$A,$N60)-1))+($I60*(SUMIFS(OBJECT_CONDITIONS!$P:$P,OBJECT_CONDITIONS!$A:$A,$N60)-1))+($J60*(SUMIFS(OBJECT_CONDITIONS!$R:$R,OBJECT_CONDITIONS!$A:$A,$N60)-1))+($K60*(SUMIFS(OBJECT_CONDITIONS!$T:$T,OBJECT_CONDITIONS!$A:$A,$N60)-1)),3))</f>
        <v/>
      </c>
      <c r="P60" s="13"/>
    </row>
    <row r="61" spans="1:16" x14ac:dyDescent="0.3">
      <c r="A61" s="13"/>
      <c r="B61" s="13"/>
      <c r="C61" s="15"/>
      <c r="D61" s="15"/>
      <c r="E61" s="15"/>
      <c r="F61" s="15"/>
      <c r="G61" s="15"/>
      <c r="H61" s="15"/>
      <c r="I61" s="15"/>
      <c r="J61" s="15"/>
      <c r="K61" s="15"/>
      <c r="L61" s="13"/>
      <c r="M61" s="13"/>
      <c r="N61" s="13"/>
      <c r="O61" s="14" t="str">
        <f>IF($N61="","",ROUND(1+($C61*(SUMIFS(OBJECT_CONDITIONS!$D:$D,OBJECT_CONDITIONS!$A:$A,$N61)-1))+($D61*(SUMIFS(OBJECT_CONDITIONS!$F:$F,OBJECT_CONDITIONS!$A:$A,$N61)-1))+($E61*(SUMIFS(OBJECT_CONDITIONS!$H:$H,OBJECT_CONDITIONS!$A:$A,$N61)-1))+($F61*(SUMIFS(OBJECT_CONDITIONS!$J:$J,OBJECT_CONDITIONS!$A:$A,$N61)-1))+($G61*(SUMIFS(OBJECT_CONDITIONS!$L:$L,OBJECT_CONDITIONS!$A:$A,$N61)-1))+($H61*(SUMIFS(OBJECT_CONDITIONS!$N:$N,OBJECT_CONDITIONS!$A:$A,$N61)-1))+($I61*(SUMIFS(OBJECT_CONDITIONS!$P:$P,OBJECT_CONDITIONS!$A:$A,$N61)-1))+($J61*(SUMIFS(OBJECT_CONDITIONS!$R:$R,OBJECT_CONDITIONS!$A:$A,$N61)-1))+($K61*(SUMIFS(OBJECT_CONDITIONS!$T:$T,OBJECT_CONDITIONS!$A:$A,$N61)-1)),3))</f>
        <v/>
      </c>
      <c r="P61" s="13"/>
    </row>
    <row r="62" spans="1:16" x14ac:dyDescent="0.3">
      <c r="A62" s="13"/>
      <c r="B62" s="13"/>
      <c r="C62" s="15"/>
      <c r="D62" s="15"/>
      <c r="E62" s="15"/>
      <c r="F62" s="15"/>
      <c r="G62" s="15"/>
      <c r="H62" s="15"/>
      <c r="I62" s="15"/>
      <c r="J62" s="15"/>
      <c r="K62" s="15"/>
      <c r="L62" s="13"/>
      <c r="M62" s="13"/>
      <c r="N62" s="13"/>
      <c r="O62" s="14" t="str">
        <f>IF($N62="","",ROUND(1+($C62*(SUMIFS(OBJECT_CONDITIONS!$D:$D,OBJECT_CONDITIONS!$A:$A,$N62)-1))+($D62*(SUMIFS(OBJECT_CONDITIONS!$F:$F,OBJECT_CONDITIONS!$A:$A,$N62)-1))+($E62*(SUMIFS(OBJECT_CONDITIONS!$H:$H,OBJECT_CONDITIONS!$A:$A,$N62)-1))+($F62*(SUMIFS(OBJECT_CONDITIONS!$J:$J,OBJECT_CONDITIONS!$A:$A,$N62)-1))+($G62*(SUMIFS(OBJECT_CONDITIONS!$L:$L,OBJECT_CONDITIONS!$A:$A,$N62)-1))+($H62*(SUMIFS(OBJECT_CONDITIONS!$N:$N,OBJECT_CONDITIONS!$A:$A,$N62)-1))+($I62*(SUMIFS(OBJECT_CONDITIONS!$P:$P,OBJECT_CONDITIONS!$A:$A,$N62)-1))+($J62*(SUMIFS(OBJECT_CONDITIONS!$R:$R,OBJECT_CONDITIONS!$A:$A,$N62)-1))+($K62*(SUMIFS(OBJECT_CONDITIONS!$T:$T,OBJECT_CONDITIONS!$A:$A,$N62)-1)),3))</f>
        <v/>
      </c>
      <c r="P62" s="13"/>
    </row>
    <row r="63" spans="1:16" x14ac:dyDescent="0.3">
      <c r="A63" s="13"/>
      <c r="B63" s="13"/>
      <c r="C63" s="15"/>
      <c r="D63" s="15"/>
      <c r="E63" s="15"/>
      <c r="F63" s="15"/>
      <c r="G63" s="15"/>
      <c r="H63" s="15"/>
      <c r="I63" s="15"/>
      <c r="J63" s="15"/>
      <c r="K63" s="15"/>
      <c r="L63" s="13"/>
      <c r="M63" s="13"/>
      <c r="N63" s="13"/>
      <c r="O63" s="14" t="str">
        <f>IF($N63="","",ROUND(1+($C63*(SUMIFS(OBJECT_CONDITIONS!$D:$D,OBJECT_CONDITIONS!$A:$A,$N63)-1))+($D63*(SUMIFS(OBJECT_CONDITIONS!$F:$F,OBJECT_CONDITIONS!$A:$A,$N63)-1))+($E63*(SUMIFS(OBJECT_CONDITIONS!$H:$H,OBJECT_CONDITIONS!$A:$A,$N63)-1))+($F63*(SUMIFS(OBJECT_CONDITIONS!$J:$J,OBJECT_CONDITIONS!$A:$A,$N63)-1))+($G63*(SUMIFS(OBJECT_CONDITIONS!$L:$L,OBJECT_CONDITIONS!$A:$A,$N63)-1))+($H63*(SUMIFS(OBJECT_CONDITIONS!$N:$N,OBJECT_CONDITIONS!$A:$A,$N63)-1))+($I63*(SUMIFS(OBJECT_CONDITIONS!$P:$P,OBJECT_CONDITIONS!$A:$A,$N63)-1))+($J63*(SUMIFS(OBJECT_CONDITIONS!$R:$R,OBJECT_CONDITIONS!$A:$A,$N63)-1))+($K63*(SUMIFS(OBJECT_CONDITIONS!$T:$T,OBJECT_CONDITIONS!$A:$A,$N63)-1)),3))</f>
        <v/>
      </c>
      <c r="P63" s="13"/>
    </row>
    <row r="64" spans="1:16" x14ac:dyDescent="0.3">
      <c r="A64" s="13"/>
      <c r="B64" s="13"/>
      <c r="C64" s="15"/>
      <c r="D64" s="15"/>
      <c r="E64" s="15"/>
      <c r="F64" s="15"/>
      <c r="G64" s="15"/>
      <c r="H64" s="15"/>
      <c r="I64" s="15"/>
      <c r="J64" s="15"/>
      <c r="K64" s="15"/>
      <c r="L64" s="13"/>
      <c r="M64" s="13"/>
      <c r="N64" s="13"/>
      <c r="O64" s="14" t="str">
        <f>IF($N64="","",ROUND(1+($C64*(SUMIFS(OBJECT_CONDITIONS!$D:$D,OBJECT_CONDITIONS!$A:$A,$N64)-1))+($D64*(SUMIFS(OBJECT_CONDITIONS!$F:$F,OBJECT_CONDITIONS!$A:$A,$N64)-1))+($E64*(SUMIFS(OBJECT_CONDITIONS!$H:$H,OBJECT_CONDITIONS!$A:$A,$N64)-1))+($F64*(SUMIFS(OBJECT_CONDITIONS!$J:$J,OBJECT_CONDITIONS!$A:$A,$N64)-1))+($G64*(SUMIFS(OBJECT_CONDITIONS!$L:$L,OBJECT_CONDITIONS!$A:$A,$N64)-1))+($H64*(SUMIFS(OBJECT_CONDITIONS!$N:$N,OBJECT_CONDITIONS!$A:$A,$N64)-1))+($I64*(SUMIFS(OBJECT_CONDITIONS!$P:$P,OBJECT_CONDITIONS!$A:$A,$N64)-1))+($J64*(SUMIFS(OBJECT_CONDITIONS!$R:$R,OBJECT_CONDITIONS!$A:$A,$N64)-1))+($K64*(SUMIFS(OBJECT_CONDITIONS!$T:$T,OBJECT_CONDITIONS!$A:$A,$N64)-1)),3))</f>
        <v/>
      </c>
      <c r="P64" s="13"/>
    </row>
    <row r="65" spans="1:16" x14ac:dyDescent="0.3">
      <c r="A65" s="13"/>
      <c r="B65" s="13"/>
      <c r="C65" s="15"/>
      <c r="D65" s="15"/>
      <c r="E65" s="15"/>
      <c r="F65" s="15"/>
      <c r="G65" s="15"/>
      <c r="H65" s="15"/>
      <c r="I65" s="15"/>
      <c r="J65" s="15"/>
      <c r="K65" s="15"/>
      <c r="L65" s="13"/>
      <c r="M65" s="13"/>
      <c r="N65" s="13"/>
      <c r="O65" s="14" t="str">
        <f>IF($N65="","",ROUND(1+($C65*(SUMIFS(OBJECT_CONDITIONS!$D:$D,OBJECT_CONDITIONS!$A:$A,$N65)-1))+($D65*(SUMIFS(OBJECT_CONDITIONS!$F:$F,OBJECT_CONDITIONS!$A:$A,$N65)-1))+($E65*(SUMIFS(OBJECT_CONDITIONS!$H:$H,OBJECT_CONDITIONS!$A:$A,$N65)-1))+($F65*(SUMIFS(OBJECT_CONDITIONS!$J:$J,OBJECT_CONDITIONS!$A:$A,$N65)-1))+($G65*(SUMIFS(OBJECT_CONDITIONS!$L:$L,OBJECT_CONDITIONS!$A:$A,$N65)-1))+($H65*(SUMIFS(OBJECT_CONDITIONS!$N:$N,OBJECT_CONDITIONS!$A:$A,$N65)-1))+($I65*(SUMIFS(OBJECT_CONDITIONS!$P:$P,OBJECT_CONDITIONS!$A:$A,$N65)-1))+($J65*(SUMIFS(OBJECT_CONDITIONS!$R:$R,OBJECT_CONDITIONS!$A:$A,$N65)-1))+($K65*(SUMIFS(OBJECT_CONDITIONS!$T:$T,OBJECT_CONDITIONS!$A:$A,$N65)-1)),3))</f>
        <v/>
      </c>
      <c r="P65" s="13"/>
    </row>
    <row r="66" spans="1:16" x14ac:dyDescent="0.3">
      <c r="A66" s="13"/>
      <c r="B66" s="13"/>
      <c r="C66" s="15"/>
      <c r="D66" s="15"/>
      <c r="E66" s="15"/>
      <c r="F66" s="15"/>
      <c r="G66" s="15"/>
      <c r="H66" s="15"/>
      <c r="I66" s="15"/>
      <c r="J66" s="15"/>
      <c r="K66" s="15"/>
      <c r="L66" s="13"/>
      <c r="M66" s="13"/>
      <c r="N66" s="13"/>
      <c r="O66" s="14" t="str">
        <f>IF($N66="","",ROUND(1+($C66*(SUMIFS(OBJECT_CONDITIONS!$D:$D,OBJECT_CONDITIONS!$A:$A,$N66)-1))+($D66*(SUMIFS(OBJECT_CONDITIONS!$F:$F,OBJECT_CONDITIONS!$A:$A,$N66)-1))+($E66*(SUMIFS(OBJECT_CONDITIONS!$H:$H,OBJECT_CONDITIONS!$A:$A,$N66)-1))+($F66*(SUMIFS(OBJECT_CONDITIONS!$J:$J,OBJECT_CONDITIONS!$A:$A,$N66)-1))+($G66*(SUMIFS(OBJECT_CONDITIONS!$L:$L,OBJECT_CONDITIONS!$A:$A,$N66)-1))+($H66*(SUMIFS(OBJECT_CONDITIONS!$N:$N,OBJECT_CONDITIONS!$A:$A,$N66)-1))+($I66*(SUMIFS(OBJECT_CONDITIONS!$P:$P,OBJECT_CONDITIONS!$A:$A,$N66)-1))+($J66*(SUMIFS(OBJECT_CONDITIONS!$R:$R,OBJECT_CONDITIONS!$A:$A,$N66)-1))+($K66*(SUMIFS(OBJECT_CONDITIONS!$T:$T,OBJECT_CONDITIONS!$A:$A,$N66)-1)),3))</f>
        <v/>
      </c>
      <c r="P66" s="13"/>
    </row>
    <row r="67" spans="1:16" x14ac:dyDescent="0.3">
      <c r="A67" s="13"/>
      <c r="B67" s="13"/>
      <c r="C67" s="15"/>
      <c r="D67" s="15"/>
      <c r="E67" s="15"/>
      <c r="F67" s="15"/>
      <c r="G67" s="15"/>
      <c r="H67" s="15"/>
      <c r="I67" s="15"/>
      <c r="J67" s="15"/>
      <c r="K67" s="15"/>
      <c r="L67" s="13"/>
      <c r="M67" s="13"/>
      <c r="N67" s="13"/>
      <c r="O67" s="14" t="str">
        <f>IF($N67="","",ROUND(1+($C67*(SUMIFS(OBJECT_CONDITIONS!$D:$D,OBJECT_CONDITIONS!$A:$A,$N67)-1))+($D67*(SUMIFS(OBJECT_CONDITIONS!$F:$F,OBJECT_CONDITIONS!$A:$A,$N67)-1))+($E67*(SUMIFS(OBJECT_CONDITIONS!$H:$H,OBJECT_CONDITIONS!$A:$A,$N67)-1))+($F67*(SUMIFS(OBJECT_CONDITIONS!$J:$J,OBJECT_CONDITIONS!$A:$A,$N67)-1))+($G67*(SUMIFS(OBJECT_CONDITIONS!$L:$L,OBJECT_CONDITIONS!$A:$A,$N67)-1))+($H67*(SUMIFS(OBJECT_CONDITIONS!$N:$N,OBJECT_CONDITIONS!$A:$A,$N67)-1))+($I67*(SUMIFS(OBJECT_CONDITIONS!$P:$P,OBJECT_CONDITIONS!$A:$A,$N67)-1))+($J67*(SUMIFS(OBJECT_CONDITIONS!$R:$R,OBJECT_CONDITIONS!$A:$A,$N67)-1))+($K67*(SUMIFS(OBJECT_CONDITIONS!$T:$T,OBJECT_CONDITIONS!$A:$A,$N67)-1)),3))</f>
        <v/>
      </c>
      <c r="P67" s="13"/>
    </row>
    <row r="68" spans="1:16" x14ac:dyDescent="0.3">
      <c r="A68" s="13"/>
      <c r="B68" s="13"/>
      <c r="C68" s="15"/>
      <c r="D68" s="15"/>
      <c r="E68" s="15"/>
      <c r="F68" s="15"/>
      <c r="G68" s="15"/>
      <c r="H68" s="15"/>
      <c r="I68" s="15"/>
      <c r="J68" s="15"/>
      <c r="K68" s="15"/>
      <c r="L68" s="13"/>
      <c r="M68" s="13"/>
      <c r="N68" s="13"/>
      <c r="O68" s="14" t="str">
        <f>IF($N68="","",ROUND(1+($C68*(SUMIFS(OBJECT_CONDITIONS!$D:$D,OBJECT_CONDITIONS!$A:$A,$N68)-1))+($D68*(SUMIFS(OBJECT_CONDITIONS!$F:$F,OBJECT_CONDITIONS!$A:$A,$N68)-1))+($E68*(SUMIFS(OBJECT_CONDITIONS!$H:$H,OBJECT_CONDITIONS!$A:$A,$N68)-1))+($F68*(SUMIFS(OBJECT_CONDITIONS!$J:$J,OBJECT_CONDITIONS!$A:$A,$N68)-1))+($G68*(SUMIFS(OBJECT_CONDITIONS!$L:$L,OBJECT_CONDITIONS!$A:$A,$N68)-1))+($H68*(SUMIFS(OBJECT_CONDITIONS!$N:$N,OBJECT_CONDITIONS!$A:$A,$N68)-1))+($I68*(SUMIFS(OBJECT_CONDITIONS!$P:$P,OBJECT_CONDITIONS!$A:$A,$N68)-1))+($J68*(SUMIFS(OBJECT_CONDITIONS!$R:$R,OBJECT_CONDITIONS!$A:$A,$N68)-1))+($K68*(SUMIFS(OBJECT_CONDITIONS!$T:$T,OBJECT_CONDITIONS!$A:$A,$N68)-1)),3))</f>
        <v/>
      </c>
      <c r="P68" s="13"/>
    </row>
    <row r="69" spans="1:16" x14ac:dyDescent="0.3">
      <c r="A69" s="13"/>
      <c r="B69" s="13"/>
      <c r="C69" s="15"/>
      <c r="D69" s="15"/>
      <c r="E69" s="15"/>
      <c r="F69" s="15"/>
      <c r="G69" s="15"/>
      <c r="H69" s="15"/>
      <c r="I69" s="15"/>
      <c r="J69" s="15"/>
      <c r="K69" s="15"/>
      <c r="L69" s="13"/>
      <c r="M69" s="13"/>
      <c r="N69" s="13"/>
      <c r="O69" s="14" t="str">
        <f>IF($N69="","",ROUND(1+($C69*(SUMIFS(OBJECT_CONDITIONS!$D:$D,OBJECT_CONDITIONS!$A:$A,$N69)-1))+($D69*(SUMIFS(OBJECT_CONDITIONS!$F:$F,OBJECT_CONDITIONS!$A:$A,$N69)-1))+($E69*(SUMIFS(OBJECT_CONDITIONS!$H:$H,OBJECT_CONDITIONS!$A:$A,$N69)-1))+($F69*(SUMIFS(OBJECT_CONDITIONS!$J:$J,OBJECT_CONDITIONS!$A:$A,$N69)-1))+($G69*(SUMIFS(OBJECT_CONDITIONS!$L:$L,OBJECT_CONDITIONS!$A:$A,$N69)-1))+($H69*(SUMIFS(OBJECT_CONDITIONS!$N:$N,OBJECT_CONDITIONS!$A:$A,$N69)-1))+($I69*(SUMIFS(OBJECT_CONDITIONS!$P:$P,OBJECT_CONDITIONS!$A:$A,$N69)-1))+($J69*(SUMIFS(OBJECT_CONDITIONS!$R:$R,OBJECT_CONDITIONS!$A:$A,$N69)-1))+($K69*(SUMIFS(OBJECT_CONDITIONS!$T:$T,OBJECT_CONDITIONS!$A:$A,$N69)-1)),3))</f>
        <v/>
      </c>
      <c r="P69" s="13"/>
    </row>
    <row r="70" spans="1:16" x14ac:dyDescent="0.3">
      <c r="A70" s="13"/>
      <c r="B70" s="13"/>
      <c r="C70" s="15"/>
      <c r="D70" s="15"/>
      <c r="E70" s="15"/>
      <c r="F70" s="15"/>
      <c r="G70" s="15"/>
      <c r="H70" s="15"/>
      <c r="I70" s="15"/>
      <c r="J70" s="15"/>
      <c r="K70" s="15"/>
      <c r="L70" s="13"/>
      <c r="M70" s="13"/>
      <c r="N70" s="13"/>
      <c r="O70" s="14" t="str">
        <f>IF($N70="","",ROUND(1+($C70*(SUMIFS(OBJECT_CONDITIONS!$D:$D,OBJECT_CONDITIONS!$A:$A,$N70)-1))+($D70*(SUMIFS(OBJECT_CONDITIONS!$F:$F,OBJECT_CONDITIONS!$A:$A,$N70)-1))+($E70*(SUMIFS(OBJECT_CONDITIONS!$H:$H,OBJECT_CONDITIONS!$A:$A,$N70)-1))+($F70*(SUMIFS(OBJECT_CONDITIONS!$J:$J,OBJECT_CONDITIONS!$A:$A,$N70)-1))+($G70*(SUMIFS(OBJECT_CONDITIONS!$L:$L,OBJECT_CONDITIONS!$A:$A,$N70)-1))+($H70*(SUMIFS(OBJECT_CONDITIONS!$N:$N,OBJECT_CONDITIONS!$A:$A,$N70)-1))+($I70*(SUMIFS(OBJECT_CONDITIONS!$P:$P,OBJECT_CONDITIONS!$A:$A,$N70)-1))+($J70*(SUMIFS(OBJECT_CONDITIONS!$R:$R,OBJECT_CONDITIONS!$A:$A,$N70)-1))+($K70*(SUMIFS(OBJECT_CONDITIONS!$T:$T,OBJECT_CONDITIONS!$A:$A,$N70)-1)),3))</f>
        <v/>
      </c>
      <c r="P70" s="13"/>
    </row>
    <row r="71" spans="1:16" x14ac:dyDescent="0.3">
      <c r="A71" s="13"/>
      <c r="B71" s="13"/>
      <c r="C71" s="15"/>
      <c r="D71" s="15"/>
      <c r="E71" s="15"/>
      <c r="F71" s="15"/>
      <c r="G71" s="15"/>
      <c r="H71" s="15"/>
      <c r="I71" s="15"/>
      <c r="J71" s="15"/>
      <c r="K71" s="15"/>
      <c r="L71" s="13"/>
      <c r="M71" s="13"/>
      <c r="N71" s="13"/>
      <c r="O71" s="14" t="str">
        <f>IF($N71="","",ROUND(1+($C71*(SUMIFS(OBJECT_CONDITIONS!$D:$D,OBJECT_CONDITIONS!$A:$A,$N71)-1))+($D71*(SUMIFS(OBJECT_CONDITIONS!$F:$F,OBJECT_CONDITIONS!$A:$A,$N71)-1))+($E71*(SUMIFS(OBJECT_CONDITIONS!$H:$H,OBJECT_CONDITIONS!$A:$A,$N71)-1))+($F71*(SUMIFS(OBJECT_CONDITIONS!$J:$J,OBJECT_CONDITIONS!$A:$A,$N71)-1))+($G71*(SUMIFS(OBJECT_CONDITIONS!$L:$L,OBJECT_CONDITIONS!$A:$A,$N71)-1))+($H71*(SUMIFS(OBJECT_CONDITIONS!$N:$N,OBJECT_CONDITIONS!$A:$A,$N71)-1))+($I71*(SUMIFS(OBJECT_CONDITIONS!$P:$P,OBJECT_CONDITIONS!$A:$A,$N71)-1))+($J71*(SUMIFS(OBJECT_CONDITIONS!$R:$R,OBJECT_CONDITIONS!$A:$A,$N71)-1))+($K71*(SUMIFS(OBJECT_CONDITIONS!$T:$T,OBJECT_CONDITIONS!$A:$A,$N71)-1)),3))</f>
        <v/>
      </c>
      <c r="P71" s="13"/>
    </row>
    <row r="72" spans="1:16" x14ac:dyDescent="0.3">
      <c r="A72" s="13"/>
      <c r="B72" s="13"/>
      <c r="C72" s="15"/>
      <c r="D72" s="15"/>
      <c r="E72" s="15"/>
      <c r="F72" s="15"/>
      <c r="G72" s="15"/>
      <c r="H72" s="15"/>
      <c r="I72" s="15"/>
      <c r="J72" s="15"/>
      <c r="K72" s="15"/>
      <c r="L72" s="13"/>
      <c r="M72" s="13"/>
      <c r="N72" s="13"/>
      <c r="O72" s="14" t="str">
        <f>IF($N72="","",ROUND(1+($C72*(SUMIFS(OBJECT_CONDITIONS!$D:$D,OBJECT_CONDITIONS!$A:$A,$N72)-1))+($D72*(SUMIFS(OBJECT_CONDITIONS!$F:$F,OBJECT_CONDITIONS!$A:$A,$N72)-1))+($E72*(SUMIFS(OBJECT_CONDITIONS!$H:$H,OBJECT_CONDITIONS!$A:$A,$N72)-1))+($F72*(SUMIFS(OBJECT_CONDITIONS!$J:$J,OBJECT_CONDITIONS!$A:$A,$N72)-1))+($G72*(SUMIFS(OBJECT_CONDITIONS!$L:$L,OBJECT_CONDITIONS!$A:$A,$N72)-1))+($H72*(SUMIFS(OBJECT_CONDITIONS!$N:$N,OBJECT_CONDITIONS!$A:$A,$N72)-1))+($I72*(SUMIFS(OBJECT_CONDITIONS!$P:$P,OBJECT_CONDITIONS!$A:$A,$N72)-1))+($J72*(SUMIFS(OBJECT_CONDITIONS!$R:$R,OBJECT_CONDITIONS!$A:$A,$N72)-1))+($K72*(SUMIFS(OBJECT_CONDITIONS!$T:$T,OBJECT_CONDITIONS!$A:$A,$N72)-1)),3))</f>
        <v/>
      </c>
      <c r="P72" s="13"/>
    </row>
    <row r="73" spans="1:16" x14ac:dyDescent="0.3">
      <c r="A73" s="13"/>
      <c r="B73" s="13"/>
      <c r="C73" s="15"/>
      <c r="D73" s="15"/>
      <c r="E73" s="15"/>
      <c r="F73" s="15"/>
      <c r="G73" s="15"/>
      <c r="H73" s="15"/>
      <c r="I73" s="15"/>
      <c r="J73" s="15"/>
      <c r="K73" s="15"/>
      <c r="L73" s="13"/>
      <c r="M73" s="13"/>
      <c r="N73" s="13"/>
      <c r="O73" s="14" t="str">
        <f>IF($N73="","",ROUND(1+($C73*(SUMIFS(OBJECT_CONDITIONS!$D:$D,OBJECT_CONDITIONS!$A:$A,$N73)-1))+($D73*(SUMIFS(OBJECT_CONDITIONS!$F:$F,OBJECT_CONDITIONS!$A:$A,$N73)-1))+($E73*(SUMIFS(OBJECT_CONDITIONS!$H:$H,OBJECT_CONDITIONS!$A:$A,$N73)-1))+($F73*(SUMIFS(OBJECT_CONDITIONS!$J:$J,OBJECT_CONDITIONS!$A:$A,$N73)-1))+($G73*(SUMIFS(OBJECT_CONDITIONS!$L:$L,OBJECT_CONDITIONS!$A:$A,$N73)-1))+($H73*(SUMIFS(OBJECT_CONDITIONS!$N:$N,OBJECT_CONDITIONS!$A:$A,$N73)-1))+($I73*(SUMIFS(OBJECT_CONDITIONS!$P:$P,OBJECT_CONDITIONS!$A:$A,$N73)-1))+($J73*(SUMIFS(OBJECT_CONDITIONS!$R:$R,OBJECT_CONDITIONS!$A:$A,$N73)-1))+($K73*(SUMIFS(OBJECT_CONDITIONS!$T:$T,OBJECT_CONDITIONS!$A:$A,$N73)-1)),3))</f>
        <v/>
      </c>
      <c r="P73" s="13"/>
    </row>
    <row r="74" spans="1:16" x14ac:dyDescent="0.3">
      <c r="A74" s="13"/>
      <c r="B74" s="13"/>
      <c r="C74" s="15"/>
      <c r="D74" s="15"/>
      <c r="E74" s="15"/>
      <c r="F74" s="15"/>
      <c r="G74" s="15"/>
      <c r="H74" s="15"/>
      <c r="I74" s="15"/>
      <c r="J74" s="15"/>
      <c r="K74" s="15"/>
      <c r="L74" s="13"/>
      <c r="M74" s="13"/>
      <c r="N74" s="13"/>
      <c r="O74" s="14" t="str">
        <f>IF($N74="","",ROUND(1+($C74*(SUMIFS(OBJECT_CONDITIONS!$D:$D,OBJECT_CONDITIONS!$A:$A,$N74)-1))+($D74*(SUMIFS(OBJECT_CONDITIONS!$F:$F,OBJECT_CONDITIONS!$A:$A,$N74)-1))+($E74*(SUMIFS(OBJECT_CONDITIONS!$H:$H,OBJECT_CONDITIONS!$A:$A,$N74)-1))+($F74*(SUMIFS(OBJECT_CONDITIONS!$J:$J,OBJECT_CONDITIONS!$A:$A,$N74)-1))+($G74*(SUMIFS(OBJECT_CONDITIONS!$L:$L,OBJECT_CONDITIONS!$A:$A,$N74)-1))+($H74*(SUMIFS(OBJECT_CONDITIONS!$N:$N,OBJECT_CONDITIONS!$A:$A,$N74)-1))+($I74*(SUMIFS(OBJECT_CONDITIONS!$P:$P,OBJECT_CONDITIONS!$A:$A,$N74)-1))+($J74*(SUMIFS(OBJECT_CONDITIONS!$R:$R,OBJECT_CONDITIONS!$A:$A,$N74)-1))+($K74*(SUMIFS(OBJECT_CONDITIONS!$T:$T,OBJECT_CONDITIONS!$A:$A,$N74)-1)),3))</f>
        <v/>
      </c>
      <c r="P74" s="13"/>
    </row>
    <row r="75" spans="1:16" x14ac:dyDescent="0.3">
      <c r="A75" s="13"/>
      <c r="B75" s="13"/>
      <c r="C75" s="15"/>
      <c r="D75" s="15"/>
      <c r="E75" s="15"/>
      <c r="F75" s="15"/>
      <c r="G75" s="15"/>
      <c r="H75" s="15"/>
      <c r="I75" s="15"/>
      <c r="J75" s="15"/>
      <c r="K75" s="15"/>
      <c r="L75" s="13"/>
      <c r="M75" s="13"/>
      <c r="N75" s="13"/>
      <c r="O75" s="14" t="str">
        <f>IF($N75="","",ROUND(1+($C75*(SUMIFS(OBJECT_CONDITIONS!$D:$D,OBJECT_CONDITIONS!$A:$A,$N75)-1))+($D75*(SUMIFS(OBJECT_CONDITIONS!$F:$F,OBJECT_CONDITIONS!$A:$A,$N75)-1))+($E75*(SUMIFS(OBJECT_CONDITIONS!$H:$H,OBJECT_CONDITIONS!$A:$A,$N75)-1))+($F75*(SUMIFS(OBJECT_CONDITIONS!$J:$J,OBJECT_CONDITIONS!$A:$A,$N75)-1))+($G75*(SUMIFS(OBJECT_CONDITIONS!$L:$L,OBJECT_CONDITIONS!$A:$A,$N75)-1))+($H75*(SUMIFS(OBJECT_CONDITIONS!$N:$N,OBJECT_CONDITIONS!$A:$A,$N75)-1))+($I75*(SUMIFS(OBJECT_CONDITIONS!$P:$P,OBJECT_CONDITIONS!$A:$A,$N75)-1))+($J75*(SUMIFS(OBJECT_CONDITIONS!$R:$R,OBJECT_CONDITIONS!$A:$A,$N75)-1))+($K75*(SUMIFS(OBJECT_CONDITIONS!$T:$T,OBJECT_CONDITIONS!$A:$A,$N75)-1)),3))</f>
        <v/>
      </c>
      <c r="P75" s="13"/>
    </row>
    <row r="76" spans="1:16" x14ac:dyDescent="0.3">
      <c r="A76" s="13"/>
      <c r="B76" s="13"/>
      <c r="C76" s="15"/>
      <c r="D76" s="15"/>
      <c r="E76" s="15"/>
      <c r="F76" s="15"/>
      <c r="G76" s="15"/>
      <c r="H76" s="15"/>
      <c r="I76" s="15"/>
      <c r="J76" s="15"/>
      <c r="K76" s="15"/>
      <c r="L76" s="13"/>
      <c r="M76" s="13"/>
      <c r="N76" s="13"/>
      <c r="O76" s="14" t="str">
        <f>IF($N76="","",ROUND(1+($C76*(SUMIFS(OBJECT_CONDITIONS!$D:$D,OBJECT_CONDITIONS!$A:$A,$N76)-1))+($D76*(SUMIFS(OBJECT_CONDITIONS!$F:$F,OBJECT_CONDITIONS!$A:$A,$N76)-1))+($E76*(SUMIFS(OBJECT_CONDITIONS!$H:$H,OBJECT_CONDITIONS!$A:$A,$N76)-1))+($F76*(SUMIFS(OBJECT_CONDITIONS!$J:$J,OBJECT_CONDITIONS!$A:$A,$N76)-1))+($G76*(SUMIFS(OBJECT_CONDITIONS!$L:$L,OBJECT_CONDITIONS!$A:$A,$N76)-1))+($H76*(SUMIFS(OBJECT_CONDITIONS!$N:$N,OBJECT_CONDITIONS!$A:$A,$N76)-1))+($I76*(SUMIFS(OBJECT_CONDITIONS!$P:$P,OBJECT_CONDITIONS!$A:$A,$N76)-1))+($J76*(SUMIFS(OBJECT_CONDITIONS!$R:$R,OBJECT_CONDITIONS!$A:$A,$N76)-1))+($K76*(SUMIFS(OBJECT_CONDITIONS!$T:$T,OBJECT_CONDITIONS!$A:$A,$N76)-1)),3))</f>
        <v/>
      </c>
      <c r="P76" s="13"/>
    </row>
    <row r="77" spans="1:16" x14ac:dyDescent="0.3">
      <c r="A77" s="13"/>
      <c r="B77" s="13"/>
      <c r="C77" s="15"/>
      <c r="D77" s="15"/>
      <c r="E77" s="15"/>
      <c r="F77" s="15"/>
      <c r="G77" s="15"/>
      <c r="H77" s="15"/>
      <c r="I77" s="15"/>
      <c r="J77" s="15"/>
      <c r="K77" s="15"/>
      <c r="L77" s="13"/>
      <c r="M77" s="13"/>
      <c r="N77" s="13"/>
      <c r="O77" s="14" t="str">
        <f>IF($N77="","",ROUND(1+($C77*(SUMIFS(OBJECT_CONDITIONS!$D:$D,OBJECT_CONDITIONS!$A:$A,$N77)-1))+($D77*(SUMIFS(OBJECT_CONDITIONS!$F:$F,OBJECT_CONDITIONS!$A:$A,$N77)-1))+($E77*(SUMIFS(OBJECT_CONDITIONS!$H:$H,OBJECT_CONDITIONS!$A:$A,$N77)-1))+($F77*(SUMIFS(OBJECT_CONDITIONS!$J:$J,OBJECT_CONDITIONS!$A:$A,$N77)-1))+($G77*(SUMIFS(OBJECT_CONDITIONS!$L:$L,OBJECT_CONDITIONS!$A:$A,$N77)-1))+($H77*(SUMIFS(OBJECT_CONDITIONS!$N:$N,OBJECT_CONDITIONS!$A:$A,$N77)-1))+($I77*(SUMIFS(OBJECT_CONDITIONS!$P:$P,OBJECT_CONDITIONS!$A:$A,$N77)-1))+($J77*(SUMIFS(OBJECT_CONDITIONS!$R:$R,OBJECT_CONDITIONS!$A:$A,$N77)-1))+($K77*(SUMIFS(OBJECT_CONDITIONS!$T:$T,OBJECT_CONDITIONS!$A:$A,$N77)-1)),3))</f>
        <v/>
      </c>
      <c r="P77" s="13"/>
    </row>
    <row r="78" spans="1:16" x14ac:dyDescent="0.3">
      <c r="A78" s="13"/>
      <c r="B78" s="13"/>
      <c r="C78" s="15"/>
      <c r="D78" s="15"/>
      <c r="E78" s="15"/>
      <c r="F78" s="15"/>
      <c r="G78" s="15"/>
      <c r="H78" s="15"/>
      <c r="I78" s="15"/>
      <c r="J78" s="15"/>
      <c r="K78" s="15"/>
      <c r="L78" s="13"/>
      <c r="M78" s="13"/>
      <c r="N78" s="13"/>
      <c r="O78" s="14" t="str">
        <f>IF($N78="","",ROUND(1+($C78*(SUMIFS(OBJECT_CONDITIONS!$D:$D,OBJECT_CONDITIONS!$A:$A,$N78)-1))+($D78*(SUMIFS(OBJECT_CONDITIONS!$F:$F,OBJECT_CONDITIONS!$A:$A,$N78)-1))+($E78*(SUMIFS(OBJECT_CONDITIONS!$H:$H,OBJECT_CONDITIONS!$A:$A,$N78)-1))+($F78*(SUMIFS(OBJECT_CONDITIONS!$J:$J,OBJECT_CONDITIONS!$A:$A,$N78)-1))+($G78*(SUMIFS(OBJECT_CONDITIONS!$L:$L,OBJECT_CONDITIONS!$A:$A,$N78)-1))+($H78*(SUMIFS(OBJECT_CONDITIONS!$N:$N,OBJECT_CONDITIONS!$A:$A,$N78)-1))+($I78*(SUMIFS(OBJECT_CONDITIONS!$P:$P,OBJECT_CONDITIONS!$A:$A,$N78)-1))+($J78*(SUMIFS(OBJECT_CONDITIONS!$R:$R,OBJECT_CONDITIONS!$A:$A,$N78)-1))+($K78*(SUMIFS(OBJECT_CONDITIONS!$T:$T,OBJECT_CONDITIONS!$A:$A,$N78)-1)),3))</f>
        <v/>
      </c>
      <c r="P78" s="13"/>
    </row>
    <row r="79" spans="1:16" x14ac:dyDescent="0.3">
      <c r="A79" s="13"/>
      <c r="B79" s="13"/>
      <c r="C79" s="15"/>
      <c r="D79" s="15"/>
      <c r="E79" s="15"/>
      <c r="F79" s="15"/>
      <c r="G79" s="15"/>
      <c r="H79" s="15"/>
      <c r="I79" s="15"/>
      <c r="J79" s="15"/>
      <c r="K79" s="15"/>
      <c r="L79" s="13"/>
      <c r="M79" s="13"/>
      <c r="N79" s="13"/>
      <c r="O79" s="14" t="str">
        <f>IF($N79="","",ROUND(1+($C79*(SUMIFS(OBJECT_CONDITIONS!$D:$D,OBJECT_CONDITIONS!$A:$A,$N79)-1))+($D79*(SUMIFS(OBJECT_CONDITIONS!$F:$F,OBJECT_CONDITIONS!$A:$A,$N79)-1))+($E79*(SUMIFS(OBJECT_CONDITIONS!$H:$H,OBJECT_CONDITIONS!$A:$A,$N79)-1))+($F79*(SUMIFS(OBJECT_CONDITIONS!$J:$J,OBJECT_CONDITIONS!$A:$A,$N79)-1))+($G79*(SUMIFS(OBJECT_CONDITIONS!$L:$L,OBJECT_CONDITIONS!$A:$A,$N79)-1))+($H79*(SUMIFS(OBJECT_CONDITIONS!$N:$N,OBJECT_CONDITIONS!$A:$A,$N79)-1))+($I79*(SUMIFS(OBJECT_CONDITIONS!$P:$P,OBJECT_CONDITIONS!$A:$A,$N79)-1))+($J79*(SUMIFS(OBJECT_CONDITIONS!$R:$R,OBJECT_CONDITIONS!$A:$A,$N79)-1))+($K79*(SUMIFS(OBJECT_CONDITIONS!$T:$T,OBJECT_CONDITIONS!$A:$A,$N79)-1)),3))</f>
        <v/>
      </c>
      <c r="P79" s="13"/>
    </row>
    <row r="80" spans="1:16" x14ac:dyDescent="0.3">
      <c r="A80" s="13"/>
      <c r="B80" s="13"/>
      <c r="C80" s="15"/>
      <c r="D80" s="15"/>
      <c r="E80" s="15"/>
      <c r="F80" s="15"/>
      <c r="G80" s="15"/>
      <c r="H80" s="15"/>
      <c r="I80" s="15"/>
      <c r="J80" s="15"/>
      <c r="K80" s="15"/>
      <c r="L80" s="13"/>
      <c r="M80" s="13"/>
      <c r="N80" s="13"/>
      <c r="O80" s="14" t="str">
        <f>IF($N80="","",ROUND(1+($C80*(SUMIFS(OBJECT_CONDITIONS!$D:$D,OBJECT_CONDITIONS!$A:$A,$N80)-1))+($D80*(SUMIFS(OBJECT_CONDITIONS!$F:$F,OBJECT_CONDITIONS!$A:$A,$N80)-1))+($E80*(SUMIFS(OBJECT_CONDITIONS!$H:$H,OBJECT_CONDITIONS!$A:$A,$N80)-1))+($F80*(SUMIFS(OBJECT_CONDITIONS!$J:$J,OBJECT_CONDITIONS!$A:$A,$N80)-1))+($G80*(SUMIFS(OBJECT_CONDITIONS!$L:$L,OBJECT_CONDITIONS!$A:$A,$N80)-1))+($H80*(SUMIFS(OBJECT_CONDITIONS!$N:$N,OBJECT_CONDITIONS!$A:$A,$N80)-1))+($I80*(SUMIFS(OBJECT_CONDITIONS!$P:$P,OBJECT_CONDITIONS!$A:$A,$N80)-1))+($J80*(SUMIFS(OBJECT_CONDITIONS!$R:$R,OBJECT_CONDITIONS!$A:$A,$N80)-1))+($K80*(SUMIFS(OBJECT_CONDITIONS!$T:$T,OBJECT_CONDITIONS!$A:$A,$N80)-1)),3))</f>
        <v/>
      </c>
      <c r="P80" s="13"/>
    </row>
    <row r="81" spans="1:16" x14ac:dyDescent="0.3">
      <c r="A81" s="13"/>
      <c r="B81" s="13"/>
      <c r="C81" s="15"/>
      <c r="D81" s="15"/>
      <c r="E81" s="15"/>
      <c r="F81" s="15"/>
      <c r="G81" s="15"/>
      <c r="H81" s="15"/>
      <c r="I81" s="15"/>
      <c r="J81" s="15"/>
      <c r="K81" s="15"/>
      <c r="L81" s="13"/>
      <c r="M81" s="13"/>
      <c r="N81" s="13"/>
      <c r="O81" s="14" t="str">
        <f>IF($N81="","",ROUND(1+($C81*(SUMIFS(OBJECT_CONDITIONS!$D:$D,OBJECT_CONDITIONS!$A:$A,$N81)-1))+($D81*(SUMIFS(OBJECT_CONDITIONS!$F:$F,OBJECT_CONDITIONS!$A:$A,$N81)-1))+($E81*(SUMIFS(OBJECT_CONDITIONS!$H:$H,OBJECT_CONDITIONS!$A:$A,$N81)-1))+($F81*(SUMIFS(OBJECT_CONDITIONS!$J:$J,OBJECT_CONDITIONS!$A:$A,$N81)-1))+($G81*(SUMIFS(OBJECT_CONDITIONS!$L:$L,OBJECT_CONDITIONS!$A:$A,$N81)-1))+($H81*(SUMIFS(OBJECT_CONDITIONS!$N:$N,OBJECT_CONDITIONS!$A:$A,$N81)-1))+($I81*(SUMIFS(OBJECT_CONDITIONS!$P:$P,OBJECT_CONDITIONS!$A:$A,$N81)-1))+($J81*(SUMIFS(OBJECT_CONDITIONS!$R:$R,OBJECT_CONDITIONS!$A:$A,$N81)-1))+($K81*(SUMIFS(OBJECT_CONDITIONS!$T:$T,OBJECT_CONDITIONS!$A:$A,$N81)-1)),3))</f>
        <v/>
      </c>
      <c r="P81" s="13"/>
    </row>
    <row r="82" spans="1:16" x14ac:dyDescent="0.3">
      <c r="A82" s="13"/>
      <c r="B82" s="13"/>
      <c r="C82" s="15"/>
      <c r="D82" s="15"/>
      <c r="E82" s="15"/>
      <c r="F82" s="15"/>
      <c r="G82" s="15"/>
      <c r="H82" s="15"/>
      <c r="I82" s="15"/>
      <c r="J82" s="15"/>
      <c r="K82" s="15"/>
      <c r="L82" s="13"/>
      <c r="M82" s="13"/>
      <c r="N82" s="13"/>
      <c r="O82" s="14" t="str">
        <f>IF($N82="","",ROUND(1+($C82*(SUMIFS(OBJECT_CONDITIONS!$D:$D,OBJECT_CONDITIONS!$A:$A,$N82)-1))+($D82*(SUMIFS(OBJECT_CONDITIONS!$F:$F,OBJECT_CONDITIONS!$A:$A,$N82)-1))+($E82*(SUMIFS(OBJECT_CONDITIONS!$H:$H,OBJECT_CONDITIONS!$A:$A,$N82)-1))+($F82*(SUMIFS(OBJECT_CONDITIONS!$J:$J,OBJECT_CONDITIONS!$A:$A,$N82)-1))+($G82*(SUMIFS(OBJECT_CONDITIONS!$L:$L,OBJECT_CONDITIONS!$A:$A,$N82)-1))+($H82*(SUMIFS(OBJECT_CONDITIONS!$N:$N,OBJECT_CONDITIONS!$A:$A,$N82)-1))+($I82*(SUMIFS(OBJECT_CONDITIONS!$P:$P,OBJECT_CONDITIONS!$A:$A,$N82)-1))+($J82*(SUMIFS(OBJECT_CONDITIONS!$R:$R,OBJECT_CONDITIONS!$A:$A,$N82)-1))+($K82*(SUMIFS(OBJECT_CONDITIONS!$T:$T,OBJECT_CONDITIONS!$A:$A,$N82)-1)),3))</f>
        <v/>
      </c>
      <c r="P82" s="13"/>
    </row>
    <row r="83" spans="1:16" x14ac:dyDescent="0.3">
      <c r="A83" s="13"/>
      <c r="B83" s="13"/>
      <c r="C83" s="15"/>
      <c r="D83" s="15"/>
      <c r="E83" s="15"/>
      <c r="F83" s="15"/>
      <c r="G83" s="15"/>
      <c r="H83" s="15"/>
      <c r="I83" s="15"/>
      <c r="J83" s="15"/>
      <c r="K83" s="15"/>
      <c r="L83" s="13"/>
      <c r="M83" s="13"/>
      <c r="N83" s="13"/>
      <c r="O83" s="14" t="str">
        <f>IF($N83="","",ROUND(1+($C83*(SUMIFS(OBJECT_CONDITIONS!$D:$D,OBJECT_CONDITIONS!$A:$A,$N83)-1))+($D83*(SUMIFS(OBJECT_CONDITIONS!$F:$F,OBJECT_CONDITIONS!$A:$A,$N83)-1))+($E83*(SUMIFS(OBJECT_CONDITIONS!$H:$H,OBJECT_CONDITIONS!$A:$A,$N83)-1))+($F83*(SUMIFS(OBJECT_CONDITIONS!$J:$J,OBJECT_CONDITIONS!$A:$A,$N83)-1))+($G83*(SUMIFS(OBJECT_CONDITIONS!$L:$L,OBJECT_CONDITIONS!$A:$A,$N83)-1))+($H83*(SUMIFS(OBJECT_CONDITIONS!$N:$N,OBJECT_CONDITIONS!$A:$A,$N83)-1))+($I83*(SUMIFS(OBJECT_CONDITIONS!$P:$P,OBJECT_CONDITIONS!$A:$A,$N83)-1))+($J83*(SUMIFS(OBJECT_CONDITIONS!$R:$R,OBJECT_CONDITIONS!$A:$A,$N83)-1))+($K83*(SUMIFS(OBJECT_CONDITIONS!$T:$T,OBJECT_CONDITIONS!$A:$A,$N83)-1)),3))</f>
        <v/>
      </c>
      <c r="P83" s="13"/>
    </row>
    <row r="84" spans="1:16" x14ac:dyDescent="0.3">
      <c r="A84" s="13"/>
      <c r="B84" s="13"/>
      <c r="C84" s="15"/>
      <c r="D84" s="15"/>
      <c r="E84" s="15"/>
      <c r="F84" s="15"/>
      <c r="G84" s="15"/>
      <c r="H84" s="15"/>
      <c r="I84" s="15"/>
      <c r="J84" s="15"/>
      <c r="K84" s="15"/>
      <c r="L84" s="13"/>
      <c r="M84" s="13"/>
      <c r="N84" s="13"/>
      <c r="O84" s="14" t="str">
        <f>IF($N84="","",ROUND(1+($C84*(SUMIFS(OBJECT_CONDITIONS!$D:$D,OBJECT_CONDITIONS!$A:$A,$N84)-1))+($D84*(SUMIFS(OBJECT_CONDITIONS!$F:$F,OBJECT_CONDITIONS!$A:$A,$N84)-1))+($E84*(SUMIFS(OBJECT_CONDITIONS!$H:$H,OBJECT_CONDITIONS!$A:$A,$N84)-1))+($F84*(SUMIFS(OBJECT_CONDITIONS!$J:$J,OBJECT_CONDITIONS!$A:$A,$N84)-1))+($G84*(SUMIFS(OBJECT_CONDITIONS!$L:$L,OBJECT_CONDITIONS!$A:$A,$N84)-1))+($H84*(SUMIFS(OBJECT_CONDITIONS!$N:$N,OBJECT_CONDITIONS!$A:$A,$N84)-1))+($I84*(SUMIFS(OBJECT_CONDITIONS!$P:$P,OBJECT_CONDITIONS!$A:$A,$N84)-1))+($J84*(SUMIFS(OBJECT_CONDITIONS!$R:$R,OBJECT_CONDITIONS!$A:$A,$N84)-1))+($K84*(SUMIFS(OBJECT_CONDITIONS!$T:$T,OBJECT_CONDITIONS!$A:$A,$N84)-1)),3))</f>
        <v/>
      </c>
      <c r="P84" s="13"/>
    </row>
    <row r="85" spans="1:16" x14ac:dyDescent="0.3">
      <c r="A85" s="13"/>
      <c r="B85" s="13"/>
      <c r="C85" s="15"/>
      <c r="D85" s="15"/>
      <c r="E85" s="15"/>
      <c r="F85" s="15"/>
      <c r="G85" s="15"/>
      <c r="H85" s="15"/>
      <c r="I85" s="15"/>
      <c r="J85" s="15"/>
      <c r="K85" s="15"/>
      <c r="L85" s="13"/>
      <c r="M85" s="13"/>
      <c r="N85" s="13"/>
      <c r="O85" s="14" t="str">
        <f>IF($N85="","",ROUND(1+($C85*(SUMIFS(OBJECT_CONDITIONS!$D:$D,OBJECT_CONDITIONS!$A:$A,$N85)-1))+($D85*(SUMIFS(OBJECT_CONDITIONS!$F:$F,OBJECT_CONDITIONS!$A:$A,$N85)-1))+($E85*(SUMIFS(OBJECT_CONDITIONS!$H:$H,OBJECT_CONDITIONS!$A:$A,$N85)-1))+($F85*(SUMIFS(OBJECT_CONDITIONS!$J:$J,OBJECT_CONDITIONS!$A:$A,$N85)-1))+($G85*(SUMIFS(OBJECT_CONDITIONS!$L:$L,OBJECT_CONDITIONS!$A:$A,$N85)-1))+($H85*(SUMIFS(OBJECT_CONDITIONS!$N:$N,OBJECT_CONDITIONS!$A:$A,$N85)-1))+($I85*(SUMIFS(OBJECT_CONDITIONS!$P:$P,OBJECT_CONDITIONS!$A:$A,$N85)-1))+($J85*(SUMIFS(OBJECT_CONDITIONS!$R:$R,OBJECT_CONDITIONS!$A:$A,$N85)-1))+($K85*(SUMIFS(OBJECT_CONDITIONS!$T:$T,OBJECT_CONDITIONS!$A:$A,$N85)-1)),3))</f>
        <v/>
      </c>
      <c r="P85" s="13"/>
    </row>
    <row r="86" spans="1:16" x14ac:dyDescent="0.3">
      <c r="A86" s="13"/>
      <c r="B86" s="13"/>
      <c r="C86" s="15"/>
      <c r="D86" s="15"/>
      <c r="E86" s="15"/>
      <c r="F86" s="15"/>
      <c r="G86" s="15"/>
      <c r="H86" s="15"/>
      <c r="I86" s="15"/>
      <c r="J86" s="15"/>
      <c r="K86" s="15"/>
      <c r="L86" s="13"/>
      <c r="M86" s="13"/>
      <c r="N86" s="13"/>
      <c r="O86" s="14" t="str">
        <f>IF($N86="","",ROUND(1+($C86*(SUMIFS(OBJECT_CONDITIONS!$D:$D,OBJECT_CONDITIONS!$A:$A,$N86)-1))+($D86*(SUMIFS(OBJECT_CONDITIONS!$F:$F,OBJECT_CONDITIONS!$A:$A,$N86)-1))+($E86*(SUMIFS(OBJECT_CONDITIONS!$H:$H,OBJECT_CONDITIONS!$A:$A,$N86)-1))+($F86*(SUMIFS(OBJECT_CONDITIONS!$J:$J,OBJECT_CONDITIONS!$A:$A,$N86)-1))+($G86*(SUMIFS(OBJECT_CONDITIONS!$L:$L,OBJECT_CONDITIONS!$A:$A,$N86)-1))+($H86*(SUMIFS(OBJECT_CONDITIONS!$N:$N,OBJECT_CONDITIONS!$A:$A,$N86)-1))+($I86*(SUMIFS(OBJECT_CONDITIONS!$P:$P,OBJECT_CONDITIONS!$A:$A,$N86)-1))+($J86*(SUMIFS(OBJECT_CONDITIONS!$R:$R,OBJECT_CONDITIONS!$A:$A,$N86)-1))+($K86*(SUMIFS(OBJECT_CONDITIONS!$T:$T,OBJECT_CONDITIONS!$A:$A,$N86)-1)),3))</f>
        <v/>
      </c>
      <c r="P86" s="13"/>
    </row>
    <row r="87" spans="1:16" x14ac:dyDescent="0.3">
      <c r="A87" s="13"/>
      <c r="B87" s="13"/>
      <c r="C87" s="15"/>
      <c r="D87" s="15"/>
      <c r="E87" s="15"/>
      <c r="F87" s="15"/>
      <c r="G87" s="15"/>
      <c r="H87" s="15"/>
      <c r="I87" s="15"/>
      <c r="J87" s="15"/>
      <c r="K87" s="15"/>
      <c r="L87" s="13"/>
      <c r="M87" s="13"/>
      <c r="N87" s="13"/>
      <c r="O87" s="14" t="str">
        <f>IF($N87="","",ROUND(1+($C87*(SUMIFS(OBJECT_CONDITIONS!$D:$D,OBJECT_CONDITIONS!$A:$A,$N87)-1))+($D87*(SUMIFS(OBJECT_CONDITIONS!$F:$F,OBJECT_CONDITIONS!$A:$A,$N87)-1))+($E87*(SUMIFS(OBJECT_CONDITIONS!$H:$H,OBJECT_CONDITIONS!$A:$A,$N87)-1))+($F87*(SUMIFS(OBJECT_CONDITIONS!$J:$J,OBJECT_CONDITIONS!$A:$A,$N87)-1))+($G87*(SUMIFS(OBJECT_CONDITIONS!$L:$L,OBJECT_CONDITIONS!$A:$A,$N87)-1))+($H87*(SUMIFS(OBJECT_CONDITIONS!$N:$N,OBJECT_CONDITIONS!$A:$A,$N87)-1))+($I87*(SUMIFS(OBJECT_CONDITIONS!$P:$P,OBJECT_CONDITIONS!$A:$A,$N87)-1))+($J87*(SUMIFS(OBJECT_CONDITIONS!$R:$R,OBJECT_CONDITIONS!$A:$A,$N87)-1))+($K87*(SUMIFS(OBJECT_CONDITIONS!$T:$T,OBJECT_CONDITIONS!$A:$A,$N87)-1)),3))</f>
        <v/>
      </c>
      <c r="P87" s="13"/>
    </row>
    <row r="88" spans="1:16" x14ac:dyDescent="0.3">
      <c r="A88" s="13"/>
      <c r="B88" s="13"/>
      <c r="C88" s="15"/>
      <c r="D88" s="15"/>
      <c r="E88" s="15"/>
      <c r="F88" s="15"/>
      <c r="G88" s="15"/>
      <c r="H88" s="15"/>
      <c r="I88" s="15"/>
      <c r="J88" s="15"/>
      <c r="K88" s="15"/>
      <c r="L88" s="13"/>
      <c r="M88" s="13"/>
      <c r="N88" s="13"/>
      <c r="O88" s="14" t="str">
        <f>IF($N88="","",ROUND(1+($C88*(SUMIFS(OBJECT_CONDITIONS!$D:$D,OBJECT_CONDITIONS!$A:$A,$N88)-1))+($D88*(SUMIFS(OBJECT_CONDITIONS!$F:$F,OBJECT_CONDITIONS!$A:$A,$N88)-1))+($E88*(SUMIFS(OBJECT_CONDITIONS!$H:$H,OBJECT_CONDITIONS!$A:$A,$N88)-1))+($F88*(SUMIFS(OBJECT_CONDITIONS!$J:$J,OBJECT_CONDITIONS!$A:$A,$N88)-1))+($G88*(SUMIFS(OBJECT_CONDITIONS!$L:$L,OBJECT_CONDITIONS!$A:$A,$N88)-1))+($H88*(SUMIFS(OBJECT_CONDITIONS!$N:$N,OBJECT_CONDITIONS!$A:$A,$N88)-1))+($I88*(SUMIFS(OBJECT_CONDITIONS!$P:$P,OBJECT_CONDITIONS!$A:$A,$N88)-1))+($J88*(SUMIFS(OBJECT_CONDITIONS!$R:$R,OBJECT_CONDITIONS!$A:$A,$N88)-1))+($K88*(SUMIFS(OBJECT_CONDITIONS!$T:$T,OBJECT_CONDITIONS!$A:$A,$N88)-1)),3))</f>
        <v/>
      </c>
      <c r="P88" s="13"/>
    </row>
    <row r="89" spans="1:16" x14ac:dyDescent="0.3">
      <c r="A89" s="13"/>
      <c r="B89" s="13"/>
      <c r="C89" s="15"/>
      <c r="D89" s="15"/>
      <c r="E89" s="15"/>
      <c r="F89" s="15"/>
      <c r="G89" s="15"/>
      <c r="H89" s="15"/>
      <c r="I89" s="15"/>
      <c r="J89" s="15"/>
      <c r="K89" s="15"/>
      <c r="L89" s="13"/>
      <c r="M89" s="13"/>
      <c r="N89" s="13"/>
      <c r="O89" s="14" t="str">
        <f>IF($N89="","",ROUND(1+($C89*(SUMIFS(OBJECT_CONDITIONS!$D:$D,OBJECT_CONDITIONS!$A:$A,$N89)-1))+($D89*(SUMIFS(OBJECT_CONDITIONS!$F:$F,OBJECT_CONDITIONS!$A:$A,$N89)-1))+($E89*(SUMIFS(OBJECT_CONDITIONS!$H:$H,OBJECT_CONDITIONS!$A:$A,$N89)-1))+($F89*(SUMIFS(OBJECT_CONDITIONS!$J:$J,OBJECT_CONDITIONS!$A:$A,$N89)-1))+($G89*(SUMIFS(OBJECT_CONDITIONS!$L:$L,OBJECT_CONDITIONS!$A:$A,$N89)-1))+($H89*(SUMIFS(OBJECT_CONDITIONS!$N:$N,OBJECT_CONDITIONS!$A:$A,$N89)-1))+($I89*(SUMIFS(OBJECT_CONDITIONS!$P:$P,OBJECT_CONDITIONS!$A:$A,$N89)-1))+($J89*(SUMIFS(OBJECT_CONDITIONS!$R:$R,OBJECT_CONDITIONS!$A:$A,$N89)-1))+($K89*(SUMIFS(OBJECT_CONDITIONS!$T:$T,OBJECT_CONDITIONS!$A:$A,$N89)-1)),3))</f>
        <v/>
      </c>
      <c r="P89" s="13"/>
    </row>
    <row r="90" spans="1:16" x14ac:dyDescent="0.3">
      <c r="A90" s="13"/>
      <c r="B90" s="13"/>
      <c r="C90" s="15"/>
      <c r="D90" s="15"/>
      <c r="E90" s="15"/>
      <c r="F90" s="15"/>
      <c r="G90" s="15"/>
      <c r="H90" s="15"/>
      <c r="I90" s="15"/>
      <c r="J90" s="15"/>
      <c r="K90" s="15"/>
      <c r="L90" s="13"/>
      <c r="M90" s="13"/>
      <c r="N90" s="13"/>
      <c r="O90" s="14" t="str">
        <f>IF($N90="","",ROUND(1+($C90*(SUMIFS(OBJECT_CONDITIONS!$D:$D,OBJECT_CONDITIONS!$A:$A,$N90)-1))+($D90*(SUMIFS(OBJECT_CONDITIONS!$F:$F,OBJECT_CONDITIONS!$A:$A,$N90)-1))+($E90*(SUMIFS(OBJECT_CONDITIONS!$H:$H,OBJECT_CONDITIONS!$A:$A,$N90)-1))+($F90*(SUMIFS(OBJECT_CONDITIONS!$J:$J,OBJECT_CONDITIONS!$A:$A,$N90)-1))+($G90*(SUMIFS(OBJECT_CONDITIONS!$L:$L,OBJECT_CONDITIONS!$A:$A,$N90)-1))+($H90*(SUMIFS(OBJECT_CONDITIONS!$N:$N,OBJECT_CONDITIONS!$A:$A,$N90)-1))+($I90*(SUMIFS(OBJECT_CONDITIONS!$P:$P,OBJECT_CONDITIONS!$A:$A,$N90)-1))+($J90*(SUMIFS(OBJECT_CONDITIONS!$R:$R,OBJECT_CONDITIONS!$A:$A,$N90)-1))+($K90*(SUMIFS(OBJECT_CONDITIONS!$T:$T,OBJECT_CONDITIONS!$A:$A,$N90)-1)),3))</f>
        <v/>
      </c>
      <c r="P90" s="13"/>
    </row>
    <row r="91" spans="1:16" x14ac:dyDescent="0.3">
      <c r="A91" s="13"/>
      <c r="B91" s="13"/>
      <c r="C91" s="15"/>
      <c r="D91" s="15"/>
      <c r="E91" s="15"/>
      <c r="F91" s="15"/>
      <c r="G91" s="15"/>
      <c r="H91" s="15"/>
      <c r="I91" s="15"/>
      <c r="J91" s="15"/>
      <c r="K91" s="15"/>
      <c r="L91" s="13"/>
      <c r="M91" s="13"/>
      <c r="N91" s="13"/>
      <c r="O91" s="14" t="str">
        <f>IF($N91="","",ROUND(1+($C91*(SUMIFS(OBJECT_CONDITIONS!$D:$D,OBJECT_CONDITIONS!$A:$A,$N91)-1))+($D91*(SUMIFS(OBJECT_CONDITIONS!$F:$F,OBJECT_CONDITIONS!$A:$A,$N91)-1))+($E91*(SUMIFS(OBJECT_CONDITIONS!$H:$H,OBJECT_CONDITIONS!$A:$A,$N91)-1))+($F91*(SUMIFS(OBJECT_CONDITIONS!$J:$J,OBJECT_CONDITIONS!$A:$A,$N91)-1))+($G91*(SUMIFS(OBJECT_CONDITIONS!$L:$L,OBJECT_CONDITIONS!$A:$A,$N91)-1))+($H91*(SUMIFS(OBJECT_CONDITIONS!$N:$N,OBJECT_CONDITIONS!$A:$A,$N91)-1))+($I91*(SUMIFS(OBJECT_CONDITIONS!$P:$P,OBJECT_CONDITIONS!$A:$A,$N91)-1))+($J91*(SUMIFS(OBJECT_CONDITIONS!$R:$R,OBJECT_CONDITIONS!$A:$A,$N91)-1))+($K91*(SUMIFS(OBJECT_CONDITIONS!$T:$T,OBJECT_CONDITIONS!$A:$A,$N91)-1)),3))</f>
        <v/>
      </c>
      <c r="P91" s="13"/>
    </row>
    <row r="92" spans="1:16" x14ac:dyDescent="0.3">
      <c r="A92" s="13"/>
      <c r="B92" s="13"/>
      <c r="C92" s="15"/>
      <c r="D92" s="15"/>
      <c r="E92" s="15"/>
      <c r="F92" s="15"/>
      <c r="G92" s="15"/>
      <c r="H92" s="15"/>
      <c r="I92" s="15"/>
      <c r="J92" s="15"/>
      <c r="K92" s="15"/>
      <c r="L92" s="13"/>
      <c r="M92" s="13"/>
      <c r="N92" s="13"/>
      <c r="O92" s="14" t="str">
        <f>IF($N92="","",ROUND(1+($C92*(SUMIFS(OBJECT_CONDITIONS!$D:$D,OBJECT_CONDITIONS!$A:$A,$N92)-1))+($D92*(SUMIFS(OBJECT_CONDITIONS!$F:$F,OBJECT_CONDITIONS!$A:$A,$N92)-1))+($E92*(SUMIFS(OBJECT_CONDITIONS!$H:$H,OBJECT_CONDITIONS!$A:$A,$N92)-1))+($F92*(SUMIFS(OBJECT_CONDITIONS!$J:$J,OBJECT_CONDITIONS!$A:$A,$N92)-1))+($G92*(SUMIFS(OBJECT_CONDITIONS!$L:$L,OBJECT_CONDITIONS!$A:$A,$N92)-1))+($H92*(SUMIFS(OBJECT_CONDITIONS!$N:$N,OBJECT_CONDITIONS!$A:$A,$N92)-1))+($I92*(SUMIFS(OBJECT_CONDITIONS!$P:$P,OBJECT_CONDITIONS!$A:$A,$N92)-1))+($J92*(SUMIFS(OBJECT_CONDITIONS!$R:$R,OBJECT_CONDITIONS!$A:$A,$N92)-1))+($K92*(SUMIFS(OBJECT_CONDITIONS!$T:$T,OBJECT_CONDITIONS!$A:$A,$N92)-1)),3))</f>
        <v/>
      </c>
      <c r="P92" s="13"/>
    </row>
    <row r="93" spans="1:16" x14ac:dyDescent="0.3">
      <c r="A93" s="13"/>
      <c r="B93" s="13"/>
      <c r="C93" s="15"/>
      <c r="D93" s="15"/>
      <c r="E93" s="15"/>
      <c r="F93" s="15"/>
      <c r="G93" s="15"/>
      <c r="H93" s="15"/>
      <c r="I93" s="15"/>
      <c r="J93" s="15"/>
      <c r="K93" s="15"/>
      <c r="L93" s="13"/>
      <c r="M93" s="13"/>
      <c r="N93" s="13"/>
      <c r="O93" s="14" t="str">
        <f>IF($N93="","",ROUND(1+($C93*(SUMIFS(OBJECT_CONDITIONS!$D:$D,OBJECT_CONDITIONS!$A:$A,$N93)-1))+($D93*(SUMIFS(OBJECT_CONDITIONS!$F:$F,OBJECT_CONDITIONS!$A:$A,$N93)-1))+($E93*(SUMIFS(OBJECT_CONDITIONS!$H:$H,OBJECT_CONDITIONS!$A:$A,$N93)-1))+($F93*(SUMIFS(OBJECT_CONDITIONS!$J:$J,OBJECT_CONDITIONS!$A:$A,$N93)-1))+($G93*(SUMIFS(OBJECT_CONDITIONS!$L:$L,OBJECT_CONDITIONS!$A:$A,$N93)-1))+($H93*(SUMIFS(OBJECT_CONDITIONS!$N:$N,OBJECT_CONDITIONS!$A:$A,$N93)-1))+($I93*(SUMIFS(OBJECT_CONDITIONS!$P:$P,OBJECT_CONDITIONS!$A:$A,$N93)-1))+($J93*(SUMIFS(OBJECT_CONDITIONS!$R:$R,OBJECT_CONDITIONS!$A:$A,$N93)-1))+($K93*(SUMIFS(OBJECT_CONDITIONS!$T:$T,OBJECT_CONDITIONS!$A:$A,$N93)-1)),3))</f>
        <v/>
      </c>
      <c r="P93" s="13"/>
    </row>
    <row r="94" spans="1:16" x14ac:dyDescent="0.3">
      <c r="A94" s="13"/>
      <c r="B94" s="13"/>
      <c r="C94" s="15"/>
      <c r="D94" s="15"/>
      <c r="E94" s="15"/>
      <c r="F94" s="15"/>
      <c r="G94" s="15"/>
      <c r="H94" s="15"/>
      <c r="I94" s="15"/>
      <c r="J94" s="15"/>
      <c r="K94" s="15"/>
      <c r="L94" s="13"/>
      <c r="M94" s="13"/>
      <c r="N94" s="13"/>
      <c r="O94" s="14" t="str">
        <f>IF($N94="","",ROUND(1+($C94*(SUMIFS(OBJECT_CONDITIONS!$D:$D,OBJECT_CONDITIONS!$A:$A,$N94)-1))+($D94*(SUMIFS(OBJECT_CONDITIONS!$F:$F,OBJECT_CONDITIONS!$A:$A,$N94)-1))+($E94*(SUMIFS(OBJECT_CONDITIONS!$H:$H,OBJECT_CONDITIONS!$A:$A,$N94)-1))+($F94*(SUMIFS(OBJECT_CONDITIONS!$J:$J,OBJECT_CONDITIONS!$A:$A,$N94)-1))+($G94*(SUMIFS(OBJECT_CONDITIONS!$L:$L,OBJECT_CONDITIONS!$A:$A,$N94)-1))+($H94*(SUMIFS(OBJECT_CONDITIONS!$N:$N,OBJECT_CONDITIONS!$A:$A,$N94)-1))+($I94*(SUMIFS(OBJECT_CONDITIONS!$P:$P,OBJECT_CONDITIONS!$A:$A,$N94)-1))+($J94*(SUMIFS(OBJECT_CONDITIONS!$R:$R,OBJECT_CONDITIONS!$A:$A,$N94)-1))+($K94*(SUMIFS(OBJECT_CONDITIONS!$T:$T,OBJECT_CONDITIONS!$A:$A,$N94)-1)),3))</f>
        <v/>
      </c>
      <c r="P94" s="13"/>
    </row>
    <row r="95" spans="1:16" x14ac:dyDescent="0.3">
      <c r="A95" s="13"/>
      <c r="B95" s="13"/>
      <c r="C95" s="15"/>
      <c r="D95" s="15"/>
      <c r="E95" s="15"/>
      <c r="F95" s="15"/>
      <c r="G95" s="15"/>
      <c r="H95" s="15"/>
      <c r="I95" s="15"/>
      <c r="J95" s="15"/>
      <c r="K95" s="15"/>
      <c r="L95" s="13"/>
      <c r="M95" s="13"/>
      <c r="N95" s="13"/>
      <c r="O95" s="14" t="str">
        <f>IF($N95="","",ROUND(1+($C95*(SUMIFS(OBJECT_CONDITIONS!$D:$D,OBJECT_CONDITIONS!$A:$A,$N95)-1))+($D95*(SUMIFS(OBJECT_CONDITIONS!$F:$F,OBJECT_CONDITIONS!$A:$A,$N95)-1))+($E95*(SUMIFS(OBJECT_CONDITIONS!$H:$H,OBJECT_CONDITIONS!$A:$A,$N95)-1))+($F95*(SUMIFS(OBJECT_CONDITIONS!$J:$J,OBJECT_CONDITIONS!$A:$A,$N95)-1))+($G95*(SUMIFS(OBJECT_CONDITIONS!$L:$L,OBJECT_CONDITIONS!$A:$A,$N95)-1))+($H95*(SUMIFS(OBJECT_CONDITIONS!$N:$N,OBJECT_CONDITIONS!$A:$A,$N95)-1))+($I95*(SUMIFS(OBJECT_CONDITIONS!$P:$P,OBJECT_CONDITIONS!$A:$A,$N95)-1))+($J95*(SUMIFS(OBJECT_CONDITIONS!$R:$R,OBJECT_CONDITIONS!$A:$A,$N95)-1))+($K95*(SUMIFS(OBJECT_CONDITIONS!$T:$T,OBJECT_CONDITIONS!$A:$A,$N95)-1)),3))</f>
        <v/>
      </c>
      <c r="P95" s="13"/>
    </row>
    <row r="96" spans="1:16" x14ac:dyDescent="0.3">
      <c r="A96" s="13"/>
      <c r="B96" s="13"/>
      <c r="C96" s="15"/>
      <c r="D96" s="15"/>
      <c r="E96" s="15"/>
      <c r="F96" s="15"/>
      <c r="G96" s="15"/>
      <c r="H96" s="15"/>
      <c r="I96" s="15"/>
      <c r="J96" s="15"/>
      <c r="K96" s="15"/>
      <c r="L96" s="13"/>
      <c r="M96" s="13"/>
      <c r="N96" s="13"/>
      <c r="O96" s="14" t="str">
        <f>IF($N96="","",ROUND(1+($C96*(SUMIFS(OBJECT_CONDITIONS!$D:$D,OBJECT_CONDITIONS!$A:$A,$N96)-1))+($D96*(SUMIFS(OBJECT_CONDITIONS!$F:$F,OBJECT_CONDITIONS!$A:$A,$N96)-1))+($E96*(SUMIFS(OBJECT_CONDITIONS!$H:$H,OBJECT_CONDITIONS!$A:$A,$N96)-1))+($F96*(SUMIFS(OBJECT_CONDITIONS!$J:$J,OBJECT_CONDITIONS!$A:$A,$N96)-1))+($G96*(SUMIFS(OBJECT_CONDITIONS!$L:$L,OBJECT_CONDITIONS!$A:$A,$N96)-1))+($H96*(SUMIFS(OBJECT_CONDITIONS!$N:$N,OBJECT_CONDITIONS!$A:$A,$N96)-1))+($I96*(SUMIFS(OBJECT_CONDITIONS!$P:$P,OBJECT_CONDITIONS!$A:$A,$N96)-1))+($J96*(SUMIFS(OBJECT_CONDITIONS!$R:$R,OBJECT_CONDITIONS!$A:$A,$N96)-1))+($K96*(SUMIFS(OBJECT_CONDITIONS!$T:$T,OBJECT_CONDITIONS!$A:$A,$N96)-1)),3))</f>
        <v/>
      </c>
      <c r="P96" s="13"/>
    </row>
    <row r="97" spans="1:16" x14ac:dyDescent="0.3">
      <c r="A97" s="13"/>
      <c r="B97" s="13"/>
      <c r="C97" s="15"/>
      <c r="D97" s="15"/>
      <c r="E97" s="15"/>
      <c r="F97" s="15"/>
      <c r="G97" s="15"/>
      <c r="H97" s="15"/>
      <c r="I97" s="15"/>
      <c r="J97" s="15"/>
      <c r="K97" s="15"/>
      <c r="L97" s="13"/>
      <c r="M97" s="13"/>
      <c r="N97" s="13"/>
      <c r="O97" s="14" t="str">
        <f>IF($N97="","",ROUND(1+($C97*(SUMIFS(OBJECT_CONDITIONS!$D:$D,OBJECT_CONDITIONS!$A:$A,$N97)-1))+($D97*(SUMIFS(OBJECT_CONDITIONS!$F:$F,OBJECT_CONDITIONS!$A:$A,$N97)-1))+($E97*(SUMIFS(OBJECT_CONDITIONS!$H:$H,OBJECT_CONDITIONS!$A:$A,$N97)-1))+($F97*(SUMIFS(OBJECT_CONDITIONS!$J:$J,OBJECT_CONDITIONS!$A:$A,$N97)-1))+($G97*(SUMIFS(OBJECT_CONDITIONS!$L:$L,OBJECT_CONDITIONS!$A:$A,$N97)-1))+($H97*(SUMIFS(OBJECT_CONDITIONS!$N:$N,OBJECT_CONDITIONS!$A:$A,$N97)-1))+($I97*(SUMIFS(OBJECT_CONDITIONS!$P:$P,OBJECT_CONDITIONS!$A:$A,$N97)-1))+($J97*(SUMIFS(OBJECT_CONDITIONS!$R:$R,OBJECT_CONDITIONS!$A:$A,$N97)-1))+($K97*(SUMIFS(OBJECT_CONDITIONS!$T:$T,OBJECT_CONDITIONS!$A:$A,$N97)-1)),3))</f>
        <v/>
      </c>
      <c r="P97" s="13"/>
    </row>
    <row r="98" spans="1:16" x14ac:dyDescent="0.3">
      <c r="A98" s="13"/>
      <c r="B98" s="13"/>
      <c r="C98" s="15"/>
      <c r="D98" s="15"/>
      <c r="E98" s="15"/>
      <c r="F98" s="15"/>
      <c r="G98" s="15"/>
      <c r="H98" s="15"/>
      <c r="I98" s="15"/>
      <c r="J98" s="15"/>
      <c r="K98" s="15"/>
      <c r="L98" s="13"/>
      <c r="M98" s="13"/>
      <c r="N98" s="13"/>
      <c r="O98" s="14" t="str">
        <f>IF($N98="","",ROUND(1+($C98*(SUMIFS(OBJECT_CONDITIONS!$D:$D,OBJECT_CONDITIONS!$A:$A,$N98)-1))+($D98*(SUMIFS(OBJECT_CONDITIONS!$F:$F,OBJECT_CONDITIONS!$A:$A,$N98)-1))+($E98*(SUMIFS(OBJECT_CONDITIONS!$H:$H,OBJECT_CONDITIONS!$A:$A,$N98)-1))+($F98*(SUMIFS(OBJECT_CONDITIONS!$J:$J,OBJECT_CONDITIONS!$A:$A,$N98)-1))+($G98*(SUMIFS(OBJECT_CONDITIONS!$L:$L,OBJECT_CONDITIONS!$A:$A,$N98)-1))+($H98*(SUMIFS(OBJECT_CONDITIONS!$N:$N,OBJECT_CONDITIONS!$A:$A,$N98)-1))+($I98*(SUMIFS(OBJECT_CONDITIONS!$P:$P,OBJECT_CONDITIONS!$A:$A,$N98)-1))+($J98*(SUMIFS(OBJECT_CONDITIONS!$R:$R,OBJECT_CONDITIONS!$A:$A,$N98)-1))+($K98*(SUMIFS(OBJECT_CONDITIONS!$T:$T,OBJECT_CONDITIONS!$A:$A,$N98)-1)),3))</f>
        <v/>
      </c>
      <c r="P98" s="13"/>
    </row>
    <row r="99" spans="1:16" x14ac:dyDescent="0.3">
      <c r="A99" s="13"/>
      <c r="B99" s="13"/>
      <c r="C99" s="15"/>
      <c r="D99" s="15"/>
      <c r="E99" s="15"/>
      <c r="F99" s="15"/>
      <c r="G99" s="15"/>
      <c r="H99" s="15"/>
      <c r="I99" s="15"/>
      <c r="J99" s="15"/>
      <c r="K99" s="15"/>
      <c r="L99" s="13"/>
      <c r="M99" s="13"/>
      <c r="N99" s="13"/>
      <c r="O99" s="14" t="str">
        <f>IF($N99="","",ROUND(1+($C99*(SUMIFS(OBJECT_CONDITIONS!$D:$D,OBJECT_CONDITIONS!$A:$A,$N99)-1))+($D99*(SUMIFS(OBJECT_CONDITIONS!$F:$F,OBJECT_CONDITIONS!$A:$A,$N99)-1))+($E99*(SUMIFS(OBJECT_CONDITIONS!$H:$H,OBJECT_CONDITIONS!$A:$A,$N99)-1))+($F99*(SUMIFS(OBJECT_CONDITIONS!$J:$J,OBJECT_CONDITIONS!$A:$A,$N99)-1))+($G99*(SUMIFS(OBJECT_CONDITIONS!$L:$L,OBJECT_CONDITIONS!$A:$A,$N99)-1))+($H99*(SUMIFS(OBJECT_CONDITIONS!$N:$N,OBJECT_CONDITIONS!$A:$A,$N99)-1))+($I99*(SUMIFS(OBJECT_CONDITIONS!$P:$P,OBJECT_CONDITIONS!$A:$A,$N99)-1))+($J99*(SUMIFS(OBJECT_CONDITIONS!$R:$R,OBJECT_CONDITIONS!$A:$A,$N99)-1))+($K99*(SUMIFS(OBJECT_CONDITIONS!$T:$T,OBJECT_CONDITIONS!$A:$A,$N99)-1)),3))</f>
        <v/>
      </c>
      <c r="P99" s="13"/>
    </row>
    <row r="100" spans="1:16" x14ac:dyDescent="0.3">
      <c r="A100" s="13"/>
      <c r="B100" s="13"/>
      <c r="C100" s="15"/>
      <c r="D100" s="15"/>
      <c r="E100" s="15"/>
      <c r="F100" s="15"/>
      <c r="G100" s="15"/>
      <c r="H100" s="15"/>
      <c r="I100" s="15"/>
      <c r="J100" s="15"/>
      <c r="K100" s="15"/>
      <c r="L100" s="13"/>
      <c r="M100" s="13"/>
      <c r="N100" s="13"/>
      <c r="O100" s="14" t="str">
        <f>IF($N100="","",ROUND(1+($C100*(SUMIFS(OBJECT_CONDITIONS!$D:$D,OBJECT_CONDITIONS!$A:$A,$N100)-1))+($D100*(SUMIFS(OBJECT_CONDITIONS!$F:$F,OBJECT_CONDITIONS!$A:$A,$N100)-1))+($E100*(SUMIFS(OBJECT_CONDITIONS!$H:$H,OBJECT_CONDITIONS!$A:$A,$N100)-1))+($F100*(SUMIFS(OBJECT_CONDITIONS!$J:$J,OBJECT_CONDITIONS!$A:$A,$N100)-1))+($G100*(SUMIFS(OBJECT_CONDITIONS!$L:$L,OBJECT_CONDITIONS!$A:$A,$N100)-1))+($H100*(SUMIFS(OBJECT_CONDITIONS!$N:$N,OBJECT_CONDITIONS!$A:$A,$N100)-1))+($I100*(SUMIFS(OBJECT_CONDITIONS!$P:$P,OBJECT_CONDITIONS!$A:$A,$N100)-1))+($J100*(SUMIFS(OBJECT_CONDITIONS!$R:$R,OBJECT_CONDITIONS!$A:$A,$N100)-1))+($K100*(SUMIFS(OBJECT_CONDITIONS!$T:$T,OBJECT_CONDITIONS!$A:$A,$N100)-1)),3))</f>
        <v/>
      </c>
      <c r="P100" s="13"/>
    </row>
    <row r="101" spans="1:16" x14ac:dyDescent="0.3">
      <c r="A101" s="13"/>
      <c r="B101" s="13"/>
      <c r="C101" s="15"/>
      <c r="D101" s="15"/>
      <c r="E101" s="15"/>
      <c r="F101" s="15"/>
      <c r="G101" s="15"/>
      <c r="H101" s="15"/>
      <c r="I101" s="15"/>
      <c r="J101" s="15"/>
      <c r="K101" s="15"/>
      <c r="L101" s="13"/>
      <c r="M101" s="13"/>
      <c r="N101" s="13"/>
      <c r="O101" s="14" t="str">
        <f>IF($N101="","",ROUND(1+($C101*(SUMIFS(OBJECT_CONDITIONS!$D:$D,OBJECT_CONDITIONS!$A:$A,$N101)-1))+($D101*(SUMIFS(OBJECT_CONDITIONS!$F:$F,OBJECT_CONDITIONS!$A:$A,$N101)-1))+($E101*(SUMIFS(OBJECT_CONDITIONS!$H:$H,OBJECT_CONDITIONS!$A:$A,$N101)-1))+($F101*(SUMIFS(OBJECT_CONDITIONS!$J:$J,OBJECT_CONDITIONS!$A:$A,$N101)-1))+($G101*(SUMIFS(OBJECT_CONDITIONS!$L:$L,OBJECT_CONDITIONS!$A:$A,$N101)-1))+($H101*(SUMIFS(OBJECT_CONDITIONS!$N:$N,OBJECT_CONDITIONS!$A:$A,$N101)-1))+($I101*(SUMIFS(OBJECT_CONDITIONS!$P:$P,OBJECT_CONDITIONS!$A:$A,$N101)-1))+($J101*(SUMIFS(OBJECT_CONDITIONS!$R:$R,OBJECT_CONDITIONS!$A:$A,$N101)-1))+($K101*(SUMIFS(OBJECT_CONDITIONS!$T:$T,OBJECT_CONDITIONS!$A:$A,$N101)-1)),3))</f>
        <v/>
      </c>
      <c r="P101" s="13"/>
    </row>
    <row r="102" spans="1:16" x14ac:dyDescent="0.3">
      <c r="A102" s="13"/>
      <c r="B102" s="13"/>
      <c r="C102" s="15"/>
      <c r="D102" s="15"/>
      <c r="E102" s="15"/>
      <c r="F102" s="15"/>
      <c r="G102" s="15"/>
      <c r="H102" s="15"/>
      <c r="I102" s="15"/>
      <c r="J102" s="15"/>
      <c r="K102" s="15"/>
      <c r="L102" s="13"/>
      <c r="M102" s="13"/>
      <c r="N102" s="13"/>
      <c r="O102" s="14" t="str">
        <f>IF($N102="","",ROUND(1+($C102*(SUMIFS(OBJECT_CONDITIONS!$D:$D,OBJECT_CONDITIONS!$A:$A,$N102)-1))+($D102*(SUMIFS(OBJECT_CONDITIONS!$F:$F,OBJECT_CONDITIONS!$A:$A,$N102)-1))+($E102*(SUMIFS(OBJECT_CONDITIONS!$H:$H,OBJECT_CONDITIONS!$A:$A,$N102)-1))+($F102*(SUMIFS(OBJECT_CONDITIONS!$J:$J,OBJECT_CONDITIONS!$A:$A,$N102)-1))+($G102*(SUMIFS(OBJECT_CONDITIONS!$L:$L,OBJECT_CONDITIONS!$A:$A,$N102)-1))+($H102*(SUMIFS(OBJECT_CONDITIONS!$N:$N,OBJECT_CONDITIONS!$A:$A,$N102)-1))+($I102*(SUMIFS(OBJECT_CONDITIONS!$P:$P,OBJECT_CONDITIONS!$A:$A,$N102)-1))+($J102*(SUMIFS(OBJECT_CONDITIONS!$R:$R,OBJECT_CONDITIONS!$A:$A,$N102)-1))+($K102*(SUMIFS(OBJECT_CONDITIONS!$T:$T,OBJECT_CONDITIONS!$A:$A,$N102)-1)),3))</f>
        <v/>
      </c>
      <c r="P102" s="13"/>
    </row>
    <row r="103" spans="1:16" x14ac:dyDescent="0.3">
      <c r="A103" s="13"/>
      <c r="B103" s="13"/>
      <c r="C103" s="15"/>
      <c r="D103" s="15"/>
      <c r="E103" s="15"/>
      <c r="F103" s="15"/>
      <c r="G103" s="15"/>
      <c r="H103" s="15"/>
      <c r="I103" s="15"/>
      <c r="J103" s="15"/>
      <c r="K103" s="15"/>
      <c r="L103" s="13"/>
      <c r="M103" s="13"/>
      <c r="N103" s="13"/>
      <c r="O103" s="14" t="str">
        <f>IF($N103="","",ROUND(1+($C103*(SUMIFS(OBJECT_CONDITIONS!$D:$D,OBJECT_CONDITIONS!$A:$A,$N103)-1))+($D103*(SUMIFS(OBJECT_CONDITIONS!$F:$F,OBJECT_CONDITIONS!$A:$A,$N103)-1))+($E103*(SUMIFS(OBJECT_CONDITIONS!$H:$H,OBJECT_CONDITIONS!$A:$A,$N103)-1))+($F103*(SUMIFS(OBJECT_CONDITIONS!$J:$J,OBJECT_CONDITIONS!$A:$A,$N103)-1))+($G103*(SUMIFS(OBJECT_CONDITIONS!$L:$L,OBJECT_CONDITIONS!$A:$A,$N103)-1))+($H103*(SUMIFS(OBJECT_CONDITIONS!$N:$N,OBJECT_CONDITIONS!$A:$A,$N103)-1))+($I103*(SUMIFS(OBJECT_CONDITIONS!$P:$P,OBJECT_CONDITIONS!$A:$A,$N103)-1))+($J103*(SUMIFS(OBJECT_CONDITIONS!$R:$R,OBJECT_CONDITIONS!$A:$A,$N103)-1))+($K103*(SUMIFS(OBJECT_CONDITIONS!$T:$T,OBJECT_CONDITIONS!$A:$A,$N103)-1)),3))</f>
        <v/>
      </c>
      <c r="P103" s="13"/>
    </row>
    <row r="104" spans="1:16" x14ac:dyDescent="0.3">
      <c r="A104" s="13"/>
      <c r="B104" s="13"/>
      <c r="C104" s="15"/>
      <c r="D104" s="15"/>
      <c r="E104" s="15"/>
      <c r="F104" s="15"/>
      <c r="G104" s="15"/>
      <c r="H104" s="15"/>
      <c r="I104" s="15"/>
      <c r="J104" s="15"/>
      <c r="K104" s="15"/>
      <c r="L104" s="13"/>
      <c r="M104" s="13"/>
      <c r="N104" s="13"/>
      <c r="O104" s="14" t="str">
        <f>IF($N104="","",ROUND(1+($C104*(SUMIFS(OBJECT_CONDITIONS!$D:$D,OBJECT_CONDITIONS!$A:$A,$N104)-1))+($D104*(SUMIFS(OBJECT_CONDITIONS!$F:$F,OBJECT_CONDITIONS!$A:$A,$N104)-1))+($E104*(SUMIFS(OBJECT_CONDITIONS!$H:$H,OBJECT_CONDITIONS!$A:$A,$N104)-1))+($F104*(SUMIFS(OBJECT_CONDITIONS!$J:$J,OBJECT_CONDITIONS!$A:$A,$N104)-1))+($G104*(SUMIFS(OBJECT_CONDITIONS!$L:$L,OBJECT_CONDITIONS!$A:$A,$N104)-1))+($H104*(SUMIFS(OBJECT_CONDITIONS!$N:$N,OBJECT_CONDITIONS!$A:$A,$N104)-1))+($I104*(SUMIFS(OBJECT_CONDITIONS!$P:$P,OBJECT_CONDITIONS!$A:$A,$N104)-1))+($J104*(SUMIFS(OBJECT_CONDITIONS!$R:$R,OBJECT_CONDITIONS!$A:$A,$N104)-1))+($K104*(SUMIFS(OBJECT_CONDITIONS!$T:$T,OBJECT_CONDITIONS!$A:$A,$N104)-1)),3))</f>
        <v/>
      </c>
      <c r="P104" s="13"/>
    </row>
    <row r="105" spans="1:16" x14ac:dyDescent="0.3">
      <c r="A105" s="13"/>
      <c r="B105" s="13"/>
      <c r="C105" s="15"/>
      <c r="D105" s="15"/>
      <c r="E105" s="15"/>
      <c r="F105" s="15"/>
      <c r="G105" s="15"/>
      <c r="H105" s="15"/>
      <c r="I105" s="15"/>
      <c r="J105" s="15"/>
      <c r="K105" s="15"/>
      <c r="L105" s="13"/>
      <c r="M105" s="13"/>
      <c r="N105" s="13"/>
      <c r="O105" s="14" t="str">
        <f>IF($N105="","",ROUND(1+($C105*(SUMIFS(OBJECT_CONDITIONS!$D:$D,OBJECT_CONDITIONS!$A:$A,$N105)-1))+($D105*(SUMIFS(OBJECT_CONDITIONS!$F:$F,OBJECT_CONDITIONS!$A:$A,$N105)-1))+($E105*(SUMIFS(OBJECT_CONDITIONS!$H:$H,OBJECT_CONDITIONS!$A:$A,$N105)-1))+($F105*(SUMIFS(OBJECT_CONDITIONS!$J:$J,OBJECT_CONDITIONS!$A:$A,$N105)-1))+($G105*(SUMIFS(OBJECT_CONDITIONS!$L:$L,OBJECT_CONDITIONS!$A:$A,$N105)-1))+($H105*(SUMIFS(OBJECT_CONDITIONS!$N:$N,OBJECT_CONDITIONS!$A:$A,$N105)-1))+($I105*(SUMIFS(OBJECT_CONDITIONS!$P:$P,OBJECT_CONDITIONS!$A:$A,$N105)-1))+($J105*(SUMIFS(OBJECT_CONDITIONS!$R:$R,OBJECT_CONDITIONS!$A:$A,$N105)-1))+($K105*(SUMIFS(OBJECT_CONDITIONS!$T:$T,OBJECT_CONDITIONS!$A:$A,$N105)-1)),3))</f>
        <v/>
      </c>
      <c r="P105" s="13"/>
    </row>
    <row r="106" spans="1:16" x14ac:dyDescent="0.3">
      <c r="A106" s="13"/>
      <c r="B106" s="13"/>
      <c r="C106" s="15"/>
      <c r="D106" s="15"/>
      <c r="E106" s="15"/>
      <c r="F106" s="15"/>
      <c r="G106" s="15"/>
      <c r="H106" s="15"/>
      <c r="I106" s="15"/>
      <c r="J106" s="15"/>
      <c r="K106" s="15"/>
      <c r="L106" s="13"/>
      <c r="M106" s="13"/>
      <c r="N106" s="13"/>
      <c r="O106" s="14" t="str">
        <f>IF($N106="","",ROUND(1+($C106*(SUMIFS(OBJECT_CONDITIONS!$D:$D,OBJECT_CONDITIONS!$A:$A,$N106)-1))+($D106*(SUMIFS(OBJECT_CONDITIONS!$F:$F,OBJECT_CONDITIONS!$A:$A,$N106)-1))+($E106*(SUMIFS(OBJECT_CONDITIONS!$H:$H,OBJECT_CONDITIONS!$A:$A,$N106)-1))+($F106*(SUMIFS(OBJECT_CONDITIONS!$J:$J,OBJECT_CONDITIONS!$A:$A,$N106)-1))+($G106*(SUMIFS(OBJECT_CONDITIONS!$L:$L,OBJECT_CONDITIONS!$A:$A,$N106)-1))+($H106*(SUMIFS(OBJECT_CONDITIONS!$N:$N,OBJECT_CONDITIONS!$A:$A,$N106)-1))+($I106*(SUMIFS(OBJECT_CONDITIONS!$P:$P,OBJECT_CONDITIONS!$A:$A,$N106)-1))+($J106*(SUMIFS(OBJECT_CONDITIONS!$R:$R,OBJECT_CONDITIONS!$A:$A,$N106)-1))+($K106*(SUMIFS(OBJECT_CONDITIONS!$T:$T,OBJECT_CONDITIONS!$A:$A,$N106)-1)),3))</f>
        <v/>
      </c>
      <c r="P106" s="13"/>
    </row>
    <row r="107" spans="1:16" x14ac:dyDescent="0.3">
      <c r="A107" s="13"/>
      <c r="B107" s="13"/>
      <c r="C107" s="15"/>
      <c r="D107" s="15"/>
      <c r="E107" s="15"/>
      <c r="F107" s="15"/>
      <c r="G107" s="15"/>
      <c r="H107" s="15"/>
      <c r="I107" s="15"/>
      <c r="J107" s="15"/>
      <c r="K107" s="15"/>
      <c r="L107" s="13"/>
      <c r="M107" s="13"/>
      <c r="N107" s="13"/>
      <c r="O107" s="14" t="str">
        <f>IF($N107="","",ROUND(1+($C107*(SUMIFS(OBJECT_CONDITIONS!$D:$D,OBJECT_CONDITIONS!$A:$A,$N107)-1))+($D107*(SUMIFS(OBJECT_CONDITIONS!$F:$F,OBJECT_CONDITIONS!$A:$A,$N107)-1))+($E107*(SUMIFS(OBJECT_CONDITIONS!$H:$H,OBJECT_CONDITIONS!$A:$A,$N107)-1))+($F107*(SUMIFS(OBJECT_CONDITIONS!$J:$J,OBJECT_CONDITIONS!$A:$A,$N107)-1))+($G107*(SUMIFS(OBJECT_CONDITIONS!$L:$L,OBJECT_CONDITIONS!$A:$A,$N107)-1))+($H107*(SUMIFS(OBJECT_CONDITIONS!$N:$N,OBJECT_CONDITIONS!$A:$A,$N107)-1))+($I107*(SUMIFS(OBJECT_CONDITIONS!$P:$P,OBJECT_CONDITIONS!$A:$A,$N107)-1))+($J107*(SUMIFS(OBJECT_CONDITIONS!$R:$R,OBJECT_CONDITIONS!$A:$A,$N107)-1))+($K107*(SUMIFS(OBJECT_CONDITIONS!$T:$T,OBJECT_CONDITIONS!$A:$A,$N107)-1)),3))</f>
        <v/>
      </c>
      <c r="P107" s="13"/>
    </row>
    <row r="108" spans="1:16" x14ac:dyDescent="0.3">
      <c r="A108" s="13"/>
      <c r="B108" s="13"/>
      <c r="C108" s="15"/>
      <c r="D108" s="15"/>
      <c r="E108" s="15"/>
      <c r="F108" s="15"/>
      <c r="G108" s="15"/>
      <c r="H108" s="15"/>
      <c r="I108" s="15"/>
      <c r="J108" s="15"/>
      <c r="K108" s="15"/>
      <c r="L108" s="13"/>
      <c r="M108" s="13"/>
      <c r="N108" s="13"/>
      <c r="O108" s="14" t="str">
        <f>IF($N108="","",ROUND(1+($C108*(SUMIFS(OBJECT_CONDITIONS!$D:$D,OBJECT_CONDITIONS!$A:$A,$N108)-1))+($D108*(SUMIFS(OBJECT_CONDITIONS!$F:$F,OBJECT_CONDITIONS!$A:$A,$N108)-1))+($E108*(SUMIFS(OBJECT_CONDITIONS!$H:$H,OBJECT_CONDITIONS!$A:$A,$N108)-1))+($F108*(SUMIFS(OBJECT_CONDITIONS!$J:$J,OBJECT_CONDITIONS!$A:$A,$N108)-1))+($G108*(SUMIFS(OBJECT_CONDITIONS!$L:$L,OBJECT_CONDITIONS!$A:$A,$N108)-1))+($H108*(SUMIFS(OBJECT_CONDITIONS!$N:$N,OBJECT_CONDITIONS!$A:$A,$N108)-1))+($I108*(SUMIFS(OBJECT_CONDITIONS!$P:$P,OBJECT_CONDITIONS!$A:$A,$N108)-1))+($J108*(SUMIFS(OBJECT_CONDITIONS!$R:$R,OBJECT_CONDITIONS!$A:$A,$N108)-1))+($K108*(SUMIFS(OBJECT_CONDITIONS!$T:$T,OBJECT_CONDITIONS!$A:$A,$N108)-1)),3))</f>
        <v/>
      </c>
      <c r="P108" s="13"/>
    </row>
    <row r="109" spans="1:16" x14ac:dyDescent="0.3">
      <c r="A109" s="13"/>
      <c r="B109" s="13"/>
      <c r="C109" s="15"/>
      <c r="D109" s="15"/>
      <c r="E109" s="15"/>
      <c r="F109" s="15"/>
      <c r="G109" s="15"/>
      <c r="H109" s="15"/>
      <c r="I109" s="15"/>
      <c r="J109" s="15"/>
      <c r="K109" s="15"/>
      <c r="L109" s="13"/>
      <c r="M109" s="13"/>
      <c r="N109" s="13"/>
      <c r="O109" s="14" t="str">
        <f>IF($N109="","",ROUND(1+($C109*(SUMIFS(OBJECT_CONDITIONS!$D:$D,OBJECT_CONDITIONS!$A:$A,$N109)-1))+($D109*(SUMIFS(OBJECT_CONDITIONS!$F:$F,OBJECT_CONDITIONS!$A:$A,$N109)-1))+($E109*(SUMIFS(OBJECT_CONDITIONS!$H:$H,OBJECT_CONDITIONS!$A:$A,$N109)-1))+($F109*(SUMIFS(OBJECT_CONDITIONS!$J:$J,OBJECT_CONDITIONS!$A:$A,$N109)-1))+($G109*(SUMIFS(OBJECT_CONDITIONS!$L:$L,OBJECT_CONDITIONS!$A:$A,$N109)-1))+($H109*(SUMIFS(OBJECT_CONDITIONS!$N:$N,OBJECT_CONDITIONS!$A:$A,$N109)-1))+($I109*(SUMIFS(OBJECT_CONDITIONS!$P:$P,OBJECT_CONDITIONS!$A:$A,$N109)-1))+($J109*(SUMIFS(OBJECT_CONDITIONS!$R:$R,OBJECT_CONDITIONS!$A:$A,$N109)-1))+($K109*(SUMIFS(OBJECT_CONDITIONS!$T:$T,OBJECT_CONDITIONS!$A:$A,$N109)-1)),3))</f>
        <v/>
      </c>
      <c r="P109" s="13"/>
    </row>
    <row r="110" spans="1:16" x14ac:dyDescent="0.3">
      <c r="A110" s="13"/>
      <c r="B110" s="13"/>
      <c r="C110" s="15"/>
      <c r="D110" s="15"/>
      <c r="E110" s="15"/>
      <c r="F110" s="15"/>
      <c r="G110" s="15"/>
      <c r="H110" s="15"/>
      <c r="I110" s="15"/>
      <c r="J110" s="15"/>
      <c r="K110" s="15"/>
      <c r="L110" s="13"/>
      <c r="M110" s="13"/>
      <c r="N110" s="13"/>
      <c r="O110" s="14" t="str">
        <f>IF($N110="","",ROUND(1+($C110*(SUMIFS(OBJECT_CONDITIONS!$D:$D,OBJECT_CONDITIONS!$A:$A,$N110)-1))+($D110*(SUMIFS(OBJECT_CONDITIONS!$F:$F,OBJECT_CONDITIONS!$A:$A,$N110)-1))+($E110*(SUMIFS(OBJECT_CONDITIONS!$H:$H,OBJECT_CONDITIONS!$A:$A,$N110)-1))+($F110*(SUMIFS(OBJECT_CONDITIONS!$J:$J,OBJECT_CONDITIONS!$A:$A,$N110)-1))+($G110*(SUMIFS(OBJECT_CONDITIONS!$L:$L,OBJECT_CONDITIONS!$A:$A,$N110)-1))+($H110*(SUMIFS(OBJECT_CONDITIONS!$N:$N,OBJECT_CONDITIONS!$A:$A,$N110)-1))+($I110*(SUMIFS(OBJECT_CONDITIONS!$P:$P,OBJECT_CONDITIONS!$A:$A,$N110)-1))+($J110*(SUMIFS(OBJECT_CONDITIONS!$R:$R,OBJECT_CONDITIONS!$A:$A,$N110)-1))+($K110*(SUMIFS(OBJECT_CONDITIONS!$T:$T,OBJECT_CONDITIONS!$A:$A,$N110)-1)),3))</f>
        <v/>
      </c>
      <c r="P110" s="13"/>
    </row>
    <row r="111" spans="1:16" x14ac:dyDescent="0.3">
      <c r="A111" s="13"/>
      <c r="B111" s="13"/>
      <c r="C111" s="15"/>
      <c r="D111" s="15"/>
      <c r="E111" s="15"/>
      <c r="F111" s="15"/>
      <c r="G111" s="15"/>
      <c r="H111" s="15"/>
      <c r="I111" s="15"/>
      <c r="J111" s="15"/>
      <c r="K111" s="15"/>
      <c r="L111" s="13"/>
      <c r="M111" s="13"/>
      <c r="N111" s="13"/>
      <c r="O111" s="14" t="str">
        <f>IF($N111="","",ROUND(1+($C111*(SUMIFS(OBJECT_CONDITIONS!$D:$D,OBJECT_CONDITIONS!$A:$A,$N111)-1))+($D111*(SUMIFS(OBJECT_CONDITIONS!$F:$F,OBJECT_CONDITIONS!$A:$A,$N111)-1))+($E111*(SUMIFS(OBJECT_CONDITIONS!$H:$H,OBJECT_CONDITIONS!$A:$A,$N111)-1))+($F111*(SUMIFS(OBJECT_CONDITIONS!$J:$J,OBJECT_CONDITIONS!$A:$A,$N111)-1))+($G111*(SUMIFS(OBJECT_CONDITIONS!$L:$L,OBJECT_CONDITIONS!$A:$A,$N111)-1))+($H111*(SUMIFS(OBJECT_CONDITIONS!$N:$N,OBJECT_CONDITIONS!$A:$A,$N111)-1))+($I111*(SUMIFS(OBJECT_CONDITIONS!$P:$P,OBJECT_CONDITIONS!$A:$A,$N111)-1))+($J111*(SUMIFS(OBJECT_CONDITIONS!$R:$R,OBJECT_CONDITIONS!$A:$A,$N111)-1))+($K111*(SUMIFS(OBJECT_CONDITIONS!$T:$T,OBJECT_CONDITIONS!$A:$A,$N111)-1)),3))</f>
        <v/>
      </c>
      <c r="P111" s="13"/>
    </row>
    <row r="112" spans="1:16" x14ac:dyDescent="0.3">
      <c r="A112" s="13"/>
      <c r="B112" s="13"/>
      <c r="C112" s="15"/>
      <c r="D112" s="15"/>
      <c r="E112" s="15"/>
      <c r="F112" s="15"/>
      <c r="G112" s="15"/>
      <c r="H112" s="15"/>
      <c r="I112" s="15"/>
      <c r="J112" s="15"/>
      <c r="K112" s="15"/>
      <c r="L112" s="13"/>
      <c r="M112" s="13"/>
      <c r="N112" s="13"/>
      <c r="O112" s="14" t="str">
        <f>IF($N112="","",ROUND(1+($C112*(SUMIFS(OBJECT_CONDITIONS!$D:$D,OBJECT_CONDITIONS!$A:$A,$N112)-1))+($D112*(SUMIFS(OBJECT_CONDITIONS!$F:$F,OBJECT_CONDITIONS!$A:$A,$N112)-1))+($E112*(SUMIFS(OBJECT_CONDITIONS!$H:$H,OBJECT_CONDITIONS!$A:$A,$N112)-1))+($F112*(SUMIFS(OBJECT_CONDITIONS!$J:$J,OBJECT_CONDITIONS!$A:$A,$N112)-1))+($G112*(SUMIFS(OBJECT_CONDITIONS!$L:$L,OBJECT_CONDITIONS!$A:$A,$N112)-1))+($H112*(SUMIFS(OBJECT_CONDITIONS!$N:$N,OBJECT_CONDITIONS!$A:$A,$N112)-1))+($I112*(SUMIFS(OBJECT_CONDITIONS!$P:$P,OBJECT_CONDITIONS!$A:$A,$N112)-1))+($J112*(SUMIFS(OBJECT_CONDITIONS!$R:$R,OBJECT_CONDITIONS!$A:$A,$N112)-1))+($K112*(SUMIFS(OBJECT_CONDITIONS!$T:$T,OBJECT_CONDITIONS!$A:$A,$N112)-1)),3))</f>
        <v/>
      </c>
      <c r="P112" s="13"/>
    </row>
    <row r="113" spans="1:16" x14ac:dyDescent="0.3">
      <c r="A113" s="13"/>
      <c r="B113" s="13"/>
      <c r="C113" s="15"/>
      <c r="D113" s="15"/>
      <c r="E113" s="15"/>
      <c r="F113" s="15"/>
      <c r="G113" s="15"/>
      <c r="H113" s="15"/>
      <c r="I113" s="15"/>
      <c r="J113" s="15"/>
      <c r="K113" s="15"/>
      <c r="L113" s="13"/>
      <c r="M113" s="13"/>
      <c r="N113" s="13"/>
      <c r="O113" s="14" t="str">
        <f>IF($N113="","",ROUND(1+($C113*(SUMIFS(OBJECT_CONDITIONS!$D:$D,OBJECT_CONDITIONS!$A:$A,$N113)-1))+($D113*(SUMIFS(OBJECT_CONDITIONS!$F:$F,OBJECT_CONDITIONS!$A:$A,$N113)-1))+($E113*(SUMIFS(OBJECT_CONDITIONS!$H:$H,OBJECT_CONDITIONS!$A:$A,$N113)-1))+($F113*(SUMIFS(OBJECT_CONDITIONS!$J:$J,OBJECT_CONDITIONS!$A:$A,$N113)-1))+($G113*(SUMIFS(OBJECT_CONDITIONS!$L:$L,OBJECT_CONDITIONS!$A:$A,$N113)-1))+($H113*(SUMIFS(OBJECT_CONDITIONS!$N:$N,OBJECT_CONDITIONS!$A:$A,$N113)-1))+($I113*(SUMIFS(OBJECT_CONDITIONS!$P:$P,OBJECT_CONDITIONS!$A:$A,$N113)-1))+($J113*(SUMIFS(OBJECT_CONDITIONS!$R:$R,OBJECT_CONDITIONS!$A:$A,$N113)-1))+($K113*(SUMIFS(OBJECT_CONDITIONS!$T:$T,OBJECT_CONDITIONS!$A:$A,$N113)-1)),3))</f>
        <v/>
      </c>
      <c r="P113" s="13"/>
    </row>
    <row r="114" spans="1:16" x14ac:dyDescent="0.3">
      <c r="A114" s="13"/>
      <c r="B114" s="13"/>
      <c r="C114" s="15"/>
      <c r="D114" s="15"/>
      <c r="E114" s="15"/>
      <c r="F114" s="15"/>
      <c r="G114" s="15"/>
      <c r="H114" s="15"/>
      <c r="I114" s="15"/>
      <c r="J114" s="15"/>
      <c r="K114" s="15"/>
      <c r="L114" s="13"/>
      <c r="M114" s="13"/>
      <c r="N114" s="13"/>
      <c r="O114" s="14" t="str">
        <f>IF($N114="","",ROUND(1+($C114*(SUMIFS(OBJECT_CONDITIONS!$D:$D,OBJECT_CONDITIONS!$A:$A,$N114)-1))+($D114*(SUMIFS(OBJECT_CONDITIONS!$F:$F,OBJECT_CONDITIONS!$A:$A,$N114)-1))+($E114*(SUMIFS(OBJECT_CONDITIONS!$H:$H,OBJECT_CONDITIONS!$A:$A,$N114)-1))+($F114*(SUMIFS(OBJECT_CONDITIONS!$J:$J,OBJECT_CONDITIONS!$A:$A,$N114)-1))+($G114*(SUMIFS(OBJECT_CONDITIONS!$L:$L,OBJECT_CONDITIONS!$A:$A,$N114)-1))+($H114*(SUMIFS(OBJECT_CONDITIONS!$N:$N,OBJECT_CONDITIONS!$A:$A,$N114)-1))+($I114*(SUMIFS(OBJECT_CONDITIONS!$P:$P,OBJECT_CONDITIONS!$A:$A,$N114)-1))+($J114*(SUMIFS(OBJECT_CONDITIONS!$R:$R,OBJECT_CONDITIONS!$A:$A,$N114)-1))+($K114*(SUMIFS(OBJECT_CONDITIONS!$T:$T,OBJECT_CONDITIONS!$A:$A,$N114)-1)),3))</f>
        <v/>
      </c>
      <c r="P114" s="13"/>
    </row>
    <row r="115" spans="1:16" x14ac:dyDescent="0.3">
      <c r="A115" s="13"/>
      <c r="B115" s="13"/>
      <c r="C115" s="15"/>
      <c r="D115" s="15"/>
      <c r="E115" s="15"/>
      <c r="F115" s="15"/>
      <c r="G115" s="15"/>
      <c r="H115" s="15"/>
      <c r="I115" s="15"/>
      <c r="J115" s="15"/>
      <c r="K115" s="15"/>
      <c r="L115" s="13"/>
      <c r="M115" s="13"/>
      <c r="N115" s="13"/>
      <c r="O115" s="14" t="str">
        <f>IF($N115="","",ROUND(1+($C115*(SUMIFS(OBJECT_CONDITIONS!$D:$D,OBJECT_CONDITIONS!$A:$A,$N115)-1))+($D115*(SUMIFS(OBJECT_CONDITIONS!$F:$F,OBJECT_CONDITIONS!$A:$A,$N115)-1))+($E115*(SUMIFS(OBJECT_CONDITIONS!$H:$H,OBJECT_CONDITIONS!$A:$A,$N115)-1))+($F115*(SUMIFS(OBJECT_CONDITIONS!$J:$J,OBJECT_CONDITIONS!$A:$A,$N115)-1))+($G115*(SUMIFS(OBJECT_CONDITIONS!$L:$L,OBJECT_CONDITIONS!$A:$A,$N115)-1))+($H115*(SUMIFS(OBJECT_CONDITIONS!$N:$N,OBJECT_CONDITIONS!$A:$A,$N115)-1))+($I115*(SUMIFS(OBJECT_CONDITIONS!$P:$P,OBJECT_CONDITIONS!$A:$A,$N115)-1))+($J115*(SUMIFS(OBJECT_CONDITIONS!$R:$R,OBJECT_CONDITIONS!$A:$A,$N115)-1))+($K115*(SUMIFS(OBJECT_CONDITIONS!$T:$T,OBJECT_CONDITIONS!$A:$A,$N115)-1)),3))</f>
        <v/>
      </c>
      <c r="P115" s="13"/>
    </row>
    <row r="116" spans="1:16" x14ac:dyDescent="0.3">
      <c r="A116" s="13"/>
      <c r="B116" s="13"/>
      <c r="C116" s="15"/>
      <c r="D116" s="15"/>
      <c r="E116" s="15"/>
      <c r="F116" s="15"/>
      <c r="G116" s="15"/>
      <c r="H116" s="15"/>
      <c r="I116" s="15"/>
      <c r="J116" s="15"/>
      <c r="K116" s="15"/>
      <c r="L116" s="13"/>
      <c r="M116" s="13"/>
      <c r="N116" s="13"/>
      <c r="O116" s="14" t="str">
        <f>IF($N116="","",ROUND(1+($C116*(SUMIFS(OBJECT_CONDITIONS!$D:$D,OBJECT_CONDITIONS!$A:$A,$N116)-1))+($D116*(SUMIFS(OBJECT_CONDITIONS!$F:$F,OBJECT_CONDITIONS!$A:$A,$N116)-1))+($E116*(SUMIFS(OBJECT_CONDITIONS!$H:$H,OBJECT_CONDITIONS!$A:$A,$N116)-1))+($F116*(SUMIFS(OBJECT_CONDITIONS!$J:$J,OBJECT_CONDITIONS!$A:$A,$N116)-1))+($G116*(SUMIFS(OBJECT_CONDITIONS!$L:$L,OBJECT_CONDITIONS!$A:$A,$N116)-1))+($H116*(SUMIFS(OBJECT_CONDITIONS!$N:$N,OBJECT_CONDITIONS!$A:$A,$N116)-1))+($I116*(SUMIFS(OBJECT_CONDITIONS!$P:$P,OBJECT_CONDITIONS!$A:$A,$N116)-1))+($J116*(SUMIFS(OBJECT_CONDITIONS!$R:$R,OBJECT_CONDITIONS!$A:$A,$N116)-1))+($K116*(SUMIFS(OBJECT_CONDITIONS!$T:$T,OBJECT_CONDITIONS!$A:$A,$N116)-1)),3))</f>
        <v/>
      </c>
      <c r="P116" s="13"/>
    </row>
    <row r="117" spans="1:16" x14ac:dyDescent="0.3">
      <c r="A117" s="13"/>
      <c r="B117" s="13"/>
      <c r="C117" s="15"/>
      <c r="D117" s="15"/>
      <c r="E117" s="15"/>
      <c r="F117" s="15"/>
      <c r="G117" s="15"/>
      <c r="H117" s="15"/>
      <c r="I117" s="15"/>
      <c r="J117" s="15"/>
      <c r="K117" s="15"/>
      <c r="L117" s="13"/>
      <c r="M117" s="13"/>
      <c r="N117" s="13"/>
      <c r="O117" s="14" t="str">
        <f>IF($N117="","",ROUND(1+($C117*(SUMIFS(OBJECT_CONDITIONS!$D:$D,OBJECT_CONDITIONS!$A:$A,$N117)-1))+($D117*(SUMIFS(OBJECT_CONDITIONS!$F:$F,OBJECT_CONDITIONS!$A:$A,$N117)-1))+($E117*(SUMIFS(OBJECT_CONDITIONS!$H:$H,OBJECT_CONDITIONS!$A:$A,$N117)-1))+($F117*(SUMIFS(OBJECT_CONDITIONS!$J:$J,OBJECT_CONDITIONS!$A:$A,$N117)-1))+($G117*(SUMIFS(OBJECT_CONDITIONS!$L:$L,OBJECT_CONDITIONS!$A:$A,$N117)-1))+($H117*(SUMIFS(OBJECT_CONDITIONS!$N:$N,OBJECT_CONDITIONS!$A:$A,$N117)-1))+($I117*(SUMIFS(OBJECT_CONDITIONS!$P:$P,OBJECT_CONDITIONS!$A:$A,$N117)-1))+($J117*(SUMIFS(OBJECT_CONDITIONS!$R:$R,OBJECT_CONDITIONS!$A:$A,$N117)-1))+($K117*(SUMIFS(OBJECT_CONDITIONS!$T:$T,OBJECT_CONDITIONS!$A:$A,$N117)-1)),3))</f>
        <v/>
      </c>
      <c r="P117" s="13"/>
    </row>
    <row r="118" spans="1:16" x14ac:dyDescent="0.3">
      <c r="A118" s="13"/>
      <c r="B118" s="13"/>
      <c r="C118" s="15"/>
      <c r="D118" s="15"/>
      <c r="E118" s="15"/>
      <c r="F118" s="15"/>
      <c r="G118" s="15"/>
      <c r="H118" s="15"/>
      <c r="I118" s="15"/>
      <c r="J118" s="15"/>
      <c r="K118" s="15"/>
      <c r="L118" s="13"/>
      <c r="M118" s="13"/>
      <c r="N118" s="13"/>
      <c r="O118" s="14" t="str">
        <f>IF($N118="","",ROUND(1+($C118*(SUMIFS(OBJECT_CONDITIONS!$D:$D,OBJECT_CONDITIONS!$A:$A,$N118)-1))+($D118*(SUMIFS(OBJECT_CONDITIONS!$F:$F,OBJECT_CONDITIONS!$A:$A,$N118)-1))+($E118*(SUMIFS(OBJECT_CONDITIONS!$H:$H,OBJECT_CONDITIONS!$A:$A,$N118)-1))+($F118*(SUMIFS(OBJECT_CONDITIONS!$J:$J,OBJECT_CONDITIONS!$A:$A,$N118)-1))+($G118*(SUMIFS(OBJECT_CONDITIONS!$L:$L,OBJECT_CONDITIONS!$A:$A,$N118)-1))+($H118*(SUMIFS(OBJECT_CONDITIONS!$N:$N,OBJECT_CONDITIONS!$A:$A,$N118)-1))+($I118*(SUMIFS(OBJECT_CONDITIONS!$P:$P,OBJECT_CONDITIONS!$A:$A,$N118)-1))+($J118*(SUMIFS(OBJECT_CONDITIONS!$R:$R,OBJECT_CONDITIONS!$A:$A,$N118)-1))+($K118*(SUMIFS(OBJECT_CONDITIONS!$T:$T,OBJECT_CONDITIONS!$A:$A,$N118)-1)),3))</f>
        <v/>
      </c>
      <c r="P118" s="13"/>
    </row>
    <row r="119" spans="1:16" x14ac:dyDescent="0.3">
      <c r="A119" s="13"/>
      <c r="B119" s="13"/>
      <c r="C119" s="15"/>
      <c r="D119" s="15"/>
      <c r="E119" s="15"/>
      <c r="F119" s="15"/>
      <c r="G119" s="15"/>
      <c r="H119" s="15"/>
      <c r="I119" s="15"/>
      <c r="J119" s="15"/>
      <c r="K119" s="15"/>
      <c r="L119" s="13"/>
      <c r="M119" s="13"/>
      <c r="N119" s="13"/>
      <c r="O119" s="14" t="str">
        <f>IF($N119="","",ROUND(1+($C119*(SUMIFS(OBJECT_CONDITIONS!$D:$D,OBJECT_CONDITIONS!$A:$A,$N119)-1))+($D119*(SUMIFS(OBJECT_CONDITIONS!$F:$F,OBJECT_CONDITIONS!$A:$A,$N119)-1))+($E119*(SUMIFS(OBJECT_CONDITIONS!$H:$H,OBJECT_CONDITIONS!$A:$A,$N119)-1))+($F119*(SUMIFS(OBJECT_CONDITIONS!$J:$J,OBJECT_CONDITIONS!$A:$A,$N119)-1))+($G119*(SUMIFS(OBJECT_CONDITIONS!$L:$L,OBJECT_CONDITIONS!$A:$A,$N119)-1))+($H119*(SUMIFS(OBJECT_CONDITIONS!$N:$N,OBJECT_CONDITIONS!$A:$A,$N119)-1))+($I119*(SUMIFS(OBJECT_CONDITIONS!$P:$P,OBJECT_CONDITIONS!$A:$A,$N119)-1))+($J119*(SUMIFS(OBJECT_CONDITIONS!$R:$R,OBJECT_CONDITIONS!$A:$A,$N119)-1))+($K119*(SUMIFS(OBJECT_CONDITIONS!$T:$T,OBJECT_CONDITIONS!$A:$A,$N119)-1)),3))</f>
        <v/>
      </c>
      <c r="P119" s="13"/>
    </row>
    <row r="120" spans="1:16" x14ac:dyDescent="0.3">
      <c r="A120" s="13"/>
      <c r="B120" s="13"/>
      <c r="C120" s="15"/>
      <c r="D120" s="15"/>
      <c r="E120" s="15"/>
      <c r="F120" s="15"/>
      <c r="G120" s="15"/>
      <c r="H120" s="15"/>
      <c r="I120" s="15"/>
      <c r="J120" s="15"/>
      <c r="K120" s="15"/>
      <c r="L120" s="13"/>
      <c r="M120" s="13"/>
      <c r="N120" s="13"/>
      <c r="O120" s="14" t="str">
        <f>IF($N120="","",ROUND(1+($C120*(SUMIFS(OBJECT_CONDITIONS!$D:$D,OBJECT_CONDITIONS!$A:$A,$N120)-1))+($D120*(SUMIFS(OBJECT_CONDITIONS!$F:$F,OBJECT_CONDITIONS!$A:$A,$N120)-1))+($E120*(SUMIFS(OBJECT_CONDITIONS!$H:$H,OBJECT_CONDITIONS!$A:$A,$N120)-1))+($F120*(SUMIFS(OBJECT_CONDITIONS!$J:$J,OBJECT_CONDITIONS!$A:$A,$N120)-1))+($G120*(SUMIFS(OBJECT_CONDITIONS!$L:$L,OBJECT_CONDITIONS!$A:$A,$N120)-1))+($H120*(SUMIFS(OBJECT_CONDITIONS!$N:$N,OBJECT_CONDITIONS!$A:$A,$N120)-1))+($I120*(SUMIFS(OBJECT_CONDITIONS!$P:$P,OBJECT_CONDITIONS!$A:$A,$N120)-1))+($J120*(SUMIFS(OBJECT_CONDITIONS!$R:$R,OBJECT_CONDITIONS!$A:$A,$N120)-1))+($K120*(SUMIFS(OBJECT_CONDITIONS!$T:$T,OBJECT_CONDITIONS!$A:$A,$N120)-1)),3))</f>
        <v/>
      </c>
      <c r="P120" s="13"/>
    </row>
    <row r="121" spans="1:16" x14ac:dyDescent="0.3">
      <c r="A121" s="13"/>
      <c r="B121" s="13"/>
      <c r="C121" s="15"/>
      <c r="D121" s="15"/>
      <c r="E121" s="15"/>
      <c r="F121" s="15"/>
      <c r="G121" s="15"/>
      <c r="H121" s="15"/>
      <c r="I121" s="15"/>
      <c r="J121" s="15"/>
      <c r="K121" s="15"/>
      <c r="L121" s="13"/>
      <c r="M121" s="13"/>
      <c r="N121" s="13"/>
      <c r="O121" s="14" t="str">
        <f>IF($N121="","",ROUND(1+($C121*(SUMIFS(OBJECT_CONDITIONS!$D:$D,OBJECT_CONDITIONS!$A:$A,$N121)-1))+($D121*(SUMIFS(OBJECT_CONDITIONS!$F:$F,OBJECT_CONDITIONS!$A:$A,$N121)-1))+($E121*(SUMIFS(OBJECT_CONDITIONS!$H:$H,OBJECT_CONDITIONS!$A:$A,$N121)-1))+($F121*(SUMIFS(OBJECT_CONDITIONS!$J:$J,OBJECT_CONDITIONS!$A:$A,$N121)-1))+($G121*(SUMIFS(OBJECT_CONDITIONS!$L:$L,OBJECT_CONDITIONS!$A:$A,$N121)-1))+($H121*(SUMIFS(OBJECT_CONDITIONS!$N:$N,OBJECT_CONDITIONS!$A:$A,$N121)-1))+($I121*(SUMIFS(OBJECT_CONDITIONS!$P:$P,OBJECT_CONDITIONS!$A:$A,$N121)-1))+($J121*(SUMIFS(OBJECT_CONDITIONS!$R:$R,OBJECT_CONDITIONS!$A:$A,$N121)-1))+($K121*(SUMIFS(OBJECT_CONDITIONS!$T:$T,OBJECT_CONDITIONS!$A:$A,$N121)-1)),3))</f>
        <v/>
      </c>
      <c r="P121" s="13"/>
    </row>
    <row r="122" spans="1:16" x14ac:dyDescent="0.3">
      <c r="A122" s="13"/>
      <c r="B122" s="13"/>
      <c r="C122" s="15"/>
      <c r="D122" s="15"/>
      <c r="E122" s="15"/>
      <c r="F122" s="15"/>
      <c r="G122" s="15"/>
      <c r="H122" s="15"/>
      <c r="I122" s="15"/>
      <c r="J122" s="15"/>
      <c r="K122" s="15"/>
      <c r="L122" s="13"/>
      <c r="M122" s="13"/>
      <c r="N122" s="13"/>
      <c r="O122" s="14" t="str">
        <f>IF($N122="","",ROUND(1+($C122*(SUMIFS(OBJECT_CONDITIONS!$D:$D,OBJECT_CONDITIONS!$A:$A,$N122)-1))+($D122*(SUMIFS(OBJECT_CONDITIONS!$F:$F,OBJECT_CONDITIONS!$A:$A,$N122)-1))+($E122*(SUMIFS(OBJECT_CONDITIONS!$H:$H,OBJECT_CONDITIONS!$A:$A,$N122)-1))+($F122*(SUMIFS(OBJECT_CONDITIONS!$J:$J,OBJECT_CONDITIONS!$A:$A,$N122)-1))+($G122*(SUMIFS(OBJECT_CONDITIONS!$L:$L,OBJECT_CONDITIONS!$A:$A,$N122)-1))+($H122*(SUMIFS(OBJECT_CONDITIONS!$N:$N,OBJECT_CONDITIONS!$A:$A,$N122)-1))+($I122*(SUMIFS(OBJECT_CONDITIONS!$P:$P,OBJECT_CONDITIONS!$A:$A,$N122)-1))+($J122*(SUMIFS(OBJECT_CONDITIONS!$R:$R,OBJECT_CONDITIONS!$A:$A,$N122)-1))+($K122*(SUMIFS(OBJECT_CONDITIONS!$T:$T,OBJECT_CONDITIONS!$A:$A,$N122)-1)),3))</f>
        <v/>
      </c>
      <c r="P122" s="13"/>
    </row>
    <row r="123" spans="1:16" x14ac:dyDescent="0.3">
      <c r="A123" s="13"/>
      <c r="B123" s="13"/>
      <c r="C123" s="15"/>
      <c r="D123" s="15"/>
      <c r="E123" s="15"/>
      <c r="F123" s="15"/>
      <c r="G123" s="15"/>
      <c r="H123" s="15"/>
      <c r="I123" s="15"/>
      <c r="J123" s="15"/>
      <c r="K123" s="15"/>
      <c r="L123" s="13"/>
      <c r="M123" s="13"/>
      <c r="N123" s="13"/>
      <c r="O123" s="14" t="str">
        <f>IF($N123="","",ROUND(1+($C123*(SUMIFS(OBJECT_CONDITIONS!$D:$D,OBJECT_CONDITIONS!$A:$A,$N123)-1))+($D123*(SUMIFS(OBJECT_CONDITIONS!$F:$F,OBJECT_CONDITIONS!$A:$A,$N123)-1))+($E123*(SUMIFS(OBJECT_CONDITIONS!$H:$H,OBJECT_CONDITIONS!$A:$A,$N123)-1))+($F123*(SUMIFS(OBJECT_CONDITIONS!$J:$J,OBJECT_CONDITIONS!$A:$A,$N123)-1))+($G123*(SUMIFS(OBJECT_CONDITIONS!$L:$L,OBJECT_CONDITIONS!$A:$A,$N123)-1))+($H123*(SUMIFS(OBJECT_CONDITIONS!$N:$N,OBJECT_CONDITIONS!$A:$A,$N123)-1))+($I123*(SUMIFS(OBJECT_CONDITIONS!$P:$P,OBJECT_CONDITIONS!$A:$A,$N123)-1))+($J123*(SUMIFS(OBJECT_CONDITIONS!$R:$R,OBJECT_CONDITIONS!$A:$A,$N123)-1))+($K123*(SUMIFS(OBJECT_CONDITIONS!$T:$T,OBJECT_CONDITIONS!$A:$A,$N123)-1)),3))</f>
        <v/>
      </c>
      <c r="P123" s="13"/>
    </row>
    <row r="124" spans="1:16" x14ac:dyDescent="0.3">
      <c r="A124" s="13"/>
      <c r="B124" s="13"/>
      <c r="C124" s="15"/>
      <c r="D124" s="15"/>
      <c r="E124" s="15"/>
      <c r="F124" s="15"/>
      <c r="G124" s="15"/>
      <c r="H124" s="15"/>
      <c r="I124" s="15"/>
      <c r="J124" s="15"/>
      <c r="K124" s="15"/>
      <c r="L124" s="13"/>
      <c r="M124" s="13"/>
      <c r="N124" s="13"/>
      <c r="O124" s="14" t="str">
        <f>IF($N124="","",ROUND(1+($C124*(SUMIFS(OBJECT_CONDITIONS!$D:$D,OBJECT_CONDITIONS!$A:$A,$N124)-1))+($D124*(SUMIFS(OBJECT_CONDITIONS!$F:$F,OBJECT_CONDITIONS!$A:$A,$N124)-1))+($E124*(SUMIFS(OBJECT_CONDITIONS!$H:$H,OBJECT_CONDITIONS!$A:$A,$N124)-1))+($F124*(SUMIFS(OBJECT_CONDITIONS!$J:$J,OBJECT_CONDITIONS!$A:$A,$N124)-1))+($G124*(SUMIFS(OBJECT_CONDITIONS!$L:$L,OBJECT_CONDITIONS!$A:$A,$N124)-1))+($H124*(SUMIFS(OBJECT_CONDITIONS!$N:$N,OBJECT_CONDITIONS!$A:$A,$N124)-1))+($I124*(SUMIFS(OBJECT_CONDITIONS!$P:$P,OBJECT_CONDITIONS!$A:$A,$N124)-1))+($J124*(SUMIFS(OBJECT_CONDITIONS!$R:$R,OBJECT_CONDITIONS!$A:$A,$N124)-1))+($K124*(SUMIFS(OBJECT_CONDITIONS!$T:$T,OBJECT_CONDITIONS!$A:$A,$N124)-1)),3))</f>
        <v/>
      </c>
      <c r="P124" s="13"/>
    </row>
    <row r="125" spans="1:16" x14ac:dyDescent="0.3">
      <c r="A125" s="13"/>
      <c r="B125" s="13"/>
      <c r="C125" s="15"/>
      <c r="D125" s="15"/>
      <c r="E125" s="15"/>
      <c r="F125" s="15"/>
      <c r="G125" s="15"/>
      <c r="H125" s="15"/>
      <c r="I125" s="15"/>
      <c r="J125" s="15"/>
      <c r="K125" s="15"/>
      <c r="L125" s="13"/>
      <c r="M125" s="13"/>
      <c r="N125" s="13"/>
      <c r="O125" s="14" t="str">
        <f>IF($N125="","",ROUND(1+($C125*(SUMIFS(OBJECT_CONDITIONS!$D:$D,OBJECT_CONDITIONS!$A:$A,$N125)-1))+($D125*(SUMIFS(OBJECT_CONDITIONS!$F:$F,OBJECT_CONDITIONS!$A:$A,$N125)-1))+($E125*(SUMIFS(OBJECT_CONDITIONS!$H:$H,OBJECT_CONDITIONS!$A:$A,$N125)-1))+($F125*(SUMIFS(OBJECT_CONDITIONS!$J:$J,OBJECT_CONDITIONS!$A:$A,$N125)-1))+($G125*(SUMIFS(OBJECT_CONDITIONS!$L:$L,OBJECT_CONDITIONS!$A:$A,$N125)-1))+($H125*(SUMIFS(OBJECT_CONDITIONS!$N:$N,OBJECT_CONDITIONS!$A:$A,$N125)-1))+($I125*(SUMIFS(OBJECT_CONDITIONS!$P:$P,OBJECT_CONDITIONS!$A:$A,$N125)-1))+($J125*(SUMIFS(OBJECT_CONDITIONS!$R:$R,OBJECT_CONDITIONS!$A:$A,$N125)-1))+($K125*(SUMIFS(OBJECT_CONDITIONS!$T:$T,OBJECT_CONDITIONS!$A:$A,$N125)-1)),3))</f>
        <v/>
      </c>
      <c r="P125" s="13"/>
    </row>
    <row r="126" spans="1:16" x14ac:dyDescent="0.3">
      <c r="A126" s="13"/>
      <c r="B126" s="13"/>
      <c r="C126" s="15"/>
      <c r="D126" s="15"/>
      <c r="E126" s="15"/>
      <c r="F126" s="15"/>
      <c r="G126" s="15"/>
      <c r="H126" s="15"/>
      <c r="I126" s="15"/>
      <c r="J126" s="15"/>
      <c r="K126" s="15"/>
      <c r="L126" s="13"/>
      <c r="M126" s="13"/>
      <c r="N126" s="13"/>
      <c r="O126" s="14" t="str">
        <f>IF($N126="","",ROUND(1+($C126*(SUMIFS(OBJECT_CONDITIONS!$D:$D,OBJECT_CONDITIONS!$A:$A,$N126)-1))+($D126*(SUMIFS(OBJECT_CONDITIONS!$F:$F,OBJECT_CONDITIONS!$A:$A,$N126)-1))+($E126*(SUMIFS(OBJECT_CONDITIONS!$H:$H,OBJECT_CONDITIONS!$A:$A,$N126)-1))+($F126*(SUMIFS(OBJECT_CONDITIONS!$J:$J,OBJECT_CONDITIONS!$A:$A,$N126)-1))+($G126*(SUMIFS(OBJECT_CONDITIONS!$L:$L,OBJECT_CONDITIONS!$A:$A,$N126)-1))+($H126*(SUMIFS(OBJECT_CONDITIONS!$N:$N,OBJECT_CONDITIONS!$A:$A,$N126)-1))+($I126*(SUMIFS(OBJECT_CONDITIONS!$P:$P,OBJECT_CONDITIONS!$A:$A,$N126)-1))+($J126*(SUMIFS(OBJECT_CONDITIONS!$R:$R,OBJECT_CONDITIONS!$A:$A,$N126)-1))+($K126*(SUMIFS(OBJECT_CONDITIONS!$T:$T,OBJECT_CONDITIONS!$A:$A,$N126)-1)),3))</f>
        <v/>
      </c>
      <c r="P126" s="13"/>
    </row>
    <row r="127" spans="1:16" x14ac:dyDescent="0.3">
      <c r="A127" s="13"/>
      <c r="B127" s="13"/>
      <c r="C127" s="15"/>
      <c r="D127" s="15"/>
      <c r="E127" s="15"/>
      <c r="F127" s="15"/>
      <c r="G127" s="15"/>
      <c r="H127" s="15"/>
      <c r="I127" s="15"/>
      <c r="J127" s="15"/>
      <c r="K127" s="15"/>
      <c r="L127" s="13"/>
      <c r="M127" s="13"/>
      <c r="N127" s="13"/>
      <c r="O127" s="14" t="str">
        <f>IF($N127="","",ROUND(1+($C127*(SUMIFS(OBJECT_CONDITIONS!$D:$D,OBJECT_CONDITIONS!$A:$A,$N127)-1))+($D127*(SUMIFS(OBJECT_CONDITIONS!$F:$F,OBJECT_CONDITIONS!$A:$A,$N127)-1))+($E127*(SUMIFS(OBJECT_CONDITIONS!$H:$H,OBJECT_CONDITIONS!$A:$A,$N127)-1))+($F127*(SUMIFS(OBJECT_CONDITIONS!$J:$J,OBJECT_CONDITIONS!$A:$A,$N127)-1))+($G127*(SUMIFS(OBJECT_CONDITIONS!$L:$L,OBJECT_CONDITIONS!$A:$A,$N127)-1))+($H127*(SUMIFS(OBJECT_CONDITIONS!$N:$N,OBJECT_CONDITIONS!$A:$A,$N127)-1))+($I127*(SUMIFS(OBJECT_CONDITIONS!$P:$P,OBJECT_CONDITIONS!$A:$A,$N127)-1))+($J127*(SUMIFS(OBJECT_CONDITIONS!$R:$R,OBJECT_CONDITIONS!$A:$A,$N127)-1))+($K127*(SUMIFS(OBJECT_CONDITIONS!$T:$T,OBJECT_CONDITIONS!$A:$A,$N127)-1)),3))</f>
        <v/>
      </c>
      <c r="P127" s="13"/>
    </row>
    <row r="128" spans="1:16" x14ac:dyDescent="0.3">
      <c r="A128" s="13"/>
      <c r="B128" s="13"/>
      <c r="C128" s="15"/>
      <c r="D128" s="15"/>
      <c r="E128" s="15"/>
      <c r="F128" s="15"/>
      <c r="G128" s="15"/>
      <c r="H128" s="15"/>
      <c r="I128" s="15"/>
      <c r="J128" s="15"/>
      <c r="K128" s="15"/>
      <c r="L128" s="13"/>
      <c r="M128" s="13"/>
      <c r="N128" s="13"/>
      <c r="O128" s="14" t="str">
        <f>IF($N128="","",ROUND(1+($C128*(SUMIFS(OBJECT_CONDITIONS!$D:$D,OBJECT_CONDITIONS!$A:$A,$N128)-1))+($D128*(SUMIFS(OBJECT_CONDITIONS!$F:$F,OBJECT_CONDITIONS!$A:$A,$N128)-1))+($E128*(SUMIFS(OBJECT_CONDITIONS!$H:$H,OBJECT_CONDITIONS!$A:$A,$N128)-1))+($F128*(SUMIFS(OBJECT_CONDITIONS!$J:$J,OBJECT_CONDITIONS!$A:$A,$N128)-1))+($G128*(SUMIFS(OBJECT_CONDITIONS!$L:$L,OBJECT_CONDITIONS!$A:$A,$N128)-1))+($H128*(SUMIFS(OBJECT_CONDITIONS!$N:$N,OBJECT_CONDITIONS!$A:$A,$N128)-1))+($I128*(SUMIFS(OBJECT_CONDITIONS!$P:$P,OBJECT_CONDITIONS!$A:$A,$N128)-1))+($J128*(SUMIFS(OBJECT_CONDITIONS!$R:$R,OBJECT_CONDITIONS!$A:$A,$N128)-1))+($K128*(SUMIFS(OBJECT_CONDITIONS!$T:$T,OBJECT_CONDITIONS!$A:$A,$N128)-1)),3))</f>
        <v/>
      </c>
      <c r="P128" s="13"/>
    </row>
    <row r="129" spans="1:16" x14ac:dyDescent="0.3">
      <c r="A129" s="13"/>
      <c r="B129" s="13"/>
      <c r="C129" s="15"/>
      <c r="D129" s="15"/>
      <c r="E129" s="15"/>
      <c r="F129" s="15"/>
      <c r="G129" s="15"/>
      <c r="H129" s="15"/>
      <c r="I129" s="15"/>
      <c r="J129" s="15"/>
      <c r="K129" s="15"/>
      <c r="L129" s="13"/>
      <c r="M129" s="13"/>
      <c r="N129" s="13"/>
      <c r="O129" s="14" t="str">
        <f>IF($N129="","",ROUND(1+($C129*(SUMIFS(OBJECT_CONDITIONS!$D:$D,OBJECT_CONDITIONS!$A:$A,$N129)-1))+($D129*(SUMIFS(OBJECT_CONDITIONS!$F:$F,OBJECT_CONDITIONS!$A:$A,$N129)-1))+($E129*(SUMIFS(OBJECT_CONDITIONS!$H:$H,OBJECT_CONDITIONS!$A:$A,$N129)-1))+($F129*(SUMIFS(OBJECT_CONDITIONS!$J:$J,OBJECT_CONDITIONS!$A:$A,$N129)-1))+($G129*(SUMIFS(OBJECT_CONDITIONS!$L:$L,OBJECT_CONDITIONS!$A:$A,$N129)-1))+($H129*(SUMIFS(OBJECT_CONDITIONS!$N:$N,OBJECT_CONDITIONS!$A:$A,$N129)-1))+($I129*(SUMIFS(OBJECT_CONDITIONS!$P:$P,OBJECT_CONDITIONS!$A:$A,$N129)-1))+($J129*(SUMIFS(OBJECT_CONDITIONS!$R:$R,OBJECT_CONDITIONS!$A:$A,$N129)-1))+($K129*(SUMIFS(OBJECT_CONDITIONS!$T:$T,OBJECT_CONDITIONS!$A:$A,$N129)-1)),3))</f>
        <v/>
      </c>
      <c r="P129" s="13"/>
    </row>
    <row r="130" spans="1:16" x14ac:dyDescent="0.3">
      <c r="A130" s="13"/>
      <c r="B130" s="13"/>
      <c r="C130" s="15"/>
      <c r="D130" s="15"/>
      <c r="E130" s="15"/>
      <c r="F130" s="15"/>
      <c r="G130" s="15"/>
      <c r="H130" s="15"/>
      <c r="I130" s="15"/>
      <c r="J130" s="15"/>
      <c r="K130" s="15"/>
      <c r="L130" s="13"/>
      <c r="M130" s="13"/>
      <c r="N130" s="13"/>
      <c r="O130" s="14" t="str">
        <f>IF($N130="","",ROUND(1+($C130*(SUMIFS(OBJECT_CONDITIONS!$D:$D,OBJECT_CONDITIONS!$A:$A,$N130)-1))+($D130*(SUMIFS(OBJECT_CONDITIONS!$F:$F,OBJECT_CONDITIONS!$A:$A,$N130)-1))+($E130*(SUMIFS(OBJECT_CONDITIONS!$H:$H,OBJECT_CONDITIONS!$A:$A,$N130)-1))+($F130*(SUMIFS(OBJECT_CONDITIONS!$J:$J,OBJECT_CONDITIONS!$A:$A,$N130)-1))+($G130*(SUMIFS(OBJECT_CONDITIONS!$L:$L,OBJECT_CONDITIONS!$A:$A,$N130)-1))+($H130*(SUMIFS(OBJECT_CONDITIONS!$N:$N,OBJECT_CONDITIONS!$A:$A,$N130)-1))+($I130*(SUMIFS(OBJECT_CONDITIONS!$P:$P,OBJECT_CONDITIONS!$A:$A,$N130)-1))+($J130*(SUMIFS(OBJECT_CONDITIONS!$R:$R,OBJECT_CONDITIONS!$A:$A,$N130)-1))+($K130*(SUMIFS(OBJECT_CONDITIONS!$T:$T,OBJECT_CONDITIONS!$A:$A,$N130)-1)),3))</f>
        <v/>
      </c>
      <c r="P130" s="13"/>
    </row>
    <row r="131" spans="1:16" x14ac:dyDescent="0.3">
      <c r="A131" s="13"/>
      <c r="B131" s="13"/>
      <c r="C131" s="15"/>
      <c r="D131" s="15"/>
      <c r="E131" s="15"/>
      <c r="F131" s="15"/>
      <c r="G131" s="15"/>
      <c r="H131" s="15"/>
      <c r="I131" s="15"/>
      <c r="J131" s="15"/>
      <c r="K131" s="15"/>
      <c r="L131" s="13"/>
      <c r="M131" s="13"/>
      <c r="N131" s="13"/>
      <c r="O131" s="14" t="str">
        <f>IF($N131="","",ROUND(1+($C131*(SUMIFS(OBJECT_CONDITIONS!$D:$D,OBJECT_CONDITIONS!$A:$A,$N131)-1))+($D131*(SUMIFS(OBJECT_CONDITIONS!$F:$F,OBJECT_CONDITIONS!$A:$A,$N131)-1))+($E131*(SUMIFS(OBJECT_CONDITIONS!$H:$H,OBJECT_CONDITIONS!$A:$A,$N131)-1))+($F131*(SUMIFS(OBJECT_CONDITIONS!$J:$J,OBJECT_CONDITIONS!$A:$A,$N131)-1))+($G131*(SUMIFS(OBJECT_CONDITIONS!$L:$L,OBJECT_CONDITIONS!$A:$A,$N131)-1))+($H131*(SUMIFS(OBJECT_CONDITIONS!$N:$N,OBJECT_CONDITIONS!$A:$A,$N131)-1))+($I131*(SUMIFS(OBJECT_CONDITIONS!$P:$P,OBJECT_CONDITIONS!$A:$A,$N131)-1))+($J131*(SUMIFS(OBJECT_CONDITIONS!$R:$R,OBJECT_CONDITIONS!$A:$A,$N131)-1))+($K131*(SUMIFS(OBJECT_CONDITIONS!$T:$T,OBJECT_CONDITIONS!$A:$A,$N131)-1)),3))</f>
        <v/>
      </c>
      <c r="P131" s="13"/>
    </row>
    <row r="132" spans="1:16" x14ac:dyDescent="0.3">
      <c r="A132" s="13"/>
      <c r="B132" s="13"/>
      <c r="C132" s="15"/>
      <c r="D132" s="15"/>
      <c r="E132" s="15"/>
      <c r="F132" s="15"/>
      <c r="G132" s="15"/>
      <c r="H132" s="15"/>
      <c r="I132" s="15"/>
      <c r="J132" s="15"/>
      <c r="K132" s="15"/>
      <c r="L132" s="13"/>
      <c r="M132" s="13"/>
      <c r="N132" s="13"/>
      <c r="O132" s="14" t="str">
        <f>IF($N132="","",ROUND(1+($C132*(SUMIFS(OBJECT_CONDITIONS!$D:$D,OBJECT_CONDITIONS!$A:$A,$N132)-1))+($D132*(SUMIFS(OBJECT_CONDITIONS!$F:$F,OBJECT_CONDITIONS!$A:$A,$N132)-1))+($E132*(SUMIFS(OBJECT_CONDITIONS!$H:$H,OBJECT_CONDITIONS!$A:$A,$N132)-1))+($F132*(SUMIFS(OBJECT_CONDITIONS!$J:$J,OBJECT_CONDITIONS!$A:$A,$N132)-1))+($G132*(SUMIFS(OBJECT_CONDITIONS!$L:$L,OBJECT_CONDITIONS!$A:$A,$N132)-1))+($H132*(SUMIFS(OBJECT_CONDITIONS!$N:$N,OBJECT_CONDITIONS!$A:$A,$N132)-1))+($I132*(SUMIFS(OBJECT_CONDITIONS!$P:$P,OBJECT_CONDITIONS!$A:$A,$N132)-1))+($J132*(SUMIFS(OBJECT_CONDITIONS!$R:$R,OBJECT_CONDITIONS!$A:$A,$N132)-1))+($K132*(SUMIFS(OBJECT_CONDITIONS!$T:$T,OBJECT_CONDITIONS!$A:$A,$N132)-1)),3))</f>
        <v/>
      </c>
      <c r="P132" s="13"/>
    </row>
    <row r="133" spans="1:16" x14ac:dyDescent="0.3">
      <c r="A133" s="13"/>
      <c r="B133" s="13"/>
      <c r="C133" s="15"/>
      <c r="D133" s="15"/>
      <c r="E133" s="15"/>
      <c r="F133" s="15"/>
      <c r="G133" s="15"/>
      <c r="H133" s="15"/>
      <c r="I133" s="15"/>
      <c r="J133" s="15"/>
      <c r="K133" s="15"/>
      <c r="L133" s="13"/>
      <c r="M133" s="13"/>
      <c r="N133" s="13"/>
      <c r="O133" s="14" t="str">
        <f>IF($N133="","",ROUND(1+($C133*(SUMIFS(OBJECT_CONDITIONS!$D:$D,OBJECT_CONDITIONS!$A:$A,$N133)-1))+($D133*(SUMIFS(OBJECT_CONDITIONS!$F:$F,OBJECT_CONDITIONS!$A:$A,$N133)-1))+($E133*(SUMIFS(OBJECT_CONDITIONS!$H:$H,OBJECT_CONDITIONS!$A:$A,$N133)-1))+($F133*(SUMIFS(OBJECT_CONDITIONS!$J:$J,OBJECT_CONDITIONS!$A:$A,$N133)-1))+($G133*(SUMIFS(OBJECT_CONDITIONS!$L:$L,OBJECT_CONDITIONS!$A:$A,$N133)-1))+($H133*(SUMIFS(OBJECT_CONDITIONS!$N:$N,OBJECT_CONDITIONS!$A:$A,$N133)-1))+($I133*(SUMIFS(OBJECT_CONDITIONS!$P:$P,OBJECT_CONDITIONS!$A:$A,$N133)-1))+($J133*(SUMIFS(OBJECT_CONDITIONS!$R:$R,OBJECT_CONDITIONS!$A:$A,$N133)-1))+($K133*(SUMIFS(OBJECT_CONDITIONS!$T:$T,OBJECT_CONDITIONS!$A:$A,$N133)-1)),3))</f>
        <v/>
      </c>
      <c r="P133" s="13"/>
    </row>
    <row r="134" spans="1:16" x14ac:dyDescent="0.3">
      <c r="A134" s="13"/>
      <c r="B134" s="13"/>
      <c r="C134" s="15"/>
      <c r="D134" s="15"/>
      <c r="E134" s="15"/>
      <c r="F134" s="15"/>
      <c r="G134" s="15"/>
      <c r="H134" s="15"/>
      <c r="I134" s="15"/>
      <c r="J134" s="15"/>
      <c r="K134" s="15"/>
      <c r="L134" s="13"/>
      <c r="M134" s="13"/>
      <c r="N134" s="13"/>
      <c r="O134" s="14" t="str">
        <f>IF($N134="","",ROUND(1+($C134*(SUMIFS(OBJECT_CONDITIONS!$D:$D,OBJECT_CONDITIONS!$A:$A,$N134)-1))+($D134*(SUMIFS(OBJECT_CONDITIONS!$F:$F,OBJECT_CONDITIONS!$A:$A,$N134)-1))+($E134*(SUMIFS(OBJECT_CONDITIONS!$H:$H,OBJECT_CONDITIONS!$A:$A,$N134)-1))+($F134*(SUMIFS(OBJECT_CONDITIONS!$J:$J,OBJECT_CONDITIONS!$A:$A,$N134)-1))+($G134*(SUMIFS(OBJECT_CONDITIONS!$L:$L,OBJECT_CONDITIONS!$A:$A,$N134)-1))+($H134*(SUMIFS(OBJECT_CONDITIONS!$N:$N,OBJECT_CONDITIONS!$A:$A,$N134)-1))+($I134*(SUMIFS(OBJECT_CONDITIONS!$P:$P,OBJECT_CONDITIONS!$A:$A,$N134)-1))+($J134*(SUMIFS(OBJECT_CONDITIONS!$R:$R,OBJECT_CONDITIONS!$A:$A,$N134)-1))+($K134*(SUMIFS(OBJECT_CONDITIONS!$T:$T,OBJECT_CONDITIONS!$A:$A,$N134)-1)),3))</f>
        <v/>
      </c>
      <c r="P134" s="13"/>
    </row>
    <row r="135" spans="1:16" x14ac:dyDescent="0.3">
      <c r="A135" s="13"/>
      <c r="B135" s="13"/>
      <c r="C135" s="15"/>
      <c r="D135" s="15"/>
      <c r="E135" s="15"/>
      <c r="F135" s="15"/>
      <c r="G135" s="15"/>
      <c r="H135" s="15"/>
      <c r="I135" s="15"/>
      <c r="J135" s="15"/>
      <c r="K135" s="15"/>
      <c r="L135" s="13"/>
      <c r="M135" s="13"/>
      <c r="N135" s="13"/>
      <c r="O135" s="14" t="str">
        <f>IF($N135="","",ROUND(1+($C135*(SUMIFS(OBJECT_CONDITIONS!$D:$D,OBJECT_CONDITIONS!$A:$A,$N135)-1))+($D135*(SUMIFS(OBJECT_CONDITIONS!$F:$F,OBJECT_CONDITIONS!$A:$A,$N135)-1))+($E135*(SUMIFS(OBJECT_CONDITIONS!$H:$H,OBJECT_CONDITIONS!$A:$A,$N135)-1))+($F135*(SUMIFS(OBJECT_CONDITIONS!$J:$J,OBJECT_CONDITIONS!$A:$A,$N135)-1))+($G135*(SUMIFS(OBJECT_CONDITIONS!$L:$L,OBJECT_CONDITIONS!$A:$A,$N135)-1))+($H135*(SUMIFS(OBJECT_CONDITIONS!$N:$N,OBJECT_CONDITIONS!$A:$A,$N135)-1))+($I135*(SUMIFS(OBJECT_CONDITIONS!$P:$P,OBJECT_CONDITIONS!$A:$A,$N135)-1))+($J135*(SUMIFS(OBJECT_CONDITIONS!$R:$R,OBJECT_CONDITIONS!$A:$A,$N135)-1))+($K135*(SUMIFS(OBJECT_CONDITIONS!$T:$T,OBJECT_CONDITIONS!$A:$A,$N135)-1)),3))</f>
        <v/>
      </c>
      <c r="P135" s="13"/>
    </row>
    <row r="136" spans="1:16" x14ac:dyDescent="0.3">
      <c r="A136" s="13"/>
      <c r="B136" s="13"/>
      <c r="C136" s="15"/>
      <c r="D136" s="15"/>
      <c r="E136" s="15"/>
      <c r="F136" s="15"/>
      <c r="G136" s="15"/>
      <c r="H136" s="15"/>
      <c r="I136" s="15"/>
      <c r="J136" s="15"/>
      <c r="K136" s="15"/>
      <c r="L136" s="13"/>
      <c r="M136" s="13"/>
      <c r="N136" s="13"/>
      <c r="O136" s="14" t="str">
        <f>IF($N136="","",ROUND(1+($C136*(SUMIFS(OBJECT_CONDITIONS!$D:$D,OBJECT_CONDITIONS!$A:$A,$N136)-1))+($D136*(SUMIFS(OBJECT_CONDITIONS!$F:$F,OBJECT_CONDITIONS!$A:$A,$N136)-1))+($E136*(SUMIFS(OBJECT_CONDITIONS!$H:$H,OBJECT_CONDITIONS!$A:$A,$N136)-1))+($F136*(SUMIFS(OBJECT_CONDITIONS!$J:$J,OBJECT_CONDITIONS!$A:$A,$N136)-1))+($G136*(SUMIFS(OBJECT_CONDITIONS!$L:$L,OBJECT_CONDITIONS!$A:$A,$N136)-1))+($H136*(SUMIFS(OBJECT_CONDITIONS!$N:$N,OBJECT_CONDITIONS!$A:$A,$N136)-1))+($I136*(SUMIFS(OBJECT_CONDITIONS!$P:$P,OBJECT_CONDITIONS!$A:$A,$N136)-1))+($J136*(SUMIFS(OBJECT_CONDITIONS!$R:$R,OBJECT_CONDITIONS!$A:$A,$N136)-1))+($K136*(SUMIFS(OBJECT_CONDITIONS!$T:$T,OBJECT_CONDITIONS!$A:$A,$N136)-1)),3))</f>
        <v/>
      </c>
      <c r="P136" s="13"/>
    </row>
    <row r="137" spans="1:16" x14ac:dyDescent="0.3">
      <c r="A137" s="13"/>
      <c r="B137" s="13"/>
      <c r="C137" s="15"/>
      <c r="D137" s="15"/>
      <c r="E137" s="15"/>
      <c r="F137" s="15"/>
      <c r="G137" s="15"/>
      <c r="H137" s="15"/>
      <c r="I137" s="15"/>
      <c r="J137" s="15"/>
      <c r="K137" s="15"/>
      <c r="L137" s="13"/>
      <c r="M137" s="13"/>
      <c r="N137" s="13"/>
      <c r="O137" s="14" t="str">
        <f>IF($N137="","",ROUND(1+($C137*(SUMIFS(OBJECT_CONDITIONS!$D:$D,OBJECT_CONDITIONS!$A:$A,$N137)-1))+($D137*(SUMIFS(OBJECT_CONDITIONS!$F:$F,OBJECT_CONDITIONS!$A:$A,$N137)-1))+($E137*(SUMIFS(OBJECT_CONDITIONS!$H:$H,OBJECT_CONDITIONS!$A:$A,$N137)-1))+($F137*(SUMIFS(OBJECT_CONDITIONS!$J:$J,OBJECT_CONDITIONS!$A:$A,$N137)-1))+($G137*(SUMIFS(OBJECT_CONDITIONS!$L:$L,OBJECT_CONDITIONS!$A:$A,$N137)-1))+($H137*(SUMIFS(OBJECT_CONDITIONS!$N:$N,OBJECT_CONDITIONS!$A:$A,$N137)-1))+($I137*(SUMIFS(OBJECT_CONDITIONS!$P:$P,OBJECT_CONDITIONS!$A:$A,$N137)-1))+($J137*(SUMIFS(OBJECT_CONDITIONS!$R:$R,OBJECT_CONDITIONS!$A:$A,$N137)-1))+($K137*(SUMIFS(OBJECT_CONDITIONS!$T:$T,OBJECT_CONDITIONS!$A:$A,$N137)-1)),3))</f>
        <v/>
      </c>
      <c r="P137" s="13"/>
    </row>
    <row r="138" spans="1:16" x14ac:dyDescent="0.3">
      <c r="A138" s="13"/>
      <c r="B138" s="13"/>
      <c r="C138" s="15"/>
      <c r="D138" s="15"/>
      <c r="E138" s="15"/>
      <c r="F138" s="15"/>
      <c r="G138" s="15"/>
      <c r="H138" s="15"/>
      <c r="I138" s="15"/>
      <c r="J138" s="15"/>
      <c r="K138" s="15"/>
      <c r="L138" s="13"/>
      <c r="M138" s="13"/>
      <c r="N138" s="13"/>
      <c r="O138" s="14" t="str">
        <f>IF($N138="","",ROUND(1+($C138*(SUMIFS(OBJECT_CONDITIONS!$D:$D,OBJECT_CONDITIONS!$A:$A,$N138)-1))+($D138*(SUMIFS(OBJECT_CONDITIONS!$F:$F,OBJECT_CONDITIONS!$A:$A,$N138)-1))+($E138*(SUMIFS(OBJECT_CONDITIONS!$H:$H,OBJECT_CONDITIONS!$A:$A,$N138)-1))+($F138*(SUMIFS(OBJECT_CONDITIONS!$J:$J,OBJECT_CONDITIONS!$A:$A,$N138)-1))+($G138*(SUMIFS(OBJECT_CONDITIONS!$L:$L,OBJECT_CONDITIONS!$A:$A,$N138)-1))+($H138*(SUMIFS(OBJECT_CONDITIONS!$N:$N,OBJECT_CONDITIONS!$A:$A,$N138)-1))+($I138*(SUMIFS(OBJECT_CONDITIONS!$P:$P,OBJECT_CONDITIONS!$A:$A,$N138)-1))+($J138*(SUMIFS(OBJECT_CONDITIONS!$R:$R,OBJECT_CONDITIONS!$A:$A,$N138)-1))+($K138*(SUMIFS(OBJECT_CONDITIONS!$T:$T,OBJECT_CONDITIONS!$A:$A,$N138)-1)),3))</f>
        <v/>
      </c>
      <c r="P138" s="13"/>
    </row>
    <row r="139" spans="1:16" x14ac:dyDescent="0.3">
      <c r="A139" s="13"/>
      <c r="B139" s="13"/>
      <c r="C139" s="15"/>
      <c r="D139" s="15"/>
      <c r="E139" s="15"/>
      <c r="F139" s="15"/>
      <c r="G139" s="15"/>
      <c r="H139" s="15"/>
      <c r="I139" s="15"/>
      <c r="J139" s="15"/>
      <c r="K139" s="15"/>
      <c r="L139" s="13"/>
      <c r="M139" s="13"/>
      <c r="N139" s="13"/>
      <c r="O139" s="14" t="str">
        <f>IF($N139="","",ROUND(1+($C139*(SUMIFS(OBJECT_CONDITIONS!$D:$D,OBJECT_CONDITIONS!$A:$A,$N139)-1))+($D139*(SUMIFS(OBJECT_CONDITIONS!$F:$F,OBJECT_CONDITIONS!$A:$A,$N139)-1))+($E139*(SUMIFS(OBJECT_CONDITIONS!$H:$H,OBJECT_CONDITIONS!$A:$A,$N139)-1))+($F139*(SUMIFS(OBJECT_CONDITIONS!$J:$J,OBJECT_CONDITIONS!$A:$A,$N139)-1))+($G139*(SUMIFS(OBJECT_CONDITIONS!$L:$L,OBJECT_CONDITIONS!$A:$A,$N139)-1))+($H139*(SUMIFS(OBJECT_CONDITIONS!$N:$N,OBJECT_CONDITIONS!$A:$A,$N139)-1))+($I139*(SUMIFS(OBJECT_CONDITIONS!$P:$P,OBJECT_CONDITIONS!$A:$A,$N139)-1))+($J139*(SUMIFS(OBJECT_CONDITIONS!$R:$R,OBJECT_CONDITIONS!$A:$A,$N139)-1))+($K139*(SUMIFS(OBJECT_CONDITIONS!$T:$T,OBJECT_CONDITIONS!$A:$A,$N139)-1)),3))</f>
        <v/>
      </c>
      <c r="P139" s="13"/>
    </row>
    <row r="140" spans="1:16" x14ac:dyDescent="0.3">
      <c r="A140" s="13"/>
      <c r="B140" s="13"/>
      <c r="C140" s="15"/>
      <c r="D140" s="15"/>
      <c r="E140" s="15"/>
      <c r="F140" s="15"/>
      <c r="G140" s="15"/>
      <c r="H140" s="15"/>
      <c r="I140" s="15"/>
      <c r="J140" s="15"/>
      <c r="K140" s="15"/>
      <c r="L140" s="13"/>
      <c r="M140" s="13"/>
      <c r="N140" s="13"/>
      <c r="O140" s="14" t="str">
        <f>IF($N140="","",ROUND(1+($C140*(SUMIFS(OBJECT_CONDITIONS!$D:$D,OBJECT_CONDITIONS!$A:$A,$N140)-1))+($D140*(SUMIFS(OBJECT_CONDITIONS!$F:$F,OBJECT_CONDITIONS!$A:$A,$N140)-1))+($E140*(SUMIFS(OBJECT_CONDITIONS!$H:$H,OBJECT_CONDITIONS!$A:$A,$N140)-1))+($F140*(SUMIFS(OBJECT_CONDITIONS!$J:$J,OBJECT_CONDITIONS!$A:$A,$N140)-1))+($G140*(SUMIFS(OBJECT_CONDITIONS!$L:$L,OBJECT_CONDITIONS!$A:$A,$N140)-1))+($H140*(SUMIFS(OBJECT_CONDITIONS!$N:$N,OBJECT_CONDITIONS!$A:$A,$N140)-1))+($I140*(SUMIFS(OBJECT_CONDITIONS!$P:$P,OBJECT_CONDITIONS!$A:$A,$N140)-1))+($J140*(SUMIFS(OBJECT_CONDITIONS!$R:$R,OBJECT_CONDITIONS!$A:$A,$N140)-1))+($K140*(SUMIFS(OBJECT_CONDITIONS!$T:$T,OBJECT_CONDITIONS!$A:$A,$N140)-1)),3))</f>
        <v/>
      </c>
      <c r="P140" s="13"/>
    </row>
    <row r="141" spans="1:16" x14ac:dyDescent="0.3">
      <c r="A141" s="13"/>
      <c r="B141" s="13"/>
      <c r="C141" s="15"/>
      <c r="D141" s="15"/>
      <c r="E141" s="15"/>
      <c r="F141" s="15"/>
      <c r="G141" s="15"/>
      <c r="H141" s="15"/>
      <c r="I141" s="15"/>
      <c r="J141" s="15"/>
      <c r="K141" s="15"/>
      <c r="L141" s="13"/>
      <c r="M141" s="13"/>
      <c r="N141" s="13"/>
      <c r="O141" s="14" t="str">
        <f>IF($N141="","",ROUND(1+($C141*(SUMIFS(OBJECT_CONDITIONS!$D:$D,OBJECT_CONDITIONS!$A:$A,$N141)-1))+($D141*(SUMIFS(OBJECT_CONDITIONS!$F:$F,OBJECT_CONDITIONS!$A:$A,$N141)-1))+($E141*(SUMIFS(OBJECT_CONDITIONS!$H:$H,OBJECT_CONDITIONS!$A:$A,$N141)-1))+($F141*(SUMIFS(OBJECT_CONDITIONS!$J:$J,OBJECT_CONDITIONS!$A:$A,$N141)-1))+($G141*(SUMIFS(OBJECT_CONDITIONS!$L:$L,OBJECT_CONDITIONS!$A:$A,$N141)-1))+($H141*(SUMIFS(OBJECT_CONDITIONS!$N:$N,OBJECT_CONDITIONS!$A:$A,$N141)-1))+($I141*(SUMIFS(OBJECT_CONDITIONS!$P:$P,OBJECT_CONDITIONS!$A:$A,$N141)-1))+($J141*(SUMIFS(OBJECT_CONDITIONS!$R:$R,OBJECT_CONDITIONS!$A:$A,$N141)-1))+($K141*(SUMIFS(OBJECT_CONDITIONS!$T:$T,OBJECT_CONDITIONS!$A:$A,$N141)-1)),3))</f>
        <v/>
      </c>
      <c r="P141" s="13"/>
    </row>
    <row r="142" spans="1:16" x14ac:dyDescent="0.3">
      <c r="A142" s="13"/>
      <c r="B142" s="13"/>
      <c r="C142" s="15"/>
      <c r="D142" s="15"/>
      <c r="E142" s="15"/>
      <c r="F142" s="15"/>
      <c r="G142" s="15"/>
      <c r="H142" s="15"/>
      <c r="I142" s="15"/>
      <c r="J142" s="15"/>
      <c r="K142" s="15"/>
      <c r="L142" s="13"/>
      <c r="M142" s="13"/>
      <c r="N142" s="13"/>
      <c r="O142" s="14" t="str">
        <f>IF($N142="","",ROUND(1+($C142*(SUMIFS(OBJECT_CONDITIONS!$D:$D,OBJECT_CONDITIONS!$A:$A,$N142)-1))+($D142*(SUMIFS(OBJECT_CONDITIONS!$F:$F,OBJECT_CONDITIONS!$A:$A,$N142)-1))+($E142*(SUMIFS(OBJECT_CONDITIONS!$H:$H,OBJECT_CONDITIONS!$A:$A,$N142)-1))+($F142*(SUMIFS(OBJECT_CONDITIONS!$J:$J,OBJECT_CONDITIONS!$A:$A,$N142)-1))+($G142*(SUMIFS(OBJECT_CONDITIONS!$L:$L,OBJECT_CONDITIONS!$A:$A,$N142)-1))+($H142*(SUMIFS(OBJECT_CONDITIONS!$N:$N,OBJECT_CONDITIONS!$A:$A,$N142)-1))+($I142*(SUMIFS(OBJECT_CONDITIONS!$P:$P,OBJECT_CONDITIONS!$A:$A,$N142)-1))+($J142*(SUMIFS(OBJECT_CONDITIONS!$R:$R,OBJECT_CONDITIONS!$A:$A,$N142)-1))+($K142*(SUMIFS(OBJECT_CONDITIONS!$T:$T,OBJECT_CONDITIONS!$A:$A,$N142)-1)),3))</f>
        <v/>
      </c>
      <c r="P142" s="13"/>
    </row>
    <row r="143" spans="1:16" x14ac:dyDescent="0.3">
      <c r="A143" s="13"/>
      <c r="B143" s="13"/>
      <c r="C143" s="15"/>
      <c r="D143" s="15"/>
      <c r="E143" s="15"/>
      <c r="F143" s="15"/>
      <c r="G143" s="15"/>
      <c r="H143" s="15"/>
      <c r="I143" s="15"/>
      <c r="J143" s="15"/>
      <c r="K143" s="15"/>
      <c r="L143" s="13"/>
      <c r="M143" s="13"/>
      <c r="N143" s="13"/>
      <c r="O143" s="14" t="str">
        <f>IF($N143="","",ROUND(1+($C143*(SUMIFS(OBJECT_CONDITIONS!$D:$D,OBJECT_CONDITIONS!$A:$A,$N143)-1))+($D143*(SUMIFS(OBJECT_CONDITIONS!$F:$F,OBJECT_CONDITIONS!$A:$A,$N143)-1))+($E143*(SUMIFS(OBJECT_CONDITIONS!$H:$H,OBJECT_CONDITIONS!$A:$A,$N143)-1))+($F143*(SUMIFS(OBJECT_CONDITIONS!$J:$J,OBJECT_CONDITIONS!$A:$A,$N143)-1))+($G143*(SUMIFS(OBJECT_CONDITIONS!$L:$L,OBJECT_CONDITIONS!$A:$A,$N143)-1))+($H143*(SUMIFS(OBJECT_CONDITIONS!$N:$N,OBJECT_CONDITIONS!$A:$A,$N143)-1))+($I143*(SUMIFS(OBJECT_CONDITIONS!$P:$P,OBJECT_CONDITIONS!$A:$A,$N143)-1))+($J143*(SUMIFS(OBJECT_CONDITIONS!$R:$R,OBJECT_CONDITIONS!$A:$A,$N143)-1))+($K143*(SUMIFS(OBJECT_CONDITIONS!$T:$T,OBJECT_CONDITIONS!$A:$A,$N143)-1)),3))</f>
        <v/>
      </c>
      <c r="P143" s="13"/>
    </row>
    <row r="144" spans="1:16" x14ac:dyDescent="0.3">
      <c r="A144" s="13"/>
      <c r="B144" s="13"/>
      <c r="C144" s="15"/>
      <c r="D144" s="15"/>
      <c r="E144" s="15"/>
      <c r="F144" s="15"/>
      <c r="G144" s="15"/>
      <c r="H144" s="15"/>
      <c r="I144" s="15"/>
      <c r="J144" s="15"/>
      <c r="K144" s="15"/>
      <c r="L144" s="13"/>
      <c r="M144" s="13"/>
      <c r="N144" s="13"/>
      <c r="O144" s="14" t="str">
        <f>IF($N144="","",ROUND(1+($C144*(SUMIFS(OBJECT_CONDITIONS!$D:$D,OBJECT_CONDITIONS!$A:$A,$N144)-1))+($D144*(SUMIFS(OBJECT_CONDITIONS!$F:$F,OBJECT_CONDITIONS!$A:$A,$N144)-1))+($E144*(SUMIFS(OBJECT_CONDITIONS!$H:$H,OBJECT_CONDITIONS!$A:$A,$N144)-1))+($F144*(SUMIFS(OBJECT_CONDITIONS!$J:$J,OBJECT_CONDITIONS!$A:$A,$N144)-1))+($G144*(SUMIFS(OBJECT_CONDITIONS!$L:$L,OBJECT_CONDITIONS!$A:$A,$N144)-1))+($H144*(SUMIFS(OBJECT_CONDITIONS!$N:$N,OBJECT_CONDITIONS!$A:$A,$N144)-1))+($I144*(SUMIFS(OBJECT_CONDITIONS!$P:$P,OBJECT_CONDITIONS!$A:$A,$N144)-1))+($J144*(SUMIFS(OBJECT_CONDITIONS!$R:$R,OBJECT_CONDITIONS!$A:$A,$N144)-1))+($K144*(SUMIFS(OBJECT_CONDITIONS!$T:$T,OBJECT_CONDITIONS!$A:$A,$N144)-1)),3))</f>
        <v/>
      </c>
      <c r="P144" s="13"/>
    </row>
    <row r="145" spans="1:16" x14ac:dyDescent="0.3">
      <c r="A145" s="13"/>
      <c r="B145" s="13"/>
      <c r="C145" s="15"/>
      <c r="D145" s="15"/>
      <c r="E145" s="15"/>
      <c r="F145" s="15"/>
      <c r="G145" s="15"/>
      <c r="H145" s="15"/>
      <c r="I145" s="15"/>
      <c r="J145" s="15"/>
      <c r="K145" s="15"/>
      <c r="L145" s="13"/>
      <c r="M145" s="13"/>
      <c r="N145" s="13"/>
      <c r="O145" s="14" t="str">
        <f>IF($N145="","",ROUND(1+($C145*(SUMIFS(OBJECT_CONDITIONS!$D:$D,OBJECT_CONDITIONS!$A:$A,$N145)-1))+($D145*(SUMIFS(OBJECT_CONDITIONS!$F:$F,OBJECT_CONDITIONS!$A:$A,$N145)-1))+($E145*(SUMIFS(OBJECT_CONDITIONS!$H:$H,OBJECT_CONDITIONS!$A:$A,$N145)-1))+($F145*(SUMIFS(OBJECT_CONDITIONS!$J:$J,OBJECT_CONDITIONS!$A:$A,$N145)-1))+($G145*(SUMIFS(OBJECT_CONDITIONS!$L:$L,OBJECT_CONDITIONS!$A:$A,$N145)-1))+($H145*(SUMIFS(OBJECT_CONDITIONS!$N:$N,OBJECT_CONDITIONS!$A:$A,$N145)-1))+($I145*(SUMIFS(OBJECT_CONDITIONS!$P:$P,OBJECT_CONDITIONS!$A:$A,$N145)-1))+($J145*(SUMIFS(OBJECT_CONDITIONS!$R:$R,OBJECT_CONDITIONS!$A:$A,$N145)-1))+($K145*(SUMIFS(OBJECT_CONDITIONS!$T:$T,OBJECT_CONDITIONS!$A:$A,$N145)-1)),3))</f>
        <v/>
      </c>
      <c r="P145" s="13"/>
    </row>
    <row r="146" spans="1:16" x14ac:dyDescent="0.3">
      <c r="A146" s="13"/>
      <c r="B146" s="13"/>
      <c r="C146" s="15"/>
      <c r="D146" s="15"/>
      <c r="E146" s="15"/>
      <c r="F146" s="15"/>
      <c r="G146" s="15"/>
      <c r="H146" s="15"/>
      <c r="I146" s="15"/>
      <c r="J146" s="15"/>
      <c r="K146" s="15"/>
      <c r="L146" s="13"/>
      <c r="M146" s="13"/>
      <c r="N146" s="13"/>
      <c r="O146" s="14" t="str">
        <f>IF($N146="","",ROUND(1+($C146*(SUMIFS(OBJECT_CONDITIONS!$D:$D,OBJECT_CONDITIONS!$A:$A,$N146)-1))+($D146*(SUMIFS(OBJECT_CONDITIONS!$F:$F,OBJECT_CONDITIONS!$A:$A,$N146)-1))+($E146*(SUMIFS(OBJECT_CONDITIONS!$H:$H,OBJECT_CONDITIONS!$A:$A,$N146)-1))+($F146*(SUMIFS(OBJECT_CONDITIONS!$J:$J,OBJECT_CONDITIONS!$A:$A,$N146)-1))+($G146*(SUMIFS(OBJECT_CONDITIONS!$L:$L,OBJECT_CONDITIONS!$A:$A,$N146)-1))+($H146*(SUMIFS(OBJECT_CONDITIONS!$N:$N,OBJECT_CONDITIONS!$A:$A,$N146)-1))+($I146*(SUMIFS(OBJECT_CONDITIONS!$P:$P,OBJECT_CONDITIONS!$A:$A,$N146)-1))+($J146*(SUMIFS(OBJECT_CONDITIONS!$R:$R,OBJECT_CONDITIONS!$A:$A,$N146)-1))+($K146*(SUMIFS(OBJECT_CONDITIONS!$T:$T,OBJECT_CONDITIONS!$A:$A,$N146)-1)),3))</f>
        <v/>
      </c>
      <c r="P146" s="13"/>
    </row>
    <row r="147" spans="1:16" x14ac:dyDescent="0.3">
      <c r="A147" s="13"/>
      <c r="B147" s="13"/>
      <c r="C147" s="15"/>
      <c r="D147" s="15"/>
      <c r="E147" s="15"/>
      <c r="F147" s="15"/>
      <c r="G147" s="15"/>
      <c r="H147" s="15"/>
      <c r="I147" s="15"/>
      <c r="J147" s="15"/>
      <c r="K147" s="15"/>
      <c r="L147" s="13"/>
      <c r="M147" s="13"/>
      <c r="N147" s="13"/>
      <c r="O147" s="14" t="str">
        <f>IF($N147="","",ROUND(1+($C147*(SUMIFS(OBJECT_CONDITIONS!$D:$D,OBJECT_CONDITIONS!$A:$A,$N147)-1))+($D147*(SUMIFS(OBJECT_CONDITIONS!$F:$F,OBJECT_CONDITIONS!$A:$A,$N147)-1))+($E147*(SUMIFS(OBJECT_CONDITIONS!$H:$H,OBJECT_CONDITIONS!$A:$A,$N147)-1))+($F147*(SUMIFS(OBJECT_CONDITIONS!$J:$J,OBJECT_CONDITIONS!$A:$A,$N147)-1))+($G147*(SUMIFS(OBJECT_CONDITIONS!$L:$L,OBJECT_CONDITIONS!$A:$A,$N147)-1))+($H147*(SUMIFS(OBJECT_CONDITIONS!$N:$N,OBJECT_CONDITIONS!$A:$A,$N147)-1))+($I147*(SUMIFS(OBJECT_CONDITIONS!$P:$P,OBJECT_CONDITIONS!$A:$A,$N147)-1))+($J147*(SUMIFS(OBJECT_CONDITIONS!$R:$R,OBJECT_CONDITIONS!$A:$A,$N147)-1))+($K147*(SUMIFS(OBJECT_CONDITIONS!$T:$T,OBJECT_CONDITIONS!$A:$A,$N147)-1)),3))</f>
        <v/>
      </c>
      <c r="P147" s="13"/>
    </row>
    <row r="148" spans="1:16" x14ac:dyDescent="0.3">
      <c r="A148" s="13"/>
      <c r="B148" s="13"/>
      <c r="C148" s="15"/>
      <c r="D148" s="15"/>
      <c r="E148" s="15"/>
      <c r="F148" s="15"/>
      <c r="G148" s="15"/>
      <c r="H148" s="15"/>
      <c r="I148" s="15"/>
      <c r="J148" s="15"/>
      <c r="K148" s="15"/>
      <c r="L148" s="13"/>
      <c r="M148" s="13"/>
      <c r="N148" s="13"/>
      <c r="O148" s="14" t="str">
        <f>IF($N148="","",ROUND(1+($C148*(SUMIFS(OBJECT_CONDITIONS!$D:$D,OBJECT_CONDITIONS!$A:$A,$N148)-1))+($D148*(SUMIFS(OBJECT_CONDITIONS!$F:$F,OBJECT_CONDITIONS!$A:$A,$N148)-1))+($E148*(SUMIFS(OBJECT_CONDITIONS!$H:$H,OBJECT_CONDITIONS!$A:$A,$N148)-1))+($F148*(SUMIFS(OBJECT_CONDITIONS!$J:$J,OBJECT_CONDITIONS!$A:$A,$N148)-1))+($G148*(SUMIFS(OBJECT_CONDITIONS!$L:$L,OBJECT_CONDITIONS!$A:$A,$N148)-1))+($H148*(SUMIFS(OBJECT_CONDITIONS!$N:$N,OBJECT_CONDITIONS!$A:$A,$N148)-1))+($I148*(SUMIFS(OBJECT_CONDITIONS!$P:$P,OBJECT_CONDITIONS!$A:$A,$N148)-1))+($J148*(SUMIFS(OBJECT_CONDITIONS!$R:$R,OBJECT_CONDITIONS!$A:$A,$N148)-1))+($K148*(SUMIFS(OBJECT_CONDITIONS!$T:$T,OBJECT_CONDITIONS!$A:$A,$N148)-1)),3))</f>
        <v/>
      </c>
      <c r="P148" s="13"/>
    </row>
    <row r="149" spans="1:16" x14ac:dyDescent="0.3">
      <c r="A149" s="13"/>
      <c r="B149" s="13"/>
      <c r="C149" s="15"/>
      <c r="D149" s="15"/>
      <c r="E149" s="15"/>
      <c r="F149" s="15"/>
      <c r="G149" s="15"/>
      <c r="H149" s="15"/>
      <c r="I149" s="15"/>
      <c r="J149" s="15"/>
      <c r="K149" s="15"/>
      <c r="L149" s="13"/>
      <c r="M149" s="13"/>
      <c r="N149" s="13"/>
      <c r="O149" s="14" t="str">
        <f>IF($N149="","",ROUND(1+($C149*(SUMIFS(OBJECT_CONDITIONS!$D:$D,OBJECT_CONDITIONS!$A:$A,$N149)-1))+($D149*(SUMIFS(OBJECT_CONDITIONS!$F:$F,OBJECT_CONDITIONS!$A:$A,$N149)-1))+($E149*(SUMIFS(OBJECT_CONDITIONS!$H:$H,OBJECT_CONDITIONS!$A:$A,$N149)-1))+($F149*(SUMIFS(OBJECT_CONDITIONS!$J:$J,OBJECT_CONDITIONS!$A:$A,$N149)-1))+($G149*(SUMIFS(OBJECT_CONDITIONS!$L:$L,OBJECT_CONDITIONS!$A:$A,$N149)-1))+($H149*(SUMIFS(OBJECT_CONDITIONS!$N:$N,OBJECT_CONDITIONS!$A:$A,$N149)-1))+($I149*(SUMIFS(OBJECT_CONDITIONS!$P:$P,OBJECT_CONDITIONS!$A:$A,$N149)-1))+($J149*(SUMIFS(OBJECT_CONDITIONS!$R:$R,OBJECT_CONDITIONS!$A:$A,$N149)-1))+($K149*(SUMIFS(OBJECT_CONDITIONS!$T:$T,OBJECT_CONDITIONS!$A:$A,$N149)-1)),3))</f>
        <v/>
      </c>
      <c r="P149" s="13"/>
    </row>
    <row r="150" spans="1:16" x14ac:dyDescent="0.3">
      <c r="A150" s="13"/>
      <c r="B150" s="13"/>
      <c r="C150" s="15"/>
      <c r="D150" s="15"/>
      <c r="E150" s="15"/>
      <c r="F150" s="15"/>
      <c r="G150" s="15"/>
      <c r="H150" s="15"/>
      <c r="I150" s="15"/>
      <c r="J150" s="15"/>
      <c r="K150" s="15"/>
      <c r="L150" s="13"/>
      <c r="M150" s="13"/>
      <c r="N150" s="13"/>
      <c r="O150" s="14" t="str">
        <f>IF($N150="","",ROUND(1+($C150*(SUMIFS(OBJECT_CONDITIONS!$D:$D,OBJECT_CONDITIONS!$A:$A,$N150)-1))+($D150*(SUMIFS(OBJECT_CONDITIONS!$F:$F,OBJECT_CONDITIONS!$A:$A,$N150)-1))+($E150*(SUMIFS(OBJECT_CONDITIONS!$H:$H,OBJECT_CONDITIONS!$A:$A,$N150)-1))+($F150*(SUMIFS(OBJECT_CONDITIONS!$J:$J,OBJECT_CONDITIONS!$A:$A,$N150)-1))+($G150*(SUMIFS(OBJECT_CONDITIONS!$L:$L,OBJECT_CONDITIONS!$A:$A,$N150)-1))+($H150*(SUMIFS(OBJECT_CONDITIONS!$N:$N,OBJECT_CONDITIONS!$A:$A,$N150)-1))+($I150*(SUMIFS(OBJECT_CONDITIONS!$P:$P,OBJECT_CONDITIONS!$A:$A,$N150)-1))+($J150*(SUMIFS(OBJECT_CONDITIONS!$R:$R,OBJECT_CONDITIONS!$A:$A,$N150)-1))+($K150*(SUMIFS(OBJECT_CONDITIONS!$T:$T,OBJECT_CONDITIONS!$A:$A,$N150)-1)),3))</f>
        <v/>
      </c>
      <c r="P150" s="1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0000000}">
          <x14:formula1>
            <xm:f>DICTIONARIES!$G$2:$G$3</xm:f>
          </x14:formula1>
          <xm:sqref>L2:M1000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150"/>
  <sheetViews>
    <sheetView workbookViewId="0"/>
  </sheetViews>
  <sheetFormatPr defaultRowHeight="14.4" x14ac:dyDescent="0.3"/>
  <cols>
    <col min="1" max="2" width="12" customWidth="1"/>
    <col min="3" max="3" width="20" customWidth="1"/>
    <col min="4" max="7" width="18" customWidth="1"/>
    <col min="8" max="8" width="16" customWidth="1"/>
    <col min="9" max="9" width="30" customWidth="1"/>
    <col min="10" max="10" width="16" customWidth="1"/>
    <col min="11" max="11" width="14" customWidth="1"/>
    <col min="12" max="13" width="10" customWidth="1"/>
    <col min="14" max="14" width="42" customWidth="1"/>
  </cols>
  <sheetData>
    <row r="1" spans="1:14" x14ac:dyDescent="0.3">
      <c r="A1" s="3" t="s">
        <v>570</v>
      </c>
      <c r="B1" s="3" t="s">
        <v>762</v>
      </c>
      <c r="C1" s="3" t="s">
        <v>763</v>
      </c>
      <c r="D1" s="3" t="s">
        <v>764</v>
      </c>
      <c r="E1" s="3" t="s">
        <v>765</v>
      </c>
      <c r="F1" s="3" t="s">
        <v>766</v>
      </c>
      <c r="G1" s="3" t="s">
        <v>767</v>
      </c>
      <c r="H1" s="3" t="s">
        <v>768</v>
      </c>
      <c r="I1" s="3" t="s">
        <v>769</v>
      </c>
      <c r="J1" s="3" t="s">
        <v>770</v>
      </c>
      <c r="K1" s="3" t="s">
        <v>771</v>
      </c>
      <c r="L1" s="3" t="s">
        <v>55</v>
      </c>
      <c r="M1" s="3" t="s">
        <v>436</v>
      </c>
      <c r="N1" s="3" t="s">
        <v>116</v>
      </c>
    </row>
    <row r="2" spans="1:14" ht="28.8" x14ac:dyDescent="0.3">
      <c r="A2" s="4" t="s">
        <v>772</v>
      </c>
      <c r="B2" s="4" t="s">
        <v>246</v>
      </c>
      <c r="C2" s="4" t="s">
        <v>444</v>
      </c>
      <c r="D2" s="4" t="s">
        <v>211</v>
      </c>
      <c r="E2" s="4" t="s">
        <v>255</v>
      </c>
      <c r="F2" s="4"/>
      <c r="G2" s="4"/>
      <c r="H2" s="4" t="s">
        <v>261</v>
      </c>
      <c r="I2" s="4" t="s">
        <v>284</v>
      </c>
      <c r="J2" s="4" t="s">
        <v>246</v>
      </c>
      <c r="K2" s="4" t="s">
        <v>444</v>
      </c>
      <c r="L2" s="4">
        <v>1</v>
      </c>
      <c r="M2" s="4" t="s">
        <v>245</v>
      </c>
      <c r="N2" s="4" t="s">
        <v>773</v>
      </c>
    </row>
    <row r="3" spans="1:14" ht="28.8" x14ac:dyDescent="0.3">
      <c r="A3" s="4" t="s">
        <v>774</v>
      </c>
      <c r="B3" s="4" t="s">
        <v>246</v>
      </c>
      <c r="C3" s="4" t="s">
        <v>444</v>
      </c>
      <c r="D3" s="4" t="s">
        <v>208</v>
      </c>
      <c r="E3" s="4" t="s">
        <v>258</v>
      </c>
      <c r="F3" s="4" t="s">
        <v>211</v>
      </c>
      <c r="G3" s="4" t="s">
        <v>245</v>
      </c>
      <c r="H3" s="4" t="s">
        <v>301</v>
      </c>
      <c r="I3" s="4" t="s">
        <v>323</v>
      </c>
      <c r="J3" s="4" t="s">
        <v>246</v>
      </c>
      <c r="K3" s="4" t="s">
        <v>444</v>
      </c>
      <c r="L3" s="4">
        <v>2</v>
      </c>
      <c r="M3" s="4" t="s">
        <v>245</v>
      </c>
      <c r="N3" s="4" t="s">
        <v>775</v>
      </c>
    </row>
    <row r="4" spans="1:14" ht="28.8" x14ac:dyDescent="0.3">
      <c r="A4" s="4" t="s">
        <v>776</v>
      </c>
      <c r="B4" s="4" t="s">
        <v>302</v>
      </c>
      <c r="C4" s="4" t="s">
        <v>239</v>
      </c>
      <c r="D4" s="4" t="s">
        <v>204</v>
      </c>
      <c r="E4" s="4" t="s">
        <v>369</v>
      </c>
      <c r="F4" s="4" t="s">
        <v>203</v>
      </c>
      <c r="G4" s="4" t="s">
        <v>331</v>
      </c>
      <c r="H4" s="4" t="s">
        <v>338</v>
      </c>
      <c r="I4" s="4" t="s">
        <v>777</v>
      </c>
      <c r="J4" s="4" t="s">
        <v>246</v>
      </c>
      <c r="K4" s="4"/>
      <c r="L4" s="4">
        <v>3</v>
      </c>
      <c r="M4" s="4" t="s">
        <v>245</v>
      </c>
      <c r="N4" s="4" t="s">
        <v>778</v>
      </c>
    </row>
    <row r="5" spans="1:14" ht="43.2" x14ac:dyDescent="0.3">
      <c r="A5" s="4" t="s">
        <v>779</v>
      </c>
      <c r="B5" s="4" t="s">
        <v>302</v>
      </c>
      <c r="C5" s="4" t="s">
        <v>239</v>
      </c>
      <c r="D5" s="4" t="s">
        <v>206</v>
      </c>
      <c r="E5" s="4" t="s">
        <v>334</v>
      </c>
      <c r="F5" s="4"/>
      <c r="G5" s="4"/>
      <c r="H5" s="4" t="s">
        <v>338</v>
      </c>
      <c r="I5" s="4" t="s">
        <v>780</v>
      </c>
      <c r="J5" s="4" t="s">
        <v>246</v>
      </c>
      <c r="K5" s="4"/>
      <c r="L5" s="4">
        <v>4</v>
      </c>
      <c r="M5" s="4" t="s">
        <v>245</v>
      </c>
      <c r="N5" s="4" t="s">
        <v>781</v>
      </c>
    </row>
    <row r="6" spans="1:14" ht="43.2" x14ac:dyDescent="0.3">
      <c r="A6" s="4" t="s">
        <v>782</v>
      </c>
      <c r="B6" s="4" t="s">
        <v>246</v>
      </c>
      <c r="C6" s="4" t="s">
        <v>462</v>
      </c>
      <c r="D6" s="4" t="s">
        <v>395</v>
      </c>
      <c r="E6" s="4" t="s">
        <v>337</v>
      </c>
      <c r="F6" s="4" t="s">
        <v>211</v>
      </c>
      <c r="G6" s="4" t="s">
        <v>300</v>
      </c>
      <c r="H6" s="4" t="s">
        <v>338</v>
      </c>
      <c r="I6" s="4" t="s">
        <v>783</v>
      </c>
      <c r="J6" s="4" t="s">
        <v>246</v>
      </c>
      <c r="K6" s="4" t="s">
        <v>462</v>
      </c>
      <c r="L6" s="4">
        <v>5</v>
      </c>
      <c r="M6" s="4" t="s">
        <v>245</v>
      </c>
      <c r="N6" s="4" t="s">
        <v>784</v>
      </c>
    </row>
    <row r="7" spans="1:14" x14ac:dyDescent="0.3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spans="1:14" x14ac:dyDescent="0.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x14ac:dyDescent="0.3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spans="1:14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spans="1:14" x14ac:dyDescent="0.3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 spans="1:14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x14ac:dyDescent="0.3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spans="1:14" x14ac:dyDescent="0.3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x14ac:dyDescent="0.3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spans="1:14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spans="1:14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</row>
    <row r="34" spans="1:14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</row>
    <row r="40" spans="1:14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</row>
    <row r="42" spans="1:14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</row>
    <row r="44" spans="1:14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</row>
    <row r="45" spans="1:14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</row>
    <row r="46" spans="1:14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</row>
    <row r="47" spans="1:14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8" spans="1:14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</row>
    <row r="49" spans="1:14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</row>
    <row r="50" spans="1:14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</row>
    <row r="51" spans="1:14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</row>
    <row r="52" spans="1:14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</row>
    <row r="53" spans="1:14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</row>
    <row r="54" spans="1:14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</row>
    <row r="55" spans="1:14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6" spans="1:14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</row>
    <row r="57" spans="1:14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</row>
    <row r="58" spans="1:14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</row>
    <row r="59" spans="1:14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</row>
    <row r="60" spans="1:14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</row>
    <row r="61" spans="1:14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</row>
    <row r="62" spans="1:14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</row>
    <row r="63" spans="1:14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</row>
    <row r="64" spans="1:14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</row>
    <row r="65" spans="1:14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</row>
    <row r="66" spans="1:14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</row>
    <row r="67" spans="1:14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</row>
    <row r="68" spans="1:14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</row>
    <row r="69" spans="1:14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</row>
    <row r="70" spans="1:14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</row>
    <row r="71" spans="1:14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</row>
    <row r="72" spans="1:14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</row>
    <row r="73" spans="1:14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</row>
    <row r="74" spans="1:14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</row>
    <row r="75" spans="1:14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</row>
    <row r="76" spans="1:14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</row>
    <row r="77" spans="1:14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</row>
    <row r="78" spans="1:14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</row>
    <row r="79" spans="1:14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</row>
    <row r="80" spans="1:14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</row>
    <row r="81" spans="1:14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</row>
    <row r="82" spans="1:14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</row>
    <row r="83" spans="1:14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</row>
    <row r="84" spans="1:14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</row>
    <row r="85" spans="1:14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</row>
    <row r="86" spans="1:14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</row>
    <row r="87" spans="1:14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</row>
    <row r="88" spans="1:14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</row>
    <row r="89" spans="1:14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</row>
    <row r="90" spans="1:14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</row>
    <row r="91" spans="1:14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</row>
    <row r="92" spans="1:14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</row>
    <row r="93" spans="1:14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</row>
    <row r="94" spans="1:14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</row>
    <row r="95" spans="1:14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</row>
    <row r="96" spans="1:14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</row>
    <row r="97" spans="1:14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</row>
    <row r="98" spans="1:14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</row>
    <row r="99" spans="1:14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</row>
    <row r="100" spans="1:1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</row>
    <row r="101" spans="1:14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</row>
    <row r="102" spans="1:14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</row>
    <row r="103" spans="1:14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</row>
    <row r="104" spans="1:14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</row>
    <row r="105" spans="1:14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</row>
    <row r="106" spans="1:14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</row>
    <row r="107" spans="1:14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</row>
    <row r="108" spans="1:14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</row>
    <row r="109" spans="1:14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</row>
    <row r="110" spans="1:14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</row>
    <row r="111" spans="1:14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</row>
    <row r="112" spans="1:14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</row>
    <row r="113" spans="1:14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</row>
    <row r="114" spans="1:14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</row>
    <row r="115" spans="1:14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</row>
    <row r="116" spans="1:14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</row>
    <row r="117" spans="1:14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</row>
    <row r="118" spans="1:14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</row>
    <row r="119" spans="1:14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</row>
    <row r="120" spans="1:14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</row>
    <row r="121" spans="1:14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</row>
    <row r="122" spans="1:14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</row>
    <row r="123" spans="1:14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</row>
    <row r="124" spans="1:14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</row>
    <row r="125" spans="1:14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</row>
    <row r="126" spans="1:14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</row>
    <row r="127" spans="1:14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</row>
    <row r="128" spans="1:14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</row>
    <row r="129" spans="1:14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</row>
    <row r="130" spans="1:14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</row>
    <row r="131" spans="1:14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</row>
    <row r="132" spans="1:14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</row>
    <row r="133" spans="1:14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</row>
    <row r="134" spans="1:14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</row>
    <row r="135" spans="1:14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</row>
    <row r="136" spans="1:14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</row>
    <row r="137" spans="1:14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</row>
    <row r="138" spans="1:14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</row>
    <row r="139" spans="1:14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</row>
    <row r="140" spans="1:14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</row>
    <row r="141" spans="1:14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</row>
    <row r="142" spans="1:14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</row>
    <row r="143" spans="1:14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</row>
    <row r="144" spans="1:14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</row>
    <row r="145" spans="1:14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</row>
    <row r="146" spans="1:14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</row>
    <row r="147" spans="1:14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</row>
    <row r="148" spans="1:14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</row>
    <row r="149" spans="1:14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</row>
    <row r="150" spans="1:14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1000-000000000000}">
          <x14:formula1>
            <xm:f>DICTIONARIES!$Z$2:$Z$4</xm:f>
          </x14:formula1>
          <xm:sqref>B2:B1000</xm:sqref>
        </x14:dataValidation>
        <x14:dataValidation type="list" allowBlank="1" xr:uid="{00000000-0002-0000-1000-000001000000}">
          <x14:formula1>
            <xm:f>DICTIONARIES!$Y$2:$Y$6</xm:f>
          </x14:formula1>
          <xm:sqref>H2:H1000</xm:sqref>
        </x14:dataValidation>
        <x14:dataValidation type="list" allowBlank="1" xr:uid="{00000000-0002-0000-1000-000002000000}">
          <x14:formula1>
            <xm:f>DICTIONARIES!$H$2:$H$3</xm:f>
          </x14:formula1>
          <xm:sqref>J2:J1000</xm:sqref>
        </x14:dataValidation>
        <x14:dataValidation type="list" allowBlank="1" xr:uid="{00000000-0002-0000-1000-000003000000}">
          <x14:formula1>
            <xm:f>DICTIONARIES!$G$2:$G$3</xm:f>
          </x14:formula1>
          <xm:sqref>M2:M1000</xm:sqref>
        </x14:dataValidation>
        <x14:dataValidation type="list" allowBlank="1" xr:uid="{00000000-0002-0000-1000-000004000000}">
          <x14:formula1>
            <xm:f>DICTIONARIES!$AB$2:$AB$10</xm:f>
          </x14:formula1>
          <xm:sqref>D2:D1000 F2:F1000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12" customWidth="1"/>
    <col min="3" max="3" width="14" customWidth="1"/>
    <col min="4" max="4" width="16" customWidth="1"/>
    <col min="5" max="5" width="18" customWidth="1"/>
    <col min="6" max="6" width="14" customWidth="1"/>
    <col min="7" max="7" width="12" customWidth="1"/>
    <col min="8" max="8" width="16" customWidth="1"/>
    <col min="9" max="9" width="12" customWidth="1"/>
    <col min="10" max="11" width="10" customWidth="1"/>
    <col min="12" max="12" width="34" customWidth="1"/>
  </cols>
  <sheetData>
    <row r="1" spans="1:12" x14ac:dyDescent="0.3">
      <c r="A1" s="3" t="s">
        <v>570</v>
      </c>
      <c r="B1" s="3" t="s">
        <v>785</v>
      </c>
      <c r="C1" s="3" t="s">
        <v>786</v>
      </c>
      <c r="D1" s="3" t="s">
        <v>787</v>
      </c>
      <c r="E1" s="3" t="s">
        <v>788</v>
      </c>
      <c r="F1" s="3" t="s">
        <v>768</v>
      </c>
      <c r="G1" s="3" t="s">
        <v>789</v>
      </c>
      <c r="H1" s="3" t="s">
        <v>771</v>
      </c>
      <c r="I1" s="3" t="s">
        <v>790</v>
      </c>
      <c r="J1" s="3" t="s">
        <v>55</v>
      </c>
      <c r="K1" s="3" t="s">
        <v>436</v>
      </c>
      <c r="L1" s="3" t="s">
        <v>116</v>
      </c>
    </row>
    <row r="2" spans="1:12" ht="28.8" x14ac:dyDescent="0.3">
      <c r="A2" s="17" t="s">
        <v>791</v>
      </c>
      <c r="B2" s="17" t="s">
        <v>246</v>
      </c>
      <c r="C2" s="17" t="s">
        <v>444</v>
      </c>
      <c r="D2" s="17" t="s">
        <v>211</v>
      </c>
      <c r="E2" s="17" t="s">
        <v>255</v>
      </c>
      <c r="F2" s="17" t="s">
        <v>261</v>
      </c>
      <c r="G2" s="17" t="s">
        <v>246</v>
      </c>
      <c r="H2" s="17" t="s">
        <v>284</v>
      </c>
      <c r="I2" s="17" t="s">
        <v>792</v>
      </c>
      <c r="J2" s="17" t="s">
        <v>71</v>
      </c>
      <c r="K2" s="17" t="s">
        <v>245</v>
      </c>
      <c r="L2" s="17" t="s">
        <v>793</v>
      </c>
    </row>
    <row r="3" spans="1:12" ht="28.8" x14ac:dyDescent="0.3">
      <c r="A3" s="17" t="s">
        <v>794</v>
      </c>
      <c r="B3" s="17" t="s">
        <v>286</v>
      </c>
      <c r="C3" s="17" t="s">
        <v>493</v>
      </c>
      <c r="D3" s="17" t="s">
        <v>579</v>
      </c>
      <c r="E3" s="17" t="s">
        <v>346</v>
      </c>
      <c r="F3" s="17" t="s">
        <v>795</v>
      </c>
      <c r="G3" s="17" t="s">
        <v>286</v>
      </c>
      <c r="H3" s="17" t="s">
        <v>543</v>
      </c>
      <c r="I3" s="17" t="s">
        <v>792</v>
      </c>
      <c r="J3" s="17" t="s">
        <v>88</v>
      </c>
      <c r="K3" s="17" t="s">
        <v>245</v>
      </c>
      <c r="L3" s="17" t="s">
        <v>796</v>
      </c>
    </row>
    <row r="4" spans="1:12" ht="28.8" x14ac:dyDescent="0.3">
      <c r="A4" s="17" t="s">
        <v>797</v>
      </c>
      <c r="B4" s="17" t="s">
        <v>286</v>
      </c>
      <c r="C4" s="17" t="s">
        <v>493</v>
      </c>
      <c r="D4" s="17" t="s">
        <v>198</v>
      </c>
      <c r="E4" s="17" t="s">
        <v>288</v>
      </c>
      <c r="F4" s="17" t="s">
        <v>798</v>
      </c>
      <c r="G4" s="17" t="s">
        <v>286</v>
      </c>
      <c r="H4" s="17" t="s">
        <v>799</v>
      </c>
      <c r="I4" s="17" t="s">
        <v>800</v>
      </c>
      <c r="J4" s="17" t="s">
        <v>71</v>
      </c>
      <c r="K4" s="17" t="s">
        <v>245</v>
      </c>
      <c r="L4" s="17" t="s">
        <v>801</v>
      </c>
    </row>
    <row r="5" spans="1:12" x14ac:dyDescent="0.3">
      <c r="A5" s="17" t="s">
        <v>802</v>
      </c>
      <c r="B5" s="17" t="s">
        <v>246</v>
      </c>
      <c r="C5" s="17" t="s">
        <v>451</v>
      </c>
      <c r="D5" s="17" t="s">
        <v>206</v>
      </c>
      <c r="E5" s="17" t="s">
        <v>334</v>
      </c>
      <c r="F5" s="17" t="s">
        <v>371</v>
      </c>
      <c r="G5" s="17" t="s">
        <v>246</v>
      </c>
      <c r="H5" s="17" t="s">
        <v>444</v>
      </c>
      <c r="I5" s="17" t="s">
        <v>803</v>
      </c>
      <c r="J5" s="17" t="s">
        <v>88</v>
      </c>
      <c r="K5" s="17" t="s">
        <v>245</v>
      </c>
      <c r="L5" s="17" t="s">
        <v>804</v>
      </c>
    </row>
    <row r="6" spans="1:12" ht="28.8" x14ac:dyDescent="0.3">
      <c r="A6" s="17" t="s">
        <v>805</v>
      </c>
      <c r="B6" s="17" t="s">
        <v>286</v>
      </c>
      <c r="C6" s="17" t="s">
        <v>501</v>
      </c>
      <c r="D6" s="17" t="s">
        <v>218</v>
      </c>
      <c r="E6" s="17" t="s">
        <v>342</v>
      </c>
      <c r="F6" s="17" t="s">
        <v>391</v>
      </c>
      <c r="G6" s="17" t="s">
        <v>286</v>
      </c>
      <c r="H6" s="17" t="s">
        <v>506</v>
      </c>
      <c r="I6" s="17" t="s">
        <v>806</v>
      </c>
      <c r="J6" s="17" t="s">
        <v>325</v>
      </c>
      <c r="K6" s="17" t="s">
        <v>245</v>
      </c>
      <c r="L6" s="17" t="s">
        <v>807</v>
      </c>
    </row>
  </sheetData>
  <autoFilter ref="A1:L6" xr:uid="{00000000-0009-0000-0000-000011000000}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50"/>
  <sheetViews>
    <sheetView workbookViewId="0"/>
  </sheetViews>
  <sheetFormatPr defaultRowHeight="14.4" x14ac:dyDescent="0.3"/>
  <cols>
    <col min="1" max="1" width="12" customWidth="1"/>
    <col min="2" max="2" width="28" customWidth="1"/>
    <col min="3" max="3" width="24" customWidth="1"/>
    <col min="4" max="4" width="16" customWidth="1"/>
    <col min="5" max="5" width="26" customWidth="1"/>
    <col min="6" max="6" width="16" customWidth="1"/>
    <col min="7" max="7" width="18" customWidth="1"/>
    <col min="8" max="8" width="28" customWidth="1"/>
    <col min="9" max="9" width="40" customWidth="1"/>
  </cols>
  <sheetData>
    <row r="1" spans="1:9" ht="28.8" x14ac:dyDescent="0.3">
      <c r="A1" s="3" t="s">
        <v>570</v>
      </c>
      <c r="B1" s="3" t="s">
        <v>377</v>
      </c>
      <c r="C1" s="3" t="s">
        <v>808</v>
      </c>
      <c r="D1" s="3" t="s">
        <v>762</v>
      </c>
      <c r="E1" s="3" t="s">
        <v>763</v>
      </c>
      <c r="F1" s="3" t="s">
        <v>809</v>
      </c>
      <c r="G1" s="3" t="s">
        <v>810</v>
      </c>
      <c r="H1" s="3" t="s">
        <v>811</v>
      </c>
      <c r="I1" s="3" t="s">
        <v>116</v>
      </c>
    </row>
    <row r="2" spans="1:9" ht="43.2" x14ac:dyDescent="0.3">
      <c r="A2" s="4" t="s">
        <v>812</v>
      </c>
      <c r="B2" s="4" t="s">
        <v>262</v>
      </c>
      <c r="C2" s="4" t="s">
        <v>263</v>
      </c>
      <c r="D2" s="4" t="s">
        <v>266</v>
      </c>
      <c r="E2" s="4" t="s">
        <v>292</v>
      </c>
      <c r="F2" s="22">
        <v>1.18</v>
      </c>
      <c r="G2" s="4" t="s">
        <v>245</v>
      </c>
      <c r="H2" s="4" t="s">
        <v>813</v>
      </c>
      <c r="I2" s="4" t="s">
        <v>814</v>
      </c>
    </row>
    <row r="3" spans="1:9" ht="28.8" x14ac:dyDescent="0.3">
      <c r="A3" s="4" t="s">
        <v>815</v>
      </c>
      <c r="B3" s="4" t="s">
        <v>339</v>
      </c>
      <c r="C3" s="4" t="s">
        <v>304</v>
      </c>
      <c r="D3" s="4" t="s">
        <v>307</v>
      </c>
      <c r="E3" s="4" t="s">
        <v>494</v>
      </c>
      <c r="F3" s="22">
        <v>1.05</v>
      </c>
      <c r="G3" s="4" t="s">
        <v>245</v>
      </c>
      <c r="H3" s="4" t="s">
        <v>816</v>
      </c>
      <c r="I3" s="4" t="s">
        <v>817</v>
      </c>
    </row>
    <row r="4" spans="1:9" ht="28.8" x14ac:dyDescent="0.3">
      <c r="A4" s="4" t="s">
        <v>818</v>
      </c>
      <c r="B4" s="4" t="s">
        <v>372</v>
      </c>
      <c r="C4" s="4" t="s">
        <v>340</v>
      </c>
      <c r="D4" s="4" t="s">
        <v>266</v>
      </c>
      <c r="E4" s="4" t="s">
        <v>367</v>
      </c>
      <c r="F4" s="22">
        <v>1.1000000000000001</v>
      </c>
      <c r="G4" s="4" t="s">
        <v>245</v>
      </c>
      <c r="H4" s="4" t="s">
        <v>819</v>
      </c>
      <c r="I4" s="4" t="s">
        <v>820</v>
      </c>
    </row>
    <row r="5" spans="1:9" ht="28.8" x14ac:dyDescent="0.3">
      <c r="A5" s="4" t="s">
        <v>821</v>
      </c>
      <c r="B5" s="4" t="s">
        <v>372</v>
      </c>
      <c r="C5" s="4" t="s">
        <v>304</v>
      </c>
      <c r="D5" s="4" t="s">
        <v>266</v>
      </c>
      <c r="E5" s="4" t="s">
        <v>367</v>
      </c>
      <c r="F5" s="22">
        <v>1.03</v>
      </c>
      <c r="G5" s="4" t="s">
        <v>245</v>
      </c>
      <c r="H5" s="4" t="s">
        <v>819</v>
      </c>
      <c r="I5" s="4" t="s">
        <v>822</v>
      </c>
    </row>
    <row r="6" spans="1:9" ht="28.8" x14ac:dyDescent="0.3">
      <c r="A6" s="4" t="s">
        <v>823</v>
      </c>
      <c r="B6" s="4" t="s">
        <v>392</v>
      </c>
      <c r="C6" s="4" t="s">
        <v>373</v>
      </c>
      <c r="D6" s="4" t="s">
        <v>307</v>
      </c>
      <c r="E6" s="4" t="s">
        <v>507</v>
      </c>
      <c r="F6" s="22">
        <v>1.05</v>
      </c>
      <c r="G6" s="4" t="s">
        <v>245</v>
      </c>
      <c r="H6" s="4" t="s">
        <v>824</v>
      </c>
      <c r="I6" s="4" t="s">
        <v>825</v>
      </c>
    </row>
    <row r="7" spans="1:9" ht="28.8" x14ac:dyDescent="0.3">
      <c r="A7" s="4" t="s">
        <v>826</v>
      </c>
      <c r="B7" s="4" t="s">
        <v>403</v>
      </c>
      <c r="C7" s="4" t="s">
        <v>340</v>
      </c>
      <c r="D7" s="4" t="s">
        <v>266</v>
      </c>
      <c r="E7" s="4" t="s">
        <v>403</v>
      </c>
      <c r="F7" s="22">
        <v>1.1200000000000001</v>
      </c>
      <c r="G7" s="4" t="s">
        <v>245</v>
      </c>
      <c r="H7" s="4" t="s">
        <v>827</v>
      </c>
      <c r="I7" s="4" t="s">
        <v>828</v>
      </c>
    </row>
    <row r="8" spans="1:9" ht="28.8" x14ac:dyDescent="0.3">
      <c r="A8" s="4" t="s">
        <v>829</v>
      </c>
      <c r="B8" s="4" t="s">
        <v>403</v>
      </c>
      <c r="C8" s="4" t="s">
        <v>304</v>
      </c>
      <c r="D8" s="4" t="s">
        <v>266</v>
      </c>
      <c r="E8" s="4" t="s">
        <v>403</v>
      </c>
      <c r="F8" s="22">
        <v>1.03</v>
      </c>
      <c r="G8" s="4" t="s">
        <v>245</v>
      </c>
      <c r="H8" s="4" t="s">
        <v>827</v>
      </c>
      <c r="I8" s="4" t="s">
        <v>830</v>
      </c>
    </row>
    <row r="9" spans="1:9" ht="28.8" x14ac:dyDescent="0.3">
      <c r="A9" s="4" t="s">
        <v>831</v>
      </c>
      <c r="B9" s="4" t="s">
        <v>407</v>
      </c>
      <c r="C9" s="4" t="s">
        <v>404</v>
      </c>
      <c r="D9" s="4" t="s">
        <v>266</v>
      </c>
      <c r="E9" s="4" t="s">
        <v>407</v>
      </c>
      <c r="F9" s="22">
        <v>1.1000000000000001</v>
      </c>
      <c r="G9" s="4" t="s">
        <v>245</v>
      </c>
      <c r="H9" s="4" t="s">
        <v>832</v>
      </c>
      <c r="I9" s="4" t="s">
        <v>833</v>
      </c>
    </row>
    <row r="10" spans="1:9" ht="28.8" x14ac:dyDescent="0.3">
      <c r="A10" s="4" t="s">
        <v>834</v>
      </c>
      <c r="B10" s="4" t="s">
        <v>412</v>
      </c>
      <c r="C10" s="4" t="s">
        <v>408</v>
      </c>
      <c r="D10" s="4" t="s">
        <v>307</v>
      </c>
      <c r="E10" s="4" t="s">
        <v>498</v>
      </c>
      <c r="F10" s="22">
        <v>1.02</v>
      </c>
      <c r="G10" s="4" t="s">
        <v>245</v>
      </c>
      <c r="H10" s="4" t="s">
        <v>835</v>
      </c>
      <c r="I10" s="4" t="s">
        <v>836</v>
      </c>
    </row>
    <row r="11" spans="1:9" x14ac:dyDescent="0.3">
      <c r="A11" s="4"/>
      <c r="B11" s="4"/>
      <c r="C11" s="4"/>
      <c r="D11" s="4"/>
      <c r="E11" s="4"/>
      <c r="F11" s="22"/>
      <c r="G11" s="4"/>
      <c r="H11" s="4"/>
      <c r="I11" s="4"/>
    </row>
    <row r="12" spans="1:9" x14ac:dyDescent="0.3">
      <c r="A12" s="4"/>
      <c r="B12" s="4"/>
      <c r="C12" s="4"/>
      <c r="D12" s="4"/>
      <c r="E12" s="4"/>
      <c r="F12" s="22"/>
      <c r="G12" s="4"/>
      <c r="H12" s="4"/>
      <c r="I12" s="4"/>
    </row>
    <row r="13" spans="1:9" x14ac:dyDescent="0.3">
      <c r="A13" s="4"/>
      <c r="B13" s="4"/>
      <c r="C13" s="4"/>
      <c r="D13" s="4"/>
      <c r="E13" s="4"/>
      <c r="F13" s="22"/>
      <c r="G13" s="4"/>
      <c r="H13" s="4"/>
      <c r="I13" s="4"/>
    </row>
    <row r="14" spans="1:9" x14ac:dyDescent="0.3">
      <c r="A14" s="4"/>
      <c r="B14" s="4"/>
      <c r="C14" s="4"/>
      <c r="D14" s="4"/>
      <c r="E14" s="4"/>
      <c r="F14" s="22"/>
      <c r="G14" s="4"/>
      <c r="H14" s="4"/>
      <c r="I14" s="4"/>
    </row>
    <row r="15" spans="1:9" x14ac:dyDescent="0.3">
      <c r="A15" s="4"/>
      <c r="B15" s="4"/>
      <c r="C15" s="4"/>
      <c r="D15" s="4"/>
      <c r="E15" s="4"/>
      <c r="F15" s="22"/>
      <c r="G15" s="4"/>
      <c r="H15" s="4"/>
      <c r="I15" s="4"/>
    </row>
    <row r="16" spans="1:9" x14ac:dyDescent="0.3">
      <c r="A16" s="4"/>
      <c r="B16" s="4"/>
      <c r="C16" s="4"/>
      <c r="D16" s="4"/>
      <c r="E16" s="4"/>
      <c r="F16" s="22"/>
      <c r="G16" s="4"/>
      <c r="H16" s="4"/>
      <c r="I16" s="4"/>
    </row>
    <row r="17" spans="1:9" x14ac:dyDescent="0.3">
      <c r="A17" s="4"/>
      <c r="B17" s="4"/>
      <c r="C17" s="4"/>
      <c r="D17" s="4"/>
      <c r="E17" s="4"/>
      <c r="F17" s="22"/>
      <c r="G17" s="4"/>
      <c r="H17" s="4"/>
      <c r="I17" s="4"/>
    </row>
    <row r="18" spans="1:9" x14ac:dyDescent="0.3">
      <c r="A18" s="4"/>
      <c r="B18" s="4"/>
      <c r="C18" s="4"/>
      <c r="D18" s="4"/>
      <c r="E18" s="4"/>
      <c r="F18" s="22"/>
      <c r="G18" s="4"/>
      <c r="H18" s="4"/>
      <c r="I18" s="4"/>
    </row>
    <row r="19" spans="1:9" x14ac:dyDescent="0.3">
      <c r="A19" s="4"/>
      <c r="B19" s="4"/>
      <c r="C19" s="4"/>
      <c r="D19" s="4"/>
      <c r="E19" s="4"/>
      <c r="F19" s="22"/>
      <c r="G19" s="4"/>
      <c r="H19" s="4"/>
      <c r="I19" s="4"/>
    </row>
    <row r="20" spans="1:9" x14ac:dyDescent="0.3">
      <c r="A20" s="4"/>
      <c r="B20" s="4"/>
      <c r="C20" s="4"/>
      <c r="D20" s="4"/>
      <c r="E20" s="4"/>
      <c r="F20" s="22"/>
      <c r="G20" s="4"/>
      <c r="H20" s="4"/>
      <c r="I20" s="4"/>
    </row>
    <row r="21" spans="1:9" x14ac:dyDescent="0.3">
      <c r="A21" s="4"/>
      <c r="B21" s="4"/>
      <c r="C21" s="4"/>
      <c r="D21" s="4"/>
      <c r="E21" s="4"/>
      <c r="F21" s="22"/>
      <c r="G21" s="4"/>
      <c r="H21" s="4"/>
      <c r="I21" s="4"/>
    </row>
    <row r="22" spans="1:9" x14ac:dyDescent="0.3">
      <c r="A22" s="4"/>
      <c r="B22" s="4"/>
      <c r="C22" s="4"/>
      <c r="D22" s="4"/>
      <c r="E22" s="4"/>
      <c r="F22" s="22"/>
      <c r="G22" s="4"/>
      <c r="H22" s="4"/>
      <c r="I22" s="4"/>
    </row>
    <row r="23" spans="1:9" x14ac:dyDescent="0.3">
      <c r="A23" s="4"/>
      <c r="B23" s="4"/>
      <c r="C23" s="4"/>
      <c r="D23" s="4"/>
      <c r="E23" s="4"/>
      <c r="F23" s="22"/>
      <c r="G23" s="4"/>
      <c r="H23" s="4"/>
      <c r="I23" s="4"/>
    </row>
    <row r="24" spans="1:9" x14ac:dyDescent="0.3">
      <c r="A24" s="4"/>
      <c r="B24" s="4"/>
      <c r="C24" s="4"/>
      <c r="D24" s="4"/>
      <c r="E24" s="4"/>
      <c r="F24" s="22"/>
      <c r="G24" s="4"/>
      <c r="H24" s="4"/>
      <c r="I24" s="4"/>
    </row>
    <row r="25" spans="1:9" x14ac:dyDescent="0.3">
      <c r="A25" s="4"/>
      <c r="B25" s="4"/>
      <c r="C25" s="4"/>
      <c r="D25" s="4"/>
      <c r="E25" s="4"/>
      <c r="F25" s="22"/>
      <c r="G25" s="4"/>
      <c r="H25" s="4"/>
      <c r="I25" s="4"/>
    </row>
    <row r="26" spans="1:9" x14ac:dyDescent="0.3">
      <c r="A26" s="4"/>
      <c r="B26" s="4"/>
      <c r="C26" s="4"/>
      <c r="D26" s="4"/>
      <c r="E26" s="4"/>
      <c r="F26" s="22"/>
      <c r="G26" s="4"/>
      <c r="H26" s="4"/>
      <c r="I26" s="4"/>
    </row>
    <row r="27" spans="1:9" x14ac:dyDescent="0.3">
      <c r="A27" s="4"/>
      <c r="B27" s="4"/>
      <c r="C27" s="4"/>
      <c r="D27" s="4"/>
      <c r="E27" s="4"/>
      <c r="F27" s="22"/>
      <c r="G27" s="4"/>
      <c r="H27" s="4"/>
      <c r="I27" s="4"/>
    </row>
    <row r="28" spans="1:9" x14ac:dyDescent="0.3">
      <c r="A28" s="4"/>
      <c r="B28" s="4"/>
      <c r="C28" s="4"/>
      <c r="D28" s="4"/>
      <c r="E28" s="4"/>
      <c r="F28" s="22"/>
      <c r="G28" s="4"/>
      <c r="H28" s="4"/>
      <c r="I28" s="4"/>
    </row>
    <row r="29" spans="1:9" x14ac:dyDescent="0.3">
      <c r="A29" s="4"/>
      <c r="B29" s="4"/>
      <c r="C29" s="4"/>
      <c r="D29" s="4"/>
      <c r="E29" s="4"/>
      <c r="F29" s="22"/>
      <c r="G29" s="4"/>
      <c r="H29" s="4"/>
      <c r="I29" s="4"/>
    </row>
    <row r="30" spans="1:9" x14ac:dyDescent="0.3">
      <c r="A30" s="4"/>
      <c r="B30" s="4"/>
      <c r="C30" s="4"/>
      <c r="D30" s="4"/>
      <c r="E30" s="4"/>
      <c r="F30" s="22"/>
      <c r="G30" s="4"/>
      <c r="H30" s="4"/>
      <c r="I30" s="4"/>
    </row>
    <row r="31" spans="1:9" x14ac:dyDescent="0.3">
      <c r="A31" s="4"/>
      <c r="B31" s="4"/>
      <c r="C31" s="4"/>
      <c r="D31" s="4"/>
      <c r="E31" s="4"/>
      <c r="F31" s="22"/>
      <c r="G31" s="4"/>
      <c r="H31" s="4"/>
      <c r="I31" s="4"/>
    </row>
    <row r="32" spans="1:9" x14ac:dyDescent="0.3">
      <c r="A32" s="4"/>
      <c r="B32" s="4"/>
      <c r="C32" s="4"/>
      <c r="D32" s="4"/>
      <c r="E32" s="4"/>
      <c r="F32" s="22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22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22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22"/>
      <c r="G35" s="4"/>
      <c r="H35" s="4"/>
      <c r="I35" s="4"/>
    </row>
    <row r="36" spans="1:9" x14ac:dyDescent="0.3">
      <c r="A36" s="4"/>
      <c r="B36" s="4"/>
      <c r="C36" s="4"/>
      <c r="D36" s="4"/>
      <c r="E36" s="4"/>
      <c r="F36" s="22"/>
      <c r="G36" s="4"/>
      <c r="H36" s="4"/>
      <c r="I36" s="4"/>
    </row>
    <row r="37" spans="1:9" x14ac:dyDescent="0.3">
      <c r="A37" s="4"/>
      <c r="B37" s="4"/>
      <c r="C37" s="4"/>
      <c r="D37" s="4"/>
      <c r="E37" s="4"/>
      <c r="F37" s="22"/>
      <c r="G37" s="4"/>
      <c r="H37" s="4"/>
      <c r="I37" s="4"/>
    </row>
    <row r="38" spans="1:9" x14ac:dyDescent="0.3">
      <c r="A38" s="4"/>
      <c r="B38" s="4"/>
      <c r="C38" s="4"/>
      <c r="D38" s="4"/>
      <c r="E38" s="4"/>
      <c r="F38" s="22"/>
      <c r="G38" s="4"/>
      <c r="H38" s="4"/>
      <c r="I38" s="4"/>
    </row>
    <row r="39" spans="1:9" x14ac:dyDescent="0.3">
      <c r="A39" s="4"/>
      <c r="B39" s="4"/>
      <c r="C39" s="4"/>
      <c r="D39" s="4"/>
      <c r="E39" s="4"/>
      <c r="F39" s="22"/>
      <c r="G39" s="4"/>
      <c r="H39" s="4"/>
      <c r="I39" s="4"/>
    </row>
    <row r="40" spans="1:9" x14ac:dyDescent="0.3">
      <c r="A40" s="4"/>
      <c r="B40" s="4"/>
      <c r="C40" s="4"/>
      <c r="D40" s="4"/>
      <c r="E40" s="4"/>
      <c r="F40" s="22"/>
      <c r="G40" s="4"/>
      <c r="H40" s="4"/>
      <c r="I40" s="4"/>
    </row>
    <row r="41" spans="1:9" x14ac:dyDescent="0.3">
      <c r="A41" s="4"/>
      <c r="B41" s="4"/>
      <c r="C41" s="4"/>
      <c r="D41" s="4"/>
      <c r="E41" s="4"/>
      <c r="F41" s="22"/>
      <c r="G41" s="4"/>
      <c r="H41" s="4"/>
      <c r="I41" s="4"/>
    </row>
    <row r="42" spans="1:9" x14ac:dyDescent="0.3">
      <c r="A42" s="4"/>
      <c r="B42" s="4"/>
      <c r="C42" s="4"/>
      <c r="D42" s="4"/>
      <c r="E42" s="4"/>
      <c r="F42" s="22"/>
      <c r="G42" s="4"/>
      <c r="H42" s="4"/>
      <c r="I42" s="4"/>
    </row>
    <row r="43" spans="1:9" x14ac:dyDescent="0.3">
      <c r="A43" s="4"/>
      <c r="B43" s="4"/>
      <c r="C43" s="4"/>
      <c r="D43" s="4"/>
      <c r="E43" s="4"/>
      <c r="F43" s="22"/>
      <c r="G43" s="4"/>
      <c r="H43" s="4"/>
      <c r="I43" s="4"/>
    </row>
    <row r="44" spans="1:9" x14ac:dyDescent="0.3">
      <c r="A44" s="4"/>
      <c r="B44" s="4"/>
      <c r="C44" s="4"/>
      <c r="D44" s="4"/>
      <c r="E44" s="4"/>
      <c r="F44" s="22"/>
      <c r="G44" s="4"/>
      <c r="H44" s="4"/>
      <c r="I44" s="4"/>
    </row>
    <row r="45" spans="1:9" x14ac:dyDescent="0.3">
      <c r="A45" s="4"/>
      <c r="B45" s="4"/>
      <c r="C45" s="4"/>
      <c r="D45" s="4"/>
      <c r="E45" s="4"/>
      <c r="F45" s="22"/>
      <c r="G45" s="4"/>
      <c r="H45" s="4"/>
      <c r="I45" s="4"/>
    </row>
    <row r="46" spans="1:9" x14ac:dyDescent="0.3">
      <c r="A46" s="4"/>
      <c r="B46" s="4"/>
      <c r="C46" s="4"/>
      <c r="D46" s="4"/>
      <c r="E46" s="4"/>
      <c r="F46" s="22"/>
      <c r="G46" s="4"/>
      <c r="H46" s="4"/>
      <c r="I46" s="4"/>
    </row>
    <row r="47" spans="1:9" x14ac:dyDescent="0.3">
      <c r="A47" s="4"/>
      <c r="B47" s="4"/>
      <c r="C47" s="4"/>
      <c r="D47" s="4"/>
      <c r="E47" s="4"/>
      <c r="F47" s="22"/>
      <c r="G47" s="4"/>
      <c r="H47" s="4"/>
      <c r="I47" s="4"/>
    </row>
    <row r="48" spans="1:9" x14ac:dyDescent="0.3">
      <c r="A48" s="4"/>
      <c r="B48" s="4"/>
      <c r="C48" s="4"/>
      <c r="D48" s="4"/>
      <c r="E48" s="4"/>
      <c r="F48" s="22"/>
      <c r="G48" s="4"/>
      <c r="H48" s="4"/>
      <c r="I48" s="4"/>
    </row>
    <row r="49" spans="1:9" x14ac:dyDescent="0.3">
      <c r="A49" s="4"/>
      <c r="B49" s="4"/>
      <c r="C49" s="4"/>
      <c r="D49" s="4"/>
      <c r="E49" s="4"/>
      <c r="F49" s="22"/>
      <c r="G49" s="4"/>
      <c r="H49" s="4"/>
      <c r="I49" s="4"/>
    </row>
    <row r="50" spans="1:9" x14ac:dyDescent="0.3">
      <c r="A50" s="4"/>
      <c r="B50" s="4"/>
      <c r="C50" s="4"/>
      <c r="D50" s="4"/>
      <c r="E50" s="4"/>
      <c r="F50" s="22"/>
      <c r="G50" s="4"/>
      <c r="H50" s="4"/>
      <c r="I50" s="4"/>
    </row>
    <row r="51" spans="1:9" x14ac:dyDescent="0.3">
      <c r="A51" s="4"/>
      <c r="B51" s="4"/>
      <c r="C51" s="4"/>
      <c r="D51" s="4"/>
      <c r="E51" s="4"/>
      <c r="F51" s="22"/>
      <c r="G51" s="4"/>
      <c r="H51" s="4"/>
      <c r="I51" s="4"/>
    </row>
    <row r="52" spans="1:9" x14ac:dyDescent="0.3">
      <c r="A52" s="4"/>
      <c r="B52" s="4"/>
      <c r="C52" s="4"/>
      <c r="D52" s="4"/>
      <c r="E52" s="4"/>
      <c r="F52" s="22"/>
      <c r="G52" s="4"/>
      <c r="H52" s="4"/>
      <c r="I52" s="4"/>
    </row>
    <row r="53" spans="1:9" x14ac:dyDescent="0.3">
      <c r="A53" s="4"/>
      <c r="B53" s="4"/>
      <c r="C53" s="4"/>
      <c r="D53" s="4"/>
      <c r="E53" s="4"/>
      <c r="F53" s="22"/>
      <c r="G53" s="4"/>
      <c r="H53" s="4"/>
      <c r="I53" s="4"/>
    </row>
    <row r="54" spans="1:9" x14ac:dyDescent="0.3">
      <c r="A54" s="4"/>
      <c r="B54" s="4"/>
      <c r="C54" s="4"/>
      <c r="D54" s="4"/>
      <c r="E54" s="4"/>
      <c r="F54" s="22"/>
      <c r="G54" s="4"/>
      <c r="H54" s="4"/>
      <c r="I54" s="4"/>
    </row>
    <row r="55" spans="1:9" x14ac:dyDescent="0.3">
      <c r="A55" s="4"/>
      <c r="B55" s="4"/>
      <c r="C55" s="4"/>
      <c r="D55" s="4"/>
      <c r="E55" s="4"/>
      <c r="F55" s="22"/>
      <c r="G55" s="4"/>
      <c r="H55" s="4"/>
      <c r="I55" s="4"/>
    </row>
    <row r="56" spans="1:9" x14ac:dyDescent="0.3">
      <c r="A56" s="4"/>
      <c r="B56" s="4"/>
      <c r="C56" s="4"/>
      <c r="D56" s="4"/>
      <c r="E56" s="4"/>
      <c r="F56" s="22"/>
      <c r="G56" s="4"/>
      <c r="H56" s="4"/>
      <c r="I56" s="4"/>
    </row>
    <row r="57" spans="1:9" x14ac:dyDescent="0.3">
      <c r="A57" s="4"/>
      <c r="B57" s="4"/>
      <c r="C57" s="4"/>
      <c r="D57" s="4"/>
      <c r="E57" s="4"/>
      <c r="F57" s="22"/>
      <c r="G57" s="4"/>
      <c r="H57" s="4"/>
      <c r="I57" s="4"/>
    </row>
    <row r="58" spans="1:9" x14ac:dyDescent="0.3">
      <c r="A58" s="4"/>
      <c r="B58" s="4"/>
      <c r="C58" s="4"/>
      <c r="D58" s="4"/>
      <c r="E58" s="4"/>
      <c r="F58" s="22"/>
      <c r="G58" s="4"/>
      <c r="H58" s="4"/>
      <c r="I58" s="4"/>
    </row>
    <row r="59" spans="1:9" x14ac:dyDescent="0.3">
      <c r="A59" s="4"/>
      <c r="B59" s="4"/>
      <c r="C59" s="4"/>
      <c r="D59" s="4"/>
      <c r="E59" s="4"/>
      <c r="F59" s="22"/>
      <c r="G59" s="4"/>
      <c r="H59" s="4"/>
      <c r="I59" s="4"/>
    </row>
    <row r="60" spans="1:9" x14ac:dyDescent="0.3">
      <c r="A60" s="4"/>
      <c r="B60" s="4"/>
      <c r="C60" s="4"/>
      <c r="D60" s="4"/>
      <c r="E60" s="4"/>
      <c r="F60" s="22"/>
      <c r="G60" s="4"/>
      <c r="H60" s="4"/>
      <c r="I60" s="4"/>
    </row>
    <row r="61" spans="1:9" x14ac:dyDescent="0.3">
      <c r="A61" s="4"/>
      <c r="B61" s="4"/>
      <c r="C61" s="4"/>
      <c r="D61" s="4"/>
      <c r="E61" s="4"/>
      <c r="F61" s="22"/>
      <c r="G61" s="4"/>
      <c r="H61" s="4"/>
      <c r="I61" s="4"/>
    </row>
    <row r="62" spans="1:9" x14ac:dyDescent="0.3">
      <c r="A62" s="4"/>
      <c r="B62" s="4"/>
      <c r="C62" s="4"/>
      <c r="D62" s="4"/>
      <c r="E62" s="4"/>
      <c r="F62" s="22"/>
      <c r="G62" s="4"/>
      <c r="H62" s="4"/>
      <c r="I62" s="4"/>
    </row>
    <row r="63" spans="1:9" x14ac:dyDescent="0.3">
      <c r="A63" s="4"/>
      <c r="B63" s="4"/>
      <c r="C63" s="4"/>
      <c r="D63" s="4"/>
      <c r="E63" s="4"/>
      <c r="F63" s="22"/>
      <c r="G63" s="4"/>
      <c r="H63" s="4"/>
      <c r="I63" s="4"/>
    </row>
    <row r="64" spans="1:9" x14ac:dyDescent="0.3">
      <c r="A64" s="4"/>
      <c r="B64" s="4"/>
      <c r="C64" s="4"/>
      <c r="D64" s="4"/>
      <c r="E64" s="4"/>
      <c r="F64" s="22"/>
      <c r="G64" s="4"/>
      <c r="H64" s="4"/>
      <c r="I64" s="4"/>
    </row>
    <row r="65" spans="1:9" x14ac:dyDescent="0.3">
      <c r="A65" s="4"/>
      <c r="B65" s="4"/>
      <c r="C65" s="4"/>
      <c r="D65" s="4"/>
      <c r="E65" s="4"/>
      <c r="F65" s="22"/>
      <c r="G65" s="4"/>
      <c r="H65" s="4"/>
      <c r="I65" s="4"/>
    </row>
    <row r="66" spans="1:9" x14ac:dyDescent="0.3">
      <c r="A66" s="4"/>
      <c r="B66" s="4"/>
      <c r="C66" s="4"/>
      <c r="D66" s="4"/>
      <c r="E66" s="4"/>
      <c r="F66" s="22"/>
      <c r="G66" s="4"/>
      <c r="H66" s="4"/>
      <c r="I66" s="4"/>
    </row>
    <row r="67" spans="1:9" x14ac:dyDescent="0.3">
      <c r="A67" s="4"/>
      <c r="B67" s="4"/>
      <c r="C67" s="4"/>
      <c r="D67" s="4"/>
      <c r="E67" s="4"/>
      <c r="F67" s="22"/>
      <c r="G67" s="4"/>
      <c r="H67" s="4"/>
      <c r="I67" s="4"/>
    </row>
    <row r="68" spans="1:9" x14ac:dyDescent="0.3">
      <c r="A68" s="4"/>
      <c r="B68" s="4"/>
      <c r="C68" s="4"/>
      <c r="D68" s="4"/>
      <c r="E68" s="4"/>
      <c r="F68" s="22"/>
      <c r="G68" s="4"/>
      <c r="H68" s="4"/>
      <c r="I68" s="4"/>
    </row>
    <row r="69" spans="1:9" x14ac:dyDescent="0.3">
      <c r="A69" s="4"/>
      <c r="B69" s="4"/>
      <c r="C69" s="4"/>
      <c r="D69" s="4"/>
      <c r="E69" s="4"/>
      <c r="F69" s="22"/>
      <c r="G69" s="4"/>
      <c r="H69" s="4"/>
      <c r="I69" s="4"/>
    </row>
    <row r="70" spans="1:9" x14ac:dyDescent="0.3">
      <c r="A70" s="4"/>
      <c r="B70" s="4"/>
      <c r="C70" s="4"/>
      <c r="D70" s="4"/>
      <c r="E70" s="4"/>
      <c r="F70" s="22"/>
      <c r="G70" s="4"/>
      <c r="H70" s="4"/>
      <c r="I70" s="4"/>
    </row>
    <row r="71" spans="1:9" x14ac:dyDescent="0.3">
      <c r="A71" s="4"/>
      <c r="B71" s="4"/>
      <c r="C71" s="4"/>
      <c r="D71" s="4"/>
      <c r="E71" s="4"/>
      <c r="F71" s="22"/>
      <c r="G71" s="4"/>
      <c r="H71" s="4"/>
      <c r="I71" s="4"/>
    </row>
    <row r="72" spans="1:9" x14ac:dyDescent="0.3">
      <c r="A72" s="4"/>
      <c r="B72" s="4"/>
      <c r="C72" s="4"/>
      <c r="D72" s="4"/>
      <c r="E72" s="4"/>
      <c r="F72" s="22"/>
      <c r="G72" s="4"/>
      <c r="H72" s="4"/>
      <c r="I72" s="4"/>
    </row>
    <row r="73" spans="1:9" x14ac:dyDescent="0.3">
      <c r="A73" s="4"/>
      <c r="B73" s="4"/>
      <c r="C73" s="4"/>
      <c r="D73" s="4"/>
      <c r="E73" s="4"/>
      <c r="F73" s="22"/>
      <c r="G73" s="4"/>
      <c r="H73" s="4"/>
      <c r="I73" s="4"/>
    </row>
    <row r="74" spans="1:9" x14ac:dyDescent="0.3">
      <c r="A74" s="4"/>
      <c r="B74" s="4"/>
      <c r="C74" s="4"/>
      <c r="D74" s="4"/>
      <c r="E74" s="4"/>
      <c r="F74" s="22"/>
      <c r="G74" s="4"/>
      <c r="H74" s="4"/>
      <c r="I74" s="4"/>
    </row>
    <row r="75" spans="1:9" x14ac:dyDescent="0.3">
      <c r="A75" s="4"/>
      <c r="B75" s="4"/>
      <c r="C75" s="4"/>
      <c r="D75" s="4"/>
      <c r="E75" s="4"/>
      <c r="F75" s="22"/>
      <c r="G75" s="4"/>
      <c r="H75" s="4"/>
      <c r="I75" s="4"/>
    </row>
    <row r="76" spans="1:9" x14ac:dyDescent="0.3">
      <c r="A76" s="4"/>
      <c r="B76" s="4"/>
      <c r="C76" s="4"/>
      <c r="D76" s="4"/>
      <c r="E76" s="4"/>
      <c r="F76" s="22"/>
      <c r="G76" s="4"/>
      <c r="H76" s="4"/>
      <c r="I76" s="4"/>
    </row>
    <row r="77" spans="1:9" x14ac:dyDescent="0.3">
      <c r="A77" s="4"/>
      <c r="B77" s="4"/>
      <c r="C77" s="4"/>
      <c r="D77" s="4"/>
      <c r="E77" s="4"/>
      <c r="F77" s="22"/>
      <c r="G77" s="4"/>
      <c r="H77" s="4"/>
      <c r="I77" s="4"/>
    </row>
    <row r="78" spans="1:9" x14ac:dyDescent="0.3">
      <c r="A78" s="4"/>
      <c r="B78" s="4"/>
      <c r="C78" s="4"/>
      <c r="D78" s="4"/>
      <c r="E78" s="4"/>
      <c r="F78" s="22"/>
      <c r="G78" s="4"/>
      <c r="H78" s="4"/>
      <c r="I78" s="4"/>
    </row>
    <row r="79" spans="1:9" x14ac:dyDescent="0.3">
      <c r="A79" s="4"/>
      <c r="B79" s="4"/>
      <c r="C79" s="4"/>
      <c r="D79" s="4"/>
      <c r="E79" s="4"/>
      <c r="F79" s="22"/>
      <c r="G79" s="4"/>
      <c r="H79" s="4"/>
      <c r="I79" s="4"/>
    </row>
    <row r="80" spans="1:9" x14ac:dyDescent="0.3">
      <c r="A80" s="4"/>
      <c r="B80" s="4"/>
      <c r="C80" s="4"/>
      <c r="D80" s="4"/>
      <c r="E80" s="4"/>
      <c r="F80" s="22"/>
      <c r="G80" s="4"/>
      <c r="H80" s="4"/>
      <c r="I80" s="4"/>
    </row>
    <row r="81" spans="1:9" x14ac:dyDescent="0.3">
      <c r="A81" s="4"/>
      <c r="B81" s="4"/>
      <c r="C81" s="4"/>
      <c r="D81" s="4"/>
      <c r="E81" s="4"/>
      <c r="F81" s="22"/>
      <c r="G81" s="4"/>
      <c r="H81" s="4"/>
      <c r="I81" s="4"/>
    </row>
    <row r="82" spans="1:9" x14ac:dyDescent="0.3">
      <c r="A82" s="4"/>
      <c r="B82" s="4"/>
      <c r="C82" s="4"/>
      <c r="D82" s="4"/>
      <c r="E82" s="4"/>
      <c r="F82" s="22"/>
      <c r="G82" s="4"/>
      <c r="H82" s="4"/>
      <c r="I82" s="4"/>
    </row>
    <row r="83" spans="1:9" x14ac:dyDescent="0.3">
      <c r="A83" s="4"/>
      <c r="B83" s="4"/>
      <c r="C83" s="4"/>
      <c r="D83" s="4"/>
      <c r="E83" s="4"/>
      <c r="F83" s="22"/>
      <c r="G83" s="4"/>
      <c r="H83" s="4"/>
      <c r="I83" s="4"/>
    </row>
    <row r="84" spans="1:9" x14ac:dyDescent="0.3">
      <c r="A84" s="4"/>
      <c r="B84" s="4"/>
      <c r="C84" s="4"/>
      <c r="D84" s="4"/>
      <c r="E84" s="4"/>
      <c r="F84" s="22"/>
      <c r="G84" s="4"/>
      <c r="H84" s="4"/>
      <c r="I84" s="4"/>
    </row>
    <row r="85" spans="1:9" x14ac:dyDescent="0.3">
      <c r="A85" s="4"/>
      <c r="B85" s="4"/>
      <c r="C85" s="4"/>
      <c r="D85" s="4"/>
      <c r="E85" s="4"/>
      <c r="F85" s="22"/>
      <c r="G85" s="4"/>
      <c r="H85" s="4"/>
      <c r="I85" s="4"/>
    </row>
    <row r="86" spans="1:9" x14ac:dyDescent="0.3">
      <c r="A86" s="4"/>
      <c r="B86" s="4"/>
      <c r="C86" s="4"/>
      <c r="D86" s="4"/>
      <c r="E86" s="4"/>
      <c r="F86" s="22"/>
      <c r="G86" s="4"/>
      <c r="H86" s="4"/>
      <c r="I86" s="4"/>
    </row>
    <row r="87" spans="1:9" x14ac:dyDescent="0.3">
      <c r="A87" s="4"/>
      <c r="B87" s="4"/>
      <c r="C87" s="4"/>
      <c r="D87" s="4"/>
      <c r="E87" s="4"/>
      <c r="F87" s="22"/>
      <c r="G87" s="4"/>
      <c r="H87" s="4"/>
      <c r="I87" s="4"/>
    </row>
    <row r="88" spans="1:9" x14ac:dyDescent="0.3">
      <c r="A88" s="4"/>
      <c r="B88" s="4"/>
      <c r="C88" s="4"/>
      <c r="D88" s="4"/>
      <c r="E88" s="4"/>
      <c r="F88" s="22"/>
      <c r="G88" s="4"/>
      <c r="H88" s="4"/>
      <c r="I88" s="4"/>
    </row>
    <row r="89" spans="1:9" x14ac:dyDescent="0.3">
      <c r="A89" s="4"/>
      <c r="B89" s="4"/>
      <c r="C89" s="4"/>
      <c r="D89" s="4"/>
      <c r="E89" s="4"/>
      <c r="F89" s="22"/>
      <c r="G89" s="4"/>
      <c r="H89" s="4"/>
      <c r="I89" s="4"/>
    </row>
    <row r="90" spans="1:9" x14ac:dyDescent="0.3">
      <c r="A90" s="4"/>
      <c r="B90" s="4"/>
      <c r="C90" s="4"/>
      <c r="D90" s="4"/>
      <c r="E90" s="4"/>
      <c r="F90" s="22"/>
      <c r="G90" s="4"/>
      <c r="H90" s="4"/>
      <c r="I90" s="4"/>
    </row>
    <row r="91" spans="1:9" x14ac:dyDescent="0.3">
      <c r="A91" s="4"/>
      <c r="B91" s="4"/>
      <c r="C91" s="4"/>
      <c r="D91" s="4"/>
      <c r="E91" s="4"/>
      <c r="F91" s="22"/>
      <c r="G91" s="4"/>
      <c r="H91" s="4"/>
      <c r="I91" s="4"/>
    </row>
    <row r="92" spans="1:9" x14ac:dyDescent="0.3">
      <c r="A92" s="4"/>
      <c r="B92" s="4"/>
      <c r="C92" s="4"/>
      <c r="D92" s="4"/>
      <c r="E92" s="4"/>
      <c r="F92" s="22"/>
      <c r="G92" s="4"/>
      <c r="H92" s="4"/>
      <c r="I92" s="4"/>
    </row>
    <row r="93" spans="1:9" x14ac:dyDescent="0.3">
      <c r="A93" s="4"/>
      <c r="B93" s="4"/>
      <c r="C93" s="4"/>
      <c r="D93" s="4"/>
      <c r="E93" s="4"/>
      <c r="F93" s="22"/>
      <c r="G93" s="4"/>
      <c r="H93" s="4"/>
      <c r="I93" s="4"/>
    </row>
    <row r="94" spans="1:9" x14ac:dyDescent="0.3">
      <c r="A94" s="4"/>
      <c r="B94" s="4"/>
      <c r="C94" s="4"/>
      <c r="D94" s="4"/>
      <c r="E94" s="4"/>
      <c r="F94" s="22"/>
      <c r="G94" s="4"/>
      <c r="H94" s="4"/>
      <c r="I94" s="4"/>
    </row>
    <row r="95" spans="1:9" x14ac:dyDescent="0.3">
      <c r="A95" s="4"/>
      <c r="B95" s="4"/>
      <c r="C95" s="4"/>
      <c r="D95" s="4"/>
      <c r="E95" s="4"/>
      <c r="F95" s="22"/>
      <c r="G95" s="4"/>
      <c r="H95" s="4"/>
      <c r="I95" s="4"/>
    </row>
    <row r="96" spans="1:9" x14ac:dyDescent="0.3">
      <c r="A96" s="4"/>
      <c r="B96" s="4"/>
      <c r="C96" s="4"/>
      <c r="D96" s="4"/>
      <c r="E96" s="4"/>
      <c r="F96" s="22"/>
      <c r="G96" s="4"/>
      <c r="H96" s="4"/>
      <c r="I96" s="4"/>
    </row>
    <row r="97" spans="1:9" x14ac:dyDescent="0.3">
      <c r="A97" s="4"/>
      <c r="B97" s="4"/>
      <c r="C97" s="4"/>
      <c r="D97" s="4"/>
      <c r="E97" s="4"/>
      <c r="F97" s="22"/>
      <c r="G97" s="4"/>
      <c r="H97" s="4"/>
      <c r="I97" s="4"/>
    </row>
    <row r="98" spans="1:9" x14ac:dyDescent="0.3">
      <c r="A98" s="4"/>
      <c r="B98" s="4"/>
      <c r="C98" s="4"/>
      <c r="D98" s="4"/>
      <c r="E98" s="4"/>
      <c r="F98" s="22"/>
      <c r="G98" s="4"/>
      <c r="H98" s="4"/>
      <c r="I98" s="4"/>
    </row>
    <row r="99" spans="1:9" x14ac:dyDescent="0.3">
      <c r="A99" s="4"/>
      <c r="B99" s="4"/>
      <c r="C99" s="4"/>
      <c r="D99" s="4"/>
      <c r="E99" s="4"/>
      <c r="F99" s="22"/>
      <c r="G99" s="4"/>
      <c r="H99" s="4"/>
      <c r="I99" s="4"/>
    </row>
    <row r="100" spans="1:9" x14ac:dyDescent="0.3">
      <c r="A100" s="4"/>
      <c r="B100" s="4"/>
      <c r="C100" s="4"/>
      <c r="D100" s="4"/>
      <c r="E100" s="4"/>
      <c r="F100" s="22"/>
      <c r="G100" s="4"/>
      <c r="H100" s="4"/>
      <c r="I100" s="4"/>
    </row>
    <row r="101" spans="1:9" x14ac:dyDescent="0.3">
      <c r="A101" s="4"/>
      <c r="B101" s="4"/>
      <c r="C101" s="4"/>
      <c r="D101" s="4"/>
      <c r="E101" s="4"/>
      <c r="F101" s="22"/>
      <c r="G101" s="4"/>
      <c r="H101" s="4"/>
      <c r="I101" s="4"/>
    </row>
    <row r="102" spans="1:9" x14ac:dyDescent="0.3">
      <c r="A102" s="4"/>
      <c r="B102" s="4"/>
      <c r="C102" s="4"/>
      <c r="D102" s="4"/>
      <c r="E102" s="4"/>
      <c r="F102" s="22"/>
      <c r="G102" s="4"/>
      <c r="H102" s="4"/>
      <c r="I102" s="4"/>
    </row>
    <row r="103" spans="1:9" x14ac:dyDescent="0.3">
      <c r="A103" s="4"/>
      <c r="B103" s="4"/>
      <c r="C103" s="4"/>
      <c r="D103" s="4"/>
      <c r="E103" s="4"/>
      <c r="F103" s="22"/>
      <c r="G103" s="4"/>
      <c r="H103" s="4"/>
      <c r="I103" s="4"/>
    </row>
    <row r="104" spans="1:9" x14ac:dyDescent="0.3">
      <c r="A104" s="4"/>
      <c r="B104" s="4"/>
      <c r="C104" s="4"/>
      <c r="D104" s="4"/>
      <c r="E104" s="4"/>
      <c r="F104" s="22"/>
      <c r="G104" s="4"/>
      <c r="H104" s="4"/>
      <c r="I104" s="4"/>
    </row>
    <row r="105" spans="1:9" x14ac:dyDescent="0.3">
      <c r="A105" s="4"/>
      <c r="B105" s="4"/>
      <c r="C105" s="4"/>
      <c r="D105" s="4"/>
      <c r="E105" s="4"/>
      <c r="F105" s="22"/>
      <c r="G105" s="4"/>
      <c r="H105" s="4"/>
      <c r="I105" s="4"/>
    </row>
    <row r="106" spans="1:9" x14ac:dyDescent="0.3">
      <c r="A106" s="4"/>
      <c r="B106" s="4"/>
      <c r="C106" s="4"/>
      <c r="D106" s="4"/>
      <c r="E106" s="4"/>
      <c r="F106" s="22"/>
      <c r="G106" s="4"/>
      <c r="H106" s="4"/>
      <c r="I106" s="4"/>
    </row>
    <row r="107" spans="1:9" x14ac:dyDescent="0.3">
      <c r="A107" s="4"/>
      <c r="B107" s="4"/>
      <c r="C107" s="4"/>
      <c r="D107" s="4"/>
      <c r="E107" s="4"/>
      <c r="F107" s="22"/>
      <c r="G107" s="4"/>
      <c r="H107" s="4"/>
      <c r="I107" s="4"/>
    </row>
    <row r="108" spans="1:9" x14ac:dyDescent="0.3">
      <c r="A108" s="4"/>
      <c r="B108" s="4"/>
      <c r="C108" s="4"/>
      <c r="D108" s="4"/>
      <c r="E108" s="4"/>
      <c r="F108" s="22"/>
      <c r="G108" s="4"/>
      <c r="H108" s="4"/>
      <c r="I108" s="4"/>
    </row>
    <row r="109" spans="1:9" x14ac:dyDescent="0.3">
      <c r="A109" s="4"/>
      <c r="B109" s="4"/>
      <c r="C109" s="4"/>
      <c r="D109" s="4"/>
      <c r="E109" s="4"/>
      <c r="F109" s="22"/>
      <c r="G109" s="4"/>
      <c r="H109" s="4"/>
      <c r="I109" s="4"/>
    </row>
    <row r="110" spans="1:9" x14ac:dyDescent="0.3">
      <c r="A110" s="4"/>
      <c r="B110" s="4"/>
      <c r="C110" s="4"/>
      <c r="D110" s="4"/>
      <c r="E110" s="4"/>
      <c r="F110" s="22"/>
      <c r="G110" s="4"/>
      <c r="H110" s="4"/>
      <c r="I110" s="4"/>
    </row>
    <row r="111" spans="1:9" x14ac:dyDescent="0.3">
      <c r="A111" s="4"/>
      <c r="B111" s="4"/>
      <c r="C111" s="4"/>
      <c r="D111" s="4"/>
      <c r="E111" s="4"/>
      <c r="F111" s="22"/>
      <c r="G111" s="4"/>
      <c r="H111" s="4"/>
      <c r="I111" s="4"/>
    </row>
    <row r="112" spans="1:9" x14ac:dyDescent="0.3">
      <c r="A112" s="4"/>
      <c r="B112" s="4"/>
      <c r="C112" s="4"/>
      <c r="D112" s="4"/>
      <c r="E112" s="4"/>
      <c r="F112" s="22"/>
      <c r="G112" s="4"/>
      <c r="H112" s="4"/>
      <c r="I112" s="4"/>
    </row>
    <row r="113" spans="1:9" x14ac:dyDescent="0.3">
      <c r="A113" s="4"/>
      <c r="B113" s="4"/>
      <c r="C113" s="4"/>
      <c r="D113" s="4"/>
      <c r="E113" s="4"/>
      <c r="F113" s="22"/>
      <c r="G113" s="4"/>
      <c r="H113" s="4"/>
      <c r="I113" s="4"/>
    </row>
    <row r="114" spans="1:9" x14ac:dyDescent="0.3">
      <c r="A114" s="4"/>
      <c r="B114" s="4"/>
      <c r="C114" s="4"/>
      <c r="D114" s="4"/>
      <c r="E114" s="4"/>
      <c r="F114" s="22"/>
      <c r="G114" s="4"/>
      <c r="H114" s="4"/>
      <c r="I114" s="4"/>
    </row>
    <row r="115" spans="1:9" x14ac:dyDescent="0.3">
      <c r="A115" s="4"/>
      <c r="B115" s="4"/>
      <c r="C115" s="4"/>
      <c r="D115" s="4"/>
      <c r="E115" s="4"/>
      <c r="F115" s="22"/>
      <c r="G115" s="4"/>
      <c r="H115" s="4"/>
      <c r="I115" s="4"/>
    </row>
    <row r="116" spans="1:9" x14ac:dyDescent="0.3">
      <c r="A116" s="4"/>
      <c r="B116" s="4"/>
      <c r="C116" s="4"/>
      <c r="D116" s="4"/>
      <c r="E116" s="4"/>
      <c r="F116" s="22"/>
      <c r="G116" s="4"/>
      <c r="H116" s="4"/>
      <c r="I116" s="4"/>
    </row>
    <row r="117" spans="1:9" x14ac:dyDescent="0.3">
      <c r="A117" s="4"/>
      <c r="B117" s="4"/>
      <c r="C117" s="4"/>
      <c r="D117" s="4"/>
      <c r="E117" s="4"/>
      <c r="F117" s="22"/>
      <c r="G117" s="4"/>
      <c r="H117" s="4"/>
      <c r="I117" s="4"/>
    </row>
    <row r="118" spans="1:9" x14ac:dyDescent="0.3">
      <c r="A118" s="4"/>
      <c r="B118" s="4"/>
      <c r="C118" s="4"/>
      <c r="D118" s="4"/>
      <c r="E118" s="4"/>
      <c r="F118" s="22"/>
      <c r="G118" s="4"/>
      <c r="H118" s="4"/>
      <c r="I118" s="4"/>
    </row>
    <row r="119" spans="1:9" x14ac:dyDescent="0.3">
      <c r="A119" s="4"/>
      <c r="B119" s="4"/>
      <c r="C119" s="4"/>
      <c r="D119" s="4"/>
      <c r="E119" s="4"/>
      <c r="F119" s="22"/>
      <c r="G119" s="4"/>
      <c r="H119" s="4"/>
      <c r="I119" s="4"/>
    </row>
    <row r="120" spans="1:9" x14ac:dyDescent="0.3">
      <c r="A120" s="4"/>
      <c r="B120" s="4"/>
      <c r="C120" s="4"/>
      <c r="D120" s="4"/>
      <c r="E120" s="4"/>
      <c r="F120" s="22"/>
      <c r="G120" s="4"/>
      <c r="H120" s="4"/>
      <c r="I120" s="4"/>
    </row>
    <row r="121" spans="1:9" x14ac:dyDescent="0.3">
      <c r="A121" s="4"/>
      <c r="B121" s="4"/>
      <c r="C121" s="4"/>
      <c r="D121" s="4"/>
      <c r="E121" s="4"/>
      <c r="F121" s="22"/>
      <c r="G121" s="4"/>
      <c r="H121" s="4"/>
      <c r="I121" s="4"/>
    </row>
    <row r="122" spans="1:9" x14ac:dyDescent="0.3">
      <c r="A122" s="4"/>
      <c r="B122" s="4"/>
      <c r="C122" s="4"/>
      <c r="D122" s="4"/>
      <c r="E122" s="4"/>
      <c r="F122" s="22"/>
      <c r="G122" s="4"/>
      <c r="H122" s="4"/>
      <c r="I122" s="4"/>
    </row>
    <row r="123" spans="1:9" x14ac:dyDescent="0.3">
      <c r="A123" s="4"/>
      <c r="B123" s="4"/>
      <c r="C123" s="4"/>
      <c r="D123" s="4"/>
      <c r="E123" s="4"/>
      <c r="F123" s="22"/>
      <c r="G123" s="4"/>
      <c r="H123" s="4"/>
      <c r="I123" s="4"/>
    </row>
    <row r="124" spans="1:9" x14ac:dyDescent="0.3">
      <c r="A124" s="4"/>
      <c r="B124" s="4"/>
      <c r="C124" s="4"/>
      <c r="D124" s="4"/>
      <c r="E124" s="4"/>
      <c r="F124" s="22"/>
      <c r="G124" s="4"/>
      <c r="H124" s="4"/>
      <c r="I124" s="4"/>
    </row>
    <row r="125" spans="1:9" x14ac:dyDescent="0.3">
      <c r="A125" s="4"/>
      <c r="B125" s="4"/>
      <c r="C125" s="4"/>
      <c r="D125" s="4"/>
      <c r="E125" s="4"/>
      <c r="F125" s="22"/>
      <c r="G125" s="4"/>
      <c r="H125" s="4"/>
      <c r="I125" s="4"/>
    </row>
    <row r="126" spans="1:9" x14ac:dyDescent="0.3">
      <c r="A126" s="4"/>
      <c r="B126" s="4"/>
      <c r="C126" s="4"/>
      <c r="D126" s="4"/>
      <c r="E126" s="4"/>
      <c r="F126" s="22"/>
      <c r="G126" s="4"/>
      <c r="H126" s="4"/>
      <c r="I126" s="4"/>
    </row>
    <row r="127" spans="1:9" x14ac:dyDescent="0.3">
      <c r="A127" s="4"/>
      <c r="B127" s="4"/>
      <c r="C127" s="4"/>
      <c r="D127" s="4"/>
      <c r="E127" s="4"/>
      <c r="F127" s="22"/>
      <c r="G127" s="4"/>
      <c r="H127" s="4"/>
      <c r="I127" s="4"/>
    </row>
    <row r="128" spans="1:9" x14ac:dyDescent="0.3">
      <c r="A128" s="4"/>
      <c r="B128" s="4"/>
      <c r="C128" s="4"/>
      <c r="D128" s="4"/>
      <c r="E128" s="4"/>
      <c r="F128" s="22"/>
      <c r="G128" s="4"/>
      <c r="H128" s="4"/>
      <c r="I128" s="4"/>
    </row>
    <row r="129" spans="1:9" x14ac:dyDescent="0.3">
      <c r="A129" s="4"/>
      <c r="B129" s="4"/>
      <c r="C129" s="4"/>
      <c r="D129" s="4"/>
      <c r="E129" s="4"/>
      <c r="F129" s="22"/>
      <c r="G129" s="4"/>
      <c r="H129" s="4"/>
      <c r="I129" s="4"/>
    </row>
    <row r="130" spans="1:9" x14ac:dyDescent="0.3">
      <c r="A130" s="4"/>
      <c r="B130" s="4"/>
      <c r="C130" s="4"/>
      <c r="D130" s="4"/>
      <c r="E130" s="4"/>
      <c r="F130" s="22"/>
      <c r="G130" s="4"/>
      <c r="H130" s="4"/>
      <c r="I130" s="4"/>
    </row>
    <row r="131" spans="1:9" x14ac:dyDescent="0.3">
      <c r="A131" s="4"/>
      <c r="B131" s="4"/>
      <c r="C131" s="4"/>
      <c r="D131" s="4"/>
      <c r="E131" s="4"/>
      <c r="F131" s="22"/>
      <c r="G131" s="4"/>
      <c r="H131" s="4"/>
      <c r="I131" s="4"/>
    </row>
    <row r="132" spans="1:9" x14ac:dyDescent="0.3">
      <c r="A132" s="4"/>
      <c r="B132" s="4"/>
      <c r="C132" s="4"/>
      <c r="D132" s="4"/>
      <c r="E132" s="4"/>
      <c r="F132" s="22"/>
      <c r="G132" s="4"/>
      <c r="H132" s="4"/>
      <c r="I132" s="4"/>
    </row>
    <row r="133" spans="1:9" x14ac:dyDescent="0.3">
      <c r="A133" s="4"/>
      <c r="B133" s="4"/>
      <c r="C133" s="4"/>
      <c r="D133" s="4"/>
      <c r="E133" s="4"/>
      <c r="F133" s="22"/>
      <c r="G133" s="4"/>
      <c r="H133" s="4"/>
      <c r="I133" s="4"/>
    </row>
    <row r="134" spans="1:9" x14ac:dyDescent="0.3">
      <c r="A134" s="4"/>
      <c r="B134" s="4"/>
      <c r="C134" s="4"/>
      <c r="D134" s="4"/>
      <c r="E134" s="4"/>
      <c r="F134" s="22"/>
      <c r="G134" s="4"/>
      <c r="H134" s="4"/>
      <c r="I134" s="4"/>
    </row>
    <row r="135" spans="1:9" x14ac:dyDescent="0.3">
      <c r="A135" s="4"/>
      <c r="B135" s="4"/>
      <c r="C135" s="4"/>
      <c r="D135" s="4"/>
      <c r="E135" s="4"/>
      <c r="F135" s="22"/>
      <c r="G135" s="4"/>
      <c r="H135" s="4"/>
      <c r="I135" s="4"/>
    </row>
    <row r="136" spans="1:9" x14ac:dyDescent="0.3">
      <c r="A136" s="4"/>
      <c r="B136" s="4"/>
      <c r="C136" s="4"/>
      <c r="D136" s="4"/>
      <c r="E136" s="4"/>
      <c r="F136" s="22"/>
      <c r="G136" s="4"/>
      <c r="H136" s="4"/>
      <c r="I136" s="4"/>
    </row>
    <row r="137" spans="1:9" x14ac:dyDescent="0.3">
      <c r="A137" s="4"/>
      <c r="B137" s="4"/>
      <c r="C137" s="4"/>
      <c r="D137" s="4"/>
      <c r="E137" s="4"/>
      <c r="F137" s="22"/>
      <c r="G137" s="4"/>
      <c r="H137" s="4"/>
      <c r="I137" s="4"/>
    </row>
    <row r="138" spans="1:9" x14ac:dyDescent="0.3">
      <c r="A138" s="4"/>
      <c r="B138" s="4"/>
      <c r="C138" s="4"/>
      <c r="D138" s="4"/>
      <c r="E138" s="4"/>
      <c r="F138" s="22"/>
      <c r="G138" s="4"/>
      <c r="H138" s="4"/>
      <c r="I138" s="4"/>
    </row>
    <row r="139" spans="1:9" x14ac:dyDescent="0.3">
      <c r="A139" s="4"/>
      <c r="B139" s="4"/>
      <c r="C139" s="4"/>
      <c r="D139" s="4"/>
      <c r="E139" s="4"/>
      <c r="F139" s="22"/>
      <c r="G139" s="4"/>
      <c r="H139" s="4"/>
      <c r="I139" s="4"/>
    </row>
    <row r="140" spans="1:9" x14ac:dyDescent="0.3">
      <c r="A140" s="4"/>
      <c r="B140" s="4"/>
      <c r="C140" s="4"/>
      <c r="D140" s="4"/>
      <c r="E140" s="4"/>
      <c r="F140" s="22"/>
      <c r="G140" s="4"/>
      <c r="H140" s="4"/>
      <c r="I140" s="4"/>
    </row>
    <row r="141" spans="1:9" x14ac:dyDescent="0.3">
      <c r="A141" s="4"/>
      <c r="B141" s="4"/>
      <c r="C141" s="4"/>
      <c r="D141" s="4"/>
      <c r="E141" s="4"/>
      <c r="F141" s="22"/>
      <c r="G141" s="4"/>
      <c r="H141" s="4"/>
      <c r="I141" s="4"/>
    </row>
    <row r="142" spans="1:9" x14ac:dyDescent="0.3">
      <c r="A142" s="4"/>
      <c r="B142" s="4"/>
      <c r="C142" s="4"/>
      <c r="D142" s="4"/>
      <c r="E142" s="4"/>
      <c r="F142" s="22"/>
      <c r="G142" s="4"/>
      <c r="H142" s="4"/>
      <c r="I142" s="4"/>
    </row>
    <row r="143" spans="1:9" x14ac:dyDescent="0.3">
      <c r="A143" s="4"/>
      <c r="B143" s="4"/>
      <c r="C143" s="4"/>
      <c r="D143" s="4"/>
      <c r="E143" s="4"/>
      <c r="F143" s="22"/>
      <c r="G143" s="4"/>
      <c r="H143" s="4"/>
      <c r="I143" s="4"/>
    </row>
    <row r="144" spans="1:9" x14ac:dyDescent="0.3">
      <c r="A144" s="4"/>
      <c r="B144" s="4"/>
      <c r="C144" s="4"/>
      <c r="D144" s="4"/>
      <c r="E144" s="4"/>
      <c r="F144" s="22"/>
      <c r="G144" s="4"/>
      <c r="H144" s="4"/>
      <c r="I144" s="4"/>
    </row>
    <row r="145" spans="1:9" x14ac:dyDescent="0.3">
      <c r="A145" s="4"/>
      <c r="B145" s="4"/>
      <c r="C145" s="4"/>
      <c r="D145" s="4"/>
      <c r="E145" s="4"/>
      <c r="F145" s="22"/>
      <c r="G145" s="4"/>
      <c r="H145" s="4"/>
      <c r="I145" s="4"/>
    </row>
    <row r="146" spans="1:9" x14ac:dyDescent="0.3">
      <c r="A146" s="4"/>
      <c r="B146" s="4"/>
      <c r="C146" s="4"/>
      <c r="D146" s="4"/>
      <c r="E146" s="4"/>
      <c r="F146" s="22"/>
      <c r="G146" s="4"/>
      <c r="H146" s="4"/>
      <c r="I146" s="4"/>
    </row>
    <row r="147" spans="1:9" x14ac:dyDescent="0.3">
      <c r="A147" s="4"/>
      <c r="B147" s="4"/>
      <c r="C147" s="4"/>
      <c r="D147" s="4"/>
      <c r="E147" s="4"/>
      <c r="F147" s="22"/>
      <c r="G147" s="4"/>
      <c r="H147" s="4"/>
      <c r="I147" s="4"/>
    </row>
    <row r="148" spans="1:9" x14ac:dyDescent="0.3">
      <c r="A148" s="4"/>
      <c r="B148" s="4"/>
      <c r="C148" s="4"/>
      <c r="D148" s="4"/>
      <c r="E148" s="4"/>
      <c r="F148" s="22"/>
      <c r="G148" s="4"/>
      <c r="H148" s="4"/>
      <c r="I148" s="4"/>
    </row>
    <row r="149" spans="1:9" x14ac:dyDescent="0.3">
      <c r="A149" s="4"/>
      <c r="B149" s="4"/>
      <c r="C149" s="4"/>
      <c r="D149" s="4"/>
      <c r="E149" s="4"/>
      <c r="F149" s="22"/>
      <c r="G149" s="4"/>
      <c r="H149" s="4"/>
      <c r="I149" s="4"/>
    </row>
    <row r="150" spans="1:9" x14ac:dyDescent="0.3">
      <c r="A150" s="4"/>
      <c r="B150" s="4"/>
      <c r="C150" s="4"/>
      <c r="D150" s="4"/>
      <c r="E150" s="4"/>
      <c r="F150" s="22"/>
      <c r="G150" s="4"/>
      <c r="H150" s="4"/>
      <c r="I150" s="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1200-000000000000}">
          <x14:formula1>
            <xm:f>DICTIONARIES!$AC$2:$AC$9</xm:f>
          </x14:formula1>
          <xm:sqref>B2:B1000</xm:sqref>
        </x14:dataValidation>
        <x14:dataValidation type="list" allowBlank="1" xr:uid="{00000000-0002-0000-1200-000001000000}">
          <x14:formula1>
            <xm:f>DICTIONARIES!$AD$2:$AD$8</xm:f>
          </x14:formula1>
          <xm:sqref>C2:C1000</xm:sqref>
        </x14:dataValidation>
        <x14:dataValidation type="list" allowBlank="1" xr:uid="{00000000-0002-0000-1200-000002000000}">
          <x14:formula1>
            <xm:f>DICTIONARIES!$AI$2:$AI$5</xm:f>
          </x14:formula1>
          <xm:sqref>D2:D1000</xm:sqref>
        </x14:dataValidation>
        <x14:dataValidation type="list" allowBlank="1" xr:uid="{00000000-0002-0000-1200-000003000000}">
          <x14:formula1>
            <xm:f>DICTIONARIES!$G$2:$G$3</xm:f>
          </x14:formula1>
          <xm:sqref>G2:G1000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14" customWidth="1"/>
    <col min="3" max="3" width="28" customWidth="1"/>
    <col min="4" max="4" width="14" customWidth="1"/>
    <col min="5" max="5" width="12" customWidth="1"/>
    <col min="6" max="6" width="18" customWidth="1"/>
    <col min="7" max="7" width="10" customWidth="1"/>
    <col min="8" max="9" width="12" customWidth="1"/>
    <col min="10" max="10" width="10" customWidth="1"/>
    <col min="11" max="11" width="20" customWidth="1"/>
    <col min="12" max="12" width="14" customWidth="1"/>
    <col min="13" max="13" width="12" customWidth="1"/>
    <col min="14" max="14" width="30" customWidth="1"/>
  </cols>
  <sheetData>
    <row r="1" spans="1:14" ht="28.8" x14ac:dyDescent="0.3">
      <c r="A1" s="3" t="s">
        <v>570</v>
      </c>
      <c r="B1" s="3" t="s">
        <v>762</v>
      </c>
      <c r="C1" s="3" t="s">
        <v>763</v>
      </c>
      <c r="D1" s="3" t="s">
        <v>529</v>
      </c>
      <c r="E1" s="3" t="s">
        <v>837</v>
      </c>
      <c r="F1" s="3" t="s">
        <v>838</v>
      </c>
      <c r="G1" s="3" t="s">
        <v>839</v>
      </c>
      <c r="H1" s="3" t="s">
        <v>840</v>
      </c>
      <c r="I1" s="3" t="s">
        <v>535</v>
      </c>
      <c r="J1" s="3" t="s">
        <v>841</v>
      </c>
      <c r="K1" s="3" t="s">
        <v>842</v>
      </c>
      <c r="L1" s="3" t="s">
        <v>843</v>
      </c>
      <c r="M1" s="3" t="s">
        <v>533</v>
      </c>
      <c r="N1" s="3" t="s">
        <v>116</v>
      </c>
    </row>
    <row r="2" spans="1:14" ht="28.8" x14ac:dyDescent="0.3">
      <c r="A2" s="17" t="s">
        <v>844</v>
      </c>
      <c r="B2" s="17" t="s">
        <v>377</v>
      </c>
      <c r="C2" s="17" t="s">
        <v>845</v>
      </c>
      <c r="D2" s="17" t="s">
        <v>362</v>
      </c>
      <c r="E2" s="17" t="s">
        <v>273</v>
      </c>
      <c r="F2" s="17" t="s">
        <v>396</v>
      </c>
      <c r="G2" s="17">
        <v>1</v>
      </c>
      <c r="H2" s="17">
        <v>0</v>
      </c>
      <c r="I2" s="17">
        <v>0.1</v>
      </c>
      <c r="J2" s="17">
        <v>0</v>
      </c>
      <c r="K2" s="17" t="s">
        <v>245</v>
      </c>
      <c r="L2" s="17">
        <v>0</v>
      </c>
      <c r="M2" s="17">
        <v>2</v>
      </c>
      <c r="N2" s="17" t="s">
        <v>846</v>
      </c>
    </row>
    <row r="3" spans="1:14" ht="43.2" x14ac:dyDescent="0.3">
      <c r="A3" s="17" t="s">
        <v>847</v>
      </c>
      <c r="B3" s="17" t="s">
        <v>377</v>
      </c>
      <c r="C3" s="17" t="s">
        <v>848</v>
      </c>
      <c r="D3" s="17" t="s">
        <v>343</v>
      </c>
      <c r="E3" s="17" t="s">
        <v>273</v>
      </c>
      <c r="F3" s="17" t="s">
        <v>352</v>
      </c>
      <c r="G3" s="17">
        <v>1</v>
      </c>
      <c r="H3" s="17">
        <v>1</v>
      </c>
      <c r="I3" s="17">
        <v>1</v>
      </c>
      <c r="J3" s="17">
        <v>0</v>
      </c>
      <c r="K3" s="17" t="s">
        <v>245</v>
      </c>
      <c r="L3" s="17">
        <v>0</v>
      </c>
      <c r="M3" s="17">
        <v>3</v>
      </c>
      <c r="N3" s="17" t="s">
        <v>849</v>
      </c>
    </row>
    <row r="4" spans="1:14" ht="28.8" x14ac:dyDescent="0.3">
      <c r="A4" s="17" t="s">
        <v>850</v>
      </c>
      <c r="B4" s="17" t="s">
        <v>377</v>
      </c>
      <c r="C4" s="17" t="s">
        <v>851</v>
      </c>
      <c r="D4" s="17" t="s">
        <v>241</v>
      </c>
      <c r="E4" s="17" t="s">
        <v>273</v>
      </c>
      <c r="F4" s="17" t="s">
        <v>313</v>
      </c>
      <c r="G4" s="17">
        <v>1</v>
      </c>
      <c r="H4" s="17">
        <v>0</v>
      </c>
      <c r="I4" s="17">
        <v>1</v>
      </c>
      <c r="J4" s="17">
        <v>12</v>
      </c>
      <c r="K4" s="17" t="s">
        <v>245</v>
      </c>
      <c r="L4" s="17">
        <v>0.01</v>
      </c>
      <c r="M4" s="17">
        <v>5</v>
      </c>
      <c r="N4" s="17" t="s">
        <v>852</v>
      </c>
    </row>
    <row r="5" spans="1:14" ht="28.8" x14ac:dyDescent="0.3">
      <c r="A5" s="17" t="s">
        <v>853</v>
      </c>
      <c r="B5" s="17" t="s">
        <v>377</v>
      </c>
      <c r="C5" s="17" t="s">
        <v>854</v>
      </c>
      <c r="D5" s="17" t="s">
        <v>306</v>
      </c>
      <c r="E5" s="17" t="s">
        <v>273</v>
      </c>
      <c r="F5" s="17" t="s">
        <v>274</v>
      </c>
      <c r="G5" s="17">
        <v>1</v>
      </c>
      <c r="H5" s="17">
        <v>0</v>
      </c>
      <c r="I5" s="17">
        <v>5</v>
      </c>
      <c r="J5" s="17">
        <v>0</v>
      </c>
      <c r="K5" s="17" t="s">
        <v>245</v>
      </c>
      <c r="L5" s="17">
        <v>0.03</v>
      </c>
      <c r="M5" s="17">
        <v>4</v>
      </c>
      <c r="N5" s="17" t="s">
        <v>855</v>
      </c>
    </row>
    <row r="6" spans="1:14" ht="28.8" x14ac:dyDescent="0.3">
      <c r="A6" s="17" t="s">
        <v>856</v>
      </c>
      <c r="B6" s="17" t="s">
        <v>762</v>
      </c>
      <c r="C6" s="17" t="s">
        <v>543</v>
      </c>
      <c r="D6" s="17" t="s">
        <v>241</v>
      </c>
      <c r="E6" s="17" t="s">
        <v>273</v>
      </c>
      <c r="F6" s="17" t="s">
        <v>313</v>
      </c>
      <c r="G6" s="17">
        <v>1</v>
      </c>
      <c r="H6" s="17">
        <v>0</v>
      </c>
      <c r="I6" s="17">
        <v>1</v>
      </c>
      <c r="J6" s="17">
        <v>12</v>
      </c>
      <c r="K6" s="17" t="s">
        <v>245</v>
      </c>
      <c r="L6" s="17">
        <v>0.02</v>
      </c>
      <c r="M6" s="17">
        <v>5</v>
      </c>
      <c r="N6" s="17" t="s">
        <v>857</v>
      </c>
    </row>
  </sheetData>
  <autoFilter ref="A1:N6" xr:uid="{00000000-0009-0000-0000-000013000000}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50"/>
  <sheetViews>
    <sheetView workbookViewId="0"/>
  </sheetViews>
  <sheetFormatPr defaultRowHeight="14.4" x14ac:dyDescent="0.3"/>
  <cols>
    <col min="1" max="1" width="14" customWidth="1"/>
    <col min="2" max="3" width="28" customWidth="1"/>
    <col min="4" max="4" width="14" customWidth="1"/>
    <col min="5" max="5" width="12" customWidth="1"/>
    <col min="6" max="6" width="16" customWidth="1"/>
    <col min="7" max="7" width="12" customWidth="1"/>
    <col min="8" max="8" width="14" customWidth="1"/>
    <col min="9" max="9" width="16" customWidth="1"/>
    <col min="10" max="10" width="18" customWidth="1"/>
    <col min="11" max="11" width="42" customWidth="1"/>
  </cols>
  <sheetData>
    <row r="1" spans="1:11" ht="28.8" x14ac:dyDescent="0.3">
      <c r="A1" s="3" t="s">
        <v>344</v>
      </c>
      <c r="B1" s="3" t="s">
        <v>485</v>
      </c>
      <c r="C1" s="3" t="s">
        <v>377</v>
      </c>
      <c r="D1" s="3" t="s">
        <v>858</v>
      </c>
      <c r="E1" s="3" t="s">
        <v>748</v>
      </c>
      <c r="F1" s="3" t="s">
        <v>749</v>
      </c>
      <c r="G1" s="3" t="s">
        <v>750</v>
      </c>
      <c r="H1" s="3" t="s">
        <v>752</v>
      </c>
      <c r="I1" s="3" t="s">
        <v>859</v>
      </c>
      <c r="J1" s="3" t="s">
        <v>860</v>
      </c>
      <c r="K1" s="3" t="s">
        <v>116</v>
      </c>
    </row>
    <row r="2" spans="1:11" ht="28.8" x14ac:dyDescent="0.3">
      <c r="A2" s="4" t="s">
        <v>493</v>
      </c>
      <c r="B2" s="4" t="s">
        <v>495</v>
      </c>
      <c r="C2" s="4" t="s">
        <v>339</v>
      </c>
      <c r="D2" s="22">
        <v>0.6</v>
      </c>
      <c r="E2" s="22">
        <v>0.1</v>
      </c>
      <c r="F2" s="22">
        <v>0.1</v>
      </c>
      <c r="G2" s="22">
        <v>0</v>
      </c>
      <c r="H2" s="22">
        <v>0</v>
      </c>
      <c r="I2" s="4" t="s">
        <v>617</v>
      </c>
      <c r="J2" s="22">
        <f>IF($I2="","",ROUND(1+($D2*(SUMIFS(OBJECT_CONDITIONS!$W:$W,OBJECT_CONDITIONS!$A:$A,$I2)-1))+($E2*(SUMIFS(OBJECT_CONDITIONS!$J:$J,OBJECT_CONDITIONS!$A:$A,$I2)-1))+($F2*(SUMIFS(OBJECT_CONDITIONS!$L:$L,OBJECT_CONDITIONS!$A:$A,$I2)-1))+($G2*(SUMIFS(OBJECT_CONDITIONS!$N:$N,OBJECT_CONDITIONS!$A:$A,$I2)-1))+($H2*(SUMIFS(OBJECT_CONDITIONS!$R:$R,OBJECT_CONDITIONS!$A:$A,$I2)-1)),3))</f>
        <v>1.0589999999999999</v>
      </c>
      <c r="K2" s="4" t="s">
        <v>861</v>
      </c>
    </row>
    <row r="3" spans="1:11" ht="28.8" x14ac:dyDescent="0.3">
      <c r="A3" s="4" t="s">
        <v>497</v>
      </c>
      <c r="B3" s="4" t="s">
        <v>499</v>
      </c>
      <c r="C3" s="4" t="s">
        <v>412</v>
      </c>
      <c r="D3" s="22">
        <v>0.3</v>
      </c>
      <c r="E3" s="22">
        <v>0.1</v>
      </c>
      <c r="F3" s="22">
        <v>0.1</v>
      </c>
      <c r="G3" s="22">
        <v>0</v>
      </c>
      <c r="H3" s="22">
        <v>0</v>
      </c>
      <c r="I3" s="4" t="s">
        <v>617</v>
      </c>
      <c r="J3" s="22">
        <f>IF($I3="","",ROUND(1+($D3*(SUMIFS(OBJECT_CONDITIONS!$W:$W,OBJECT_CONDITIONS!$A:$A,$I3)-1))+($E3*(SUMIFS(OBJECT_CONDITIONS!$J:$J,OBJECT_CONDITIONS!$A:$A,$I3)-1))+($F3*(SUMIFS(OBJECT_CONDITIONS!$L:$L,OBJECT_CONDITIONS!$A:$A,$I3)-1))+($G3*(SUMIFS(OBJECT_CONDITIONS!$N:$N,OBJECT_CONDITIONS!$A:$A,$I3)-1))+($H3*(SUMIFS(OBJECT_CONDITIONS!$R:$R,OBJECT_CONDITIONS!$A:$A,$I3)-1)),3))</f>
        <v>1.038</v>
      </c>
      <c r="K3" s="4" t="s">
        <v>862</v>
      </c>
    </row>
    <row r="4" spans="1:11" ht="28.8" x14ac:dyDescent="0.3">
      <c r="A4" s="4" t="s">
        <v>501</v>
      </c>
      <c r="B4" s="4" t="s">
        <v>503</v>
      </c>
      <c r="C4" s="4" t="s">
        <v>372</v>
      </c>
      <c r="D4" s="22">
        <v>0.8</v>
      </c>
      <c r="E4" s="22">
        <v>0.2</v>
      </c>
      <c r="F4" s="22">
        <v>0.4</v>
      </c>
      <c r="G4" s="22">
        <v>0.1</v>
      </c>
      <c r="H4" s="22">
        <v>0</v>
      </c>
      <c r="I4" s="4" t="s">
        <v>617</v>
      </c>
      <c r="J4" s="22">
        <f>IF($I4="","",ROUND(1+($D4*(SUMIFS(OBJECT_CONDITIONS!$W:$W,OBJECT_CONDITIONS!$A:$A,$I4)-1))+($E4*(SUMIFS(OBJECT_CONDITIONS!$J:$J,OBJECT_CONDITIONS!$A:$A,$I4)-1))+($F4*(SUMIFS(OBJECT_CONDITIONS!$L:$L,OBJECT_CONDITIONS!$A:$A,$I4)-1))+($G4*(SUMIFS(OBJECT_CONDITIONS!$N:$N,OBJECT_CONDITIONS!$A:$A,$I4)-1))+($H4*(SUMIFS(OBJECT_CONDITIONS!$R:$R,OBJECT_CONDITIONS!$A:$A,$I4)-1)),3))</f>
        <v>1.1080000000000001</v>
      </c>
      <c r="K4" s="4" t="s">
        <v>863</v>
      </c>
    </row>
    <row r="5" spans="1:11" ht="28.8" x14ac:dyDescent="0.3">
      <c r="A5" s="4" t="s">
        <v>506</v>
      </c>
      <c r="B5" s="4" t="s">
        <v>508</v>
      </c>
      <c r="C5" s="4" t="s">
        <v>392</v>
      </c>
      <c r="D5" s="22">
        <v>0.9</v>
      </c>
      <c r="E5" s="22">
        <v>0.3</v>
      </c>
      <c r="F5" s="22">
        <v>0.3</v>
      </c>
      <c r="G5" s="22">
        <v>0.1</v>
      </c>
      <c r="H5" s="22">
        <v>0</v>
      </c>
      <c r="I5" s="4" t="s">
        <v>617</v>
      </c>
      <c r="J5" s="22">
        <f>IF($I5="","",ROUND(1+($D5*(SUMIFS(OBJECT_CONDITIONS!$W:$W,OBJECT_CONDITIONS!$A:$A,$I5)-1))+($E5*(SUMIFS(OBJECT_CONDITIONS!$J:$J,OBJECT_CONDITIONS!$A:$A,$I5)-1))+($F5*(SUMIFS(OBJECT_CONDITIONS!$L:$L,OBJECT_CONDITIONS!$A:$A,$I5)-1))+($G5*(SUMIFS(OBJECT_CONDITIONS!$N:$N,OBJECT_CONDITIONS!$A:$A,$I5)-1))+($H5*(SUMIFS(OBJECT_CONDITIONS!$R:$R,OBJECT_CONDITIONS!$A:$A,$I5)-1)),3))</f>
        <v>1.1220000000000001</v>
      </c>
      <c r="K5" s="4" t="s">
        <v>864</v>
      </c>
    </row>
    <row r="6" spans="1:11" x14ac:dyDescent="0.3">
      <c r="A6" s="4" t="s">
        <v>510</v>
      </c>
      <c r="B6" s="4" t="s">
        <v>511</v>
      </c>
      <c r="C6" s="4" t="s">
        <v>403</v>
      </c>
      <c r="D6" s="22">
        <v>0.8</v>
      </c>
      <c r="E6" s="22">
        <v>0.4</v>
      </c>
      <c r="F6" s="22">
        <v>0.3</v>
      </c>
      <c r="G6" s="22">
        <v>0.1</v>
      </c>
      <c r="H6" s="22">
        <v>0</v>
      </c>
      <c r="I6" s="4" t="s">
        <v>617</v>
      </c>
      <c r="J6" s="22">
        <f>IF($I6="","",ROUND(1+($D6*(SUMIFS(OBJECT_CONDITIONS!$W:$W,OBJECT_CONDITIONS!$A:$A,$I6)-1))+($E6*(SUMIFS(OBJECT_CONDITIONS!$J:$J,OBJECT_CONDITIONS!$A:$A,$I6)-1))+($F6*(SUMIFS(OBJECT_CONDITIONS!$L:$L,OBJECT_CONDITIONS!$A:$A,$I6)-1))+($G6*(SUMIFS(OBJECT_CONDITIONS!$N:$N,OBJECT_CONDITIONS!$A:$A,$I6)-1))+($H6*(SUMIFS(OBJECT_CONDITIONS!$R:$R,OBJECT_CONDITIONS!$A:$A,$I6)-1)),3))</f>
        <v>1.127</v>
      </c>
      <c r="K6" s="4" t="s">
        <v>865</v>
      </c>
    </row>
    <row r="7" spans="1:11" ht="28.8" x14ac:dyDescent="0.3">
      <c r="A7" s="4" t="s">
        <v>514</v>
      </c>
      <c r="B7" s="4" t="s">
        <v>516</v>
      </c>
      <c r="C7" s="4" t="s">
        <v>407</v>
      </c>
      <c r="D7" s="22">
        <v>0.7</v>
      </c>
      <c r="E7" s="22">
        <v>0.2</v>
      </c>
      <c r="F7" s="22">
        <v>0.2</v>
      </c>
      <c r="G7" s="22">
        <v>0.1</v>
      </c>
      <c r="H7" s="22">
        <v>0</v>
      </c>
      <c r="I7" s="4" t="s">
        <v>617</v>
      </c>
      <c r="J7" s="22">
        <f>IF($I7="","",ROUND(1+($D7*(SUMIFS(OBJECT_CONDITIONS!$W:$W,OBJECT_CONDITIONS!$A:$A,$I7)-1))+($E7*(SUMIFS(OBJECT_CONDITIONS!$J:$J,OBJECT_CONDITIONS!$A:$A,$I7)-1))+($F7*(SUMIFS(OBJECT_CONDITIONS!$L:$L,OBJECT_CONDITIONS!$A:$A,$I7)-1))+($G7*(SUMIFS(OBJECT_CONDITIONS!$N:$N,OBJECT_CONDITIONS!$A:$A,$I7)-1))+($H7*(SUMIFS(OBJECT_CONDITIONS!$R:$R,OBJECT_CONDITIONS!$A:$A,$I7)-1)),3))</f>
        <v>1.091</v>
      </c>
      <c r="K7" s="4" t="s">
        <v>866</v>
      </c>
    </row>
    <row r="8" spans="1:11" ht="28.8" x14ac:dyDescent="0.3">
      <c r="A8" s="4" t="s">
        <v>519</v>
      </c>
      <c r="B8" s="4" t="s">
        <v>520</v>
      </c>
      <c r="C8" s="4" t="s">
        <v>262</v>
      </c>
      <c r="D8" s="22">
        <v>0.1</v>
      </c>
      <c r="E8" s="22">
        <v>0.3</v>
      </c>
      <c r="F8" s="22">
        <v>0.2</v>
      </c>
      <c r="G8" s="22">
        <v>0.2</v>
      </c>
      <c r="H8" s="22">
        <v>0</v>
      </c>
      <c r="I8" s="4" t="s">
        <v>617</v>
      </c>
      <c r="J8" s="22">
        <f>IF($I8="","",ROUND(1+($D8*(SUMIFS(OBJECT_CONDITIONS!$W:$W,OBJECT_CONDITIONS!$A:$A,$I8)-1))+($E8*(SUMIFS(OBJECT_CONDITIONS!$J:$J,OBJECT_CONDITIONS!$A:$A,$I8)-1))+($F8*(SUMIFS(OBJECT_CONDITIONS!$L:$L,OBJECT_CONDITIONS!$A:$A,$I8)-1))+($G8*(SUMIFS(OBJECT_CONDITIONS!$N:$N,OBJECT_CONDITIONS!$A:$A,$I8)-1))+($H8*(SUMIFS(OBJECT_CONDITIONS!$R:$R,OBJECT_CONDITIONS!$A:$A,$I8)-1)),3))</f>
        <v>1.069</v>
      </c>
      <c r="K8" s="4" t="s">
        <v>867</v>
      </c>
    </row>
    <row r="9" spans="1:11" x14ac:dyDescent="0.3">
      <c r="A9" s="4"/>
      <c r="B9" s="4"/>
      <c r="C9" s="4"/>
      <c r="D9" s="22"/>
      <c r="E9" s="22"/>
      <c r="F9" s="22"/>
      <c r="G9" s="22"/>
      <c r="H9" s="22"/>
      <c r="I9" s="4"/>
      <c r="J9" s="22" t="str">
        <f>IF($I9="","",ROUND(1+($D9*(SUMIFS(OBJECT_CONDITIONS!$W:$W,OBJECT_CONDITIONS!$A:$A,$I9)-1))+($E9*(SUMIFS(OBJECT_CONDITIONS!$J:$J,OBJECT_CONDITIONS!$A:$A,$I9)-1))+($F9*(SUMIFS(OBJECT_CONDITIONS!$L:$L,OBJECT_CONDITIONS!$A:$A,$I9)-1))+($G9*(SUMIFS(OBJECT_CONDITIONS!$N:$N,OBJECT_CONDITIONS!$A:$A,$I9)-1))+($H9*(SUMIFS(OBJECT_CONDITIONS!$R:$R,OBJECT_CONDITIONS!$A:$A,$I9)-1)),3))</f>
        <v/>
      </c>
      <c r="K9" s="4"/>
    </row>
    <row r="10" spans="1:11" x14ac:dyDescent="0.3">
      <c r="A10" s="4"/>
      <c r="B10" s="4"/>
      <c r="C10" s="4"/>
      <c r="D10" s="22"/>
      <c r="E10" s="22"/>
      <c r="F10" s="22"/>
      <c r="G10" s="22"/>
      <c r="H10" s="22"/>
      <c r="I10" s="4"/>
      <c r="J10" s="22" t="str">
        <f>IF($I10="","",ROUND(1+($D10*(SUMIFS(OBJECT_CONDITIONS!$W:$W,OBJECT_CONDITIONS!$A:$A,$I10)-1))+($E10*(SUMIFS(OBJECT_CONDITIONS!$J:$J,OBJECT_CONDITIONS!$A:$A,$I10)-1))+($F10*(SUMIFS(OBJECT_CONDITIONS!$L:$L,OBJECT_CONDITIONS!$A:$A,$I10)-1))+($G10*(SUMIFS(OBJECT_CONDITIONS!$N:$N,OBJECT_CONDITIONS!$A:$A,$I10)-1))+($H10*(SUMIFS(OBJECT_CONDITIONS!$R:$R,OBJECT_CONDITIONS!$A:$A,$I10)-1)),3))</f>
        <v/>
      </c>
      <c r="K10" s="4"/>
    </row>
    <row r="11" spans="1:11" x14ac:dyDescent="0.3">
      <c r="A11" s="4"/>
      <c r="B11" s="4"/>
      <c r="C11" s="4"/>
      <c r="D11" s="22"/>
      <c r="E11" s="22"/>
      <c r="F11" s="22"/>
      <c r="G11" s="22"/>
      <c r="H11" s="22"/>
      <c r="I11" s="4"/>
      <c r="J11" s="22" t="str">
        <f>IF($I11="","",ROUND(1+($D11*(SUMIFS(OBJECT_CONDITIONS!$W:$W,OBJECT_CONDITIONS!$A:$A,$I11)-1))+($E11*(SUMIFS(OBJECT_CONDITIONS!$J:$J,OBJECT_CONDITIONS!$A:$A,$I11)-1))+($F11*(SUMIFS(OBJECT_CONDITIONS!$L:$L,OBJECT_CONDITIONS!$A:$A,$I11)-1))+($G11*(SUMIFS(OBJECT_CONDITIONS!$N:$N,OBJECT_CONDITIONS!$A:$A,$I11)-1))+($H11*(SUMIFS(OBJECT_CONDITIONS!$R:$R,OBJECT_CONDITIONS!$A:$A,$I11)-1)),3))</f>
        <v/>
      </c>
      <c r="K11" s="4"/>
    </row>
    <row r="12" spans="1:11" x14ac:dyDescent="0.3">
      <c r="A12" s="4"/>
      <c r="B12" s="4"/>
      <c r="C12" s="4"/>
      <c r="D12" s="22"/>
      <c r="E12" s="22"/>
      <c r="F12" s="22"/>
      <c r="G12" s="22"/>
      <c r="H12" s="22"/>
      <c r="I12" s="4"/>
      <c r="J12" s="22" t="str">
        <f>IF($I12="","",ROUND(1+($D12*(SUMIFS(OBJECT_CONDITIONS!$W:$W,OBJECT_CONDITIONS!$A:$A,$I12)-1))+($E12*(SUMIFS(OBJECT_CONDITIONS!$J:$J,OBJECT_CONDITIONS!$A:$A,$I12)-1))+($F12*(SUMIFS(OBJECT_CONDITIONS!$L:$L,OBJECT_CONDITIONS!$A:$A,$I12)-1))+($G12*(SUMIFS(OBJECT_CONDITIONS!$N:$N,OBJECT_CONDITIONS!$A:$A,$I12)-1))+($H12*(SUMIFS(OBJECT_CONDITIONS!$R:$R,OBJECT_CONDITIONS!$A:$A,$I12)-1)),3))</f>
        <v/>
      </c>
      <c r="K12" s="4"/>
    </row>
    <row r="13" spans="1:11" x14ac:dyDescent="0.3">
      <c r="A13" s="4"/>
      <c r="B13" s="4"/>
      <c r="C13" s="4"/>
      <c r="D13" s="22"/>
      <c r="E13" s="22"/>
      <c r="F13" s="22"/>
      <c r="G13" s="22"/>
      <c r="H13" s="22"/>
      <c r="I13" s="4"/>
      <c r="J13" s="22" t="str">
        <f>IF($I13="","",ROUND(1+($D13*(SUMIFS(OBJECT_CONDITIONS!$W:$W,OBJECT_CONDITIONS!$A:$A,$I13)-1))+($E13*(SUMIFS(OBJECT_CONDITIONS!$J:$J,OBJECT_CONDITIONS!$A:$A,$I13)-1))+($F13*(SUMIFS(OBJECT_CONDITIONS!$L:$L,OBJECT_CONDITIONS!$A:$A,$I13)-1))+($G13*(SUMIFS(OBJECT_CONDITIONS!$N:$N,OBJECT_CONDITIONS!$A:$A,$I13)-1))+($H13*(SUMIFS(OBJECT_CONDITIONS!$R:$R,OBJECT_CONDITIONS!$A:$A,$I13)-1)),3))</f>
        <v/>
      </c>
      <c r="K13" s="4"/>
    </row>
    <row r="14" spans="1:11" x14ac:dyDescent="0.3">
      <c r="A14" s="4"/>
      <c r="B14" s="4"/>
      <c r="C14" s="4"/>
      <c r="D14" s="22"/>
      <c r="E14" s="22"/>
      <c r="F14" s="22"/>
      <c r="G14" s="22"/>
      <c r="H14" s="22"/>
      <c r="I14" s="4"/>
      <c r="J14" s="22" t="str">
        <f>IF($I14="","",ROUND(1+($D14*(SUMIFS(OBJECT_CONDITIONS!$W:$W,OBJECT_CONDITIONS!$A:$A,$I14)-1))+($E14*(SUMIFS(OBJECT_CONDITIONS!$J:$J,OBJECT_CONDITIONS!$A:$A,$I14)-1))+($F14*(SUMIFS(OBJECT_CONDITIONS!$L:$L,OBJECT_CONDITIONS!$A:$A,$I14)-1))+($G14*(SUMIFS(OBJECT_CONDITIONS!$N:$N,OBJECT_CONDITIONS!$A:$A,$I14)-1))+($H14*(SUMIFS(OBJECT_CONDITIONS!$R:$R,OBJECT_CONDITIONS!$A:$A,$I14)-1)),3))</f>
        <v/>
      </c>
      <c r="K14" s="4"/>
    </row>
    <row r="15" spans="1:11" x14ac:dyDescent="0.3">
      <c r="A15" s="4"/>
      <c r="B15" s="4"/>
      <c r="C15" s="4"/>
      <c r="D15" s="22"/>
      <c r="E15" s="22"/>
      <c r="F15" s="22"/>
      <c r="G15" s="22"/>
      <c r="H15" s="22"/>
      <c r="I15" s="4"/>
      <c r="J15" s="22" t="str">
        <f>IF($I15="","",ROUND(1+($D15*(SUMIFS(OBJECT_CONDITIONS!$W:$W,OBJECT_CONDITIONS!$A:$A,$I15)-1))+($E15*(SUMIFS(OBJECT_CONDITIONS!$J:$J,OBJECT_CONDITIONS!$A:$A,$I15)-1))+($F15*(SUMIFS(OBJECT_CONDITIONS!$L:$L,OBJECT_CONDITIONS!$A:$A,$I15)-1))+($G15*(SUMIFS(OBJECT_CONDITIONS!$N:$N,OBJECT_CONDITIONS!$A:$A,$I15)-1))+($H15*(SUMIFS(OBJECT_CONDITIONS!$R:$R,OBJECT_CONDITIONS!$A:$A,$I15)-1)),3))</f>
        <v/>
      </c>
      <c r="K15" s="4"/>
    </row>
    <row r="16" spans="1:11" x14ac:dyDescent="0.3">
      <c r="A16" s="4"/>
      <c r="B16" s="4"/>
      <c r="C16" s="4"/>
      <c r="D16" s="22"/>
      <c r="E16" s="22"/>
      <c r="F16" s="22"/>
      <c r="G16" s="22"/>
      <c r="H16" s="22"/>
      <c r="I16" s="4"/>
      <c r="J16" s="22" t="str">
        <f>IF($I16="","",ROUND(1+($D16*(SUMIFS(OBJECT_CONDITIONS!$W:$W,OBJECT_CONDITIONS!$A:$A,$I16)-1))+($E16*(SUMIFS(OBJECT_CONDITIONS!$J:$J,OBJECT_CONDITIONS!$A:$A,$I16)-1))+($F16*(SUMIFS(OBJECT_CONDITIONS!$L:$L,OBJECT_CONDITIONS!$A:$A,$I16)-1))+($G16*(SUMIFS(OBJECT_CONDITIONS!$N:$N,OBJECT_CONDITIONS!$A:$A,$I16)-1))+($H16*(SUMIFS(OBJECT_CONDITIONS!$R:$R,OBJECT_CONDITIONS!$A:$A,$I16)-1)),3))</f>
        <v/>
      </c>
      <c r="K16" s="4"/>
    </row>
    <row r="17" spans="1:11" x14ac:dyDescent="0.3">
      <c r="A17" s="4"/>
      <c r="B17" s="4"/>
      <c r="C17" s="4"/>
      <c r="D17" s="22"/>
      <c r="E17" s="22"/>
      <c r="F17" s="22"/>
      <c r="G17" s="22"/>
      <c r="H17" s="22"/>
      <c r="I17" s="4"/>
      <c r="J17" s="22" t="str">
        <f>IF($I17="","",ROUND(1+($D17*(SUMIFS(OBJECT_CONDITIONS!$W:$W,OBJECT_CONDITIONS!$A:$A,$I17)-1))+($E17*(SUMIFS(OBJECT_CONDITIONS!$J:$J,OBJECT_CONDITIONS!$A:$A,$I17)-1))+($F17*(SUMIFS(OBJECT_CONDITIONS!$L:$L,OBJECT_CONDITIONS!$A:$A,$I17)-1))+($G17*(SUMIFS(OBJECT_CONDITIONS!$N:$N,OBJECT_CONDITIONS!$A:$A,$I17)-1))+($H17*(SUMIFS(OBJECT_CONDITIONS!$R:$R,OBJECT_CONDITIONS!$A:$A,$I17)-1)),3))</f>
        <v/>
      </c>
      <c r="K17" s="4"/>
    </row>
    <row r="18" spans="1:11" x14ac:dyDescent="0.3">
      <c r="A18" s="4"/>
      <c r="B18" s="4"/>
      <c r="C18" s="4"/>
      <c r="D18" s="22"/>
      <c r="E18" s="22"/>
      <c r="F18" s="22"/>
      <c r="G18" s="22"/>
      <c r="H18" s="22"/>
      <c r="I18" s="4"/>
      <c r="J18" s="22" t="str">
        <f>IF($I18="","",ROUND(1+($D18*(SUMIFS(OBJECT_CONDITIONS!$W:$W,OBJECT_CONDITIONS!$A:$A,$I18)-1))+($E18*(SUMIFS(OBJECT_CONDITIONS!$J:$J,OBJECT_CONDITIONS!$A:$A,$I18)-1))+($F18*(SUMIFS(OBJECT_CONDITIONS!$L:$L,OBJECT_CONDITIONS!$A:$A,$I18)-1))+($G18*(SUMIFS(OBJECT_CONDITIONS!$N:$N,OBJECT_CONDITIONS!$A:$A,$I18)-1))+($H18*(SUMIFS(OBJECT_CONDITIONS!$R:$R,OBJECT_CONDITIONS!$A:$A,$I18)-1)),3))</f>
        <v/>
      </c>
      <c r="K18" s="4"/>
    </row>
    <row r="19" spans="1:11" x14ac:dyDescent="0.3">
      <c r="A19" s="4"/>
      <c r="B19" s="4"/>
      <c r="C19" s="4"/>
      <c r="D19" s="22"/>
      <c r="E19" s="22"/>
      <c r="F19" s="22"/>
      <c r="G19" s="22"/>
      <c r="H19" s="22"/>
      <c r="I19" s="4"/>
      <c r="J19" s="22" t="str">
        <f>IF($I19="","",ROUND(1+($D19*(SUMIFS(OBJECT_CONDITIONS!$W:$W,OBJECT_CONDITIONS!$A:$A,$I19)-1))+($E19*(SUMIFS(OBJECT_CONDITIONS!$J:$J,OBJECT_CONDITIONS!$A:$A,$I19)-1))+($F19*(SUMIFS(OBJECT_CONDITIONS!$L:$L,OBJECT_CONDITIONS!$A:$A,$I19)-1))+($G19*(SUMIFS(OBJECT_CONDITIONS!$N:$N,OBJECT_CONDITIONS!$A:$A,$I19)-1))+($H19*(SUMIFS(OBJECT_CONDITIONS!$R:$R,OBJECT_CONDITIONS!$A:$A,$I19)-1)),3))</f>
        <v/>
      </c>
      <c r="K19" s="4"/>
    </row>
    <row r="20" spans="1:11" x14ac:dyDescent="0.3">
      <c r="A20" s="4"/>
      <c r="B20" s="4"/>
      <c r="C20" s="4"/>
      <c r="D20" s="22"/>
      <c r="E20" s="22"/>
      <c r="F20" s="22"/>
      <c r="G20" s="22"/>
      <c r="H20" s="22"/>
      <c r="I20" s="4"/>
      <c r="J20" s="22" t="str">
        <f>IF($I20="","",ROUND(1+($D20*(SUMIFS(OBJECT_CONDITIONS!$W:$W,OBJECT_CONDITIONS!$A:$A,$I20)-1))+($E20*(SUMIFS(OBJECT_CONDITIONS!$J:$J,OBJECT_CONDITIONS!$A:$A,$I20)-1))+($F20*(SUMIFS(OBJECT_CONDITIONS!$L:$L,OBJECT_CONDITIONS!$A:$A,$I20)-1))+($G20*(SUMIFS(OBJECT_CONDITIONS!$N:$N,OBJECT_CONDITIONS!$A:$A,$I20)-1))+($H20*(SUMIFS(OBJECT_CONDITIONS!$R:$R,OBJECT_CONDITIONS!$A:$A,$I20)-1)),3))</f>
        <v/>
      </c>
      <c r="K20" s="4"/>
    </row>
    <row r="21" spans="1:11" x14ac:dyDescent="0.3">
      <c r="A21" s="4"/>
      <c r="B21" s="4"/>
      <c r="C21" s="4"/>
      <c r="D21" s="22"/>
      <c r="E21" s="22"/>
      <c r="F21" s="22"/>
      <c r="G21" s="22"/>
      <c r="H21" s="22"/>
      <c r="I21" s="4"/>
      <c r="J21" s="22" t="str">
        <f>IF($I21="","",ROUND(1+($D21*(SUMIFS(OBJECT_CONDITIONS!$W:$W,OBJECT_CONDITIONS!$A:$A,$I21)-1))+($E21*(SUMIFS(OBJECT_CONDITIONS!$J:$J,OBJECT_CONDITIONS!$A:$A,$I21)-1))+($F21*(SUMIFS(OBJECT_CONDITIONS!$L:$L,OBJECT_CONDITIONS!$A:$A,$I21)-1))+($G21*(SUMIFS(OBJECT_CONDITIONS!$N:$N,OBJECT_CONDITIONS!$A:$A,$I21)-1))+($H21*(SUMIFS(OBJECT_CONDITIONS!$R:$R,OBJECT_CONDITIONS!$A:$A,$I21)-1)),3))</f>
        <v/>
      </c>
      <c r="K21" s="4"/>
    </row>
    <row r="22" spans="1:11" x14ac:dyDescent="0.3">
      <c r="A22" s="4"/>
      <c r="B22" s="4"/>
      <c r="C22" s="4"/>
      <c r="D22" s="22"/>
      <c r="E22" s="22"/>
      <c r="F22" s="22"/>
      <c r="G22" s="22"/>
      <c r="H22" s="22"/>
      <c r="I22" s="4"/>
      <c r="J22" s="22" t="str">
        <f>IF($I22="","",ROUND(1+($D22*(SUMIFS(OBJECT_CONDITIONS!$W:$W,OBJECT_CONDITIONS!$A:$A,$I22)-1))+($E22*(SUMIFS(OBJECT_CONDITIONS!$J:$J,OBJECT_CONDITIONS!$A:$A,$I22)-1))+($F22*(SUMIFS(OBJECT_CONDITIONS!$L:$L,OBJECT_CONDITIONS!$A:$A,$I22)-1))+($G22*(SUMIFS(OBJECT_CONDITIONS!$N:$N,OBJECT_CONDITIONS!$A:$A,$I22)-1))+($H22*(SUMIFS(OBJECT_CONDITIONS!$R:$R,OBJECT_CONDITIONS!$A:$A,$I22)-1)),3))</f>
        <v/>
      </c>
      <c r="K22" s="4"/>
    </row>
    <row r="23" spans="1:11" x14ac:dyDescent="0.3">
      <c r="A23" s="4"/>
      <c r="B23" s="4"/>
      <c r="C23" s="4"/>
      <c r="D23" s="22"/>
      <c r="E23" s="22"/>
      <c r="F23" s="22"/>
      <c r="G23" s="22"/>
      <c r="H23" s="22"/>
      <c r="I23" s="4"/>
      <c r="J23" s="22" t="str">
        <f>IF($I23="","",ROUND(1+($D23*(SUMIFS(OBJECT_CONDITIONS!$W:$W,OBJECT_CONDITIONS!$A:$A,$I23)-1))+($E23*(SUMIFS(OBJECT_CONDITIONS!$J:$J,OBJECT_CONDITIONS!$A:$A,$I23)-1))+($F23*(SUMIFS(OBJECT_CONDITIONS!$L:$L,OBJECT_CONDITIONS!$A:$A,$I23)-1))+($G23*(SUMIFS(OBJECT_CONDITIONS!$N:$N,OBJECT_CONDITIONS!$A:$A,$I23)-1))+($H23*(SUMIFS(OBJECT_CONDITIONS!$R:$R,OBJECT_CONDITIONS!$A:$A,$I23)-1)),3))</f>
        <v/>
      </c>
      <c r="K23" s="4"/>
    </row>
    <row r="24" spans="1:11" x14ac:dyDescent="0.3">
      <c r="A24" s="4"/>
      <c r="B24" s="4"/>
      <c r="C24" s="4"/>
      <c r="D24" s="22"/>
      <c r="E24" s="22"/>
      <c r="F24" s="22"/>
      <c r="G24" s="22"/>
      <c r="H24" s="22"/>
      <c r="I24" s="4"/>
      <c r="J24" s="22" t="str">
        <f>IF($I24="","",ROUND(1+($D24*(SUMIFS(OBJECT_CONDITIONS!$W:$W,OBJECT_CONDITIONS!$A:$A,$I24)-1))+($E24*(SUMIFS(OBJECT_CONDITIONS!$J:$J,OBJECT_CONDITIONS!$A:$A,$I24)-1))+($F24*(SUMIFS(OBJECT_CONDITIONS!$L:$L,OBJECT_CONDITIONS!$A:$A,$I24)-1))+($G24*(SUMIFS(OBJECT_CONDITIONS!$N:$N,OBJECT_CONDITIONS!$A:$A,$I24)-1))+($H24*(SUMIFS(OBJECT_CONDITIONS!$R:$R,OBJECT_CONDITIONS!$A:$A,$I24)-1)),3))</f>
        <v/>
      </c>
      <c r="K24" s="4"/>
    </row>
    <row r="25" spans="1:11" x14ac:dyDescent="0.3">
      <c r="A25" s="4"/>
      <c r="B25" s="4"/>
      <c r="C25" s="4"/>
      <c r="D25" s="22"/>
      <c r="E25" s="22"/>
      <c r="F25" s="22"/>
      <c r="G25" s="22"/>
      <c r="H25" s="22"/>
      <c r="I25" s="4"/>
      <c r="J25" s="22" t="str">
        <f>IF($I25="","",ROUND(1+($D25*(SUMIFS(OBJECT_CONDITIONS!$W:$W,OBJECT_CONDITIONS!$A:$A,$I25)-1))+($E25*(SUMIFS(OBJECT_CONDITIONS!$J:$J,OBJECT_CONDITIONS!$A:$A,$I25)-1))+($F25*(SUMIFS(OBJECT_CONDITIONS!$L:$L,OBJECT_CONDITIONS!$A:$A,$I25)-1))+($G25*(SUMIFS(OBJECT_CONDITIONS!$N:$N,OBJECT_CONDITIONS!$A:$A,$I25)-1))+($H25*(SUMIFS(OBJECT_CONDITIONS!$R:$R,OBJECT_CONDITIONS!$A:$A,$I25)-1)),3))</f>
        <v/>
      </c>
      <c r="K25" s="4"/>
    </row>
    <row r="26" spans="1:11" x14ac:dyDescent="0.3">
      <c r="A26" s="4"/>
      <c r="B26" s="4"/>
      <c r="C26" s="4"/>
      <c r="D26" s="22"/>
      <c r="E26" s="22"/>
      <c r="F26" s="22"/>
      <c r="G26" s="22"/>
      <c r="H26" s="22"/>
      <c r="I26" s="4"/>
      <c r="J26" s="22" t="str">
        <f>IF($I26="","",ROUND(1+($D26*(SUMIFS(OBJECT_CONDITIONS!$W:$W,OBJECT_CONDITIONS!$A:$A,$I26)-1))+($E26*(SUMIFS(OBJECT_CONDITIONS!$J:$J,OBJECT_CONDITIONS!$A:$A,$I26)-1))+($F26*(SUMIFS(OBJECT_CONDITIONS!$L:$L,OBJECT_CONDITIONS!$A:$A,$I26)-1))+($G26*(SUMIFS(OBJECT_CONDITIONS!$N:$N,OBJECT_CONDITIONS!$A:$A,$I26)-1))+($H26*(SUMIFS(OBJECT_CONDITIONS!$R:$R,OBJECT_CONDITIONS!$A:$A,$I26)-1)),3))</f>
        <v/>
      </c>
      <c r="K26" s="4"/>
    </row>
    <row r="27" spans="1:11" x14ac:dyDescent="0.3">
      <c r="A27" s="4"/>
      <c r="B27" s="4"/>
      <c r="C27" s="4"/>
      <c r="D27" s="22"/>
      <c r="E27" s="22"/>
      <c r="F27" s="22"/>
      <c r="G27" s="22"/>
      <c r="H27" s="22"/>
      <c r="I27" s="4"/>
      <c r="J27" s="22" t="str">
        <f>IF($I27="","",ROUND(1+($D27*(SUMIFS(OBJECT_CONDITIONS!$W:$W,OBJECT_CONDITIONS!$A:$A,$I27)-1))+($E27*(SUMIFS(OBJECT_CONDITIONS!$J:$J,OBJECT_CONDITIONS!$A:$A,$I27)-1))+($F27*(SUMIFS(OBJECT_CONDITIONS!$L:$L,OBJECT_CONDITIONS!$A:$A,$I27)-1))+($G27*(SUMIFS(OBJECT_CONDITIONS!$N:$N,OBJECT_CONDITIONS!$A:$A,$I27)-1))+($H27*(SUMIFS(OBJECT_CONDITIONS!$R:$R,OBJECT_CONDITIONS!$A:$A,$I27)-1)),3))</f>
        <v/>
      </c>
      <c r="K27" s="4"/>
    </row>
    <row r="28" spans="1:11" x14ac:dyDescent="0.3">
      <c r="A28" s="4"/>
      <c r="B28" s="4"/>
      <c r="C28" s="4"/>
      <c r="D28" s="22"/>
      <c r="E28" s="22"/>
      <c r="F28" s="22"/>
      <c r="G28" s="22"/>
      <c r="H28" s="22"/>
      <c r="I28" s="4"/>
      <c r="J28" s="22" t="str">
        <f>IF($I28="","",ROUND(1+($D28*(SUMIFS(OBJECT_CONDITIONS!$W:$W,OBJECT_CONDITIONS!$A:$A,$I28)-1))+($E28*(SUMIFS(OBJECT_CONDITIONS!$J:$J,OBJECT_CONDITIONS!$A:$A,$I28)-1))+($F28*(SUMIFS(OBJECT_CONDITIONS!$L:$L,OBJECT_CONDITIONS!$A:$A,$I28)-1))+($G28*(SUMIFS(OBJECT_CONDITIONS!$N:$N,OBJECT_CONDITIONS!$A:$A,$I28)-1))+($H28*(SUMIFS(OBJECT_CONDITIONS!$R:$R,OBJECT_CONDITIONS!$A:$A,$I28)-1)),3))</f>
        <v/>
      </c>
      <c r="K28" s="4"/>
    </row>
    <row r="29" spans="1:11" x14ac:dyDescent="0.3">
      <c r="A29" s="4"/>
      <c r="B29" s="4"/>
      <c r="C29" s="4"/>
      <c r="D29" s="22"/>
      <c r="E29" s="22"/>
      <c r="F29" s="22"/>
      <c r="G29" s="22"/>
      <c r="H29" s="22"/>
      <c r="I29" s="4"/>
      <c r="J29" s="22" t="str">
        <f>IF($I29="","",ROUND(1+($D29*(SUMIFS(OBJECT_CONDITIONS!$W:$W,OBJECT_CONDITIONS!$A:$A,$I29)-1))+($E29*(SUMIFS(OBJECT_CONDITIONS!$J:$J,OBJECT_CONDITIONS!$A:$A,$I29)-1))+($F29*(SUMIFS(OBJECT_CONDITIONS!$L:$L,OBJECT_CONDITIONS!$A:$A,$I29)-1))+($G29*(SUMIFS(OBJECT_CONDITIONS!$N:$N,OBJECT_CONDITIONS!$A:$A,$I29)-1))+($H29*(SUMIFS(OBJECT_CONDITIONS!$R:$R,OBJECT_CONDITIONS!$A:$A,$I29)-1)),3))</f>
        <v/>
      </c>
      <c r="K29" s="4"/>
    </row>
    <row r="30" spans="1:11" x14ac:dyDescent="0.3">
      <c r="A30" s="4"/>
      <c r="B30" s="4"/>
      <c r="C30" s="4"/>
      <c r="D30" s="22"/>
      <c r="E30" s="22"/>
      <c r="F30" s="22"/>
      <c r="G30" s="22"/>
      <c r="H30" s="22"/>
      <c r="I30" s="4"/>
      <c r="J30" s="22" t="str">
        <f>IF($I30="","",ROUND(1+($D30*(SUMIFS(OBJECT_CONDITIONS!$W:$W,OBJECT_CONDITIONS!$A:$A,$I30)-1))+($E30*(SUMIFS(OBJECT_CONDITIONS!$J:$J,OBJECT_CONDITIONS!$A:$A,$I30)-1))+($F30*(SUMIFS(OBJECT_CONDITIONS!$L:$L,OBJECT_CONDITIONS!$A:$A,$I30)-1))+($G30*(SUMIFS(OBJECT_CONDITIONS!$N:$N,OBJECT_CONDITIONS!$A:$A,$I30)-1))+($H30*(SUMIFS(OBJECT_CONDITIONS!$R:$R,OBJECT_CONDITIONS!$A:$A,$I30)-1)),3))</f>
        <v/>
      </c>
      <c r="K30" s="4"/>
    </row>
    <row r="31" spans="1:11" x14ac:dyDescent="0.3">
      <c r="A31" s="4"/>
      <c r="B31" s="4"/>
      <c r="C31" s="4"/>
      <c r="D31" s="22"/>
      <c r="E31" s="22"/>
      <c r="F31" s="22"/>
      <c r="G31" s="22"/>
      <c r="H31" s="22"/>
      <c r="I31" s="4"/>
      <c r="J31" s="22" t="str">
        <f>IF($I31="","",ROUND(1+($D31*(SUMIFS(OBJECT_CONDITIONS!$W:$W,OBJECT_CONDITIONS!$A:$A,$I31)-1))+($E31*(SUMIFS(OBJECT_CONDITIONS!$J:$J,OBJECT_CONDITIONS!$A:$A,$I31)-1))+($F31*(SUMIFS(OBJECT_CONDITIONS!$L:$L,OBJECT_CONDITIONS!$A:$A,$I31)-1))+($G31*(SUMIFS(OBJECT_CONDITIONS!$N:$N,OBJECT_CONDITIONS!$A:$A,$I31)-1))+($H31*(SUMIFS(OBJECT_CONDITIONS!$R:$R,OBJECT_CONDITIONS!$A:$A,$I31)-1)),3))</f>
        <v/>
      </c>
      <c r="K31" s="4"/>
    </row>
    <row r="32" spans="1:11" x14ac:dyDescent="0.3">
      <c r="A32" s="4"/>
      <c r="B32" s="4"/>
      <c r="C32" s="4"/>
      <c r="D32" s="22"/>
      <c r="E32" s="22"/>
      <c r="F32" s="22"/>
      <c r="G32" s="22"/>
      <c r="H32" s="22"/>
      <c r="I32" s="4"/>
      <c r="J32" s="22" t="str">
        <f>IF($I32="","",ROUND(1+($D32*(SUMIFS(OBJECT_CONDITIONS!$W:$W,OBJECT_CONDITIONS!$A:$A,$I32)-1))+($E32*(SUMIFS(OBJECT_CONDITIONS!$J:$J,OBJECT_CONDITIONS!$A:$A,$I32)-1))+($F32*(SUMIFS(OBJECT_CONDITIONS!$L:$L,OBJECT_CONDITIONS!$A:$A,$I32)-1))+($G32*(SUMIFS(OBJECT_CONDITIONS!$N:$N,OBJECT_CONDITIONS!$A:$A,$I32)-1))+($H32*(SUMIFS(OBJECT_CONDITIONS!$R:$R,OBJECT_CONDITIONS!$A:$A,$I32)-1)),3))</f>
        <v/>
      </c>
      <c r="K32" s="4"/>
    </row>
    <row r="33" spans="1:11" x14ac:dyDescent="0.3">
      <c r="A33" s="4"/>
      <c r="B33" s="4"/>
      <c r="C33" s="4"/>
      <c r="D33" s="22"/>
      <c r="E33" s="22"/>
      <c r="F33" s="22"/>
      <c r="G33" s="22"/>
      <c r="H33" s="22"/>
      <c r="I33" s="4"/>
      <c r="J33" s="22" t="str">
        <f>IF($I33="","",ROUND(1+($D33*(SUMIFS(OBJECT_CONDITIONS!$W:$W,OBJECT_CONDITIONS!$A:$A,$I33)-1))+($E33*(SUMIFS(OBJECT_CONDITIONS!$J:$J,OBJECT_CONDITIONS!$A:$A,$I33)-1))+($F33*(SUMIFS(OBJECT_CONDITIONS!$L:$L,OBJECT_CONDITIONS!$A:$A,$I33)-1))+($G33*(SUMIFS(OBJECT_CONDITIONS!$N:$N,OBJECT_CONDITIONS!$A:$A,$I33)-1))+($H33*(SUMIFS(OBJECT_CONDITIONS!$R:$R,OBJECT_CONDITIONS!$A:$A,$I33)-1)),3))</f>
        <v/>
      </c>
      <c r="K33" s="4"/>
    </row>
    <row r="34" spans="1:11" x14ac:dyDescent="0.3">
      <c r="A34" s="4"/>
      <c r="B34" s="4"/>
      <c r="C34" s="4"/>
      <c r="D34" s="22"/>
      <c r="E34" s="22"/>
      <c r="F34" s="22"/>
      <c r="G34" s="22"/>
      <c r="H34" s="22"/>
      <c r="I34" s="4"/>
      <c r="J34" s="22" t="str">
        <f>IF($I34="","",ROUND(1+($D34*(SUMIFS(OBJECT_CONDITIONS!$W:$W,OBJECT_CONDITIONS!$A:$A,$I34)-1))+($E34*(SUMIFS(OBJECT_CONDITIONS!$J:$J,OBJECT_CONDITIONS!$A:$A,$I34)-1))+($F34*(SUMIFS(OBJECT_CONDITIONS!$L:$L,OBJECT_CONDITIONS!$A:$A,$I34)-1))+($G34*(SUMIFS(OBJECT_CONDITIONS!$N:$N,OBJECT_CONDITIONS!$A:$A,$I34)-1))+($H34*(SUMIFS(OBJECT_CONDITIONS!$R:$R,OBJECT_CONDITIONS!$A:$A,$I34)-1)),3))</f>
        <v/>
      </c>
      <c r="K34" s="4"/>
    </row>
    <row r="35" spans="1:11" x14ac:dyDescent="0.3">
      <c r="A35" s="4"/>
      <c r="B35" s="4"/>
      <c r="C35" s="4"/>
      <c r="D35" s="22"/>
      <c r="E35" s="22"/>
      <c r="F35" s="22"/>
      <c r="G35" s="22"/>
      <c r="H35" s="22"/>
      <c r="I35" s="4"/>
      <c r="J35" s="22" t="str">
        <f>IF($I35="","",ROUND(1+($D35*(SUMIFS(OBJECT_CONDITIONS!$W:$W,OBJECT_CONDITIONS!$A:$A,$I35)-1))+($E35*(SUMIFS(OBJECT_CONDITIONS!$J:$J,OBJECT_CONDITIONS!$A:$A,$I35)-1))+($F35*(SUMIFS(OBJECT_CONDITIONS!$L:$L,OBJECT_CONDITIONS!$A:$A,$I35)-1))+($G35*(SUMIFS(OBJECT_CONDITIONS!$N:$N,OBJECT_CONDITIONS!$A:$A,$I35)-1))+($H35*(SUMIFS(OBJECT_CONDITIONS!$R:$R,OBJECT_CONDITIONS!$A:$A,$I35)-1)),3))</f>
        <v/>
      </c>
      <c r="K35" s="4"/>
    </row>
    <row r="36" spans="1:11" x14ac:dyDescent="0.3">
      <c r="A36" s="4"/>
      <c r="B36" s="4"/>
      <c r="C36" s="4"/>
      <c r="D36" s="22"/>
      <c r="E36" s="22"/>
      <c r="F36" s="22"/>
      <c r="G36" s="22"/>
      <c r="H36" s="22"/>
      <c r="I36" s="4"/>
      <c r="J36" s="22" t="str">
        <f>IF($I36="","",ROUND(1+($D36*(SUMIFS(OBJECT_CONDITIONS!$W:$W,OBJECT_CONDITIONS!$A:$A,$I36)-1))+($E36*(SUMIFS(OBJECT_CONDITIONS!$J:$J,OBJECT_CONDITIONS!$A:$A,$I36)-1))+($F36*(SUMIFS(OBJECT_CONDITIONS!$L:$L,OBJECT_CONDITIONS!$A:$A,$I36)-1))+($G36*(SUMIFS(OBJECT_CONDITIONS!$N:$N,OBJECT_CONDITIONS!$A:$A,$I36)-1))+($H36*(SUMIFS(OBJECT_CONDITIONS!$R:$R,OBJECT_CONDITIONS!$A:$A,$I36)-1)),3))</f>
        <v/>
      </c>
      <c r="K36" s="4"/>
    </row>
    <row r="37" spans="1:11" x14ac:dyDescent="0.3">
      <c r="A37" s="4"/>
      <c r="B37" s="4"/>
      <c r="C37" s="4"/>
      <c r="D37" s="22"/>
      <c r="E37" s="22"/>
      <c r="F37" s="22"/>
      <c r="G37" s="22"/>
      <c r="H37" s="22"/>
      <c r="I37" s="4"/>
      <c r="J37" s="22" t="str">
        <f>IF($I37="","",ROUND(1+($D37*(SUMIFS(OBJECT_CONDITIONS!$W:$W,OBJECT_CONDITIONS!$A:$A,$I37)-1))+($E37*(SUMIFS(OBJECT_CONDITIONS!$J:$J,OBJECT_CONDITIONS!$A:$A,$I37)-1))+($F37*(SUMIFS(OBJECT_CONDITIONS!$L:$L,OBJECT_CONDITIONS!$A:$A,$I37)-1))+($G37*(SUMIFS(OBJECT_CONDITIONS!$N:$N,OBJECT_CONDITIONS!$A:$A,$I37)-1))+($H37*(SUMIFS(OBJECT_CONDITIONS!$R:$R,OBJECT_CONDITIONS!$A:$A,$I37)-1)),3))</f>
        <v/>
      </c>
      <c r="K37" s="4"/>
    </row>
    <row r="38" spans="1:11" x14ac:dyDescent="0.3">
      <c r="A38" s="4"/>
      <c r="B38" s="4"/>
      <c r="C38" s="4"/>
      <c r="D38" s="22"/>
      <c r="E38" s="22"/>
      <c r="F38" s="22"/>
      <c r="G38" s="22"/>
      <c r="H38" s="22"/>
      <c r="I38" s="4"/>
      <c r="J38" s="22" t="str">
        <f>IF($I38="","",ROUND(1+($D38*(SUMIFS(OBJECT_CONDITIONS!$W:$W,OBJECT_CONDITIONS!$A:$A,$I38)-1))+($E38*(SUMIFS(OBJECT_CONDITIONS!$J:$J,OBJECT_CONDITIONS!$A:$A,$I38)-1))+($F38*(SUMIFS(OBJECT_CONDITIONS!$L:$L,OBJECT_CONDITIONS!$A:$A,$I38)-1))+($G38*(SUMIFS(OBJECT_CONDITIONS!$N:$N,OBJECT_CONDITIONS!$A:$A,$I38)-1))+($H38*(SUMIFS(OBJECT_CONDITIONS!$R:$R,OBJECT_CONDITIONS!$A:$A,$I38)-1)),3))</f>
        <v/>
      </c>
      <c r="K38" s="4"/>
    </row>
    <row r="39" spans="1:11" x14ac:dyDescent="0.3">
      <c r="A39" s="4"/>
      <c r="B39" s="4"/>
      <c r="C39" s="4"/>
      <c r="D39" s="22"/>
      <c r="E39" s="22"/>
      <c r="F39" s="22"/>
      <c r="G39" s="22"/>
      <c r="H39" s="22"/>
      <c r="I39" s="4"/>
      <c r="J39" s="22" t="str">
        <f>IF($I39="","",ROUND(1+($D39*(SUMIFS(OBJECT_CONDITIONS!$W:$W,OBJECT_CONDITIONS!$A:$A,$I39)-1))+($E39*(SUMIFS(OBJECT_CONDITIONS!$J:$J,OBJECT_CONDITIONS!$A:$A,$I39)-1))+($F39*(SUMIFS(OBJECT_CONDITIONS!$L:$L,OBJECT_CONDITIONS!$A:$A,$I39)-1))+($G39*(SUMIFS(OBJECT_CONDITIONS!$N:$N,OBJECT_CONDITIONS!$A:$A,$I39)-1))+($H39*(SUMIFS(OBJECT_CONDITIONS!$R:$R,OBJECT_CONDITIONS!$A:$A,$I39)-1)),3))</f>
        <v/>
      </c>
      <c r="K39" s="4"/>
    </row>
    <row r="40" spans="1:11" x14ac:dyDescent="0.3">
      <c r="A40" s="4"/>
      <c r="B40" s="4"/>
      <c r="C40" s="4"/>
      <c r="D40" s="22"/>
      <c r="E40" s="22"/>
      <c r="F40" s="22"/>
      <c r="G40" s="22"/>
      <c r="H40" s="22"/>
      <c r="I40" s="4"/>
      <c r="J40" s="22" t="str">
        <f>IF($I40="","",ROUND(1+($D40*(SUMIFS(OBJECT_CONDITIONS!$W:$W,OBJECT_CONDITIONS!$A:$A,$I40)-1))+($E40*(SUMIFS(OBJECT_CONDITIONS!$J:$J,OBJECT_CONDITIONS!$A:$A,$I40)-1))+($F40*(SUMIFS(OBJECT_CONDITIONS!$L:$L,OBJECT_CONDITIONS!$A:$A,$I40)-1))+($G40*(SUMIFS(OBJECT_CONDITIONS!$N:$N,OBJECT_CONDITIONS!$A:$A,$I40)-1))+($H40*(SUMIFS(OBJECT_CONDITIONS!$R:$R,OBJECT_CONDITIONS!$A:$A,$I40)-1)),3))</f>
        <v/>
      </c>
      <c r="K40" s="4"/>
    </row>
    <row r="41" spans="1:11" x14ac:dyDescent="0.3">
      <c r="A41" s="4"/>
      <c r="B41" s="4"/>
      <c r="C41" s="4"/>
      <c r="D41" s="22"/>
      <c r="E41" s="22"/>
      <c r="F41" s="22"/>
      <c r="G41" s="22"/>
      <c r="H41" s="22"/>
      <c r="I41" s="4"/>
      <c r="J41" s="22" t="str">
        <f>IF($I41="","",ROUND(1+($D41*(SUMIFS(OBJECT_CONDITIONS!$W:$W,OBJECT_CONDITIONS!$A:$A,$I41)-1))+($E41*(SUMIFS(OBJECT_CONDITIONS!$J:$J,OBJECT_CONDITIONS!$A:$A,$I41)-1))+($F41*(SUMIFS(OBJECT_CONDITIONS!$L:$L,OBJECT_CONDITIONS!$A:$A,$I41)-1))+($G41*(SUMIFS(OBJECT_CONDITIONS!$N:$N,OBJECT_CONDITIONS!$A:$A,$I41)-1))+($H41*(SUMIFS(OBJECT_CONDITIONS!$R:$R,OBJECT_CONDITIONS!$A:$A,$I41)-1)),3))</f>
        <v/>
      </c>
      <c r="K41" s="4"/>
    </row>
    <row r="42" spans="1:11" x14ac:dyDescent="0.3">
      <c r="A42" s="4"/>
      <c r="B42" s="4"/>
      <c r="C42" s="4"/>
      <c r="D42" s="22"/>
      <c r="E42" s="22"/>
      <c r="F42" s="22"/>
      <c r="G42" s="22"/>
      <c r="H42" s="22"/>
      <c r="I42" s="4"/>
      <c r="J42" s="22" t="str">
        <f>IF($I42="","",ROUND(1+($D42*(SUMIFS(OBJECT_CONDITIONS!$W:$W,OBJECT_CONDITIONS!$A:$A,$I42)-1))+($E42*(SUMIFS(OBJECT_CONDITIONS!$J:$J,OBJECT_CONDITIONS!$A:$A,$I42)-1))+($F42*(SUMIFS(OBJECT_CONDITIONS!$L:$L,OBJECT_CONDITIONS!$A:$A,$I42)-1))+($G42*(SUMIFS(OBJECT_CONDITIONS!$N:$N,OBJECT_CONDITIONS!$A:$A,$I42)-1))+($H42*(SUMIFS(OBJECT_CONDITIONS!$R:$R,OBJECT_CONDITIONS!$A:$A,$I42)-1)),3))</f>
        <v/>
      </c>
      <c r="K42" s="4"/>
    </row>
    <row r="43" spans="1:11" x14ac:dyDescent="0.3">
      <c r="A43" s="4"/>
      <c r="B43" s="4"/>
      <c r="C43" s="4"/>
      <c r="D43" s="22"/>
      <c r="E43" s="22"/>
      <c r="F43" s="22"/>
      <c r="G43" s="22"/>
      <c r="H43" s="22"/>
      <c r="I43" s="4"/>
      <c r="J43" s="22" t="str">
        <f>IF($I43="","",ROUND(1+($D43*(SUMIFS(OBJECT_CONDITIONS!$W:$W,OBJECT_CONDITIONS!$A:$A,$I43)-1))+($E43*(SUMIFS(OBJECT_CONDITIONS!$J:$J,OBJECT_CONDITIONS!$A:$A,$I43)-1))+($F43*(SUMIFS(OBJECT_CONDITIONS!$L:$L,OBJECT_CONDITIONS!$A:$A,$I43)-1))+($G43*(SUMIFS(OBJECT_CONDITIONS!$N:$N,OBJECT_CONDITIONS!$A:$A,$I43)-1))+($H43*(SUMIFS(OBJECT_CONDITIONS!$R:$R,OBJECT_CONDITIONS!$A:$A,$I43)-1)),3))</f>
        <v/>
      </c>
      <c r="K43" s="4"/>
    </row>
    <row r="44" spans="1:11" x14ac:dyDescent="0.3">
      <c r="A44" s="4"/>
      <c r="B44" s="4"/>
      <c r="C44" s="4"/>
      <c r="D44" s="22"/>
      <c r="E44" s="22"/>
      <c r="F44" s="22"/>
      <c r="G44" s="22"/>
      <c r="H44" s="22"/>
      <c r="I44" s="4"/>
      <c r="J44" s="22" t="str">
        <f>IF($I44="","",ROUND(1+($D44*(SUMIFS(OBJECT_CONDITIONS!$W:$W,OBJECT_CONDITIONS!$A:$A,$I44)-1))+($E44*(SUMIFS(OBJECT_CONDITIONS!$J:$J,OBJECT_CONDITIONS!$A:$A,$I44)-1))+($F44*(SUMIFS(OBJECT_CONDITIONS!$L:$L,OBJECT_CONDITIONS!$A:$A,$I44)-1))+($G44*(SUMIFS(OBJECT_CONDITIONS!$N:$N,OBJECT_CONDITIONS!$A:$A,$I44)-1))+($H44*(SUMIFS(OBJECT_CONDITIONS!$R:$R,OBJECT_CONDITIONS!$A:$A,$I44)-1)),3))</f>
        <v/>
      </c>
      <c r="K44" s="4"/>
    </row>
    <row r="45" spans="1:11" x14ac:dyDescent="0.3">
      <c r="A45" s="4"/>
      <c r="B45" s="4"/>
      <c r="C45" s="4"/>
      <c r="D45" s="22"/>
      <c r="E45" s="22"/>
      <c r="F45" s="22"/>
      <c r="G45" s="22"/>
      <c r="H45" s="22"/>
      <c r="I45" s="4"/>
      <c r="J45" s="22" t="str">
        <f>IF($I45="","",ROUND(1+($D45*(SUMIFS(OBJECT_CONDITIONS!$W:$W,OBJECT_CONDITIONS!$A:$A,$I45)-1))+($E45*(SUMIFS(OBJECT_CONDITIONS!$J:$J,OBJECT_CONDITIONS!$A:$A,$I45)-1))+($F45*(SUMIFS(OBJECT_CONDITIONS!$L:$L,OBJECT_CONDITIONS!$A:$A,$I45)-1))+($G45*(SUMIFS(OBJECT_CONDITIONS!$N:$N,OBJECT_CONDITIONS!$A:$A,$I45)-1))+($H45*(SUMIFS(OBJECT_CONDITIONS!$R:$R,OBJECT_CONDITIONS!$A:$A,$I45)-1)),3))</f>
        <v/>
      </c>
      <c r="K45" s="4"/>
    </row>
    <row r="46" spans="1:11" x14ac:dyDescent="0.3">
      <c r="A46" s="4"/>
      <c r="B46" s="4"/>
      <c r="C46" s="4"/>
      <c r="D46" s="22"/>
      <c r="E46" s="22"/>
      <c r="F46" s="22"/>
      <c r="G46" s="22"/>
      <c r="H46" s="22"/>
      <c r="I46" s="4"/>
      <c r="J46" s="22" t="str">
        <f>IF($I46="","",ROUND(1+($D46*(SUMIFS(OBJECT_CONDITIONS!$W:$W,OBJECT_CONDITIONS!$A:$A,$I46)-1))+($E46*(SUMIFS(OBJECT_CONDITIONS!$J:$J,OBJECT_CONDITIONS!$A:$A,$I46)-1))+($F46*(SUMIFS(OBJECT_CONDITIONS!$L:$L,OBJECT_CONDITIONS!$A:$A,$I46)-1))+($G46*(SUMIFS(OBJECT_CONDITIONS!$N:$N,OBJECT_CONDITIONS!$A:$A,$I46)-1))+($H46*(SUMIFS(OBJECT_CONDITIONS!$R:$R,OBJECT_CONDITIONS!$A:$A,$I46)-1)),3))</f>
        <v/>
      </c>
      <c r="K46" s="4"/>
    </row>
    <row r="47" spans="1:11" x14ac:dyDescent="0.3">
      <c r="A47" s="4"/>
      <c r="B47" s="4"/>
      <c r="C47" s="4"/>
      <c r="D47" s="22"/>
      <c r="E47" s="22"/>
      <c r="F47" s="22"/>
      <c r="G47" s="22"/>
      <c r="H47" s="22"/>
      <c r="I47" s="4"/>
      <c r="J47" s="22" t="str">
        <f>IF($I47="","",ROUND(1+($D47*(SUMIFS(OBJECT_CONDITIONS!$W:$W,OBJECT_CONDITIONS!$A:$A,$I47)-1))+($E47*(SUMIFS(OBJECT_CONDITIONS!$J:$J,OBJECT_CONDITIONS!$A:$A,$I47)-1))+($F47*(SUMIFS(OBJECT_CONDITIONS!$L:$L,OBJECT_CONDITIONS!$A:$A,$I47)-1))+($G47*(SUMIFS(OBJECT_CONDITIONS!$N:$N,OBJECT_CONDITIONS!$A:$A,$I47)-1))+($H47*(SUMIFS(OBJECT_CONDITIONS!$R:$R,OBJECT_CONDITIONS!$A:$A,$I47)-1)),3))</f>
        <v/>
      </c>
      <c r="K47" s="4"/>
    </row>
    <row r="48" spans="1:11" x14ac:dyDescent="0.3">
      <c r="A48" s="4"/>
      <c r="B48" s="4"/>
      <c r="C48" s="4"/>
      <c r="D48" s="22"/>
      <c r="E48" s="22"/>
      <c r="F48" s="22"/>
      <c r="G48" s="22"/>
      <c r="H48" s="22"/>
      <c r="I48" s="4"/>
      <c r="J48" s="22" t="str">
        <f>IF($I48="","",ROUND(1+($D48*(SUMIFS(OBJECT_CONDITIONS!$W:$W,OBJECT_CONDITIONS!$A:$A,$I48)-1))+($E48*(SUMIFS(OBJECT_CONDITIONS!$J:$J,OBJECT_CONDITIONS!$A:$A,$I48)-1))+($F48*(SUMIFS(OBJECT_CONDITIONS!$L:$L,OBJECT_CONDITIONS!$A:$A,$I48)-1))+($G48*(SUMIFS(OBJECT_CONDITIONS!$N:$N,OBJECT_CONDITIONS!$A:$A,$I48)-1))+($H48*(SUMIFS(OBJECT_CONDITIONS!$R:$R,OBJECT_CONDITIONS!$A:$A,$I48)-1)),3))</f>
        <v/>
      </c>
      <c r="K48" s="4"/>
    </row>
    <row r="49" spans="1:11" x14ac:dyDescent="0.3">
      <c r="A49" s="4"/>
      <c r="B49" s="4"/>
      <c r="C49" s="4"/>
      <c r="D49" s="22"/>
      <c r="E49" s="22"/>
      <c r="F49" s="22"/>
      <c r="G49" s="22"/>
      <c r="H49" s="22"/>
      <c r="I49" s="4"/>
      <c r="J49" s="22" t="str">
        <f>IF($I49="","",ROUND(1+($D49*(SUMIFS(OBJECT_CONDITIONS!$W:$W,OBJECT_CONDITIONS!$A:$A,$I49)-1))+($E49*(SUMIFS(OBJECT_CONDITIONS!$J:$J,OBJECT_CONDITIONS!$A:$A,$I49)-1))+($F49*(SUMIFS(OBJECT_CONDITIONS!$L:$L,OBJECT_CONDITIONS!$A:$A,$I49)-1))+($G49*(SUMIFS(OBJECT_CONDITIONS!$N:$N,OBJECT_CONDITIONS!$A:$A,$I49)-1))+($H49*(SUMIFS(OBJECT_CONDITIONS!$R:$R,OBJECT_CONDITIONS!$A:$A,$I49)-1)),3))</f>
        <v/>
      </c>
      <c r="K49" s="4"/>
    </row>
    <row r="50" spans="1:11" x14ac:dyDescent="0.3">
      <c r="A50" s="4"/>
      <c r="B50" s="4"/>
      <c r="C50" s="4"/>
      <c r="D50" s="22"/>
      <c r="E50" s="22"/>
      <c r="F50" s="22"/>
      <c r="G50" s="22"/>
      <c r="H50" s="22"/>
      <c r="I50" s="4"/>
      <c r="J50" s="22" t="str">
        <f>IF($I50="","",ROUND(1+($D50*(SUMIFS(OBJECT_CONDITIONS!$W:$W,OBJECT_CONDITIONS!$A:$A,$I50)-1))+($E50*(SUMIFS(OBJECT_CONDITIONS!$J:$J,OBJECT_CONDITIONS!$A:$A,$I50)-1))+($F50*(SUMIFS(OBJECT_CONDITIONS!$L:$L,OBJECT_CONDITIONS!$A:$A,$I50)-1))+($G50*(SUMIFS(OBJECT_CONDITIONS!$N:$N,OBJECT_CONDITIONS!$A:$A,$I50)-1))+($H50*(SUMIFS(OBJECT_CONDITIONS!$R:$R,OBJECT_CONDITIONS!$A:$A,$I50)-1)),3))</f>
        <v/>
      </c>
      <c r="K50" s="4"/>
    </row>
    <row r="51" spans="1:11" x14ac:dyDescent="0.3">
      <c r="A51" s="4"/>
      <c r="B51" s="4"/>
      <c r="C51" s="4"/>
      <c r="D51" s="22"/>
      <c r="E51" s="22"/>
      <c r="F51" s="22"/>
      <c r="G51" s="22"/>
      <c r="H51" s="22"/>
      <c r="I51" s="4"/>
      <c r="J51" s="22" t="str">
        <f>IF($I51="","",ROUND(1+($D51*(SUMIFS(OBJECT_CONDITIONS!$W:$W,OBJECT_CONDITIONS!$A:$A,$I51)-1))+($E51*(SUMIFS(OBJECT_CONDITIONS!$J:$J,OBJECT_CONDITIONS!$A:$A,$I51)-1))+($F51*(SUMIFS(OBJECT_CONDITIONS!$L:$L,OBJECT_CONDITIONS!$A:$A,$I51)-1))+($G51*(SUMIFS(OBJECT_CONDITIONS!$N:$N,OBJECT_CONDITIONS!$A:$A,$I51)-1))+($H51*(SUMIFS(OBJECT_CONDITIONS!$R:$R,OBJECT_CONDITIONS!$A:$A,$I51)-1)),3))</f>
        <v/>
      </c>
      <c r="K51" s="4"/>
    </row>
    <row r="52" spans="1:11" x14ac:dyDescent="0.3">
      <c r="A52" s="4"/>
      <c r="B52" s="4"/>
      <c r="C52" s="4"/>
      <c r="D52" s="22"/>
      <c r="E52" s="22"/>
      <c r="F52" s="22"/>
      <c r="G52" s="22"/>
      <c r="H52" s="22"/>
      <c r="I52" s="4"/>
      <c r="J52" s="22" t="str">
        <f>IF($I52="","",ROUND(1+($D52*(SUMIFS(OBJECT_CONDITIONS!$W:$W,OBJECT_CONDITIONS!$A:$A,$I52)-1))+($E52*(SUMIFS(OBJECT_CONDITIONS!$J:$J,OBJECT_CONDITIONS!$A:$A,$I52)-1))+($F52*(SUMIFS(OBJECT_CONDITIONS!$L:$L,OBJECT_CONDITIONS!$A:$A,$I52)-1))+($G52*(SUMIFS(OBJECT_CONDITIONS!$N:$N,OBJECT_CONDITIONS!$A:$A,$I52)-1))+($H52*(SUMIFS(OBJECT_CONDITIONS!$R:$R,OBJECT_CONDITIONS!$A:$A,$I52)-1)),3))</f>
        <v/>
      </c>
      <c r="K52" s="4"/>
    </row>
    <row r="53" spans="1:11" x14ac:dyDescent="0.3">
      <c r="A53" s="4"/>
      <c r="B53" s="4"/>
      <c r="C53" s="4"/>
      <c r="D53" s="22"/>
      <c r="E53" s="22"/>
      <c r="F53" s="22"/>
      <c r="G53" s="22"/>
      <c r="H53" s="22"/>
      <c r="I53" s="4"/>
      <c r="J53" s="22" t="str">
        <f>IF($I53="","",ROUND(1+($D53*(SUMIFS(OBJECT_CONDITIONS!$W:$W,OBJECT_CONDITIONS!$A:$A,$I53)-1))+($E53*(SUMIFS(OBJECT_CONDITIONS!$J:$J,OBJECT_CONDITIONS!$A:$A,$I53)-1))+($F53*(SUMIFS(OBJECT_CONDITIONS!$L:$L,OBJECT_CONDITIONS!$A:$A,$I53)-1))+($G53*(SUMIFS(OBJECT_CONDITIONS!$N:$N,OBJECT_CONDITIONS!$A:$A,$I53)-1))+($H53*(SUMIFS(OBJECT_CONDITIONS!$R:$R,OBJECT_CONDITIONS!$A:$A,$I53)-1)),3))</f>
        <v/>
      </c>
      <c r="K53" s="4"/>
    </row>
    <row r="54" spans="1:11" x14ac:dyDescent="0.3">
      <c r="A54" s="4"/>
      <c r="B54" s="4"/>
      <c r="C54" s="4"/>
      <c r="D54" s="22"/>
      <c r="E54" s="22"/>
      <c r="F54" s="22"/>
      <c r="G54" s="22"/>
      <c r="H54" s="22"/>
      <c r="I54" s="4"/>
      <c r="J54" s="22" t="str">
        <f>IF($I54="","",ROUND(1+($D54*(SUMIFS(OBJECT_CONDITIONS!$W:$W,OBJECT_CONDITIONS!$A:$A,$I54)-1))+($E54*(SUMIFS(OBJECT_CONDITIONS!$J:$J,OBJECT_CONDITIONS!$A:$A,$I54)-1))+($F54*(SUMIFS(OBJECT_CONDITIONS!$L:$L,OBJECT_CONDITIONS!$A:$A,$I54)-1))+($G54*(SUMIFS(OBJECT_CONDITIONS!$N:$N,OBJECT_CONDITIONS!$A:$A,$I54)-1))+($H54*(SUMIFS(OBJECT_CONDITIONS!$R:$R,OBJECT_CONDITIONS!$A:$A,$I54)-1)),3))</f>
        <v/>
      </c>
      <c r="K54" s="4"/>
    </row>
    <row r="55" spans="1:11" x14ac:dyDescent="0.3">
      <c r="A55" s="4"/>
      <c r="B55" s="4"/>
      <c r="C55" s="4"/>
      <c r="D55" s="22"/>
      <c r="E55" s="22"/>
      <c r="F55" s="22"/>
      <c r="G55" s="22"/>
      <c r="H55" s="22"/>
      <c r="I55" s="4"/>
      <c r="J55" s="22" t="str">
        <f>IF($I55="","",ROUND(1+($D55*(SUMIFS(OBJECT_CONDITIONS!$W:$W,OBJECT_CONDITIONS!$A:$A,$I55)-1))+($E55*(SUMIFS(OBJECT_CONDITIONS!$J:$J,OBJECT_CONDITIONS!$A:$A,$I55)-1))+($F55*(SUMIFS(OBJECT_CONDITIONS!$L:$L,OBJECT_CONDITIONS!$A:$A,$I55)-1))+($G55*(SUMIFS(OBJECT_CONDITIONS!$N:$N,OBJECT_CONDITIONS!$A:$A,$I55)-1))+($H55*(SUMIFS(OBJECT_CONDITIONS!$R:$R,OBJECT_CONDITIONS!$A:$A,$I55)-1)),3))</f>
        <v/>
      </c>
      <c r="K55" s="4"/>
    </row>
    <row r="56" spans="1:11" x14ac:dyDescent="0.3">
      <c r="A56" s="4"/>
      <c r="B56" s="4"/>
      <c r="C56" s="4"/>
      <c r="D56" s="22"/>
      <c r="E56" s="22"/>
      <c r="F56" s="22"/>
      <c r="G56" s="22"/>
      <c r="H56" s="22"/>
      <c r="I56" s="4"/>
      <c r="J56" s="22" t="str">
        <f>IF($I56="","",ROUND(1+($D56*(SUMIFS(OBJECT_CONDITIONS!$W:$W,OBJECT_CONDITIONS!$A:$A,$I56)-1))+($E56*(SUMIFS(OBJECT_CONDITIONS!$J:$J,OBJECT_CONDITIONS!$A:$A,$I56)-1))+($F56*(SUMIFS(OBJECT_CONDITIONS!$L:$L,OBJECT_CONDITIONS!$A:$A,$I56)-1))+($G56*(SUMIFS(OBJECT_CONDITIONS!$N:$N,OBJECT_CONDITIONS!$A:$A,$I56)-1))+($H56*(SUMIFS(OBJECT_CONDITIONS!$R:$R,OBJECT_CONDITIONS!$A:$A,$I56)-1)),3))</f>
        <v/>
      </c>
      <c r="K56" s="4"/>
    </row>
    <row r="57" spans="1:11" x14ac:dyDescent="0.3">
      <c r="A57" s="4"/>
      <c r="B57" s="4"/>
      <c r="C57" s="4"/>
      <c r="D57" s="22"/>
      <c r="E57" s="22"/>
      <c r="F57" s="22"/>
      <c r="G57" s="22"/>
      <c r="H57" s="22"/>
      <c r="I57" s="4"/>
      <c r="J57" s="22" t="str">
        <f>IF($I57="","",ROUND(1+($D57*(SUMIFS(OBJECT_CONDITIONS!$W:$W,OBJECT_CONDITIONS!$A:$A,$I57)-1))+($E57*(SUMIFS(OBJECT_CONDITIONS!$J:$J,OBJECT_CONDITIONS!$A:$A,$I57)-1))+($F57*(SUMIFS(OBJECT_CONDITIONS!$L:$L,OBJECT_CONDITIONS!$A:$A,$I57)-1))+($G57*(SUMIFS(OBJECT_CONDITIONS!$N:$N,OBJECT_CONDITIONS!$A:$A,$I57)-1))+($H57*(SUMIFS(OBJECT_CONDITIONS!$R:$R,OBJECT_CONDITIONS!$A:$A,$I57)-1)),3))</f>
        <v/>
      </c>
      <c r="K57" s="4"/>
    </row>
    <row r="58" spans="1:11" x14ac:dyDescent="0.3">
      <c r="A58" s="4"/>
      <c r="B58" s="4"/>
      <c r="C58" s="4"/>
      <c r="D58" s="22"/>
      <c r="E58" s="22"/>
      <c r="F58" s="22"/>
      <c r="G58" s="22"/>
      <c r="H58" s="22"/>
      <c r="I58" s="4"/>
      <c r="J58" s="22" t="str">
        <f>IF($I58="","",ROUND(1+($D58*(SUMIFS(OBJECT_CONDITIONS!$W:$W,OBJECT_CONDITIONS!$A:$A,$I58)-1))+($E58*(SUMIFS(OBJECT_CONDITIONS!$J:$J,OBJECT_CONDITIONS!$A:$A,$I58)-1))+($F58*(SUMIFS(OBJECT_CONDITIONS!$L:$L,OBJECT_CONDITIONS!$A:$A,$I58)-1))+($G58*(SUMIFS(OBJECT_CONDITIONS!$N:$N,OBJECT_CONDITIONS!$A:$A,$I58)-1))+($H58*(SUMIFS(OBJECT_CONDITIONS!$R:$R,OBJECT_CONDITIONS!$A:$A,$I58)-1)),3))</f>
        <v/>
      </c>
      <c r="K58" s="4"/>
    </row>
    <row r="59" spans="1:11" x14ac:dyDescent="0.3">
      <c r="A59" s="4"/>
      <c r="B59" s="4"/>
      <c r="C59" s="4"/>
      <c r="D59" s="22"/>
      <c r="E59" s="22"/>
      <c r="F59" s="22"/>
      <c r="G59" s="22"/>
      <c r="H59" s="22"/>
      <c r="I59" s="4"/>
      <c r="J59" s="22" t="str">
        <f>IF($I59="","",ROUND(1+($D59*(SUMIFS(OBJECT_CONDITIONS!$W:$W,OBJECT_CONDITIONS!$A:$A,$I59)-1))+($E59*(SUMIFS(OBJECT_CONDITIONS!$J:$J,OBJECT_CONDITIONS!$A:$A,$I59)-1))+($F59*(SUMIFS(OBJECT_CONDITIONS!$L:$L,OBJECT_CONDITIONS!$A:$A,$I59)-1))+($G59*(SUMIFS(OBJECT_CONDITIONS!$N:$N,OBJECT_CONDITIONS!$A:$A,$I59)-1))+($H59*(SUMIFS(OBJECT_CONDITIONS!$R:$R,OBJECT_CONDITIONS!$A:$A,$I59)-1)),3))</f>
        <v/>
      </c>
      <c r="K59" s="4"/>
    </row>
    <row r="60" spans="1:11" x14ac:dyDescent="0.3">
      <c r="A60" s="4"/>
      <c r="B60" s="4"/>
      <c r="C60" s="4"/>
      <c r="D60" s="22"/>
      <c r="E60" s="22"/>
      <c r="F60" s="22"/>
      <c r="G60" s="22"/>
      <c r="H60" s="22"/>
      <c r="I60" s="4"/>
      <c r="J60" s="22" t="str">
        <f>IF($I60="","",ROUND(1+($D60*(SUMIFS(OBJECT_CONDITIONS!$W:$W,OBJECT_CONDITIONS!$A:$A,$I60)-1))+($E60*(SUMIFS(OBJECT_CONDITIONS!$J:$J,OBJECT_CONDITIONS!$A:$A,$I60)-1))+($F60*(SUMIFS(OBJECT_CONDITIONS!$L:$L,OBJECT_CONDITIONS!$A:$A,$I60)-1))+($G60*(SUMIFS(OBJECT_CONDITIONS!$N:$N,OBJECT_CONDITIONS!$A:$A,$I60)-1))+($H60*(SUMIFS(OBJECT_CONDITIONS!$R:$R,OBJECT_CONDITIONS!$A:$A,$I60)-1)),3))</f>
        <v/>
      </c>
      <c r="K60" s="4"/>
    </row>
    <row r="61" spans="1:11" x14ac:dyDescent="0.3">
      <c r="A61" s="4"/>
      <c r="B61" s="4"/>
      <c r="C61" s="4"/>
      <c r="D61" s="22"/>
      <c r="E61" s="22"/>
      <c r="F61" s="22"/>
      <c r="G61" s="22"/>
      <c r="H61" s="22"/>
      <c r="I61" s="4"/>
      <c r="J61" s="22" t="str">
        <f>IF($I61="","",ROUND(1+($D61*(SUMIFS(OBJECT_CONDITIONS!$W:$W,OBJECT_CONDITIONS!$A:$A,$I61)-1))+($E61*(SUMIFS(OBJECT_CONDITIONS!$J:$J,OBJECT_CONDITIONS!$A:$A,$I61)-1))+($F61*(SUMIFS(OBJECT_CONDITIONS!$L:$L,OBJECT_CONDITIONS!$A:$A,$I61)-1))+($G61*(SUMIFS(OBJECT_CONDITIONS!$N:$N,OBJECT_CONDITIONS!$A:$A,$I61)-1))+($H61*(SUMIFS(OBJECT_CONDITIONS!$R:$R,OBJECT_CONDITIONS!$A:$A,$I61)-1)),3))</f>
        <v/>
      </c>
      <c r="K61" s="4"/>
    </row>
    <row r="62" spans="1:11" x14ac:dyDescent="0.3">
      <c r="A62" s="4"/>
      <c r="B62" s="4"/>
      <c r="C62" s="4"/>
      <c r="D62" s="22"/>
      <c r="E62" s="22"/>
      <c r="F62" s="22"/>
      <c r="G62" s="22"/>
      <c r="H62" s="22"/>
      <c r="I62" s="4"/>
      <c r="J62" s="22" t="str">
        <f>IF($I62="","",ROUND(1+($D62*(SUMIFS(OBJECT_CONDITIONS!$W:$W,OBJECT_CONDITIONS!$A:$A,$I62)-1))+($E62*(SUMIFS(OBJECT_CONDITIONS!$J:$J,OBJECT_CONDITIONS!$A:$A,$I62)-1))+($F62*(SUMIFS(OBJECT_CONDITIONS!$L:$L,OBJECT_CONDITIONS!$A:$A,$I62)-1))+($G62*(SUMIFS(OBJECT_CONDITIONS!$N:$N,OBJECT_CONDITIONS!$A:$A,$I62)-1))+($H62*(SUMIFS(OBJECT_CONDITIONS!$R:$R,OBJECT_CONDITIONS!$A:$A,$I62)-1)),3))</f>
        <v/>
      </c>
      <c r="K62" s="4"/>
    </row>
    <row r="63" spans="1:11" x14ac:dyDescent="0.3">
      <c r="A63" s="4"/>
      <c r="B63" s="4"/>
      <c r="C63" s="4"/>
      <c r="D63" s="22"/>
      <c r="E63" s="22"/>
      <c r="F63" s="22"/>
      <c r="G63" s="22"/>
      <c r="H63" s="22"/>
      <c r="I63" s="4"/>
      <c r="J63" s="22" t="str">
        <f>IF($I63="","",ROUND(1+($D63*(SUMIFS(OBJECT_CONDITIONS!$W:$W,OBJECT_CONDITIONS!$A:$A,$I63)-1))+($E63*(SUMIFS(OBJECT_CONDITIONS!$J:$J,OBJECT_CONDITIONS!$A:$A,$I63)-1))+($F63*(SUMIFS(OBJECT_CONDITIONS!$L:$L,OBJECT_CONDITIONS!$A:$A,$I63)-1))+($G63*(SUMIFS(OBJECT_CONDITIONS!$N:$N,OBJECT_CONDITIONS!$A:$A,$I63)-1))+($H63*(SUMIFS(OBJECT_CONDITIONS!$R:$R,OBJECT_CONDITIONS!$A:$A,$I63)-1)),3))</f>
        <v/>
      </c>
      <c r="K63" s="4"/>
    </row>
    <row r="64" spans="1:11" x14ac:dyDescent="0.3">
      <c r="A64" s="4"/>
      <c r="B64" s="4"/>
      <c r="C64" s="4"/>
      <c r="D64" s="22"/>
      <c r="E64" s="22"/>
      <c r="F64" s="22"/>
      <c r="G64" s="22"/>
      <c r="H64" s="22"/>
      <c r="I64" s="4"/>
      <c r="J64" s="22" t="str">
        <f>IF($I64="","",ROUND(1+($D64*(SUMIFS(OBJECT_CONDITIONS!$W:$W,OBJECT_CONDITIONS!$A:$A,$I64)-1))+($E64*(SUMIFS(OBJECT_CONDITIONS!$J:$J,OBJECT_CONDITIONS!$A:$A,$I64)-1))+($F64*(SUMIFS(OBJECT_CONDITIONS!$L:$L,OBJECT_CONDITIONS!$A:$A,$I64)-1))+($G64*(SUMIFS(OBJECT_CONDITIONS!$N:$N,OBJECT_CONDITIONS!$A:$A,$I64)-1))+($H64*(SUMIFS(OBJECT_CONDITIONS!$R:$R,OBJECT_CONDITIONS!$A:$A,$I64)-1)),3))</f>
        <v/>
      </c>
      <c r="K64" s="4"/>
    </row>
    <row r="65" spans="1:11" x14ac:dyDescent="0.3">
      <c r="A65" s="4"/>
      <c r="B65" s="4"/>
      <c r="C65" s="4"/>
      <c r="D65" s="22"/>
      <c r="E65" s="22"/>
      <c r="F65" s="22"/>
      <c r="G65" s="22"/>
      <c r="H65" s="22"/>
      <c r="I65" s="4"/>
      <c r="J65" s="22" t="str">
        <f>IF($I65="","",ROUND(1+($D65*(SUMIFS(OBJECT_CONDITIONS!$W:$W,OBJECT_CONDITIONS!$A:$A,$I65)-1))+($E65*(SUMIFS(OBJECT_CONDITIONS!$J:$J,OBJECT_CONDITIONS!$A:$A,$I65)-1))+($F65*(SUMIFS(OBJECT_CONDITIONS!$L:$L,OBJECT_CONDITIONS!$A:$A,$I65)-1))+($G65*(SUMIFS(OBJECT_CONDITIONS!$N:$N,OBJECT_CONDITIONS!$A:$A,$I65)-1))+($H65*(SUMIFS(OBJECT_CONDITIONS!$R:$R,OBJECT_CONDITIONS!$A:$A,$I65)-1)),3))</f>
        <v/>
      </c>
      <c r="K65" s="4"/>
    </row>
    <row r="66" spans="1:11" x14ac:dyDescent="0.3">
      <c r="A66" s="4"/>
      <c r="B66" s="4"/>
      <c r="C66" s="4"/>
      <c r="D66" s="22"/>
      <c r="E66" s="22"/>
      <c r="F66" s="22"/>
      <c r="G66" s="22"/>
      <c r="H66" s="22"/>
      <c r="I66" s="4"/>
      <c r="J66" s="22" t="str">
        <f>IF($I66="","",ROUND(1+($D66*(SUMIFS(OBJECT_CONDITIONS!$W:$W,OBJECT_CONDITIONS!$A:$A,$I66)-1))+($E66*(SUMIFS(OBJECT_CONDITIONS!$J:$J,OBJECT_CONDITIONS!$A:$A,$I66)-1))+($F66*(SUMIFS(OBJECT_CONDITIONS!$L:$L,OBJECT_CONDITIONS!$A:$A,$I66)-1))+($G66*(SUMIFS(OBJECT_CONDITIONS!$N:$N,OBJECT_CONDITIONS!$A:$A,$I66)-1))+($H66*(SUMIFS(OBJECT_CONDITIONS!$R:$R,OBJECT_CONDITIONS!$A:$A,$I66)-1)),3))</f>
        <v/>
      </c>
      <c r="K66" s="4"/>
    </row>
    <row r="67" spans="1:11" x14ac:dyDescent="0.3">
      <c r="A67" s="4"/>
      <c r="B67" s="4"/>
      <c r="C67" s="4"/>
      <c r="D67" s="22"/>
      <c r="E67" s="22"/>
      <c r="F67" s="22"/>
      <c r="G67" s="22"/>
      <c r="H67" s="22"/>
      <c r="I67" s="4"/>
      <c r="J67" s="22" t="str">
        <f>IF($I67="","",ROUND(1+($D67*(SUMIFS(OBJECT_CONDITIONS!$W:$W,OBJECT_CONDITIONS!$A:$A,$I67)-1))+($E67*(SUMIFS(OBJECT_CONDITIONS!$J:$J,OBJECT_CONDITIONS!$A:$A,$I67)-1))+($F67*(SUMIFS(OBJECT_CONDITIONS!$L:$L,OBJECT_CONDITIONS!$A:$A,$I67)-1))+($G67*(SUMIFS(OBJECT_CONDITIONS!$N:$N,OBJECT_CONDITIONS!$A:$A,$I67)-1))+($H67*(SUMIFS(OBJECT_CONDITIONS!$R:$R,OBJECT_CONDITIONS!$A:$A,$I67)-1)),3))</f>
        <v/>
      </c>
      <c r="K67" s="4"/>
    </row>
    <row r="68" spans="1:11" x14ac:dyDescent="0.3">
      <c r="A68" s="4"/>
      <c r="B68" s="4"/>
      <c r="C68" s="4"/>
      <c r="D68" s="22"/>
      <c r="E68" s="22"/>
      <c r="F68" s="22"/>
      <c r="G68" s="22"/>
      <c r="H68" s="22"/>
      <c r="I68" s="4"/>
      <c r="J68" s="22" t="str">
        <f>IF($I68="","",ROUND(1+($D68*(SUMIFS(OBJECT_CONDITIONS!$W:$W,OBJECT_CONDITIONS!$A:$A,$I68)-1))+($E68*(SUMIFS(OBJECT_CONDITIONS!$J:$J,OBJECT_CONDITIONS!$A:$A,$I68)-1))+($F68*(SUMIFS(OBJECT_CONDITIONS!$L:$L,OBJECT_CONDITIONS!$A:$A,$I68)-1))+($G68*(SUMIFS(OBJECT_CONDITIONS!$N:$N,OBJECT_CONDITIONS!$A:$A,$I68)-1))+($H68*(SUMIFS(OBJECT_CONDITIONS!$R:$R,OBJECT_CONDITIONS!$A:$A,$I68)-1)),3))</f>
        <v/>
      </c>
      <c r="K68" s="4"/>
    </row>
    <row r="69" spans="1:11" x14ac:dyDescent="0.3">
      <c r="A69" s="4"/>
      <c r="B69" s="4"/>
      <c r="C69" s="4"/>
      <c r="D69" s="22"/>
      <c r="E69" s="22"/>
      <c r="F69" s="22"/>
      <c r="G69" s="22"/>
      <c r="H69" s="22"/>
      <c r="I69" s="4"/>
      <c r="J69" s="22" t="str">
        <f>IF($I69="","",ROUND(1+($D69*(SUMIFS(OBJECT_CONDITIONS!$W:$W,OBJECT_CONDITIONS!$A:$A,$I69)-1))+($E69*(SUMIFS(OBJECT_CONDITIONS!$J:$J,OBJECT_CONDITIONS!$A:$A,$I69)-1))+($F69*(SUMIFS(OBJECT_CONDITIONS!$L:$L,OBJECT_CONDITIONS!$A:$A,$I69)-1))+($G69*(SUMIFS(OBJECT_CONDITIONS!$N:$N,OBJECT_CONDITIONS!$A:$A,$I69)-1))+($H69*(SUMIFS(OBJECT_CONDITIONS!$R:$R,OBJECT_CONDITIONS!$A:$A,$I69)-1)),3))</f>
        <v/>
      </c>
      <c r="K69" s="4"/>
    </row>
    <row r="70" spans="1:11" x14ac:dyDescent="0.3">
      <c r="A70" s="4"/>
      <c r="B70" s="4"/>
      <c r="C70" s="4"/>
      <c r="D70" s="22"/>
      <c r="E70" s="22"/>
      <c r="F70" s="22"/>
      <c r="G70" s="22"/>
      <c r="H70" s="22"/>
      <c r="I70" s="4"/>
      <c r="J70" s="22" t="str">
        <f>IF($I70="","",ROUND(1+($D70*(SUMIFS(OBJECT_CONDITIONS!$W:$W,OBJECT_CONDITIONS!$A:$A,$I70)-1))+($E70*(SUMIFS(OBJECT_CONDITIONS!$J:$J,OBJECT_CONDITIONS!$A:$A,$I70)-1))+($F70*(SUMIFS(OBJECT_CONDITIONS!$L:$L,OBJECT_CONDITIONS!$A:$A,$I70)-1))+($G70*(SUMIFS(OBJECT_CONDITIONS!$N:$N,OBJECT_CONDITIONS!$A:$A,$I70)-1))+($H70*(SUMIFS(OBJECT_CONDITIONS!$R:$R,OBJECT_CONDITIONS!$A:$A,$I70)-1)),3))</f>
        <v/>
      </c>
      <c r="K70" s="4"/>
    </row>
    <row r="71" spans="1:11" x14ac:dyDescent="0.3">
      <c r="A71" s="4"/>
      <c r="B71" s="4"/>
      <c r="C71" s="4"/>
      <c r="D71" s="22"/>
      <c r="E71" s="22"/>
      <c r="F71" s="22"/>
      <c r="G71" s="22"/>
      <c r="H71" s="22"/>
      <c r="I71" s="4"/>
      <c r="J71" s="22" t="str">
        <f>IF($I71="","",ROUND(1+($D71*(SUMIFS(OBJECT_CONDITIONS!$W:$W,OBJECT_CONDITIONS!$A:$A,$I71)-1))+($E71*(SUMIFS(OBJECT_CONDITIONS!$J:$J,OBJECT_CONDITIONS!$A:$A,$I71)-1))+($F71*(SUMIFS(OBJECT_CONDITIONS!$L:$L,OBJECT_CONDITIONS!$A:$A,$I71)-1))+($G71*(SUMIFS(OBJECT_CONDITIONS!$N:$N,OBJECT_CONDITIONS!$A:$A,$I71)-1))+($H71*(SUMIFS(OBJECT_CONDITIONS!$R:$R,OBJECT_CONDITIONS!$A:$A,$I71)-1)),3))</f>
        <v/>
      </c>
      <c r="K71" s="4"/>
    </row>
    <row r="72" spans="1:11" x14ac:dyDescent="0.3">
      <c r="A72" s="4"/>
      <c r="B72" s="4"/>
      <c r="C72" s="4"/>
      <c r="D72" s="22"/>
      <c r="E72" s="22"/>
      <c r="F72" s="22"/>
      <c r="G72" s="22"/>
      <c r="H72" s="22"/>
      <c r="I72" s="4"/>
      <c r="J72" s="22" t="str">
        <f>IF($I72="","",ROUND(1+($D72*(SUMIFS(OBJECT_CONDITIONS!$W:$W,OBJECT_CONDITIONS!$A:$A,$I72)-1))+($E72*(SUMIFS(OBJECT_CONDITIONS!$J:$J,OBJECT_CONDITIONS!$A:$A,$I72)-1))+($F72*(SUMIFS(OBJECT_CONDITIONS!$L:$L,OBJECT_CONDITIONS!$A:$A,$I72)-1))+($G72*(SUMIFS(OBJECT_CONDITIONS!$N:$N,OBJECT_CONDITIONS!$A:$A,$I72)-1))+($H72*(SUMIFS(OBJECT_CONDITIONS!$R:$R,OBJECT_CONDITIONS!$A:$A,$I72)-1)),3))</f>
        <v/>
      </c>
      <c r="K72" s="4"/>
    </row>
    <row r="73" spans="1:11" x14ac:dyDescent="0.3">
      <c r="A73" s="4"/>
      <c r="B73" s="4"/>
      <c r="C73" s="4"/>
      <c r="D73" s="22"/>
      <c r="E73" s="22"/>
      <c r="F73" s="22"/>
      <c r="G73" s="22"/>
      <c r="H73" s="22"/>
      <c r="I73" s="4"/>
      <c r="J73" s="22" t="str">
        <f>IF($I73="","",ROUND(1+($D73*(SUMIFS(OBJECT_CONDITIONS!$W:$W,OBJECT_CONDITIONS!$A:$A,$I73)-1))+($E73*(SUMIFS(OBJECT_CONDITIONS!$J:$J,OBJECT_CONDITIONS!$A:$A,$I73)-1))+($F73*(SUMIFS(OBJECT_CONDITIONS!$L:$L,OBJECT_CONDITIONS!$A:$A,$I73)-1))+($G73*(SUMIFS(OBJECT_CONDITIONS!$N:$N,OBJECT_CONDITIONS!$A:$A,$I73)-1))+($H73*(SUMIFS(OBJECT_CONDITIONS!$R:$R,OBJECT_CONDITIONS!$A:$A,$I73)-1)),3))</f>
        <v/>
      </c>
      <c r="K73" s="4"/>
    </row>
    <row r="74" spans="1:11" x14ac:dyDescent="0.3">
      <c r="A74" s="4"/>
      <c r="B74" s="4"/>
      <c r="C74" s="4"/>
      <c r="D74" s="22"/>
      <c r="E74" s="22"/>
      <c r="F74" s="22"/>
      <c r="G74" s="22"/>
      <c r="H74" s="22"/>
      <c r="I74" s="4"/>
      <c r="J74" s="22" t="str">
        <f>IF($I74="","",ROUND(1+($D74*(SUMIFS(OBJECT_CONDITIONS!$W:$W,OBJECT_CONDITIONS!$A:$A,$I74)-1))+($E74*(SUMIFS(OBJECT_CONDITIONS!$J:$J,OBJECT_CONDITIONS!$A:$A,$I74)-1))+($F74*(SUMIFS(OBJECT_CONDITIONS!$L:$L,OBJECT_CONDITIONS!$A:$A,$I74)-1))+($G74*(SUMIFS(OBJECT_CONDITIONS!$N:$N,OBJECT_CONDITIONS!$A:$A,$I74)-1))+($H74*(SUMIFS(OBJECT_CONDITIONS!$R:$R,OBJECT_CONDITIONS!$A:$A,$I74)-1)),3))</f>
        <v/>
      </c>
      <c r="K74" s="4"/>
    </row>
    <row r="75" spans="1:11" x14ac:dyDescent="0.3">
      <c r="A75" s="4"/>
      <c r="B75" s="4"/>
      <c r="C75" s="4"/>
      <c r="D75" s="22"/>
      <c r="E75" s="22"/>
      <c r="F75" s="22"/>
      <c r="G75" s="22"/>
      <c r="H75" s="22"/>
      <c r="I75" s="4"/>
      <c r="J75" s="22" t="str">
        <f>IF($I75="","",ROUND(1+($D75*(SUMIFS(OBJECT_CONDITIONS!$W:$W,OBJECT_CONDITIONS!$A:$A,$I75)-1))+($E75*(SUMIFS(OBJECT_CONDITIONS!$J:$J,OBJECT_CONDITIONS!$A:$A,$I75)-1))+($F75*(SUMIFS(OBJECT_CONDITIONS!$L:$L,OBJECT_CONDITIONS!$A:$A,$I75)-1))+($G75*(SUMIFS(OBJECT_CONDITIONS!$N:$N,OBJECT_CONDITIONS!$A:$A,$I75)-1))+($H75*(SUMIFS(OBJECT_CONDITIONS!$R:$R,OBJECT_CONDITIONS!$A:$A,$I75)-1)),3))</f>
        <v/>
      </c>
      <c r="K75" s="4"/>
    </row>
    <row r="76" spans="1:11" x14ac:dyDescent="0.3">
      <c r="A76" s="4"/>
      <c r="B76" s="4"/>
      <c r="C76" s="4"/>
      <c r="D76" s="22"/>
      <c r="E76" s="22"/>
      <c r="F76" s="22"/>
      <c r="G76" s="22"/>
      <c r="H76" s="22"/>
      <c r="I76" s="4"/>
      <c r="J76" s="22" t="str">
        <f>IF($I76="","",ROUND(1+($D76*(SUMIFS(OBJECT_CONDITIONS!$W:$W,OBJECT_CONDITIONS!$A:$A,$I76)-1))+($E76*(SUMIFS(OBJECT_CONDITIONS!$J:$J,OBJECT_CONDITIONS!$A:$A,$I76)-1))+($F76*(SUMIFS(OBJECT_CONDITIONS!$L:$L,OBJECT_CONDITIONS!$A:$A,$I76)-1))+($G76*(SUMIFS(OBJECT_CONDITIONS!$N:$N,OBJECT_CONDITIONS!$A:$A,$I76)-1))+($H76*(SUMIFS(OBJECT_CONDITIONS!$R:$R,OBJECT_CONDITIONS!$A:$A,$I76)-1)),3))</f>
        <v/>
      </c>
      <c r="K76" s="4"/>
    </row>
    <row r="77" spans="1:11" x14ac:dyDescent="0.3">
      <c r="A77" s="4"/>
      <c r="B77" s="4"/>
      <c r="C77" s="4"/>
      <c r="D77" s="22"/>
      <c r="E77" s="22"/>
      <c r="F77" s="22"/>
      <c r="G77" s="22"/>
      <c r="H77" s="22"/>
      <c r="I77" s="4"/>
      <c r="J77" s="22" t="str">
        <f>IF($I77="","",ROUND(1+($D77*(SUMIFS(OBJECT_CONDITIONS!$W:$W,OBJECT_CONDITIONS!$A:$A,$I77)-1))+($E77*(SUMIFS(OBJECT_CONDITIONS!$J:$J,OBJECT_CONDITIONS!$A:$A,$I77)-1))+($F77*(SUMIFS(OBJECT_CONDITIONS!$L:$L,OBJECT_CONDITIONS!$A:$A,$I77)-1))+($G77*(SUMIFS(OBJECT_CONDITIONS!$N:$N,OBJECT_CONDITIONS!$A:$A,$I77)-1))+($H77*(SUMIFS(OBJECT_CONDITIONS!$R:$R,OBJECT_CONDITIONS!$A:$A,$I77)-1)),3))</f>
        <v/>
      </c>
      <c r="K77" s="4"/>
    </row>
    <row r="78" spans="1:11" x14ac:dyDescent="0.3">
      <c r="A78" s="4"/>
      <c r="B78" s="4"/>
      <c r="C78" s="4"/>
      <c r="D78" s="22"/>
      <c r="E78" s="22"/>
      <c r="F78" s="22"/>
      <c r="G78" s="22"/>
      <c r="H78" s="22"/>
      <c r="I78" s="4"/>
      <c r="J78" s="22" t="str">
        <f>IF($I78="","",ROUND(1+($D78*(SUMIFS(OBJECT_CONDITIONS!$W:$W,OBJECT_CONDITIONS!$A:$A,$I78)-1))+($E78*(SUMIFS(OBJECT_CONDITIONS!$J:$J,OBJECT_CONDITIONS!$A:$A,$I78)-1))+($F78*(SUMIFS(OBJECT_CONDITIONS!$L:$L,OBJECT_CONDITIONS!$A:$A,$I78)-1))+($G78*(SUMIFS(OBJECT_CONDITIONS!$N:$N,OBJECT_CONDITIONS!$A:$A,$I78)-1))+($H78*(SUMIFS(OBJECT_CONDITIONS!$R:$R,OBJECT_CONDITIONS!$A:$A,$I78)-1)),3))</f>
        <v/>
      </c>
      <c r="K78" s="4"/>
    </row>
    <row r="79" spans="1:11" x14ac:dyDescent="0.3">
      <c r="A79" s="4"/>
      <c r="B79" s="4"/>
      <c r="C79" s="4"/>
      <c r="D79" s="22"/>
      <c r="E79" s="22"/>
      <c r="F79" s="22"/>
      <c r="G79" s="22"/>
      <c r="H79" s="22"/>
      <c r="I79" s="4"/>
      <c r="J79" s="22" t="str">
        <f>IF($I79="","",ROUND(1+($D79*(SUMIFS(OBJECT_CONDITIONS!$W:$W,OBJECT_CONDITIONS!$A:$A,$I79)-1))+($E79*(SUMIFS(OBJECT_CONDITIONS!$J:$J,OBJECT_CONDITIONS!$A:$A,$I79)-1))+($F79*(SUMIFS(OBJECT_CONDITIONS!$L:$L,OBJECT_CONDITIONS!$A:$A,$I79)-1))+($G79*(SUMIFS(OBJECT_CONDITIONS!$N:$N,OBJECT_CONDITIONS!$A:$A,$I79)-1))+($H79*(SUMIFS(OBJECT_CONDITIONS!$R:$R,OBJECT_CONDITIONS!$A:$A,$I79)-1)),3))</f>
        <v/>
      </c>
      <c r="K79" s="4"/>
    </row>
    <row r="80" spans="1:11" x14ac:dyDescent="0.3">
      <c r="A80" s="4"/>
      <c r="B80" s="4"/>
      <c r="C80" s="4"/>
      <c r="D80" s="22"/>
      <c r="E80" s="22"/>
      <c r="F80" s="22"/>
      <c r="G80" s="22"/>
      <c r="H80" s="22"/>
      <c r="I80" s="4"/>
      <c r="J80" s="22" t="str">
        <f>IF($I80="","",ROUND(1+($D80*(SUMIFS(OBJECT_CONDITIONS!$W:$W,OBJECT_CONDITIONS!$A:$A,$I80)-1))+($E80*(SUMIFS(OBJECT_CONDITIONS!$J:$J,OBJECT_CONDITIONS!$A:$A,$I80)-1))+($F80*(SUMIFS(OBJECT_CONDITIONS!$L:$L,OBJECT_CONDITIONS!$A:$A,$I80)-1))+($G80*(SUMIFS(OBJECT_CONDITIONS!$N:$N,OBJECT_CONDITIONS!$A:$A,$I80)-1))+($H80*(SUMIFS(OBJECT_CONDITIONS!$R:$R,OBJECT_CONDITIONS!$A:$A,$I80)-1)),3))</f>
        <v/>
      </c>
      <c r="K80" s="4"/>
    </row>
    <row r="81" spans="1:11" x14ac:dyDescent="0.3">
      <c r="A81" s="4"/>
      <c r="B81" s="4"/>
      <c r="C81" s="4"/>
      <c r="D81" s="22"/>
      <c r="E81" s="22"/>
      <c r="F81" s="22"/>
      <c r="G81" s="22"/>
      <c r="H81" s="22"/>
      <c r="I81" s="4"/>
      <c r="J81" s="22" t="str">
        <f>IF($I81="","",ROUND(1+($D81*(SUMIFS(OBJECT_CONDITIONS!$W:$W,OBJECT_CONDITIONS!$A:$A,$I81)-1))+($E81*(SUMIFS(OBJECT_CONDITIONS!$J:$J,OBJECT_CONDITIONS!$A:$A,$I81)-1))+($F81*(SUMIFS(OBJECT_CONDITIONS!$L:$L,OBJECT_CONDITIONS!$A:$A,$I81)-1))+($G81*(SUMIFS(OBJECT_CONDITIONS!$N:$N,OBJECT_CONDITIONS!$A:$A,$I81)-1))+($H81*(SUMIFS(OBJECT_CONDITIONS!$R:$R,OBJECT_CONDITIONS!$A:$A,$I81)-1)),3))</f>
        <v/>
      </c>
      <c r="K81" s="4"/>
    </row>
    <row r="82" spans="1:11" x14ac:dyDescent="0.3">
      <c r="A82" s="4"/>
      <c r="B82" s="4"/>
      <c r="C82" s="4"/>
      <c r="D82" s="22"/>
      <c r="E82" s="22"/>
      <c r="F82" s="22"/>
      <c r="G82" s="22"/>
      <c r="H82" s="22"/>
      <c r="I82" s="4"/>
      <c r="J82" s="22" t="str">
        <f>IF($I82="","",ROUND(1+($D82*(SUMIFS(OBJECT_CONDITIONS!$W:$W,OBJECT_CONDITIONS!$A:$A,$I82)-1))+($E82*(SUMIFS(OBJECT_CONDITIONS!$J:$J,OBJECT_CONDITIONS!$A:$A,$I82)-1))+($F82*(SUMIFS(OBJECT_CONDITIONS!$L:$L,OBJECT_CONDITIONS!$A:$A,$I82)-1))+($G82*(SUMIFS(OBJECT_CONDITIONS!$N:$N,OBJECT_CONDITIONS!$A:$A,$I82)-1))+($H82*(SUMIFS(OBJECT_CONDITIONS!$R:$R,OBJECT_CONDITIONS!$A:$A,$I82)-1)),3))</f>
        <v/>
      </c>
      <c r="K82" s="4"/>
    </row>
    <row r="83" spans="1:11" x14ac:dyDescent="0.3">
      <c r="A83" s="4"/>
      <c r="B83" s="4"/>
      <c r="C83" s="4"/>
      <c r="D83" s="22"/>
      <c r="E83" s="22"/>
      <c r="F83" s="22"/>
      <c r="G83" s="22"/>
      <c r="H83" s="22"/>
      <c r="I83" s="4"/>
      <c r="J83" s="22" t="str">
        <f>IF($I83="","",ROUND(1+($D83*(SUMIFS(OBJECT_CONDITIONS!$W:$W,OBJECT_CONDITIONS!$A:$A,$I83)-1))+($E83*(SUMIFS(OBJECT_CONDITIONS!$J:$J,OBJECT_CONDITIONS!$A:$A,$I83)-1))+($F83*(SUMIFS(OBJECT_CONDITIONS!$L:$L,OBJECT_CONDITIONS!$A:$A,$I83)-1))+($G83*(SUMIFS(OBJECT_CONDITIONS!$N:$N,OBJECT_CONDITIONS!$A:$A,$I83)-1))+($H83*(SUMIFS(OBJECT_CONDITIONS!$R:$R,OBJECT_CONDITIONS!$A:$A,$I83)-1)),3))</f>
        <v/>
      </c>
      <c r="K83" s="4"/>
    </row>
    <row r="84" spans="1:11" x14ac:dyDescent="0.3">
      <c r="A84" s="4"/>
      <c r="B84" s="4"/>
      <c r="C84" s="4"/>
      <c r="D84" s="22"/>
      <c r="E84" s="22"/>
      <c r="F84" s="22"/>
      <c r="G84" s="22"/>
      <c r="H84" s="22"/>
      <c r="I84" s="4"/>
      <c r="J84" s="22" t="str">
        <f>IF($I84="","",ROUND(1+($D84*(SUMIFS(OBJECT_CONDITIONS!$W:$W,OBJECT_CONDITIONS!$A:$A,$I84)-1))+($E84*(SUMIFS(OBJECT_CONDITIONS!$J:$J,OBJECT_CONDITIONS!$A:$A,$I84)-1))+($F84*(SUMIFS(OBJECT_CONDITIONS!$L:$L,OBJECT_CONDITIONS!$A:$A,$I84)-1))+($G84*(SUMIFS(OBJECT_CONDITIONS!$N:$N,OBJECT_CONDITIONS!$A:$A,$I84)-1))+($H84*(SUMIFS(OBJECT_CONDITIONS!$R:$R,OBJECT_CONDITIONS!$A:$A,$I84)-1)),3))</f>
        <v/>
      </c>
      <c r="K84" s="4"/>
    </row>
    <row r="85" spans="1:11" x14ac:dyDescent="0.3">
      <c r="A85" s="4"/>
      <c r="B85" s="4"/>
      <c r="C85" s="4"/>
      <c r="D85" s="22"/>
      <c r="E85" s="22"/>
      <c r="F85" s="22"/>
      <c r="G85" s="22"/>
      <c r="H85" s="22"/>
      <c r="I85" s="4"/>
      <c r="J85" s="22" t="str">
        <f>IF($I85="","",ROUND(1+($D85*(SUMIFS(OBJECT_CONDITIONS!$W:$W,OBJECT_CONDITIONS!$A:$A,$I85)-1))+($E85*(SUMIFS(OBJECT_CONDITIONS!$J:$J,OBJECT_CONDITIONS!$A:$A,$I85)-1))+($F85*(SUMIFS(OBJECT_CONDITIONS!$L:$L,OBJECT_CONDITIONS!$A:$A,$I85)-1))+($G85*(SUMIFS(OBJECT_CONDITIONS!$N:$N,OBJECT_CONDITIONS!$A:$A,$I85)-1))+($H85*(SUMIFS(OBJECT_CONDITIONS!$R:$R,OBJECT_CONDITIONS!$A:$A,$I85)-1)),3))</f>
        <v/>
      </c>
      <c r="K85" s="4"/>
    </row>
    <row r="86" spans="1:11" x14ac:dyDescent="0.3">
      <c r="A86" s="4"/>
      <c r="B86" s="4"/>
      <c r="C86" s="4"/>
      <c r="D86" s="22"/>
      <c r="E86" s="22"/>
      <c r="F86" s="22"/>
      <c r="G86" s="22"/>
      <c r="H86" s="22"/>
      <c r="I86" s="4"/>
      <c r="J86" s="22" t="str">
        <f>IF($I86="","",ROUND(1+($D86*(SUMIFS(OBJECT_CONDITIONS!$W:$W,OBJECT_CONDITIONS!$A:$A,$I86)-1))+($E86*(SUMIFS(OBJECT_CONDITIONS!$J:$J,OBJECT_CONDITIONS!$A:$A,$I86)-1))+($F86*(SUMIFS(OBJECT_CONDITIONS!$L:$L,OBJECT_CONDITIONS!$A:$A,$I86)-1))+($G86*(SUMIFS(OBJECT_CONDITIONS!$N:$N,OBJECT_CONDITIONS!$A:$A,$I86)-1))+($H86*(SUMIFS(OBJECT_CONDITIONS!$R:$R,OBJECT_CONDITIONS!$A:$A,$I86)-1)),3))</f>
        <v/>
      </c>
      <c r="K86" s="4"/>
    </row>
    <row r="87" spans="1:11" x14ac:dyDescent="0.3">
      <c r="A87" s="4"/>
      <c r="B87" s="4"/>
      <c r="C87" s="4"/>
      <c r="D87" s="22"/>
      <c r="E87" s="22"/>
      <c r="F87" s="22"/>
      <c r="G87" s="22"/>
      <c r="H87" s="22"/>
      <c r="I87" s="4"/>
      <c r="J87" s="22" t="str">
        <f>IF($I87="","",ROUND(1+($D87*(SUMIFS(OBJECT_CONDITIONS!$W:$W,OBJECT_CONDITIONS!$A:$A,$I87)-1))+($E87*(SUMIFS(OBJECT_CONDITIONS!$J:$J,OBJECT_CONDITIONS!$A:$A,$I87)-1))+($F87*(SUMIFS(OBJECT_CONDITIONS!$L:$L,OBJECT_CONDITIONS!$A:$A,$I87)-1))+($G87*(SUMIFS(OBJECT_CONDITIONS!$N:$N,OBJECT_CONDITIONS!$A:$A,$I87)-1))+($H87*(SUMIFS(OBJECT_CONDITIONS!$R:$R,OBJECT_CONDITIONS!$A:$A,$I87)-1)),3))</f>
        <v/>
      </c>
      <c r="K87" s="4"/>
    </row>
    <row r="88" spans="1:11" x14ac:dyDescent="0.3">
      <c r="A88" s="4"/>
      <c r="B88" s="4"/>
      <c r="C88" s="4"/>
      <c r="D88" s="22"/>
      <c r="E88" s="22"/>
      <c r="F88" s="22"/>
      <c r="G88" s="22"/>
      <c r="H88" s="22"/>
      <c r="I88" s="4"/>
      <c r="J88" s="22" t="str">
        <f>IF($I88="","",ROUND(1+($D88*(SUMIFS(OBJECT_CONDITIONS!$W:$W,OBJECT_CONDITIONS!$A:$A,$I88)-1))+($E88*(SUMIFS(OBJECT_CONDITIONS!$J:$J,OBJECT_CONDITIONS!$A:$A,$I88)-1))+($F88*(SUMIFS(OBJECT_CONDITIONS!$L:$L,OBJECT_CONDITIONS!$A:$A,$I88)-1))+($G88*(SUMIFS(OBJECT_CONDITIONS!$N:$N,OBJECT_CONDITIONS!$A:$A,$I88)-1))+($H88*(SUMIFS(OBJECT_CONDITIONS!$R:$R,OBJECT_CONDITIONS!$A:$A,$I88)-1)),3))</f>
        <v/>
      </c>
      <c r="K88" s="4"/>
    </row>
    <row r="89" spans="1:11" x14ac:dyDescent="0.3">
      <c r="A89" s="4"/>
      <c r="B89" s="4"/>
      <c r="C89" s="4"/>
      <c r="D89" s="22"/>
      <c r="E89" s="22"/>
      <c r="F89" s="22"/>
      <c r="G89" s="22"/>
      <c r="H89" s="22"/>
      <c r="I89" s="4"/>
      <c r="J89" s="22" t="str">
        <f>IF($I89="","",ROUND(1+($D89*(SUMIFS(OBJECT_CONDITIONS!$W:$W,OBJECT_CONDITIONS!$A:$A,$I89)-1))+($E89*(SUMIFS(OBJECT_CONDITIONS!$J:$J,OBJECT_CONDITIONS!$A:$A,$I89)-1))+($F89*(SUMIFS(OBJECT_CONDITIONS!$L:$L,OBJECT_CONDITIONS!$A:$A,$I89)-1))+($G89*(SUMIFS(OBJECT_CONDITIONS!$N:$N,OBJECT_CONDITIONS!$A:$A,$I89)-1))+($H89*(SUMIFS(OBJECT_CONDITIONS!$R:$R,OBJECT_CONDITIONS!$A:$A,$I89)-1)),3))</f>
        <v/>
      </c>
      <c r="K89" s="4"/>
    </row>
    <row r="90" spans="1:11" x14ac:dyDescent="0.3">
      <c r="A90" s="4"/>
      <c r="B90" s="4"/>
      <c r="C90" s="4"/>
      <c r="D90" s="22"/>
      <c r="E90" s="22"/>
      <c r="F90" s="22"/>
      <c r="G90" s="22"/>
      <c r="H90" s="22"/>
      <c r="I90" s="4"/>
      <c r="J90" s="22" t="str">
        <f>IF($I90="","",ROUND(1+($D90*(SUMIFS(OBJECT_CONDITIONS!$W:$W,OBJECT_CONDITIONS!$A:$A,$I90)-1))+($E90*(SUMIFS(OBJECT_CONDITIONS!$J:$J,OBJECT_CONDITIONS!$A:$A,$I90)-1))+($F90*(SUMIFS(OBJECT_CONDITIONS!$L:$L,OBJECT_CONDITIONS!$A:$A,$I90)-1))+($G90*(SUMIFS(OBJECT_CONDITIONS!$N:$N,OBJECT_CONDITIONS!$A:$A,$I90)-1))+($H90*(SUMIFS(OBJECT_CONDITIONS!$R:$R,OBJECT_CONDITIONS!$A:$A,$I90)-1)),3))</f>
        <v/>
      </c>
      <c r="K90" s="4"/>
    </row>
    <row r="91" spans="1:11" x14ac:dyDescent="0.3">
      <c r="A91" s="4"/>
      <c r="B91" s="4"/>
      <c r="C91" s="4"/>
      <c r="D91" s="22"/>
      <c r="E91" s="22"/>
      <c r="F91" s="22"/>
      <c r="G91" s="22"/>
      <c r="H91" s="22"/>
      <c r="I91" s="4"/>
      <c r="J91" s="22" t="str">
        <f>IF($I91="","",ROUND(1+($D91*(SUMIFS(OBJECT_CONDITIONS!$W:$W,OBJECT_CONDITIONS!$A:$A,$I91)-1))+($E91*(SUMIFS(OBJECT_CONDITIONS!$J:$J,OBJECT_CONDITIONS!$A:$A,$I91)-1))+($F91*(SUMIFS(OBJECT_CONDITIONS!$L:$L,OBJECT_CONDITIONS!$A:$A,$I91)-1))+($G91*(SUMIFS(OBJECT_CONDITIONS!$N:$N,OBJECT_CONDITIONS!$A:$A,$I91)-1))+($H91*(SUMIFS(OBJECT_CONDITIONS!$R:$R,OBJECT_CONDITIONS!$A:$A,$I91)-1)),3))</f>
        <v/>
      </c>
      <c r="K91" s="4"/>
    </row>
    <row r="92" spans="1:11" x14ac:dyDescent="0.3">
      <c r="A92" s="4"/>
      <c r="B92" s="4"/>
      <c r="C92" s="4"/>
      <c r="D92" s="22"/>
      <c r="E92" s="22"/>
      <c r="F92" s="22"/>
      <c r="G92" s="22"/>
      <c r="H92" s="22"/>
      <c r="I92" s="4"/>
      <c r="J92" s="22" t="str">
        <f>IF($I92="","",ROUND(1+($D92*(SUMIFS(OBJECT_CONDITIONS!$W:$W,OBJECT_CONDITIONS!$A:$A,$I92)-1))+($E92*(SUMIFS(OBJECT_CONDITIONS!$J:$J,OBJECT_CONDITIONS!$A:$A,$I92)-1))+($F92*(SUMIFS(OBJECT_CONDITIONS!$L:$L,OBJECT_CONDITIONS!$A:$A,$I92)-1))+($G92*(SUMIFS(OBJECT_CONDITIONS!$N:$N,OBJECT_CONDITIONS!$A:$A,$I92)-1))+($H92*(SUMIFS(OBJECT_CONDITIONS!$R:$R,OBJECT_CONDITIONS!$A:$A,$I92)-1)),3))</f>
        <v/>
      </c>
      <c r="K92" s="4"/>
    </row>
    <row r="93" spans="1:11" x14ac:dyDescent="0.3">
      <c r="A93" s="4"/>
      <c r="B93" s="4"/>
      <c r="C93" s="4"/>
      <c r="D93" s="22"/>
      <c r="E93" s="22"/>
      <c r="F93" s="22"/>
      <c r="G93" s="22"/>
      <c r="H93" s="22"/>
      <c r="I93" s="4"/>
      <c r="J93" s="22" t="str">
        <f>IF($I93="","",ROUND(1+($D93*(SUMIFS(OBJECT_CONDITIONS!$W:$W,OBJECT_CONDITIONS!$A:$A,$I93)-1))+($E93*(SUMIFS(OBJECT_CONDITIONS!$J:$J,OBJECT_CONDITIONS!$A:$A,$I93)-1))+($F93*(SUMIFS(OBJECT_CONDITIONS!$L:$L,OBJECT_CONDITIONS!$A:$A,$I93)-1))+($G93*(SUMIFS(OBJECT_CONDITIONS!$N:$N,OBJECT_CONDITIONS!$A:$A,$I93)-1))+($H93*(SUMIFS(OBJECT_CONDITIONS!$R:$R,OBJECT_CONDITIONS!$A:$A,$I93)-1)),3))</f>
        <v/>
      </c>
      <c r="K93" s="4"/>
    </row>
    <row r="94" spans="1:11" x14ac:dyDescent="0.3">
      <c r="A94" s="4"/>
      <c r="B94" s="4"/>
      <c r="C94" s="4"/>
      <c r="D94" s="22"/>
      <c r="E94" s="22"/>
      <c r="F94" s="22"/>
      <c r="G94" s="22"/>
      <c r="H94" s="22"/>
      <c r="I94" s="4"/>
      <c r="J94" s="22" t="str">
        <f>IF($I94="","",ROUND(1+($D94*(SUMIFS(OBJECT_CONDITIONS!$W:$W,OBJECT_CONDITIONS!$A:$A,$I94)-1))+($E94*(SUMIFS(OBJECT_CONDITIONS!$J:$J,OBJECT_CONDITIONS!$A:$A,$I94)-1))+($F94*(SUMIFS(OBJECT_CONDITIONS!$L:$L,OBJECT_CONDITIONS!$A:$A,$I94)-1))+($G94*(SUMIFS(OBJECT_CONDITIONS!$N:$N,OBJECT_CONDITIONS!$A:$A,$I94)-1))+($H94*(SUMIFS(OBJECT_CONDITIONS!$R:$R,OBJECT_CONDITIONS!$A:$A,$I94)-1)),3))</f>
        <v/>
      </c>
      <c r="K94" s="4"/>
    </row>
    <row r="95" spans="1:11" x14ac:dyDescent="0.3">
      <c r="A95" s="4"/>
      <c r="B95" s="4"/>
      <c r="C95" s="4"/>
      <c r="D95" s="22"/>
      <c r="E95" s="22"/>
      <c r="F95" s="22"/>
      <c r="G95" s="22"/>
      <c r="H95" s="22"/>
      <c r="I95" s="4"/>
      <c r="J95" s="22" t="str">
        <f>IF($I95="","",ROUND(1+($D95*(SUMIFS(OBJECT_CONDITIONS!$W:$W,OBJECT_CONDITIONS!$A:$A,$I95)-1))+($E95*(SUMIFS(OBJECT_CONDITIONS!$J:$J,OBJECT_CONDITIONS!$A:$A,$I95)-1))+($F95*(SUMIFS(OBJECT_CONDITIONS!$L:$L,OBJECT_CONDITIONS!$A:$A,$I95)-1))+($G95*(SUMIFS(OBJECT_CONDITIONS!$N:$N,OBJECT_CONDITIONS!$A:$A,$I95)-1))+($H95*(SUMIFS(OBJECT_CONDITIONS!$R:$R,OBJECT_CONDITIONS!$A:$A,$I95)-1)),3))</f>
        <v/>
      </c>
      <c r="K95" s="4"/>
    </row>
    <row r="96" spans="1:11" x14ac:dyDescent="0.3">
      <c r="A96" s="4"/>
      <c r="B96" s="4"/>
      <c r="C96" s="4"/>
      <c r="D96" s="22"/>
      <c r="E96" s="22"/>
      <c r="F96" s="22"/>
      <c r="G96" s="22"/>
      <c r="H96" s="22"/>
      <c r="I96" s="4"/>
      <c r="J96" s="22" t="str">
        <f>IF($I96="","",ROUND(1+($D96*(SUMIFS(OBJECT_CONDITIONS!$W:$W,OBJECT_CONDITIONS!$A:$A,$I96)-1))+($E96*(SUMIFS(OBJECT_CONDITIONS!$J:$J,OBJECT_CONDITIONS!$A:$A,$I96)-1))+($F96*(SUMIFS(OBJECT_CONDITIONS!$L:$L,OBJECT_CONDITIONS!$A:$A,$I96)-1))+($G96*(SUMIFS(OBJECT_CONDITIONS!$N:$N,OBJECT_CONDITIONS!$A:$A,$I96)-1))+($H96*(SUMIFS(OBJECT_CONDITIONS!$R:$R,OBJECT_CONDITIONS!$A:$A,$I96)-1)),3))</f>
        <v/>
      </c>
      <c r="K96" s="4"/>
    </row>
    <row r="97" spans="1:11" x14ac:dyDescent="0.3">
      <c r="A97" s="4"/>
      <c r="B97" s="4"/>
      <c r="C97" s="4"/>
      <c r="D97" s="22"/>
      <c r="E97" s="22"/>
      <c r="F97" s="22"/>
      <c r="G97" s="22"/>
      <c r="H97" s="22"/>
      <c r="I97" s="4"/>
      <c r="J97" s="22" t="str">
        <f>IF($I97="","",ROUND(1+($D97*(SUMIFS(OBJECT_CONDITIONS!$W:$W,OBJECT_CONDITIONS!$A:$A,$I97)-1))+($E97*(SUMIFS(OBJECT_CONDITIONS!$J:$J,OBJECT_CONDITIONS!$A:$A,$I97)-1))+($F97*(SUMIFS(OBJECT_CONDITIONS!$L:$L,OBJECT_CONDITIONS!$A:$A,$I97)-1))+($G97*(SUMIFS(OBJECT_CONDITIONS!$N:$N,OBJECT_CONDITIONS!$A:$A,$I97)-1))+($H97*(SUMIFS(OBJECT_CONDITIONS!$R:$R,OBJECT_CONDITIONS!$A:$A,$I97)-1)),3))</f>
        <v/>
      </c>
      <c r="K97" s="4"/>
    </row>
    <row r="98" spans="1:11" x14ac:dyDescent="0.3">
      <c r="A98" s="4"/>
      <c r="B98" s="4"/>
      <c r="C98" s="4"/>
      <c r="D98" s="22"/>
      <c r="E98" s="22"/>
      <c r="F98" s="22"/>
      <c r="G98" s="22"/>
      <c r="H98" s="22"/>
      <c r="I98" s="4"/>
      <c r="J98" s="22" t="str">
        <f>IF($I98="","",ROUND(1+($D98*(SUMIFS(OBJECT_CONDITIONS!$W:$W,OBJECT_CONDITIONS!$A:$A,$I98)-1))+($E98*(SUMIFS(OBJECT_CONDITIONS!$J:$J,OBJECT_CONDITIONS!$A:$A,$I98)-1))+($F98*(SUMIFS(OBJECT_CONDITIONS!$L:$L,OBJECT_CONDITIONS!$A:$A,$I98)-1))+($G98*(SUMIFS(OBJECT_CONDITIONS!$N:$N,OBJECT_CONDITIONS!$A:$A,$I98)-1))+($H98*(SUMIFS(OBJECT_CONDITIONS!$R:$R,OBJECT_CONDITIONS!$A:$A,$I98)-1)),3))</f>
        <v/>
      </c>
      <c r="K98" s="4"/>
    </row>
    <row r="99" spans="1:11" x14ac:dyDescent="0.3">
      <c r="A99" s="4"/>
      <c r="B99" s="4"/>
      <c r="C99" s="4"/>
      <c r="D99" s="22"/>
      <c r="E99" s="22"/>
      <c r="F99" s="22"/>
      <c r="G99" s="22"/>
      <c r="H99" s="22"/>
      <c r="I99" s="4"/>
      <c r="J99" s="22" t="str">
        <f>IF($I99="","",ROUND(1+($D99*(SUMIFS(OBJECT_CONDITIONS!$W:$W,OBJECT_CONDITIONS!$A:$A,$I99)-1))+($E99*(SUMIFS(OBJECT_CONDITIONS!$J:$J,OBJECT_CONDITIONS!$A:$A,$I99)-1))+($F99*(SUMIFS(OBJECT_CONDITIONS!$L:$L,OBJECT_CONDITIONS!$A:$A,$I99)-1))+($G99*(SUMIFS(OBJECT_CONDITIONS!$N:$N,OBJECT_CONDITIONS!$A:$A,$I99)-1))+($H99*(SUMIFS(OBJECT_CONDITIONS!$R:$R,OBJECT_CONDITIONS!$A:$A,$I99)-1)),3))</f>
        <v/>
      </c>
      <c r="K99" s="4"/>
    </row>
    <row r="100" spans="1:11" x14ac:dyDescent="0.3">
      <c r="A100" s="4"/>
      <c r="B100" s="4"/>
      <c r="C100" s="4"/>
      <c r="D100" s="22"/>
      <c r="E100" s="22"/>
      <c r="F100" s="22"/>
      <c r="G100" s="22"/>
      <c r="H100" s="22"/>
      <c r="I100" s="4"/>
      <c r="J100" s="22" t="str">
        <f>IF($I100="","",ROUND(1+($D100*(SUMIFS(OBJECT_CONDITIONS!$W:$W,OBJECT_CONDITIONS!$A:$A,$I100)-1))+($E100*(SUMIFS(OBJECT_CONDITIONS!$J:$J,OBJECT_CONDITIONS!$A:$A,$I100)-1))+($F100*(SUMIFS(OBJECT_CONDITIONS!$L:$L,OBJECT_CONDITIONS!$A:$A,$I100)-1))+($G100*(SUMIFS(OBJECT_CONDITIONS!$N:$N,OBJECT_CONDITIONS!$A:$A,$I100)-1))+($H100*(SUMIFS(OBJECT_CONDITIONS!$R:$R,OBJECT_CONDITIONS!$A:$A,$I100)-1)),3))</f>
        <v/>
      </c>
      <c r="K100" s="4"/>
    </row>
    <row r="101" spans="1:11" x14ac:dyDescent="0.3">
      <c r="A101" s="4"/>
      <c r="B101" s="4"/>
      <c r="C101" s="4"/>
      <c r="D101" s="22"/>
      <c r="E101" s="22"/>
      <c r="F101" s="22"/>
      <c r="G101" s="22"/>
      <c r="H101" s="22"/>
      <c r="I101" s="4"/>
      <c r="J101" s="22" t="str">
        <f>IF($I101="","",ROUND(1+($D101*(SUMIFS(OBJECT_CONDITIONS!$W:$W,OBJECT_CONDITIONS!$A:$A,$I101)-1))+($E101*(SUMIFS(OBJECT_CONDITIONS!$J:$J,OBJECT_CONDITIONS!$A:$A,$I101)-1))+($F101*(SUMIFS(OBJECT_CONDITIONS!$L:$L,OBJECT_CONDITIONS!$A:$A,$I101)-1))+($G101*(SUMIFS(OBJECT_CONDITIONS!$N:$N,OBJECT_CONDITIONS!$A:$A,$I101)-1))+($H101*(SUMIFS(OBJECT_CONDITIONS!$R:$R,OBJECT_CONDITIONS!$A:$A,$I101)-1)),3))</f>
        <v/>
      </c>
      <c r="K101" s="4"/>
    </row>
    <row r="102" spans="1:11" x14ac:dyDescent="0.3">
      <c r="A102" s="4"/>
      <c r="B102" s="4"/>
      <c r="C102" s="4"/>
      <c r="D102" s="22"/>
      <c r="E102" s="22"/>
      <c r="F102" s="22"/>
      <c r="G102" s="22"/>
      <c r="H102" s="22"/>
      <c r="I102" s="4"/>
      <c r="J102" s="22" t="str">
        <f>IF($I102="","",ROUND(1+($D102*(SUMIFS(OBJECT_CONDITIONS!$W:$W,OBJECT_CONDITIONS!$A:$A,$I102)-1))+($E102*(SUMIFS(OBJECT_CONDITIONS!$J:$J,OBJECT_CONDITIONS!$A:$A,$I102)-1))+($F102*(SUMIFS(OBJECT_CONDITIONS!$L:$L,OBJECT_CONDITIONS!$A:$A,$I102)-1))+($G102*(SUMIFS(OBJECT_CONDITIONS!$N:$N,OBJECT_CONDITIONS!$A:$A,$I102)-1))+($H102*(SUMIFS(OBJECT_CONDITIONS!$R:$R,OBJECT_CONDITIONS!$A:$A,$I102)-1)),3))</f>
        <v/>
      </c>
      <c r="K102" s="4"/>
    </row>
    <row r="103" spans="1:11" x14ac:dyDescent="0.3">
      <c r="A103" s="4"/>
      <c r="B103" s="4"/>
      <c r="C103" s="4"/>
      <c r="D103" s="22"/>
      <c r="E103" s="22"/>
      <c r="F103" s="22"/>
      <c r="G103" s="22"/>
      <c r="H103" s="22"/>
      <c r="I103" s="4"/>
      <c r="J103" s="22" t="str">
        <f>IF($I103="","",ROUND(1+($D103*(SUMIFS(OBJECT_CONDITIONS!$W:$W,OBJECT_CONDITIONS!$A:$A,$I103)-1))+($E103*(SUMIFS(OBJECT_CONDITIONS!$J:$J,OBJECT_CONDITIONS!$A:$A,$I103)-1))+($F103*(SUMIFS(OBJECT_CONDITIONS!$L:$L,OBJECT_CONDITIONS!$A:$A,$I103)-1))+($G103*(SUMIFS(OBJECT_CONDITIONS!$N:$N,OBJECT_CONDITIONS!$A:$A,$I103)-1))+($H103*(SUMIFS(OBJECT_CONDITIONS!$R:$R,OBJECT_CONDITIONS!$A:$A,$I103)-1)),3))</f>
        <v/>
      </c>
      <c r="K103" s="4"/>
    </row>
    <row r="104" spans="1:11" x14ac:dyDescent="0.3">
      <c r="A104" s="4"/>
      <c r="B104" s="4"/>
      <c r="C104" s="4"/>
      <c r="D104" s="22"/>
      <c r="E104" s="22"/>
      <c r="F104" s="22"/>
      <c r="G104" s="22"/>
      <c r="H104" s="22"/>
      <c r="I104" s="4"/>
      <c r="J104" s="22" t="str">
        <f>IF($I104="","",ROUND(1+($D104*(SUMIFS(OBJECT_CONDITIONS!$W:$W,OBJECT_CONDITIONS!$A:$A,$I104)-1))+($E104*(SUMIFS(OBJECT_CONDITIONS!$J:$J,OBJECT_CONDITIONS!$A:$A,$I104)-1))+($F104*(SUMIFS(OBJECT_CONDITIONS!$L:$L,OBJECT_CONDITIONS!$A:$A,$I104)-1))+($G104*(SUMIFS(OBJECT_CONDITIONS!$N:$N,OBJECT_CONDITIONS!$A:$A,$I104)-1))+($H104*(SUMIFS(OBJECT_CONDITIONS!$R:$R,OBJECT_CONDITIONS!$A:$A,$I104)-1)),3))</f>
        <v/>
      </c>
      <c r="K104" s="4"/>
    </row>
    <row r="105" spans="1:11" x14ac:dyDescent="0.3">
      <c r="A105" s="4"/>
      <c r="B105" s="4"/>
      <c r="C105" s="4"/>
      <c r="D105" s="22"/>
      <c r="E105" s="22"/>
      <c r="F105" s="22"/>
      <c r="G105" s="22"/>
      <c r="H105" s="22"/>
      <c r="I105" s="4"/>
      <c r="J105" s="22" t="str">
        <f>IF($I105="","",ROUND(1+($D105*(SUMIFS(OBJECT_CONDITIONS!$W:$W,OBJECT_CONDITIONS!$A:$A,$I105)-1))+($E105*(SUMIFS(OBJECT_CONDITIONS!$J:$J,OBJECT_CONDITIONS!$A:$A,$I105)-1))+($F105*(SUMIFS(OBJECT_CONDITIONS!$L:$L,OBJECT_CONDITIONS!$A:$A,$I105)-1))+($G105*(SUMIFS(OBJECT_CONDITIONS!$N:$N,OBJECT_CONDITIONS!$A:$A,$I105)-1))+($H105*(SUMIFS(OBJECT_CONDITIONS!$R:$R,OBJECT_CONDITIONS!$A:$A,$I105)-1)),3))</f>
        <v/>
      </c>
      <c r="K105" s="4"/>
    </row>
    <row r="106" spans="1:11" x14ac:dyDescent="0.3">
      <c r="A106" s="4"/>
      <c r="B106" s="4"/>
      <c r="C106" s="4"/>
      <c r="D106" s="22"/>
      <c r="E106" s="22"/>
      <c r="F106" s="22"/>
      <c r="G106" s="22"/>
      <c r="H106" s="22"/>
      <c r="I106" s="4"/>
      <c r="J106" s="22" t="str">
        <f>IF($I106="","",ROUND(1+($D106*(SUMIFS(OBJECT_CONDITIONS!$W:$W,OBJECT_CONDITIONS!$A:$A,$I106)-1))+($E106*(SUMIFS(OBJECT_CONDITIONS!$J:$J,OBJECT_CONDITIONS!$A:$A,$I106)-1))+($F106*(SUMIFS(OBJECT_CONDITIONS!$L:$L,OBJECT_CONDITIONS!$A:$A,$I106)-1))+($G106*(SUMIFS(OBJECT_CONDITIONS!$N:$N,OBJECT_CONDITIONS!$A:$A,$I106)-1))+($H106*(SUMIFS(OBJECT_CONDITIONS!$R:$R,OBJECT_CONDITIONS!$A:$A,$I106)-1)),3))</f>
        <v/>
      </c>
      <c r="K106" s="4"/>
    </row>
    <row r="107" spans="1:11" x14ac:dyDescent="0.3">
      <c r="A107" s="4"/>
      <c r="B107" s="4"/>
      <c r="C107" s="4"/>
      <c r="D107" s="22"/>
      <c r="E107" s="22"/>
      <c r="F107" s="22"/>
      <c r="G107" s="22"/>
      <c r="H107" s="22"/>
      <c r="I107" s="4"/>
      <c r="J107" s="22" t="str">
        <f>IF($I107="","",ROUND(1+($D107*(SUMIFS(OBJECT_CONDITIONS!$W:$W,OBJECT_CONDITIONS!$A:$A,$I107)-1))+($E107*(SUMIFS(OBJECT_CONDITIONS!$J:$J,OBJECT_CONDITIONS!$A:$A,$I107)-1))+($F107*(SUMIFS(OBJECT_CONDITIONS!$L:$L,OBJECT_CONDITIONS!$A:$A,$I107)-1))+($G107*(SUMIFS(OBJECT_CONDITIONS!$N:$N,OBJECT_CONDITIONS!$A:$A,$I107)-1))+($H107*(SUMIFS(OBJECT_CONDITIONS!$R:$R,OBJECT_CONDITIONS!$A:$A,$I107)-1)),3))</f>
        <v/>
      </c>
      <c r="K107" s="4"/>
    </row>
    <row r="108" spans="1:11" x14ac:dyDescent="0.3">
      <c r="A108" s="4"/>
      <c r="B108" s="4"/>
      <c r="C108" s="4"/>
      <c r="D108" s="22"/>
      <c r="E108" s="22"/>
      <c r="F108" s="22"/>
      <c r="G108" s="22"/>
      <c r="H108" s="22"/>
      <c r="I108" s="4"/>
      <c r="J108" s="22" t="str">
        <f>IF($I108="","",ROUND(1+($D108*(SUMIFS(OBJECT_CONDITIONS!$W:$W,OBJECT_CONDITIONS!$A:$A,$I108)-1))+($E108*(SUMIFS(OBJECT_CONDITIONS!$J:$J,OBJECT_CONDITIONS!$A:$A,$I108)-1))+($F108*(SUMIFS(OBJECT_CONDITIONS!$L:$L,OBJECT_CONDITIONS!$A:$A,$I108)-1))+($G108*(SUMIFS(OBJECT_CONDITIONS!$N:$N,OBJECT_CONDITIONS!$A:$A,$I108)-1))+($H108*(SUMIFS(OBJECT_CONDITIONS!$R:$R,OBJECT_CONDITIONS!$A:$A,$I108)-1)),3))</f>
        <v/>
      </c>
      <c r="K108" s="4"/>
    </row>
    <row r="109" spans="1:11" x14ac:dyDescent="0.3">
      <c r="A109" s="4"/>
      <c r="B109" s="4"/>
      <c r="C109" s="4"/>
      <c r="D109" s="22"/>
      <c r="E109" s="22"/>
      <c r="F109" s="22"/>
      <c r="G109" s="22"/>
      <c r="H109" s="22"/>
      <c r="I109" s="4"/>
      <c r="J109" s="22" t="str">
        <f>IF($I109="","",ROUND(1+($D109*(SUMIFS(OBJECT_CONDITIONS!$W:$W,OBJECT_CONDITIONS!$A:$A,$I109)-1))+($E109*(SUMIFS(OBJECT_CONDITIONS!$J:$J,OBJECT_CONDITIONS!$A:$A,$I109)-1))+($F109*(SUMIFS(OBJECT_CONDITIONS!$L:$L,OBJECT_CONDITIONS!$A:$A,$I109)-1))+($G109*(SUMIFS(OBJECT_CONDITIONS!$N:$N,OBJECT_CONDITIONS!$A:$A,$I109)-1))+($H109*(SUMIFS(OBJECT_CONDITIONS!$R:$R,OBJECT_CONDITIONS!$A:$A,$I109)-1)),3))</f>
        <v/>
      </c>
      <c r="K109" s="4"/>
    </row>
    <row r="110" spans="1:11" x14ac:dyDescent="0.3">
      <c r="A110" s="4"/>
      <c r="B110" s="4"/>
      <c r="C110" s="4"/>
      <c r="D110" s="22"/>
      <c r="E110" s="22"/>
      <c r="F110" s="22"/>
      <c r="G110" s="22"/>
      <c r="H110" s="22"/>
      <c r="I110" s="4"/>
      <c r="J110" s="22" t="str">
        <f>IF($I110="","",ROUND(1+($D110*(SUMIFS(OBJECT_CONDITIONS!$W:$W,OBJECT_CONDITIONS!$A:$A,$I110)-1))+($E110*(SUMIFS(OBJECT_CONDITIONS!$J:$J,OBJECT_CONDITIONS!$A:$A,$I110)-1))+($F110*(SUMIFS(OBJECT_CONDITIONS!$L:$L,OBJECT_CONDITIONS!$A:$A,$I110)-1))+($G110*(SUMIFS(OBJECT_CONDITIONS!$N:$N,OBJECT_CONDITIONS!$A:$A,$I110)-1))+($H110*(SUMIFS(OBJECT_CONDITIONS!$R:$R,OBJECT_CONDITIONS!$A:$A,$I110)-1)),3))</f>
        <v/>
      </c>
      <c r="K110" s="4"/>
    </row>
    <row r="111" spans="1:11" x14ac:dyDescent="0.3">
      <c r="A111" s="4"/>
      <c r="B111" s="4"/>
      <c r="C111" s="4"/>
      <c r="D111" s="22"/>
      <c r="E111" s="22"/>
      <c r="F111" s="22"/>
      <c r="G111" s="22"/>
      <c r="H111" s="22"/>
      <c r="I111" s="4"/>
      <c r="J111" s="22" t="str">
        <f>IF($I111="","",ROUND(1+($D111*(SUMIFS(OBJECT_CONDITIONS!$W:$W,OBJECT_CONDITIONS!$A:$A,$I111)-1))+($E111*(SUMIFS(OBJECT_CONDITIONS!$J:$J,OBJECT_CONDITIONS!$A:$A,$I111)-1))+($F111*(SUMIFS(OBJECT_CONDITIONS!$L:$L,OBJECT_CONDITIONS!$A:$A,$I111)-1))+($G111*(SUMIFS(OBJECT_CONDITIONS!$N:$N,OBJECT_CONDITIONS!$A:$A,$I111)-1))+($H111*(SUMIFS(OBJECT_CONDITIONS!$R:$R,OBJECT_CONDITIONS!$A:$A,$I111)-1)),3))</f>
        <v/>
      </c>
      <c r="K111" s="4"/>
    </row>
    <row r="112" spans="1:11" x14ac:dyDescent="0.3">
      <c r="A112" s="4"/>
      <c r="B112" s="4"/>
      <c r="C112" s="4"/>
      <c r="D112" s="22"/>
      <c r="E112" s="22"/>
      <c r="F112" s="22"/>
      <c r="G112" s="22"/>
      <c r="H112" s="22"/>
      <c r="I112" s="4"/>
      <c r="J112" s="22" t="str">
        <f>IF($I112="","",ROUND(1+($D112*(SUMIFS(OBJECT_CONDITIONS!$W:$W,OBJECT_CONDITIONS!$A:$A,$I112)-1))+($E112*(SUMIFS(OBJECT_CONDITIONS!$J:$J,OBJECT_CONDITIONS!$A:$A,$I112)-1))+($F112*(SUMIFS(OBJECT_CONDITIONS!$L:$L,OBJECT_CONDITIONS!$A:$A,$I112)-1))+($G112*(SUMIFS(OBJECT_CONDITIONS!$N:$N,OBJECT_CONDITIONS!$A:$A,$I112)-1))+($H112*(SUMIFS(OBJECT_CONDITIONS!$R:$R,OBJECT_CONDITIONS!$A:$A,$I112)-1)),3))</f>
        <v/>
      </c>
      <c r="K112" s="4"/>
    </row>
    <row r="113" spans="1:11" x14ac:dyDescent="0.3">
      <c r="A113" s="4"/>
      <c r="B113" s="4"/>
      <c r="C113" s="4"/>
      <c r="D113" s="22"/>
      <c r="E113" s="22"/>
      <c r="F113" s="22"/>
      <c r="G113" s="22"/>
      <c r="H113" s="22"/>
      <c r="I113" s="4"/>
      <c r="J113" s="22" t="str">
        <f>IF($I113="","",ROUND(1+($D113*(SUMIFS(OBJECT_CONDITIONS!$W:$W,OBJECT_CONDITIONS!$A:$A,$I113)-1))+($E113*(SUMIFS(OBJECT_CONDITIONS!$J:$J,OBJECT_CONDITIONS!$A:$A,$I113)-1))+($F113*(SUMIFS(OBJECT_CONDITIONS!$L:$L,OBJECT_CONDITIONS!$A:$A,$I113)-1))+($G113*(SUMIFS(OBJECT_CONDITIONS!$N:$N,OBJECT_CONDITIONS!$A:$A,$I113)-1))+($H113*(SUMIFS(OBJECT_CONDITIONS!$R:$R,OBJECT_CONDITIONS!$A:$A,$I113)-1)),3))</f>
        <v/>
      </c>
      <c r="K113" s="4"/>
    </row>
    <row r="114" spans="1:11" x14ac:dyDescent="0.3">
      <c r="A114" s="4"/>
      <c r="B114" s="4"/>
      <c r="C114" s="4"/>
      <c r="D114" s="22"/>
      <c r="E114" s="22"/>
      <c r="F114" s="22"/>
      <c r="G114" s="22"/>
      <c r="H114" s="22"/>
      <c r="I114" s="4"/>
      <c r="J114" s="22" t="str">
        <f>IF($I114="","",ROUND(1+($D114*(SUMIFS(OBJECT_CONDITIONS!$W:$W,OBJECT_CONDITIONS!$A:$A,$I114)-1))+($E114*(SUMIFS(OBJECT_CONDITIONS!$J:$J,OBJECT_CONDITIONS!$A:$A,$I114)-1))+($F114*(SUMIFS(OBJECT_CONDITIONS!$L:$L,OBJECT_CONDITIONS!$A:$A,$I114)-1))+($G114*(SUMIFS(OBJECT_CONDITIONS!$N:$N,OBJECT_CONDITIONS!$A:$A,$I114)-1))+($H114*(SUMIFS(OBJECT_CONDITIONS!$R:$R,OBJECT_CONDITIONS!$A:$A,$I114)-1)),3))</f>
        <v/>
      </c>
      <c r="K114" s="4"/>
    </row>
    <row r="115" spans="1:11" x14ac:dyDescent="0.3">
      <c r="A115" s="4"/>
      <c r="B115" s="4"/>
      <c r="C115" s="4"/>
      <c r="D115" s="22"/>
      <c r="E115" s="22"/>
      <c r="F115" s="22"/>
      <c r="G115" s="22"/>
      <c r="H115" s="22"/>
      <c r="I115" s="4"/>
      <c r="J115" s="22" t="str">
        <f>IF($I115="","",ROUND(1+($D115*(SUMIFS(OBJECT_CONDITIONS!$W:$W,OBJECT_CONDITIONS!$A:$A,$I115)-1))+($E115*(SUMIFS(OBJECT_CONDITIONS!$J:$J,OBJECT_CONDITIONS!$A:$A,$I115)-1))+($F115*(SUMIFS(OBJECT_CONDITIONS!$L:$L,OBJECT_CONDITIONS!$A:$A,$I115)-1))+($G115*(SUMIFS(OBJECT_CONDITIONS!$N:$N,OBJECT_CONDITIONS!$A:$A,$I115)-1))+($H115*(SUMIFS(OBJECT_CONDITIONS!$R:$R,OBJECT_CONDITIONS!$A:$A,$I115)-1)),3))</f>
        <v/>
      </c>
      <c r="K115" s="4"/>
    </row>
    <row r="116" spans="1:11" x14ac:dyDescent="0.3">
      <c r="A116" s="4"/>
      <c r="B116" s="4"/>
      <c r="C116" s="4"/>
      <c r="D116" s="22"/>
      <c r="E116" s="22"/>
      <c r="F116" s="22"/>
      <c r="G116" s="22"/>
      <c r="H116" s="22"/>
      <c r="I116" s="4"/>
      <c r="J116" s="22" t="str">
        <f>IF($I116="","",ROUND(1+($D116*(SUMIFS(OBJECT_CONDITIONS!$W:$W,OBJECT_CONDITIONS!$A:$A,$I116)-1))+($E116*(SUMIFS(OBJECT_CONDITIONS!$J:$J,OBJECT_CONDITIONS!$A:$A,$I116)-1))+($F116*(SUMIFS(OBJECT_CONDITIONS!$L:$L,OBJECT_CONDITIONS!$A:$A,$I116)-1))+($G116*(SUMIFS(OBJECT_CONDITIONS!$N:$N,OBJECT_CONDITIONS!$A:$A,$I116)-1))+($H116*(SUMIFS(OBJECT_CONDITIONS!$R:$R,OBJECT_CONDITIONS!$A:$A,$I116)-1)),3))</f>
        <v/>
      </c>
      <c r="K116" s="4"/>
    </row>
    <row r="117" spans="1:11" x14ac:dyDescent="0.3">
      <c r="A117" s="4"/>
      <c r="B117" s="4"/>
      <c r="C117" s="4"/>
      <c r="D117" s="22"/>
      <c r="E117" s="22"/>
      <c r="F117" s="22"/>
      <c r="G117" s="22"/>
      <c r="H117" s="22"/>
      <c r="I117" s="4"/>
      <c r="J117" s="22" t="str">
        <f>IF($I117="","",ROUND(1+($D117*(SUMIFS(OBJECT_CONDITIONS!$W:$W,OBJECT_CONDITIONS!$A:$A,$I117)-1))+($E117*(SUMIFS(OBJECT_CONDITIONS!$J:$J,OBJECT_CONDITIONS!$A:$A,$I117)-1))+($F117*(SUMIFS(OBJECT_CONDITIONS!$L:$L,OBJECT_CONDITIONS!$A:$A,$I117)-1))+($G117*(SUMIFS(OBJECT_CONDITIONS!$N:$N,OBJECT_CONDITIONS!$A:$A,$I117)-1))+($H117*(SUMIFS(OBJECT_CONDITIONS!$R:$R,OBJECT_CONDITIONS!$A:$A,$I117)-1)),3))</f>
        <v/>
      </c>
      <c r="K117" s="4"/>
    </row>
    <row r="118" spans="1:11" x14ac:dyDescent="0.3">
      <c r="A118" s="4"/>
      <c r="B118" s="4"/>
      <c r="C118" s="4"/>
      <c r="D118" s="22"/>
      <c r="E118" s="22"/>
      <c r="F118" s="22"/>
      <c r="G118" s="22"/>
      <c r="H118" s="22"/>
      <c r="I118" s="4"/>
      <c r="J118" s="22" t="str">
        <f>IF($I118="","",ROUND(1+($D118*(SUMIFS(OBJECT_CONDITIONS!$W:$W,OBJECT_CONDITIONS!$A:$A,$I118)-1))+($E118*(SUMIFS(OBJECT_CONDITIONS!$J:$J,OBJECT_CONDITIONS!$A:$A,$I118)-1))+($F118*(SUMIFS(OBJECT_CONDITIONS!$L:$L,OBJECT_CONDITIONS!$A:$A,$I118)-1))+($G118*(SUMIFS(OBJECT_CONDITIONS!$N:$N,OBJECT_CONDITIONS!$A:$A,$I118)-1))+($H118*(SUMIFS(OBJECT_CONDITIONS!$R:$R,OBJECT_CONDITIONS!$A:$A,$I118)-1)),3))</f>
        <v/>
      </c>
      <c r="K118" s="4"/>
    </row>
    <row r="119" spans="1:11" x14ac:dyDescent="0.3">
      <c r="A119" s="4"/>
      <c r="B119" s="4"/>
      <c r="C119" s="4"/>
      <c r="D119" s="22"/>
      <c r="E119" s="22"/>
      <c r="F119" s="22"/>
      <c r="G119" s="22"/>
      <c r="H119" s="22"/>
      <c r="I119" s="4"/>
      <c r="J119" s="22" t="str">
        <f>IF($I119="","",ROUND(1+($D119*(SUMIFS(OBJECT_CONDITIONS!$W:$W,OBJECT_CONDITIONS!$A:$A,$I119)-1))+($E119*(SUMIFS(OBJECT_CONDITIONS!$J:$J,OBJECT_CONDITIONS!$A:$A,$I119)-1))+($F119*(SUMIFS(OBJECT_CONDITIONS!$L:$L,OBJECT_CONDITIONS!$A:$A,$I119)-1))+($G119*(SUMIFS(OBJECT_CONDITIONS!$N:$N,OBJECT_CONDITIONS!$A:$A,$I119)-1))+($H119*(SUMIFS(OBJECT_CONDITIONS!$R:$R,OBJECT_CONDITIONS!$A:$A,$I119)-1)),3))</f>
        <v/>
      </c>
      <c r="K119" s="4"/>
    </row>
    <row r="120" spans="1:11" x14ac:dyDescent="0.3">
      <c r="A120" s="4"/>
      <c r="B120" s="4"/>
      <c r="C120" s="4"/>
      <c r="D120" s="22"/>
      <c r="E120" s="22"/>
      <c r="F120" s="22"/>
      <c r="G120" s="22"/>
      <c r="H120" s="22"/>
      <c r="I120" s="4"/>
      <c r="J120" s="22" t="str">
        <f>IF($I120="","",ROUND(1+($D120*(SUMIFS(OBJECT_CONDITIONS!$W:$W,OBJECT_CONDITIONS!$A:$A,$I120)-1))+($E120*(SUMIFS(OBJECT_CONDITIONS!$J:$J,OBJECT_CONDITIONS!$A:$A,$I120)-1))+($F120*(SUMIFS(OBJECT_CONDITIONS!$L:$L,OBJECT_CONDITIONS!$A:$A,$I120)-1))+($G120*(SUMIFS(OBJECT_CONDITIONS!$N:$N,OBJECT_CONDITIONS!$A:$A,$I120)-1))+($H120*(SUMIFS(OBJECT_CONDITIONS!$R:$R,OBJECT_CONDITIONS!$A:$A,$I120)-1)),3))</f>
        <v/>
      </c>
      <c r="K120" s="4"/>
    </row>
    <row r="121" spans="1:11" x14ac:dyDescent="0.3">
      <c r="A121" s="4"/>
      <c r="B121" s="4"/>
      <c r="C121" s="4"/>
      <c r="D121" s="22"/>
      <c r="E121" s="22"/>
      <c r="F121" s="22"/>
      <c r="G121" s="22"/>
      <c r="H121" s="22"/>
      <c r="I121" s="4"/>
      <c r="J121" s="22" t="str">
        <f>IF($I121="","",ROUND(1+($D121*(SUMIFS(OBJECT_CONDITIONS!$W:$W,OBJECT_CONDITIONS!$A:$A,$I121)-1))+($E121*(SUMIFS(OBJECT_CONDITIONS!$J:$J,OBJECT_CONDITIONS!$A:$A,$I121)-1))+($F121*(SUMIFS(OBJECT_CONDITIONS!$L:$L,OBJECT_CONDITIONS!$A:$A,$I121)-1))+($G121*(SUMIFS(OBJECT_CONDITIONS!$N:$N,OBJECT_CONDITIONS!$A:$A,$I121)-1))+($H121*(SUMIFS(OBJECT_CONDITIONS!$R:$R,OBJECT_CONDITIONS!$A:$A,$I121)-1)),3))</f>
        <v/>
      </c>
      <c r="K121" s="4"/>
    </row>
    <row r="122" spans="1:11" x14ac:dyDescent="0.3">
      <c r="A122" s="4"/>
      <c r="B122" s="4"/>
      <c r="C122" s="4"/>
      <c r="D122" s="22"/>
      <c r="E122" s="22"/>
      <c r="F122" s="22"/>
      <c r="G122" s="22"/>
      <c r="H122" s="22"/>
      <c r="I122" s="4"/>
      <c r="J122" s="22" t="str">
        <f>IF($I122="","",ROUND(1+($D122*(SUMIFS(OBJECT_CONDITIONS!$W:$W,OBJECT_CONDITIONS!$A:$A,$I122)-1))+($E122*(SUMIFS(OBJECT_CONDITIONS!$J:$J,OBJECT_CONDITIONS!$A:$A,$I122)-1))+($F122*(SUMIFS(OBJECT_CONDITIONS!$L:$L,OBJECT_CONDITIONS!$A:$A,$I122)-1))+($G122*(SUMIFS(OBJECT_CONDITIONS!$N:$N,OBJECT_CONDITIONS!$A:$A,$I122)-1))+($H122*(SUMIFS(OBJECT_CONDITIONS!$R:$R,OBJECT_CONDITIONS!$A:$A,$I122)-1)),3))</f>
        <v/>
      </c>
      <c r="K122" s="4"/>
    </row>
    <row r="123" spans="1:11" x14ac:dyDescent="0.3">
      <c r="A123" s="4"/>
      <c r="B123" s="4"/>
      <c r="C123" s="4"/>
      <c r="D123" s="22"/>
      <c r="E123" s="22"/>
      <c r="F123" s="22"/>
      <c r="G123" s="22"/>
      <c r="H123" s="22"/>
      <c r="I123" s="4"/>
      <c r="J123" s="22" t="str">
        <f>IF($I123="","",ROUND(1+($D123*(SUMIFS(OBJECT_CONDITIONS!$W:$W,OBJECT_CONDITIONS!$A:$A,$I123)-1))+($E123*(SUMIFS(OBJECT_CONDITIONS!$J:$J,OBJECT_CONDITIONS!$A:$A,$I123)-1))+($F123*(SUMIFS(OBJECT_CONDITIONS!$L:$L,OBJECT_CONDITIONS!$A:$A,$I123)-1))+($G123*(SUMIFS(OBJECT_CONDITIONS!$N:$N,OBJECT_CONDITIONS!$A:$A,$I123)-1))+($H123*(SUMIFS(OBJECT_CONDITIONS!$R:$R,OBJECT_CONDITIONS!$A:$A,$I123)-1)),3))</f>
        <v/>
      </c>
      <c r="K123" s="4"/>
    </row>
    <row r="124" spans="1:11" x14ac:dyDescent="0.3">
      <c r="A124" s="4"/>
      <c r="B124" s="4"/>
      <c r="C124" s="4"/>
      <c r="D124" s="22"/>
      <c r="E124" s="22"/>
      <c r="F124" s="22"/>
      <c r="G124" s="22"/>
      <c r="H124" s="22"/>
      <c r="I124" s="4"/>
      <c r="J124" s="22" t="str">
        <f>IF($I124="","",ROUND(1+($D124*(SUMIFS(OBJECT_CONDITIONS!$W:$W,OBJECT_CONDITIONS!$A:$A,$I124)-1))+($E124*(SUMIFS(OBJECT_CONDITIONS!$J:$J,OBJECT_CONDITIONS!$A:$A,$I124)-1))+($F124*(SUMIFS(OBJECT_CONDITIONS!$L:$L,OBJECT_CONDITIONS!$A:$A,$I124)-1))+($G124*(SUMIFS(OBJECT_CONDITIONS!$N:$N,OBJECT_CONDITIONS!$A:$A,$I124)-1))+($H124*(SUMIFS(OBJECT_CONDITIONS!$R:$R,OBJECT_CONDITIONS!$A:$A,$I124)-1)),3))</f>
        <v/>
      </c>
      <c r="K124" s="4"/>
    </row>
    <row r="125" spans="1:11" x14ac:dyDescent="0.3">
      <c r="A125" s="4"/>
      <c r="B125" s="4"/>
      <c r="C125" s="4"/>
      <c r="D125" s="22"/>
      <c r="E125" s="22"/>
      <c r="F125" s="22"/>
      <c r="G125" s="22"/>
      <c r="H125" s="22"/>
      <c r="I125" s="4"/>
      <c r="J125" s="22" t="str">
        <f>IF($I125="","",ROUND(1+($D125*(SUMIFS(OBJECT_CONDITIONS!$W:$W,OBJECT_CONDITIONS!$A:$A,$I125)-1))+($E125*(SUMIFS(OBJECT_CONDITIONS!$J:$J,OBJECT_CONDITIONS!$A:$A,$I125)-1))+($F125*(SUMIFS(OBJECT_CONDITIONS!$L:$L,OBJECT_CONDITIONS!$A:$A,$I125)-1))+($G125*(SUMIFS(OBJECT_CONDITIONS!$N:$N,OBJECT_CONDITIONS!$A:$A,$I125)-1))+($H125*(SUMIFS(OBJECT_CONDITIONS!$R:$R,OBJECT_CONDITIONS!$A:$A,$I125)-1)),3))</f>
        <v/>
      </c>
      <c r="K125" s="4"/>
    </row>
    <row r="126" spans="1:11" x14ac:dyDescent="0.3">
      <c r="A126" s="4"/>
      <c r="B126" s="4"/>
      <c r="C126" s="4"/>
      <c r="D126" s="22"/>
      <c r="E126" s="22"/>
      <c r="F126" s="22"/>
      <c r="G126" s="22"/>
      <c r="H126" s="22"/>
      <c r="I126" s="4"/>
      <c r="J126" s="22" t="str">
        <f>IF($I126="","",ROUND(1+($D126*(SUMIFS(OBJECT_CONDITIONS!$W:$W,OBJECT_CONDITIONS!$A:$A,$I126)-1))+($E126*(SUMIFS(OBJECT_CONDITIONS!$J:$J,OBJECT_CONDITIONS!$A:$A,$I126)-1))+($F126*(SUMIFS(OBJECT_CONDITIONS!$L:$L,OBJECT_CONDITIONS!$A:$A,$I126)-1))+($G126*(SUMIFS(OBJECT_CONDITIONS!$N:$N,OBJECT_CONDITIONS!$A:$A,$I126)-1))+($H126*(SUMIFS(OBJECT_CONDITIONS!$R:$R,OBJECT_CONDITIONS!$A:$A,$I126)-1)),3))</f>
        <v/>
      </c>
      <c r="K126" s="4"/>
    </row>
    <row r="127" spans="1:11" x14ac:dyDescent="0.3">
      <c r="A127" s="4"/>
      <c r="B127" s="4"/>
      <c r="C127" s="4"/>
      <c r="D127" s="22"/>
      <c r="E127" s="22"/>
      <c r="F127" s="22"/>
      <c r="G127" s="22"/>
      <c r="H127" s="22"/>
      <c r="I127" s="4"/>
      <c r="J127" s="22" t="str">
        <f>IF($I127="","",ROUND(1+($D127*(SUMIFS(OBJECT_CONDITIONS!$W:$W,OBJECT_CONDITIONS!$A:$A,$I127)-1))+($E127*(SUMIFS(OBJECT_CONDITIONS!$J:$J,OBJECT_CONDITIONS!$A:$A,$I127)-1))+($F127*(SUMIFS(OBJECT_CONDITIONS!$L:$L,OBJECT_CONDITIONS!$A:$A,$I127)-1))+($G127*(SUMIFS(OBJECT_CONDITIONS!$N:$N,OBJECT_CONDITIONS!$A:$A,$I127)-1))+($H127*(SUMIFS(OBJECT_CONDITIONS!$R:$R,OBJECT_CONDITIONS!$A:$A,$I127)-1)),3))</f>
        <v/>
      </c>
      <c r="K127" s="4"/>
    </row>
    <row r="128" spans="1:11" x14ac:dyDescent="0.3">
      <c r="A128" s="4"/>
      <c r="B128" s="4"/>
      <c r="C128" s="4"/>
      <c r="D128" s="22"/>
      <c r="E128" s="22"/>
      <c r="F128" s="22"/>
      <c r="G128" s="22"/>
      <c r="H128" s="22"/>
      <c r="I128" s="4"/>
      <c r="J128" s="22" t="str">
        <f>IF($I128="","",ROUND(1+($D128*(SUMIFS(OBJECT_CONDITIONS!$W:$W,OBJECT_CONDITIONS!$A:$A,$I128)-1))+($E128*(SUMIFS(OBJECT_CONDITIONS!$J:$J,OBJECT_CONDITIONS!$A:$A,$I128)-1))+($F128*(SUMIFS(OBJECT_CONDITIONS!$L:$L,OBJECT_CONDITIONS!$A:$A,$I128)-1))+($G128*(SUMIFS(OBJECT_CONDITIONS!$N:$N,OBJECT_CONDITIONS!$A:$A,$I128)-1))+($H128*(SUMIFS(OBJECT_CONDITIONS!$R:$R,OBJECT_CONDITIONS!$A:$A,$I128)-1)),3))</f>
        <v/>
      </c>
      <c r="K128" s="4"/>
    </row>
    <row r="129" spans="1:11" x14ac:dyDescent="0.3">
      <c r="A129" s="4"/>
      <c r="B129" s="4"/>
      <c r="C129" s="4"/>
      <c r="D129" s="22"/>
      <c r="E129" s="22"/>
      <c r="F129" s="22"/>
      <c r="G129" s="22"/>
      <c r="H129" s="22"/>
      <c r="I129" s="4"/>
      <c r="J129" s="22" t="str">
        <f>IF($I129="","",ROUND(1+($D129*(SUMIFS(OBJECT_CONDITIONS!$W:$W,OBJECT_CONDITIONS!$A:$A,$I129)-1))+($E129*(SUMIFS(OBJECT_CONDITIONS!$J:$J,OBJECT_CONDITIONS!$A:$A,$I129)-1))+($F129*(SUMIFS(OBJECT_CONDITIONS!$L:$L,OBJECT_CONDITIONS!$A:$A,$I129)-1))+($G129*(SUMIFS(OBJECT_CONDITIONS!$N:$N,OBJECT_CONDITIONS!$A:$A,$I129)-1))+($H129*(SUMIFS(OBJECT_CONDITIONS!$R:$R,OBJECT_CONDITIONS!$A:$A,$I129)-1)),3))</f>
        <v/>
      </c>
      <c r="K129" s="4"/>
    </row>
    <row r="130" spans="1:11" x14ac:dyDescent="0.3">
      <c r="A130" s="4"/>
      <c r="B130" s="4"/>
      <c r="C130" s="4"/>
      <c r="D130" s="22"/>
      <c r="E130" s="22"/>
      <c r="F130" s="22"/>
      <c r="G130" s="22"/>
      <c r="H130" s="22"/>
      <c r="I130" s="4"/>
      <c r="J130" s="22" t="str">
        <f>IF($I130="","",ROUND(1+($D130*(SUMIFS(OBJECT_CONDITIONS!$W:$W,OBJECT_CONDITIONS!$A:$A,$I130)-1))+($E130*(SUMIFS(OBJECT_CONDITIONS!$J:$J,OBJECT_CONDITIONS!$A:$A,$I130)-1))+($F130*(SUMIFS(OBJECT_CONDITIONS!$L:$L,OBJECT_CONDITIONS!$A:$A,$I130)-1))+($G130*(SUMIFS(OBJECT_CONDITIONS!$N:$N,OBJECT_CONDITIONS!$A:$A,$I130)-1))+($H130*(SUMIFS(OBJECT_CONDITIONS!$R:$R,OBJECT_CONDITIONS!$A:$A,$I130)-1)),3))</f>
        <v/>
      </c>
      <c r="K130" s="4"/>
    </row>
    <row r="131" spans="1:11" x14ac:dyDescent="0.3">
      <c r="A131" s="4"/>
      <c r="B131" s="4"/>
      <c r="C131" s="4"/>
      <c r="D131" s="22"/>
      <c r="E131" s="22"/>
      <c r="F131" s="22"/>
      <c r="G131" s="22"/>
      <c r="H131" s="22"/>
      <c r="I131" s="4"/>
      <c r="J131" s="22" t="str">
        <f>IF($I131="","",ROUND(1+($D131*(SUMIFS(OBJECT_CONDITIONS!$W:$W,OBJECT_CONDITIONS!$A:$A,$I131)-1))+($E131*(SUMIFS(OBJECT_CONDITIONS!$J:$J,OBJECT_CONDITIONS!$A:$A,$I131)-1))+($F131*(SUMIFS(OBJECT_CONDITIONS!$L:$L,OBJECT_CONDITIONS!$A:$A,$I131)-1))+($G131*(SUMIFS(OBJECT_CONDITIONS!$N:$N,OBJECT_CONDITIONS!$A:$A,$I131)-1))+($H131*(SUMIFS(OBJECT_CONDITIONS!$R:$R,OBJECT_CONDITIONS!$A:$A,$I131)-1)),3))</f>
        <v/>
      </c>
      <c r="K131" s="4"/>
    </row>
    <row r="132" spans="1:11" x14ac:dyDescent="0.3">
      <c r="A132" s="4"/>
      <c r="B132" s="4"/>
      <c r="C132" s="4"/>
      <c r="D132" s="22"/>
      <c r="E132" s="22"/>
      <c r="F132" s="22"/>
      <c r="G132" s="22"/>
      <c r="H132" s="22"/>
      <c r="I132" s="4"/>
      <c r="J132" s="22" t="str">
        <f>IF($I132="","",ROUND(1+($D132*(SUMIFS(OBJECT_CONDITIONS!$W:$W,OBJECT_CONDITIONS!$A:$A,$I132)-1))+($E132*(SUMIFS(OBJECT_CONDITIONS!$J:$J,OBJECT_CONDITIONS!$A:$A,$I132)-1))+($F132*(SUMIFS(OBJECT_CONDITIONS!$L:$L,OBJECT_CONDITIONS!$A:$A,$I132)-1))+($G132*(SUMIFS(OBJECT_CONDITIONS!$N:$N,OBJECT_CONDITIONS!$A:$A,$I132)-1))+($H132*(SUMIFS(OBJECT_CONDITIONS!$R:$R,OBJECT_CONDITIONS!$A:$A,$I132)-1)),3))</f>
        <v/>
      </c>
      <c r="K132" s="4"/>
    </row>
    <row r="133" spans="1:11" x14ac:dyDescent="0.3">
      <c r="A133" s="4"/>
      <c r="B133" s="4"/>
      <c r="C133" s="4"/>
      <c r="D133" s="22"/>
      <c r="E133" s="22"/>
      <c r="F133" s="22"/>
      <c r="G133" s="22"/>
      <c r="H133" s="22"/>
      <c r="I133" s="4"/>
      <c r="J133" s="22" t="str">
        <f>IF($I133="","",ROUND(1+($D133*(SUMIFS(OBJECT_CONDITIONS!$W:$W,OBJECT_CONDITIONS!$A:$A,$I133)-1))+($E133*(SUMIFS(OBJECT_CONDITIONS!$J:$J,OBJECT_CONDITIONS!$A:$A,$I133)-1))+($F133*(SUMIFS(OBJECT_CONDITIONS!$L:$L,OBJECT_CONDITIONS!$A:$A,$I133)-1))+($G133*(SUMIFS(OBJECT_CONDITIONS!$N:$N,OBJECT_CONDITIONS!$A:$A,$I133)-1))+($H133*(SUMIFS(OBJECT_CONDITIONS!$R:$R,OBJECT_CONDITIONS!$A:$A,$I133)-1)),3))</f>
        <v/>
      </c>
      <c r="K133" s="4"/>
    </row>
    <row r="134" spans="1:11" x14ac:dyDescent="0.3">
      <c r="A134" s="4"/>
      <c r="B134" s="4"/>
      <c r="C134" s="4"/>
      <c r="D134" s="22"/>
      <c r="E134" s="22"/>
      <c r="F134" s="22"/>
      <c r="G134" s="22"/>
      <c r="H134" s="22"/>
      <c r="I134" s="4"/>
      <c r="J134" s="22" t="str">
        <f>IF($I134="","",ROUND(1+($D134*(SUMIFS(OBJECT_CONDITIONS!$W:$W,OBJECT_CONDITIONS!$A:$A,$I134)-1))+($E134*(SUMIFS(OBJECT_CONDITIONS!$J:$J,OBJECT_CONDITIONS!$A:$A,$I134)-1))+($F134*(SUMIFS(OBJECT_CONDITIONS!$L:$L,OBJECT_CONDITIONS!$A:$A,$I134)-1))+($G134*(SUMIFS(OBJECT_CONDITIONS!$N:$N,OBJECT_CONDITIONS!$A:$A,$I134)-1))+($H134*(SUMIFS(OBJECT_CONDITIONS!$R:$R,OBJECT_CONDITIONS!$A:$A,$I134)-1)),3))</f>
        <v/>
      </c>
      <c r="K134" s="4"/>
    </row>
    <row r="135" spans="1:11" x14ac:dyDescent="0.3">
      <c r="A135" s="4"/>
      <c r="B135" s="4"/>
      <c r="C135" s="4"/>
      <c r="D135" s="22"/>
      <c r="E135" s="22"/>
      <c r="F135" s="22"/>
      <c r="G135" s="22"/>
      <c r="H135" s="22"/>
      <c r="I135" s="4"/>
      <c r="J135" s="22" t="str">
        <f>IF($I135="","",ROUND(1+($D135*(SUMIFS(OBJECT_CONDITIONS!$W:$W,OBJECT_CONDITIONS!$A:$A,$I135)-1))+($E135*(SUMIFS(OBJECT_CONDITIONS!$J:$J,OBJECT_CONDITIONS!$A:$A,$I135)-1))+($F135*(SUMIFS(OBJECT_CONDITIONS!$L:$L,OBJECT_CONDITIONS!$A:$A,$I135)-1))+($G135*(SUMIFS(OBJECT_CONDITIONS!$N:$N,OBJECT_CONDITIONS!$A:$A,$I135)-1))+($H135*(SUMIFS(OBJECT_CONDITIONS!$R:$R,OBJECT_CONDITIONS!$A:$A,$I135)-1)),3))</f>
        <v/>
      </c>
      <c r="K135" s="4"/>
    </row>
    <row r="136" spans="1:11" x14ac:dyDescent="0.3">
      <c r="A136" s="4"/>
      <c r="B136" s="4"/>
      <c r="C136" s="4"/>
      <c r="D136" s="22"/>
      <c r="E136" s="22"/>
      <c r="F136" s="22"/>
      <c r="G136" s="22"/>
      <c r="H136" s="22"/>
      <c r="I136" s="4"/>
      <c r="J136" s="22" t="str">
        <f>IF($I136="","",ROUND(1+($D136*(SUMIFS(OBJECT_CONDITIONS!$W:$W,OBJECT_CONDITIONS!$A:$A,$I136)-1))+($E136*(SUMIFS(OBJECT_CONDITIONS!$J:$J,OBJECT_CONDITIONS!$A:$A,$I136)-1))+($F136*(SUMIFS(OBJECT_CONDITIONS!$L:$L,OBJECT_CONDITIONS!$A:$A,$I136)-1))+($G136*(SUMIFS(OBJECT_CONDITIONS!$N:$N,OBJECT_CONDITIONS!$A:$A,$I136)-1))+($H136*(SUMIFS(OBJECT_CONDITIONS!$R:$R,OBJECT_CONDITIONS!$A:$A,$I136)-1)),3))</f>
        <v/>
      </c>
      <c r="K136" s="4"/>
    </row>
    <row r="137" spans="1:11" x14ac:dyDescent="0.3">
      <c r="A137" s="4"/>
      <c r="B137" s="4"/>
      <c r="C137" s="4"/>
      <c r="D137" s="22"/>
      <c r="E137" s="22"/>
      <c r="F137" s="22"/>
      <c r="G137" s="22"/>
      <c r="H137" s="22"/>
      <c r="I137" s="4"/>
      <c r="J137" s="22" t="str">
        <f>IF($I137="","",ROUND(1+($D137*(SUMIFS(OBJECT_CONDITIONS!$W:$W,OBJECT_CONDITIONS!$A:$A,$I137)-1))+($E137*(SUMIFS(OBJECT_CONDITIONS!$J:$J,OBJECT_CONDITIONS!$A:$A,$I137)-1))+($F137*(SUMIFS(OBJECT_CONDITIONS!$L:$L,OBJECT_CONDITIONS!$A:$A,$I137)-1))+($G137*(SUMIFS(OBJECT_CONDITIONS!$N:$N,OBJECT_CONDITIONS!$A:$A,$I137)-1))+($H137*(SUMIFS(OBJECT_CONDITIONS!$R:$R,OBJECT_CONDITIONS!$A:$A,$I137)-1)),3))</f>
        <v/>
      </c>
      <c r="K137" s="4"/>
    </row>
    <row r="138" spans="1:11" x14ac:dyDescent="0.3">
      <c r="A138" s="4"/>
      <c r="B138" s="4"/>
      <c r="C138" s="4"/>
      <c r="D138" s="22"/>
      <c r="E138" s="22"/>
      <c r="F138" s="22"/>
      <c r="G138" s="22"/>
      <c r="H138" s="22"/>
      <c r="I138" s="4"/>
      <c r="J138" s="22" t="str">
        <f>IF($I138="","",ROUND(1+($D138*(SUMIFS(OBJECT_CONDITIONS!$W:$W,OBJECT_CONDITIONS!$A:$A,$I138)-1))+($E138*(SUMIFS(OBJECT_CONDITIONS!$J:$J,OBJECT_CONDITIONS!$A:$A,$I138)-1))+($F138*(SUMIFS(OBJECT_CONDITIONS!$L:$L,OBJECT_CONDITIONS!$A:$A,$I138)-1))+($G138*(SUMIFS(OBJECT_CONDITIONS!$N:$N,OBJECT_CONDITIONS!$A:$A,$I138)-1))+($H138*(SUMIFS(OBJECT_CONDITIONS!$R:$R,OBJECT_CONDITIONS!$A:$A,$I138)-1)),3))</f>
        <v/>
      </c>
      <c r="K138" s="4"/>
    </row>
    <row r="139" spans="1:11" x14ac:dyDescent="0.3">
      <c r="A139" s="4"/>
      <c r="B139" s="4"/>
      <c r="C139" s="4"/>
      <c r="D139" s="22"/>
      <c r="E139" s="22"/>
      <c r="F139" s="22"/>
      <c r="G139" s="22"/>
      <c r="H139" s="22"/>
      <c r="I139" s="4"/>
      <c r="J139" s="22" t="str">
        <f>IF($I139="","",ROUND(1+($D139*(SUMIFS(OBJECT_CONDITIONS!$W:$W,OBJECT_CONDITIONS!$A:$A,$I139)-1))+($E139*(SUMIFS(OBJECT_CONDITIONS!$J:$J,OBJECT_CONDITIONS!$A:$A,$I139)-1))+($F139*(SUMIFS(OBJECT_CONDITIONS!$L:$L,OBJECT_CONDITIONS!$A:$A,$I139)-1))+($G139*(SUMIFS(OBJECT_CONDITIONS!$N:$N,OBJECT_CONDITIONS!$A:$A,$I139)-1))+($H139*(SUMIFS(OBJECT_CONDITIONS!$R:$R,OBJECT_CONDITIONS!$A:$A,$I139)-1)),3))</f>
        <v/>
      </c>
      <c r="K139" s="4"/>
    </row>
    <row r="140" spans="1:11" x14ac:dyDescent="0.3">
      <c r="A140" s="4"/>
      <c r="B140" s="4"/>
      <c r="C140" s="4"/>
      <c r="D140" s="22"/>
      <c r="E140" s="22"/>
      <c r="F140" s="22"/>
      <c r="G140" s="22"/>
      <c r="H140" s="22"/>
      <c r="I140" s="4"/>
      <c r="J140" s="22" t="str">
        <f>IF($I140="","",ROUND(1+($D140*(SUMIFS(OBJECT_CONDITIONS!$W:$W,OBJECT_CONDITIONS!$A:$A,$I140)-1))+($E140*(SUMIFS(OBJECT_CONDITIONS!$J:$J,OBJECT_CONDITIONS!$A:$A,$I140)-1))+($F140*(SUMIFS(OBJECT_CONDITIONS!$L:$L,OBJECT_CONDITIONS!$A:$A,$I140)-1))+($G140*(SUMIFS(OBJECT_CONDITIONS!$N:$N,OBJECT_CONDITIONS!$A:$A,$I140)-1))+($H140*(SUMIFS(OBJECT_CONDITIONS!$R:$R,OBJECT_CONDITIONS!$A:$A,$I140)-1)),3))</f>
        <v/>
      </c>
      <c r="K140" s="4"/>
    </row>
    <row r="141" spans="1:11" x14ac:dyDescent="0.3">
      <c r="A141" s="4"/>
      <c r="B141" s="4"/>
      <c r="C141" s="4"/>
      <c r="D141" s="22"/>
      <c r="E141" s="22"/>
      <c r="F141" s="22"/>
      <c r="G141" s="22"/>
      <c r="H141" s="22"/>
      <c r="I141" s="4"/>
      <c r="J141" s="22" t="str">
        <f>IF($I141="","",ROUND(1+($D141*(SUMIFS(OBJECT_CONDITIONS!$W:$W,OBJECT_CONDITIONS!$A:$A,$I141)-1))+($E141*(SUMIFS(OBJECT_CONDITIONS!$J:$J,OBJECT_CONDITIONS!$A:$A,$I141)-1))+($F141*(SUMIFS(OBJECT_CONDITIONS!$L:$L,OBJECT_CONDITIONS!$A:$A,$I141)-1))+($G141*(SUMIFS(OBJECT_CONDITIONS!$N:$N,OBJECT_CONDITIONS!$A:$A,$I141)-1))+($H141*(SUMIFS(OBJECT_CONDITIONS!$R:$R,OBJECT_CONDITIONS!$A:$A,$I141)-1)),3))</f>
        <v/>
      </c>
      <c r="K141" s="4"/>
    </row>
    <row r="142" spans="1:11" x14ac:dyDescent="0.3">
      <c r="A142" s="4"/>
      <c r="B142" s="4"/>
      <c r="C142" s="4"/>
      <c r="D142" s="22"/>
      <c r="E142" s="22"/>
      <c r="F142" s="22"/>
      <c r="G142" s="22"/>
      <c r="H142" s="22"/>
      <c r="I142" s="4"/>
      <c r="J142" s="22" t="str">
        <f>IF($I142="","",ROUND(1+($D142*(SUMIFS(OBJECT_CONDITIONS!$W:$W,OBJECT_CONDITIONS!$A:$A,$I142)-1))+($E142*(SUMIFS(OBJECT_CONDITIONS!$J:$J,OBJECT_CONDITIONS!$A:$A,$I142)-1))+($F142*(SUMIFS(OBJECT_CONDITIONS!$L:$L,OBJECT_CONDITIONS!$A:$A,$I142)-1))+($G142*(SUMIFS(OBJECT_CONDITIONS!$N:$N,OBJECT_CONDITIONS!$A:$A,$I142)-1))+($H142*(SUMIFS(OBJECT_CONDITIONS!$R:$R,OBJECT_CONDITIONS!$A:$A,$I142)-1)),3))</f>
        <v/>
      </c>
      <c r="K142" s="4"/>
    </row>
    <row r="143" spans="1:11" x14ac:dyDescent="0.3">
      <c r="A143" s="4"/>
      <c r="B143" s="4"/>
      <c r="C143" s="4"/>
      <c r="D143" s="22"/>
      <c r="E143" s="22"/>
      <c r="F143" s="22"/>
      <c r="G143" s="22"/>
      <c r="H143" s="22"/>
      <c r="I143" s="4"/>
      <c r="J143" s="22" t="str">
        <f>IF($I143="","",ROUND(1+($D143*(SUMIFS(OBJECT_CONDITIONS!$W:$W,OBJECT_CONDITIONS!$A:$A,$I143)-1))+($E143*(SUMIFS(OBJECT_CONDITIONS!$J:$J,OBJECT_CONDITIONS!$A:$A,$I143)-1))+($F143*(SUMIFS(OBJECT_CONDITIONS!$L:$L,OBJECT_CONDITIONS!$A:$A,$I143)-1))+($G143*(SUMIFS(OBJECT_CONDITIONS!$N:$N,OBJECT_CONDITIONS!$A:$A,$I143)-1))+($H143*(SUMIFS(OBJECT_CONDITIONS!$R:$R,OBJECT_CONDITIONS!$A:$A,$I143)-1)),3))</f>
        <v/>
      </c>
      <c r="K143" s="4"/>
    </row>
    <row r="144" spans="1:11" x14ac:dyDescent="0.3">
      <c r="A144" s="4"/>
      <c r="B144" s="4"/>
      <c r="C144" s="4"/>
      <c r="D144" s="22"/>
      <c r="E144" s="22"/>
      <c r="F144" s="22"/>
      <c r="G144" s="22"/>
      <c r="H144" s="22"/>
      <c r="I144" s="4"/>
      <c r="J144" s="22" t="str">
        <f>IF($I144="","",ROUND(1+($D144*(SUMIFS(OBJECT_CONDITIONS!$W:$W,OBJECT_CONDITIONS!$A:$A,$I144)-1))+($E144*(SUMIFS(OBJECT_CONDITIONS!$J:$J,OBJECT_CONDITIONS!$A:$A,$I144)-1))+($F144*(SUMIFS(OBJECT_CONDITIONS!$L:$L,OBJECT_CONDITIONS!$A:$A,$I144)-1))+($G144*(SUMIFS(OBJECT_CONDITIONS!$N:$N,OBJECT_CONDITIONS!$A:$A,$I144)-1))+($H144*(SUMIFS(OBJECT_CONDITIONS!$R:$R,OBJECT_CONDITIONS!$A:$A,$I144)-1)),3))</f>
        <v/>
      </c>
      <c r="K144" s="4"/>
    </row>
    <row r="145" spans="1:11" x14ac:dyDescent="0.3">
      <c r="A145" s="4"/>
      <c r="B145" s="4"/>
      <c r="C145" s="4"/>
      <c r="D145" s="22"/>
      <c r="E145" s="22"/>
      <c r="F145" s="22"/>
      <c r="G145" s="22"/>
      <c r="H145" s="22"/>
      <c r="I145" s="4"/>
      <c r="J145" s="22" t="str">
        <f>IF($I145="","",ROUND(1+($D145*(SUMIFS(OBJECT_CONDITIONS!$W:$W,OBJECT_CONDITIONS!$A:$A,$I145)-1))+($E145*(SUMIFS(OBJECT_CONDITIONS!$J:$J,OBJECT_CONDITIONS!$A:$A,$I145)-1))+($F145*(SUMIFS(OBJECT_CONDITIONS!$L:$L,OBJECT_CONDITIONS!$A:$A,$I145)-1))+($G145*(SUMIFS(OBJECT_CONDITIONS!$N:$N,OBJECT_CONDITIONS!$A:$A,$I145)-1))+($H145*(SUMIFS(OBJECT_CONDITIONS!$R:$R,OBJECT_CONDITIONS!$A:$A,$I145)-1)),3))</f>
        <v/>
      </c>
      <c r="K145" s="4"/>
    </row>
    <row r="146" spans="1:11" x14ac:dyDescent="0.3">
      <c r="A146" s="4"/>
      <c r="B146" s="4"/>
      <c r="C146" s="4"/>
      <c r="D146" s="22"/>
      <c r="E146" s="22"/>
      <c r="F146" s="22"/>
      <c r="G146" s="22"/>
      <c r="H146" s="22"/>
      <c r="I146" s="4"/>
      <c r="J146" s="22" t="str">
        <f>IF($I146="","",ROUND(1+($D146*(SUMIFS(OBJECT_CONDITIONS!$W:$W,OBJECT_CONDITIONS!$A:$A,$I146)-1))+($E146*(SUMIFS(OBJECT_CONDITIONS!$J:$J,OBJECT_CONDITIONS!$A:$A,$I146)-1))+($F146*(SUMIFS(OBJECT_CONDITIONS!$L:$L,OBJECT_CONDITIONS!$A:$A,$I146)-1))+($G146*(SUMIFS(OBJECT_CONDITIONS!$N:$N,OBJECT_CONDITIONS!$A:$A,$I146)-1))+($H146*(SUMIFS(OBJECT_CONDITIONS!$R:$R,OBJECT_CONDITIONS!$A:$A,$I146)-1)),3))</f>
        <v/>
      </c>
      <c r="K146" s="4"/>
    </row>
    <row r="147" spans="1:11" x14ac:dyDescent="0.3">
      <c r="A147" s="4"/>
      <c r="B147" s="4"/>
      <c r="C147" s="4"/>
      <c r="D147" s="22"/>
      <c r="E147" s="22"/>
      <c r="F147" s="22"/>
      <c r="G147" s="22"/>
      <c r="H147" s="22"/>
      <c r="I147" s="4"/>
      <c r="J147" s="22" t="str">
        <f>IF($I147="","",ROUND(1+($D147*(SUMIFS(OBJECT_CONDITIONS!$W:$W,OBJECT_CONDITIONS!$A:$A,$I147)-1))+($E147*(SUMIFS(OBJECT_CONDITIONS!$J:$J,OBJECT_CONDITIONS!$A:$A,$I147)-1))+($F147*(SUMIFS(OBJECT_CONDITIONS!$L:$L,OBJECT_CONDITIONS!$A:$A,$I147)-1))+($G147*(SUMIFS(OBJECT_CONDITIONS!$N:$N,OBJECT_CONDITIONS!$A:$A,$I147)-1))+($H147*(SUMIFS(OBJECT_CONDITIONS!$R:$R,OBJECT_CONDITIONS!$A:$A,$I147)-1)),3))</f>
        <v/>
      </c>
      <c r="K147" s="4"/>
    </row>
    <row r="148" spans="1:11" x14ac:dyDescent="0.3">
      <c r="A148" s="4"/>
      <c r="B148" s="4"/>
      <c r="C148" s="4"/>
      <c r="D148" s="22"/>
      <c r="E148" s="22"/>
      <c r="F148" s="22"/>
      <c r="G148" s="22"/>
      <c r="H148" s="22"/>
      <c r="I148" s="4"/>
      <c r="J148" s="22" t="str">
        <f>IF($I148="","",ROUND(1+($D148*(SUMIFS(OBJECT_CONDITIONS!$W:$W,OBJECT_CONDITIONS!$A:$A,$I148)-1))+($E148*(SUMIFS(OBJECT_CONDITIONS!$J:$J,OBJECT_CONDITIONS!$A:$A,$I148)-1))+($F148*(SUMIFS(OBJECT_CONDITIONS!$L:$L,OBJECT_CONDITIONS!$A:$A,$I148)-1))+($G148*(SUMIFS(OBJECT_CONDITIONS!$N:$N,OBJECT_CONDITIONS!$A:$A,$I148)-1))+($H148*(SUMIFS(OBJECT_CONDITIONS!$R:$R,OBJECT_CONDITIONS!$A:$A,$I148)-1)),3))</f>
        <v/>
      </c>
      <c r="K148" s="4"/>
    </row>
    <row r="149" spans="1:11" x14ac:dyDescent="0.3">
      <c r="A149" s="4"/>
      <c r="B149" s="4"/>
      <c r="C149" s="4"/>
      <c r="D149" s="22"/>
      <c r="E149" s="22"/>
      <c r="F149" s="22"/>
      <c r="G149" s="22"/>
      <c r="H149" s="22"/>
      <c r="I149" s="4"/>
      <c r="J149" s="22" t="str">
        <f>IF($I149="","",ROUND(1+($D149*(SUMIFS(OBJECT_CONDITIONS!$W:$W,OBJECT_CONDITIONS!$A:$A,$I149)-1))+($E149*(SUMIFS(OBJECT_CONDITIONS!$J:$J,OBJECT_CONDITIONS!$A:$A,$I149)-1))+($F149*(SUMIFS(OBJECT_CONDITIONS!$L:$L,OBJECT_CONDITIONS!$A:$A,$I149)-1))+($G149*(SUMIFS(OBJECT_CONDITIONS!$N:$N,OBJECT_CONDITIONS!$A:$A,$I149)-1))+($H149*(SUMIFS(OBJECT_CONDITIONS!$R:$R,OBJECT_CONDITIONS!$A:$A,$I149)-1)),3))</f>
        <v/>
      </c>
      <c r="K149" s="4"/>
    </row>
    <row r="150" spans="1:11" x14ac:dyDescent="0.3">
      <c r="A150" s="4"/>
      <c r="B150" s="4"/>
      <c r="C150" s="4"/>
      <c r="D150" s="22"/>
      <c r="E150" s="22"/>
      <c r="F150" s="22"/>
      <c r="G150" s="22"/>
      <c r="H150" s="22"/>
      <c r="I150" s="4"/>
      <c r="J150" s="22" t="str">
        <f>IF($I150="","",ROUND(1+($D150*(SUMIFS(OBJECT_CONDITIONS!$W:$W,OBJECT_CONDITIONS!$A:$A,$I150)-1))+($E150*(SUMIFS(OBJECT_CONDITIONS!$J:$J,OBJECT_CONDITIONS!$A:$A,$I150)-1))+($F150*(SUMIFS(OBJECT_CONDITIONS!$L:$L,OBJECT_CONDITIONS!$A:$A,$I150)-1))+($G150*(SUMIFS(OBJECT_CONDITIONS!$N:$N,OBJECT_CONDITIONS!$A:$A,$I150)-1))+($H150*(SUMIFS(OBJECT_CONDITIONS!$R:$R,OBJECT_CONDITIONS!$A:$A,$I150)-1)),3))</f>
        <v/>
      </c>
      <c r="K150" s="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400-000000000000}">
          <x14:formula1>
            <xm:f>MATERIAL_MASTER!$A$2:$A$1000</xm:f>
          </x14:formula1>
          <xm:sqref>A2:A1000</xm:sqref>
        </x14:dataValidation>
        <x14:dataValidation type="list" allowBlank="1" xr:uid="{00000000-0002-0000-1400-000001000000}">
          <x14:formula1>
            <xm:f>DICTIONARIES!$AC$2:$AC$9</xm:f>
          </x14:formula1>
          <xm:sqref>C2:C1000</xm:sqref>
        </x14:dataValidation>
        <x14:dataValidation type="list" allowBlank="1" xr:uid="{00000000-0002-0000-1400-000002000000}">
          <x14:formula1>
            <xm:f>OBJECT_CONDITIONS!$A$2:$A$1000</xm:f>
          </x14:formula1>
          <xm:sqref>I2:I1000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U150"/>
  <sheetViews>
    <sheetView workbookViewId="0"/>
  </sheetViews>
  <sheetFormatPr defaultRowHeight="14.4" x14ac:dyDescent="0.3"/>
  <cols>
    <col min="1" max="1" width="12" customWidth="1"/>
    <col min="2" max="4" width="14" customWidth="1"/>
    <col min="5" max="6" width="10" customWidth="1"/>
    <col min="7" max="7" width="28" customWidth="1"/>
    <col min="8" max="8" width="16" customWidth="1"/>
    <col min="9" max="9" width="14" customWidth="1"/>
    <col min="10" max="10" width="12" customWidth="1"/>
    <col min="11" max="11" width="16" customWidth="1"/>
    <col min="12" max="12" width="12" customWidth="1"/>
    <col min="13" max="13" width="14" customWidth="1"/>
    <col min="14" max="14" width="16" customWidth="1"/>
    <col min="15" max="15" width="14" customWidth="1"/>
    <col min="16" max="16" width="16" customWidth="1"/>
    <col min="17" max="17" width="12" customWidth="1"/>
    <col min="18" max="18" width="14" customWidth="1"/>
    <col min="19" max="19" width="22" customWidth="1"/>
    <col min="20" max="20" width="12" customWidth="1"/>
    <col min="21" max="21" width="40" customWidth="1"/>
  </cols>
  <sheetData>
    <row r="1" spans="1:21" ht="28.8" x14ac:dyDescent="0.3">
      <c r="A1" s="3" t="s">
        <v>868</v>
      </c>
      <c r="B1" s="3" t="s">
        <v>610</v>
      </c>
      <c r="C1" s="3" t="s">
        <v>344</v>
      </c>
      <c r="D1" s="3" t="s">
        <v>467</v>
      </c>
      <c r="E1" s="3" t="s">
        <v>869</v>
      </c>
      <c r="F1" s="3" t="s">
        <v>870</v>
      </c>
      <c r="G1" s="3" t="s">
        <v>377</v>
      </c>
      <c r="H1" s="3" t="s">
        <v>491</v>
      </c>
      <c r="I1" s="3" t="s">
        <v>858</v>
      </c>
      <c r="J1" s="3" t="s">
        <v>748</v>
      </c>
      <c r="K1" s="3" t="s">
        <v>749</v>
      </c>
      <c r="L1" s="3" t="s">
        <v>750</v>
      </c>
      <c r="M1" s="3" t="s">
        <v>752</v>
      </c>
      <c r="N1" s="3" t="s">
        <v>871</v>
      </c>
      <c r="O1" s="3" t="s">
        <v>872</v>
      </c>
      <c r="P1" s="3" t="s">
        <v>873</v>
      </c>
      <c r="Q1" s="3" t="s">
        <v>874</v>
      </c>
      <c r="R1" s="3" t="s">
        <v>529</v>
      </c>
      <c r="S1" s="3" t="s">
        <v>530</v>
      </c>
      <c r="T1" s="3" t="s">
        <v>163</v>
      </c>
      <c r="U1" s="3" t="s">
        <v>116</v>
      </c>
    </row>
    <row r="2" spans="1:21" x14ac:dyDescent="0.3">
      <c r="A2" s="4" t="s">
        <v>875</v>
      </c>
      <c r="B2" s="4" t="s">
        <v>617</v>
      </c>
      <c r="C2" s="4" t="s">
        <v>501</v>
      </c>
      <c r="D2" s="4" t="s">
        <v>545</v>
      </c>
      <c r="E2" s="4">
        <v>180</v>
      </c>
      <c r="F2" s="4" t="s">
        <v>241</v>
      </c>
      <c r="G2" s="4" t="str">
        <f>IF($C2="","",INDEX(MATERIAL_MASTER!$O:$O,MATCH($C2,MATERIAL_MASTER!$A:$A,0)))</f>
        <v>Рулонный текстиль</v>
      </c>
      <c r="H2" s="22">
        <f>IF($C2="","",INDEX(MATERIAL_MASTER!$P:$P,MATCH($C2,MATERIAL_MASTER!$A:$A,0)))</f>
        <v>1.133</v>
      </c>
      <c r="I2" s="22">
        <f>IF($C2="","",INDEX(MATERIAL_FACTOR_APPLICABILITY!$D:$D,MATCH($C2,MATERIAL_FACTOR_APPLICABILITY!$A:$A,0)))</f>
        <v>0.8</v>
      </c>
      <c r="J2" s="22">
        <f>IF($C2="","",INDEX(MATERIAL_FACTOR_APPLICABILITY!$E:$E,MATCH($C2,MATERIAL_FACTOR_APPLICABILITY!$A:$A,0)))</f>
        <v>0.2</v>
      </c>
      <c r="K2" s="22">
        <f>IF($C2="","",INDEX(MATERIAL_FACTOR_APPLICABILITY!$F:$F,MATCH($C2,MATERIAL_FACTOR_APPLICABILITY!$A:$A,0)))</f>
        <v>0.4</v>
      </c>
      <c r="L2" s="22">
        <f>IF($C2="","",INDEX(MATERIAL_FACTOR_APPLICABILITY!$G:$G,MATCH($C2,MATERIAL_FACTOR_APPLICABILITY!$A:$A,0)))</f>
        <v>0.1</v>
      </c>
      <c r="M2" s="22">
        <f>IF($C2="","",INDEX(MATERIAL_FACTOR_APPLICABILITY!$H:$H,MATCH($C2,MATERIAL_FACTOR_APPLICABILITY!$A:$A,0)))</f>
        <v>0</v>
      </c>
      <c r="N2" s="22">
        <f>IF($B2="","",ROUND(1+($I2*(SUMIFS(OBJECT_CONDITIONS!$W:$W,OBJECT_CONDITIONS!$A:$A,$B2)-1))+($J2*(SUMIFS(OBJECT_CONDITIONS!$J:$J,OBJECT_CONDITIONS!$A:$A,$B2)-1))+($K2*(SUMIFS(OBJECT_CONDITIONS!$L:$L,OBJECT_CONDITIONS!$A:$A,$B2)-1))+($L2*(SUMIFS(OBJECT_CONDITIONS!$N:$N,OBJECT_CONDITIONS!$A:$A,$B2)-1))+($M2*(SUMIFS(OBJECT_CONDITIONS!$R:$R,OBJECT_CONDITIONS!$A:$A,$B2)-1)),3))</f>
        <v>1.1080000000000001</v>
      </c>
      <c r="O2" s="22">
        <v>1</v>
      </c>
      <c r="P2" s="22">
        <f t="shared" ref="P2:P33" si="0">IF(OR($H2="",$N2=""),"",ROUND($H2*$N2*IF($O2="",1,$O2),3))</f>
        <v>1.2549999999999999</v>
      </c>
      <c r="Q2" s="22">
        <f t="shared" ref="Q2:Q33" si="1">IF(OR($E2="",$P2=""),"",ROUND($E2*$P2,3))</f>
        <v>225.9</v>
      </c>
      <c r="R2" s="4" t="str">
        <f>IF($D2="","",IFERROR(INDEX(MATERIAL_VARIANTS!$O:$O,MATCH($D2,MATERIAL_VARIANTS!$A:$A,0)),""))</f>
        <v>рулон</v>
      </c>
      <c r="S2" s="22">
        <f>IF($D2="","",IFERROR(INDEX(MATERIAL_VARIANTS!$P:$P,MATCH($D2,MATERIAL_VARIANTS!$A:$A,0)),""))</f>
        <v>0</v>
      </c>
      <c r="T2" s="4" t="str">
        <f t="shared" ref="T2:T33" si="2">IF(OR($Q2="",$S2="",$S2=0),"",ROUNDUP($Q2/$S2,0))</f>
        <v/>
      </c>
      <c r="U2" s="4" t="s">
        <v>876</v>
      </c>
    </row>
    <row r="3" spans="1:21" x14ac:dyDescent="0.3">
      <c r="A3" s="4" t="s">
        <v>877</v>
      </c>
      <c r="B3" s="4" t="s">
        <v>617</v>
      </c>
      <c r="C3" s="4" t="s">
        <v>506</v>
      </c>
      <c r="D3" s="4" t="s">
        <v>547</v>
      </c>
      <c r="E3" s="4">
        <v>240</v>
      </c>
      <c r="F3" s="4" t="s">
        <v>241</v>
      </c>
      <c r="G3" s="4" t="str">
        <f>IF($C3="","",INDEX(MATERIAL_MASTER!$O:$O,MATCH($C3,MATERIAL_MASTER!$A:$A,0)))</f>
        <v>Рулонный газон / турф</v>
      </c>
      <c r="H3" s="22">
        <f>IF($C3="","",INDEX(MATERIAL_MASTER!$P:$P,MATCH($C3,MATERIAL_MASTER!$A:$A,0)))</f>
        <v>1.05</v>
      </c>
      <c r="I3" s="22">
        <f>IF($C3="","",INDEX(MATERIAL_FACTOR_APPLICABILITY!$D:$D,MATCH($C3,MATERIAL_FACTOR_APPLICABILITY!$A:$A,0)))</f>
        <v>0.9</v>
      </c>
      <c r="J3" s="22">
        <f>IF($C3="","",INDEX(MATERIAL_FACTOR_APPLICABILITY!$E:$E,MATCH($C3,MATERIAL_FACTOR_APPLICABILITY!$A:$A,0)))</f>
        <v>0.3</v>
      </c>
      <c r="K3" s="22">
        <f>IF($C3="","",INDEX(MATERIAL_FACTOR_APPLICABILITY!$F:$F,MATCH($C3,MATERIAL_FACTOR_APPLICABILITY!$A:$A,0)))</f>
        <v>0.3</v>
      </c>
      <c r="L3" s="22">
        <f>IF($C3="","",INDEX(MATERIAL_FACTOR_APPLICABILITY!$G:$G,MATCH($C3,MATERIAL_FACTOR_APPLICABILITY!$A:$A,0)))</f>
        <v>0.1</v>
      </c>
      <c r="M3" s="22">
        <f>IF($C3="","",INDEX(MATERIAL_FACTOR_APPLICABILITY!$H:$H,MATCH($C3,MATERIAL_FACTOR_APPLICABILITY!$A:$A,0)))</f>
        <v>0</v>
      </c>
      <c r="N3" s="22">
        <f>IF($B3="","",ROUND(1+($I3*(SUMIFS(OBJECT_CONDITIONS!$W:$W,OBJECT_CONDITIONS!$A:$A,$B3)-1))+($J3*(SUMIFS(OBJECT_CONDITIONS!$J:$J,OBJECT_CONDITIONS!$A:$A,$B3)-1))+($K3*(SUMIFS(OBJECT_CONDITIONS!$L:$L,OBJECT_CONDITIONS!$A:$A,$B3)-1))+($L3*(SUMIFS(OBJECT_CONDITIONS!$N:$N,OBJECT_CONDITIONS!$A:$A,$B3)-1))+($M3*(SUMIFS(OBJECT_CONDITIONS!$R:$R,OBJECT_CONDITIONS!$A:$A,$B3)-1)),3))</f>
        <v>1.1220000000000001</v>
      </c>
      <c r="O3" s="22">
        <v>1</v>
      </c>
      <c r="P3" s="22">
        <f t="shared" si="0"/>
        <v>1.1779999999999999</v>
      </c>
      <c r="Q3" s="22">
        <f t="shared" si="1"/>
        <v>282.72000000000003</v>
      </c>
      <c r="R3" s="4" t="str">
        <f>IF($D3="","",IFERROR(INDEX(MATERIAL_VARIANTS!$O:$O,MATCH($D3,MATERIAL_VARIANTS!$A:$A,0)),""))</f>
        <v>рулон</v>
      </c>
      <c r="S3" s="22">
        <f>IF($D3="","",IFERROR(INDEX(MATERIAL_VARIANTS!$P:$P,MATCH($D3,MATERIAL_VARIANTS!$A:$A,0)),""))</f>
        <v>0</v>
      </c>
      <c r="T3" s="4" t="str">
        <f t="shared" si="2"/>
        <v/>
      </c>
      <c r="U3" s="4" t="s">
        <v>878</v>
      </c>
    </row>
    <row r="4" spans="1:21" x14ac:dyDescent="0.3">
      <c r="A4" s="4" t="s">
        <v>879</v>
      </c>
      <c r="B4" s="4" t="s">
        <v>617</v>
      </c>
      <c r="C4" s="4" t="s">
        <v>493</v>
      </c>
      <c r="D4" s="4" t="s">
        <v>540</v>
      </c>
      <c r="E4" s="4">
        <v>95</v>
      </c>
      <c r="F4" s="4" t="s">
        <v>241</v>
      </c>
      <c r="G4" s="4" t="str">
        <f>IF($C4="","",INDEX(MATERIAL_MASTER!$O:$O,MATCH($C4,MATERIAL_MASTER!$A:$A,0)))</f>
        <v>Штучное покрытие</v>
      </c>
      <c r="H4" s="22">
        <f>IF($C4="","",INDEX(MATERIAL_MASTER!$P:$P,MATCH($C4,MATERIAL_MASTER!$A:$A,0)))</f>
        <v>1.05</v>
      </c>
      <c r="I4" s="22">
        <f>IF($C4="","",INDEX(MATERIAL_FACTOR_APPLICABILITY!$D:$D,MATCH($C4,MATERIAL_FACTOR_APPLICABILITY!$A:$A,0)))</f>
        <v>0.6</v>
      </c>
      <c r="J4" s="22">
        <f>IF($C4="","",INDEX(MATERIAL_FACTOR_APPLICABILITY!$E:$E,MATCH($C4,MATERIAL_FACTOR_APPLICABILITY!$A:$A,0)))</f>
        <v>0.1</v>
      </c>
      <c r="K4" s="22">
        <f>IF($C4="","",INDEX(MATERIAL_FACTOR_APPLICABILITY!$F:$F,MATCH($C4,MATERIAL_FACTOR_APPLICABILITY!$A:$A,0)))</f>
        <v>0.1</v>
      </c>
      <c r="L4" s="22">
        <f>IF($C4="","",INDEX(MATERIAL_FACTOR_APPLICABILITY!$G:$G,MATCH($C4,MATERIAL_FACTOR_APPLICABILITY!$A:$A,0)))</f>
        <v>0</v>
      </c>
      <c r="M4" s="22">
        <f>IF($C4="","",INDEX(MATERIAL_FACTOR_APPLICABILITY!$H:$H,MATCH($C4,MATERIAL_FACTOR_APPLICABILITY!$A:$A,0)))</f>
        <v>0</v>
      </c>
      <c r="N4" s="22">
        <f>IF($B4="","",ROUND(1+($I4*(SUMIFS(OBJECT_CONDITIONS!$W:$W,OBJECT_CONDITIONS!$A:$A,$B4)-1))+($J4*(SUMIFS(OBJECT_CONDITIONS!$J:$J,OBJECT_CONDITIONS!$A:$A,$B4)-1))+($K4*(SUMIFS(OBJECT_CONDITIONS!$L:$L,OBJECT_CONDITIONS!$A:$A,$B4)-1))+($L4*(SUMIFS(OBJECT_CONDITIONS!$N:$N,OBJECT_CONDITIONS!$A:$A,$B4)-1))+($M4*(SUMIFS(OBJECT_CONDITIONS!$R:$R,OBJECT_CONDITIONS!$A:$A,$B4)-1)),3))</f>
        <v>1.0589999999999999</v>
      </c>
      <c r="O4" s="22">
        <v>1</v>
      </c>
      <c r="P4" s="22">
        <f t="shared" si="0"/>
        <v>1.1120000000000001</v>
      </c>
      <c r="Q4" s="22">
        <f t="shared" si="1"/>
        <v>105.64</v>
      </c>
      <c r="R4" s="4" t="str">
        <f>IF($D4="","",IFERROR(INDEX(MATERIAL_VARIANTS!$O:$O,MATCH($D4,MATERIAL_VARIANTS!$A:$A,0)),""))</f>
        <v>м2</v>
      </c>
      <c r="S4" s="22">
        <f>IF($D4="","",IFERROR(INDEX(MATERIAL_VARIANTS!$P:$P,MATCH($D4,MATERIAL_VARIANTS!$A:$A,0)),""))</f>
        <v>1</v>
      </c>
      <c r="T4" s="4">
        <f t="shared" si="2"/>
        <v>106</v>
      </c>
      <c r="U4" s="4" t="s">
        <v>880</v>
      </c>
    </row>
    <row r="5" spans="1:21" ht="28.8" x14ac:dyDescent="0.3">
      <c r="A5" s="4" t="s">
        <v>881</v>
      </c>
      <c r="B5" s="4" t="s">
        <v>617</v>
      </c>
      <c r="C5" s="4" t="s">
        <v>519</v>
      </c>
      <c r="D5" s="4" t="s">
        <v>553</v>
      </c>
      <c r="E5" s="4">
        <v>32</v>
      </c>
      <c r="F5" s="4" t="s">
        <v>362</v>
      </c>
      <c r="G5" s="4" t="str">
        <f>IF($C5="","",INDEX(MATERIAL_MASTER!$O:$O,MATCH($C5,MATERIAL_MASTER!$A:$A,0)))</f>
        <v>Сыпучие с уплотнением</v>
      </c>
      <c r="H5" s="22">
        <f>IF($C5="","",INDEX(MATERIAL_MASTER!$P:$P,MATCH($C5,MATERIAL_MASTER!$A:$A,0)))</f>
        <v>1.18</v>
      </c>
      <c r="I5" s="22">
        <f>IF($C5="","",INDEX(MATERIAL_FACTOR_APPLICABILITY!$D:$D,MATCH($C5,MATERIAL_FACTOR_APPLICABILITY!$A:$A,0)))</f>
        <v>0.1</v>
      </c>
      <c r="J5" s="22">
        <f>IF($C5="","",INDEX(MATERIAL_FACTOR_APPLICABILITY!$E:$E,MATCH($C5,MATERIAL_FACTOR_APPLICABILITY!$A:$A,0)))</f>
        <v>0.3</v>
      </c>
      <c r="K5" s="22">
        <f>IF($C5="","",INDEX(MATERIAL_FACTOR_APPLICABILITY!$F:$F,MATCH($C5,MATERIAL_FACTOR_APPLICABILITY!$A:$A,0)))</f>
        <v>0.2</v>
      </c>
      <c r="L5" s="22">
        <f>IF($C5="","",INDEX(MATERIAL_FACTOR_APPLICABILITY!$G:$G,MATCH($C5,MATERIAL_FACTOR_APPLICABILITY!$A:$A,0)))</f>
        <v>0.2</v>
      </c>
      <c r="M5" s="22">
        <f>IF($C5="","",INDEX(MATERIAL_FACTOR_APPLICABILITY!$H:$H,MATCH($C5,MATERIAL_FACTOR_APPLICABILITY!$A:$A,0)))</f>
        <v>0</v>
      </c>
      <c r="N5" s="22">
        <f>IF($B5="","",ROUND(1+($I5*(SUMIFS(OBJECT_CONDITIONS!$W:$W,OBJECT_CONDITIONS!$A:$A,$B5)-1))+($J5*(SUMIFS(OBJECT_CONDITIONS!$J:$J,OBJECT_CONDITIONS!$A:$A,$B5)-1))+($K5*(SUMIFS(OBJECT_CONDITIONS!$L:$L,OBJECT_CONDITIONS!$A:$A,$B5)-1))+($L5*(SUMIFS(OBJECT_CONDITIONS!$N:$N,OBJECT_CONDITIONS!$A:$A,$B5)-1))+($M5*(SUMIFS(OBJECT_CONDITIONS!$R:$R,OBJECT_CONDITIONS!$A:$A,$B5)-1)),3))</f>
        <v>1.069</v>
      </c>
      <c r="O5" s="22">
        <v>1</v>
      </c>
      <c r="P5" s="22">
        <f t="shared" si="0"/>
        <v>1.2609999999999999</v>
      </c>
      <c r="Q5" s="22">
        <f t="shared" si="1"/>
        <v>40.351999999999997</v>
      </c>
      <c r="R5" s="4" t="str">
        <f>IF($D5="","",IFERROR(INDEX(MATERIAL_VARIANTS!$O:$O,MATCH($D5,MATERIAL_VARIANTS!$A:$A,0)),""))</f>
        <v>м3</v>
      </c>
      <c r="S5" s="22">
        <f>IF($D5="","",IFERROR(INDEX(MATERIAL_VARIANTS!$P:$P,MATCH($D5,MATERIAL_VARIANTS!$A:$A,0)),""))</f>
        <v>1</v>
      </c>
      <c r="T5" s="4">
        <f t="shared" si="2"/>
        <v>41</v>
      </c>
      <c r="U5" s="4" t="s">
        <v>882</v>
      </c>
    </row>
    <row r="6" spans="1:21" x14ac:dyDescent="0.3">
      <c r="A6" s="4"/>
      <c r="B6" s="4"/>
      <c r="C6" s="4"/>
      <c r="D6" s="4"/>
      <c r="E6" s="4"/>
      <c r="F6" s="4"/>
      <c r="G6" s="4" t="str">
        <f>IF($C6="","",INDEX(MATERIAL_MASTER!$O:$O,MATCH($C6,MATERIAL_MASTER!$A:$A,0)))</f>
        <v/>
      </c>
      <c r="H6" s="22" t="str">
        <f>IF($C6="","",INDEX(MATERIAL_MASTER!$P:$P,MATCH($C6,MATERIAL_MASTER!$A:$A,0)))</f>
        <v/>
      </c>
      <c r="I6" s="22" t="str">
        <f>IF($C6="","",INDEX(MATERIAL_FACTOR_APPLICABILITY!$D:$D,MATCH($C6,MATERIAL_FACTOR_APPLICABILITY!$A:$A,0)))</f>
        <v/>
      </c>
      <c r="J6" s="22" t="str">
        <f>IF($C6="","",INDEX(MATERIAL_FACTOR_APPLICABILITY!$E:$E,MATCH($C6,MATERIAL_FACTOR_APPLICABILITY!$A:$A,0)))</f>
        <v/>
      </c>
      <c r="K6" s="22" t="str">
        <f>IF($C6="","",INDEX(MATERIAL_FACTOR_APPLICABILITY!$F:$F,MATCH($C6,MATERIAL_FACTOR_APPLICABILITY!$A:$A,0)))</f>
        <v/>
      </c>
      <c r="L6" s="22" t="str">
        <f>IF($C6="","",INDEX(MATERIAL_FACTOR_APPLICABILITY!$G:$G,MATCH($C6,MATERIAL_FACTOR_APPLICABILITY!$A:$A,0)))</f>
        <v/>
      </c>
      <c r="M6" s="22" t="str">
        <f>IF($C6="","",INDEX(MATERIAL_FACTOR_APPLICABILITY!$H:$H,MATCH($C6,MATERIAL_FACTOR_APPLICABILITY!$A:$A,0)))</f>
        <v/>
      </c>
      <c r="N6" s="22" t="str">
        <f>IF($B6="","",ROUND(1+($I6*(SUMIFS(OBJECT_CONDITIONS!$W:$W,OBJECT_CONDITIONS!$A:$A,$B6)-1))+($J6*(SUMIFS(OBJECT_CONDITIONS!$J:$J,OBJECT_CONDITIONS!$A:$A,$B6)-1))+($K6*(SUMIFS(OBJECT_CONDITIONS!$L:$L,OBJECT_CONDITIONS!$A:$A,$B6)-1))+($L6*(SUMIFS(OBJECT_CONDITIONS!$N:$N,OBJECT_CONDITIONS!$A:$A,$B6)-1))+($M6*(SUMIFS(OBJECT_CONDITIONS!$R:$R,OBJECT_CONDITIONS!$A:$A,$B6)-1)),3))</f>
        <v/>
      </c>
      <c r="O6" s="22"/>
      <c r="P6" s="22" t="str">
        <f t="shared" si="0"/>
        <v/>
      </c>
      <c r="Q6" s="22" t="str">
        <f t="shared" si="1"/>
        <v/>
      </c>
      <c r="R6" s="4" t="str">
        <f>IF($D6="","",IFERROR(INDEX(MATERIAL_VARIANTS!$O:$O,MATCH($D6,MATERIAL_VARIANTS!$A:$A,0)),""))</f>
        <v/>
      </c>
      <c r="S6" s="22" t="str">
        <f>IF($D6="","",IFERROR(INDEX(MATERIAL_VARIANTS!$P:$P,MATCH($D6,MATERIAL_VARIANTS!$A:$A,0)),""))</f>
        <v/>
      </c>
      <c r="T6" s="4" t="str">
        <f t="shared" si="2"/>
        <v/>
      </c>
      <c r="U6" s="4"/>
    </row>
    <row r="7" spans="1:21" x14ac:dyDescent="0.3">
      <c r="A7" s="4"/>
      <c r="B7" s="4"/>
      <c r="C7" s="4"/>
      <c r="D7" s="4"/>
      <c r="E7" s="4"/>
      <c r="F7" s="4"/>
      <c r="G7" s="4" t="str">
        <f>IF($C7="","",INDEX(MATERIAL_MASTER!$O:$O,MATCH($C7,MATERIAL_MASTER!$A:$A,0)))</f>
        <v/>
      </c>
      <c r="H7" s="22" t="str">
        <f>IF($C7="","",INDEX(MATERIAL_MASTER!$P:$P,MATCH($C7,MATERIAL_MASTER!$A:$A,0)))</f>
        <v/>
      </c>
      <c r="I7" s="22" t="str">
        <f>IF($C7="","",INDEX(MATERIAL_FACTOR_APPLICABILITY!$D:$D,MATCH($C7,MATERIAL_FACTOR_APPLICABILITY!$A:$A,0)))</f>
        <v/>
      </c>
      <c r="J7" s="22" t="str">
        <f>IF($C7="","",INDEX(MATERIAL_FACTOR_APPLICABILITY!$E:$E,MATCH($C7,MATERIAL_FACTOR_APPLICABILITY!$A:$A,0)))</f>
        <v/>
      </c>
      <c r="K7" s="22" t="str">
        <f>IF($C7="","",INDEX(MATERIAL_FACTOR_APPLICABILITY!$F:$F,MATCH($C7,MATERIAL_FACTOR_APPLICABILITY!$A:$A,0)))</f>
        <v/>
      </c>
      <c r="L7" s="22" t="str">
        <f>IF($C7="","",INDEX(MATERIAL_FACTOR_APPLICABILITY!$G:$G,MATCH($C7,MATERIAL_FACTOR_APPLICABILITY!$A:$A,0)))</f>
        <v/>
      </c>
      <c r="M7" s="22" t="str">
        <f>IF($C7="","",INDEX(MATERIAL_FACTOR_APPLICABILITY!$H:$H,MATCH($C7,MATERIAL_FACTOR_APPLICABILITY!$A:$A,0)))</f>
        <v/>
      </c>
      <c r="N7" s="22" t="str">
        <f>IF($B7="","",ROUND(1+($I7*(SUMIFS(OBJECT_CONDITIONS!$W:$W,OBJECT_CONDITIONS!$A:$A,$B7)-1))+($J7*(SUMIFS(OBJECT_CONDITIONS!$J:$J,OBJECT_CONDITIONS!$A:$A,$B7)-1))+($K7*(SUMIFS(OBJECT_CONDITIONS!$L:$L,OBJECT_CONDITIONS!$A:$A,$B7)-1))+($L7*(SUMIFS(OBJECT_CONDITIONS!$N:$N,OBJECT_CONDITIONS!$A:$A,$B7)-1))+($M7*(SUMIFS(OBJECT_CONDITIONS!$R:$R,OBJECT_CONDITIONS!$A:$A,$B7)-1)),3))</f>
        <v/>
      </c>
      <c r="O7" s="22"/>
      <c r="P7" s="22" t="str">
        <f t="shared" si="0"/>
        <v/>
      </c>
      <c r="Q7" s="22" t="str">
        <f t="shared" si="1"/>
        <v/>
      </c>
      <c r="R7" s="4" t="str">
        <f>IF($D7="","",IFERROR(INDEX(MATERIAL_VARIANTS!$O:$O,MATCH($D7,MATERIAL_VARIANTS!$A:$A,0)),""))</f>
        <v/>
      </c>
      <c r="S7" s="22" t="str">
        <f>IF($D7="","",IFERROR(INDEX(MATERIAL_VARIANTS!$P:$P,MATCH($D7,MATERIAL_VARIANTS!$A:$A,0)),""))</f>
        <v/>
      </c>
      <c r="T7" s="4" t="str">
        <f t="shared" si="2"/>
        <v/>
      </c>
      <c r="U7" s="4"/>
    </row>
    <row r="8" spans="1:21" x14ac:dyDescent="0.3">
      <c r="A8" s="4"/>
      <c r="B8" s="4"/>
      <c r="C8" s="4"/>
      <c r="D8" s="4"/>
      <c r="E8" s="4"/>
      <c r="F8" s="4"/>
      <c r="G8" s="4" t="str">
        <f>IF($C8="","",INDEX(MATERIAL_MASTER!$O:$O,MATCH($C8,MATERIAL_MASTER!$A:$A,0)))</f>
        <v/>
      </c>
      <c r="H8" s="22" t="str">
        <f>IF($C8="","",INDEX(MATERIAL_MASTER!$P:$P,MATCH($C8,MATERIAL_MASTER!$A:$A,0)))</f>
        <v/>
      </c>
      <c r="I8" s="22" t="str">
        <f>IF($C8="","",INDEX(MATERIAL_FACTOR_APPLICABILITY!$D:$D,MATCH($C8,MATERIAL_FACTOR_APPLICABILITY!$A:$A,0)))</f>
        <v/>
      </c>
      <c r="J8" s="22" t="str">
        <f>IF($C8="","",INDEX(MATERIAL_FACTOR_APPLICABILITY!$E:$E,MATCH($C8,MATERIAL_FACTOR_APPLICABILITY!$A:$A,0)))</f>
        <v/>
      </c>
      <c r="K8" s="22" t="str">
        <f>IF($C8="","",INDEX(MATERIAL_FACTOR_APPLICABILITY!$F:$F,MATCH($C8,MATERIAL_FACTOR_APPLICABILITY!$A:$A,0)))</f>
        <v/>
      </c>
      <c r="L8" s="22" t="str">
        <f>IF($C8="","",INDEX(MATERIAL_FACTOR_APPLICABILITY!$G:$G,MATCH($C8,MATERIAL_FACTOR_APPLICABILITY!$A:$A,0)))</f>
        <v/>
      </c>
      <c r="M8" s="22" t="str">
        <f>IF($C8="","",INDEX(MATERIAL_FACTOR_APPLICABILITY!$H:$H,MATCH($C8,MATERIAL_FACTOR_APPLICABILITY!$A:$A,0)))</f>
        <v/>
      </c>
      <c r="N8" s="22" t="str">
        <f>IF($B8="","",ROUND(1+($I8*(SUMIFS(OBJECT_CONDITIONS!$W:$W,OBJECT_CONDITIONS!$A:$A,$B8)-1))+($J8*(SUMIFS(OBJECT_CONDITIONS!$J:$J,OBJECT_CONDITIONS!$A:$A,$B8)-1))+($K8*(SUMIFS(OBJECT_CONDITIONS!$L:$L,OBJECT_CONDITIONS!$A:$A,$B8)-1))+($L8*(SUMIFS(OBJECT_CONDITIONS!$N:$N,OBJECT_CONDITIONS!$A:$A,$B8)-1))+($M8*(SUMIFS(OBJECT_CONDITIONS!$R:$R,OBJECT_CONDITIONS!$A:$A,$B8)-1)),3))</f>
        <v/>
      </c>
      <c r="O8" s="22"/>
      <c r="P8" s="22" t="str">
        <f t="shared" si="0"/>
        <v/>
      </c>
      <c r="Q8" s="22" t="str">
        <f t="shared" si="1"/>
        <v/>
      </c>
      <c r="R8" s="4" t="str">
        <f>IF($D8="","",IFERROR(INDEX(MATERIAL_VARIANTS!$O:$O,MATCH($D8,MATERIAL_VARIANTS!$A:$A,0)),""))</f>
        <v/>
      </c>
      <c r="S8" s="22" t="str">
        <f>IF($D8="","",IFERROR(INDEX(MATERIAL_VARIANTS!$P:$P,MATCH($D8,MATERIAL_VARIANTS!$A:$A,0)),""))</f>
        <v/>
      </c>
      <c r="T8" s="4" t="str">
        <f t="shared" si="2"/>
        <v/>
      </c>
      <c r="U8" s="4"/>
    </row>
    <row r="9" spans="1:21" x14ac:dyDescent="0.3">
      <c r="A9" s="4"/>
      <c r="B9" s="4"/>
      <c r="C9" s="4"/>
      <c r="D9" s="4"/>
      <c r="E9" s="4"/>
      <c r="F9" s="4"/>
      <c r="G9" s="4" t="str">
        <f>IF($C9="","",INDEX(MATERIAL_MASTER!$O:$O,MATCH($C9,MATERIAL_MASTER!$A:$A,0)))</f>
        <v/>
      </c>
      <c r="H9" s="22" t="str">
        <f>IF($C9="","",INDEX(MATERIAL_MASTER!$P:$P,MATCH($C9,MATERIAL_MASTER!$A:$A,0)))</f>
        <v/>
      </c>
      <c r="I9" s="22" t="str">
        <f>IF($C9="","",INDEX(MATERIAL_FACTOR_APPLICABILITY!$D:$D,MATCH($C9,MATERIAL_FACTOR_APPLICABILITY!$A:$A,0)))</f>
        <v/>
      </c>
      <c r="J9" s="22" t="str">
        <f>IF($C9="","",INDEX(MATERIAL_FACTOR_APPLICABILITY!$E:$E,MATCH($C9,MATERIAL_FACTOR_APPLICABILITY!$A:$A,0)))</f>
        <v/>
      </c>
      <c r="K9" s="22" t="str">
        <f>IF($C9="","",INDEX(MATERIAL_FACTOR_APPLICABILITY!$F:$F,MATCH($C9,MATERIAL_FACTOR_APPLICABILITY!$A:$A,0)))</f>
        <v/>
      </c>
      <c r="L9" s="22" t="str">
        <f>IF($C9="","",INDEX(MATERIAL_FACTOR_APPLICABILITY!$G:$G,MATCH($C9,MATERIAL_FACTOR_APPLICABILITY!$A:$A,0)))</f>
        <v/>
      </c>
      <c r="M9" s="22" t="str">
        <f>IF($C9="","",INDEX(MATERIAL_FACTOR_APPLICABILITY!$H:$H,MATCH($C9,MATERIAL_FACTOR_APPLICABILITY!$A:$A,0)))</f>
        <v/>
      </c>
      <c r="N9" s="22" t="str">
        <f>IF($B9="","",ROUND(1+($I9*(SUMIFS(OBJECT_CONDITIONS!$W:$W,OBJECT_CONDITIONS!$A:$A,$B9)-1))+($J9*(SUMIFS(OBJECT_CONDITIONS!$J:$J,OBJECT_CONDITIONS!$A:$A,$B9)-1))+($K9*(SUMIFS(OBJECT_CONDITIONS!$L:$L,OBJECT_CONDITIONS!$A:$A,$B9)-1))+($L9*(SUMIFS(OBJECT_CONDITIONS!$N:$N,OBJECT_CONDITIONS!$A:$A,$B9)-1))+($M9*(SUMIFS(OBJECT_CONDITIONS!$R:$R,OBJECT_CONDITIONS!$A:$A,$B9)-1)),3))</f>
        <v/>
      </c>
      <c r="O9" s="22"/>
      <c r="P9" s="22" t="str">
        <f t="shared" si="0"/>
        <v/>
      </c>
      <c r="Q9" s="22" t="str">
        <f t="shared" si="1"/>
        <v/>
      </c>
      <c r="R9" s="4" t="str">
        <f>IF($D9="","",IFERROR(INDEX(MATERIAL_VARIANTS!$O:$O,MATCH($D9,MATERIAL_VARIANTS!$A:$A,0)),""))</f>
        <v/>
      </c>
      <c r="S9" s="22" t="str">
        <f>IF($D9="","",IFERROR(INDEX(MATERIAL_VARIANTS!$P:$P,MATCH($D9,MATERIAL_VARIANTS!$A:$A,0)),""))</f>
        <v/>
      </c>
      <c r="T9" s="4" t="str">
        <f t="shared" si="2"/>
        <v/>
      </c>
      <c r="U9" s="4"/>
    </row>
    <row r="10" spans="1:21" x14ac:dyDescent="0.3">
      <c r="A10" s="4"/>
      <c r="B10" s="4"/>
      <c r="C10" s="4"/>
      <c r="D10" s="4"/>
      <c r="E10" s="4"/>
      <c r="F10" s="4"/>
      <c r="G10" s="4" t="str">
        <f>IF($C10="","",INDEX(MATERIAL_MASTER!$O:$O,MATCH($C10,MATERIAL_MASTER!$A:$A,0)))</f>
        <v/>
      </c>
      <c r="H10" s="22" t="str">
        <f>IF($C10="","",INDEX(MATERIAL_MASTER!$P:$P,MATCH($C10,MATERIAL_MASTER!$A:$A,0)))</f>
        <v/>
      </c>
      <c r="I10" s="22" t="str">
        <f>IF($C10="","",INDEX(MATERIAL_FACTOR_APPLICABILITY!$D:$D,MATCH($C10,MATERIAL_FACTOR_APPLICABILITY!$A:$A,0)))</f>
        <v/>
      </c>
      <c r="J10" s="22" t="str">
        <f>IF($C10="","",INDEX(MATERIAL_FACTOR_APPLICABILITY!$E:$E,MATCH($C10,MATERIAL_FACTOR_APPLICABILITY!$A:$A,0)))</f>
        <v/>
      </c>
      <c r="K10" s="22" t="str">
        <f>IF($C10="","",INDEX(MATERIAL_FACTOR_APPLICABILITY!$F:$F,MATCH($C10,MATERIAL_FACTOR_APPLICABILITY!$A:$A,0)))</f>
        <v/>
      </c>
      <c r="L10" s="22" t="str">
        <f>IF($C10="","",INDEX(MATERIAL_FACTOR_APPLICABILITY!$G:$G,MATCH($C10,MATERIAL_FACTOR_APPLICABILITY!$A:$A,0)))</f>
        <v/>
      </c>
      <c r="M10" s="22" t="str">
        <f>IF($C10="","",INDEX(MATERIAL_FACTOR_APPLICABILITY!$H:$H,MATCH($C10,MATERIAL_FACTOR_APPLICABILITY!$A:$A,0)))</f>
        <v/>
      </c>
      <c r="N10" s="22" t="str">
        <f>IF($B10="","",ROUND(1+($I10*(SUMIFS(OBJECT_CONDITIONS!$W:$W,OBJECT_CONDITIONS!$A:$A,$B10)-1))+($J10*(SUMIFS(OBJECT_CONDITIONS!$J:$J,OBJECT_CONDITIONS!$A:$A,$B10)-1))+($K10*(SUMIFS(OBJECT_CONDITIONS!$L:$L,OBJECT_CONDITIONS!$A:$A,$B10)-1))+($L10*(SUMIFS(OBJECT_CONDITIONS!$N:$N,OBJECT_CONDITIONS!$A:$A,$B10)-1))+($M10*(SUMIFS(OBJECT_CONDITIONS!$R:$R,OBJECT_CONDITIONS!$A:$A,$B10)-1)),3))</f>
        <v/>
      </c>
      <c r="O10" s="22"/>
      <c r="P10" s="22" t="str">
        <f t="shared" si="0"/>
        <v/>
      </c>
      <c r="Q10" s="22" t="str">
        <f t="shared" si="1"/>
        <v/>
      </c>
      <c r="R10" s="4" t="str">
        <f>IF($D10="","",IFERROR(INDEX(MATERIAL_VARIANTS!$O:$O,MATCH($D10,MATERIAL_VARIANTS!$A:$A,0)),""))</f>
        <v/>
      </c>
      <c r="S10" s="22" t="str">
        <f>IF($D10="","",IFERROR(INDEX(MATERIAL_VARIANTS!$P:$P,MATCH($D10,MATERIAL_VARIANTS!$A:$A,0)),""))</f>
        <v/>
      </c>
      <c r="T10" s="4" t="str">
        <f t="shared" si="2"/>
        <v/>
      </c>
      <c r="U10" s="4"/>
    </row>
    <row r="11" spans="1:21" x14ac:dyDescent="0.3">
      <c r="A11" s="4"/>
      <c r="B11" s="4"/>
      <c r="C11" s="4"/>
      <c r="D11" s="4"/>
      <c r="E11" s="4"/>
      <c r="F11" s="4"/>
      <c r="G11" s="4" t="str">
        <f>IF($C11="","",INDEX(MATERIAL_MASTER!$O:$O,MATCH($C11,MATERIAL_MASTER!$A:$A,0)))</f>
        <v/>
      </c>
      <c r="H11" s="22" t="str">
        <f>IF($C11="","",INDEX(MATERIAL_MASTER!$P:$P,MATCH($C11,MATERIAL_MASTER!$A:$A,0)))</f>
        <v/>
      </c>
      <c r="I11" s="22" t="str">
        <f>IF($C11="","",INDEX(MATERIAL_FACTOR_APPLICABILITY!$D:$D,MATCH($C11,MATERIAL_FACTOR_APPLICABILITY!$A:$A,0)))</f>
        <v/>
      </c>
      <c r="J11" s="22" t="str">
        <f>IF($C11="","",INDEX(MATERIAL_FACTOR_APPLICABILITY!$E:$E,MATCH($C11,MATERIAL_FACTOR_APPLICABILITY!$A:$A,0)))</f>
        <v/>
      </c>
      <c r="K11" s="22" t="str">
        <f>IF($C11="","",INDEX(MATERIAL_FACTOR_APPLICABILITY!$F:$F,MATCH($C11,MATERIAL_FACTOR_APPLICABILITY!$A:$A,0)))</f>
        <v/>
      </c>
      <c r="L11" s="22" t="str">
        <f>IF($C11="","",INDEX(MATERIAL_FACTOR_APPLICABILITY!$G:$G,MATCH($C11,MATERIAL_FACTOR_APPLICABILITY!$A:$A,0)))</f>
        <v/>
      </c>
      <c r="M11" s="22" t="str">
        <f>IF($C11="","",INDEX(MATERIAL_FACTOR_APPLICABILITY!$H:$H,MATCH($C11,MATERIAL_FACTOR_APPLICABILITY!$A:$A,0)))</f>
        <v/>
      </c>
      <c r="N11" s="22" t="str">
        <f>IF($B11="","",ROUND(1+($I11*(SUMIFS(OBJECT_CONDITIONS!$W:$W,OBJECT_CONDITIONS!$A:$A,$B11)-1))+($J11*(SUMIFS(OBJECT_CONDITIONS!$J:$J,OBJECT_CONDITIONS!$A:$A,$B11)-1))+($K11*(SUMIFS(OBJECT_CONDITIONS!$L:$L,OBJECT_CONDITIONS!$A:$A,$B11)-1))+($L11*(SUMIFS(OBJECT_CONDITIONS!$N:$N,OBJECT_CONDITIONS!$A:$A,$B11)-1))+($M11*(SUMIFS(OBJECT_CONDITIONS!$R:$R,OBJECT_CONDITIONS!$A:$A,$B11)-1)),3))</f>
        <v/>
      </c>
      <c r="O11" s="22"/>
      <c r="P11" s="22" t="str">
        <f t="shared" si="0"/>
        <v/>
      </c>
      <c r="Q11" s="22" t="str">
        <f t="shared" si="1"/>
        <v/>
      </c>
      <c r="R11" s="4" t="str">
        <f>IF($D11="","",IFERROR(INDEX(MATERIAL_VARIANTS!$O:$O,MATCH($D11,MATERIAL_VARIANTS!$A:$A,0)),""))</f>
        <v/>
      </c>
      <c r="S11" s="22" t="str">
        <f>IF($D11="","",IFERROR(INDEX(MATERIAL_VARIANTS!$P:$P,MATCH($D11,MATERIAL_VARIANTS!$A:$A,0)),""))</f>
        <v/>
      </c>
      <c r="T11" s="4" t="str">
        <f t="shared" si="2"/>
        <v/>
      </c>
      <c r="U11" s="4"/>
    </row>
    <row r="12" spans="1:21" x14ac:dyDescent="0.3">
      <c r="A12" s="4"/>
      <c r="B12" s="4"/>
      <c r="C12" s="4"/>
      <c r="D12" s="4"/>
      <c r="E12" s="4"/>
      <c r="F12" s="4"/>
      <c r="G12" s="4" t="str">
        <f>IF($C12="","",INDEX(MATERIAL_MASTER!$O:$O,MATCH($C12,MATERIAL_MASTER!$A:$A,0)))</f>
        <v/>
      </c>
      <c r="H12" s="22" t="str">
        <f>IF($C12="","",INDEX(MATERIAL_MASTER!$P:$P,MATCH($C12,MATERIAL_MASTER!$A:$A,0)))</f>
        <v/>
      </c>
      <c r="I12" s="22" t="str">
        <f>IF($C12="","",INDEX(MATERIAL_FACTOR_APPLICABILITY!$D:$D,MATCH($C12,MATERIAL_FACTOR_APPLICABILITY!$A:$A,0)))</f>
        <v/>
      </c>
      <c r="J12" s="22" t="str">
        <f>IF($C12="","",INDEX(MATERIAL_FACTOR_APPLICABILITY!$E:$E,MATCH($C12,MATERIAL_FACTOR_APPLICABILITY!$A:$A,0)))</f>
        <v/>
      </c>
      <c r="K12" s="22" t="str">
        <f>IF($C12="","",INDEX(MATERIAL_FACTOR_APPLICABILITY!$F:$F,MATCH($C12,MATERIAL_FACTOR_APPLICABILITY!$A:$A,0)))</f>
        <v/>
      </c>
      <c r="L12" s="22" t="str">
        <f>IF($C12="","",INDEX(MATERIAL_FACTOR_APPLICABILITY!$G:$G,MATCH($C12,MATERIAL_FACTOR_APPLICABILITY!$A:$A,0)))</f>
        <v/>
      </c>
      <c r="M12" s="22" t="str">
        <f>IF($C12="","",INDEX(MATERIAL_FACTOR_APPLICABILITY!$H:$H,MATCH($C12,MATERIAL_FACTOR_APPLICABILITY!$A:$A,0)))</f>
        <v/>
      </c>
      <c r="N12" s="22" t="str">
        <f>IF($B12="","",ROUND(1+($I12*(SUMIFS(OBJECT_CONDITIONS!$W:$W,OBJECT_CONDITIONS!$A:$A,$B12)-1))+($J12*(SUMIFS(OBJECT_CONDITIONS!$J:$J,OBJECT_CONDITIONS!$A:$A,$B12)-1))+($K12*(SUMIFS(OBJECT_CONDITIONS!$L:$L,OBJECT_CONDITIONS!$A:$A,$B12)-1))+($L12*(SUMIFS(OBJECT_CONDITIONS!$N:$N,OBJECT_CONDITIONS!$A:$A,$B12)-1))+($M12*(SUMIFS(OBJECT_CONDITIONS!$R:$R,OBJECT_CONDITIONS!$A:$A,$B12)-1)),3))</f>
        <v/>
      </c>
      <c r="O12" s="22"/>
      <c r="P12" s="22" t="str">
        <f t="shared" si="0"/>
        <v/>
      </c>
      <c r="Q12" s="22" t="str">
        <f t="shared" si="1"/>
        <v/>
      </c>
      <c r="R12" s="4" t="str">
        <f>IF($D12="","",IFERROR(INDEX(MATERIAL_VARIANTS!$O:$O,MATCH($D12,MATERIAL_VARIANTS!$A:$A,0)),""))</f>
        <v/>
      </c>
      <c r="S12" s="22" t="str">
        <f>IF($D12="","",IFERROR(INDEX(MATERIAL_VARIANTS!$P:$P,MATCH($D12,MATERIAL_VARIANTS!$A:$A,0)),""))</f>
        <v/>
      </c>
      <c r="T12" s="4" t="str">
        <f t="shared" si="2"/>
        <v/>
      </c>
      <c r="U12" s="4"/>
    </row>
    <row r="13" spans="1:21" x14ac:dyDescent="0.3">
      <c r="A13" s="4"/>
      <c r="B13" s="4"/>
      <c r="C13" s="4"/>
      <c r="D13" s="4"/>
      <c r="E13" s="4"/>
      <c r="F13" s="4"/>
      <c r="G13" s="4" t="str">
        <f>IF($C13="","",INDEX(MATERIAL_MASTER!$O:$O,MATCH($C13,MATERIAL_MASTER!$A:$A,0)))</f>
        <v/>
      </c>
      <c r="H13" s="22" t="str">
        <f>IF($C13="","",INDEX(MATERIAL_MASTER!$P:$P,MATCH($C13,MATERIAL_MASTER!$A:$A,0)))</f>
        <v/>
      </c>
      <c r="I13" s="22" t="str">
        <f>IF($C13="","",INDEX(MATERIAL_FACTOR_APPLICABILITY!$D:$D,MATCH($C13,MATERIAL_FACTOR_APPLICABILITY!$A:$A,0)))</f>
        <v/>
      </c>
      <c r="J13" s="22" t="str">
        <f>IF($C13="","",INDEX(MATERIAL_FACTOR_APPLICABILITY!$E:$E,MATCH($C13,MATERIAL_FACTOR_APPLICABILITY!$A:$A,0)))</f>
        <v/>
      </c>
      <c r="K13" s="22" t="str">
        <f>IF($C13="","",INDEX(MATERIAL_FACTOR_APPLICABILITY!$F:$F,MATCH($C13,MATERIAL_FACTOR_APPLICABILITY!$A:$A,0)))</f>
        <v/>
      </c>
      <c r="L13" s="22" t="str">
        <f>IF($C13="","",INDEX(MATERIAL_FACTOR_APPLICABILITY!$G:$G,MATCH($C13,MATERIAL_FACTOR_APPLICABILITY!$A:$A,0)))</f>
        <v/>
      </c>
      <c r="M13" s="22" t="str">
        <f>IF($C13="","",INDEX(MATERIAL_FACTOR_APPLICABILITY!$H:$H,MATCH($C13,MATERIAL_FACTOR_APPLICABILITY!$A:$A,0)))</f>
        <v/>
      </c>
      <c r="N13" s="22" t="str">
        <f>IF($B13="","",ROUND(1+($I13*(SUMIFS(OBJECT_CONDITIONS!$W:$W,OBJECT_CONDITIONS!$A:$A,$B13)-1))+($J13*(SUMIFS(OBJECT_CONDITIONS!$J:$J,OBJECT_CONDITIONS!$A:$A,$B13)-1))+($K13*(SUMIFS(OBJECT_CONDITIONS!$L:$L,OBJECT_CONDITIONS!$A:$A,$B13)-1))+($L13*(SUMIFS(OBJECT_CONDITIONS!$N:$N,OBJECT_CONDITIONS!$A:$A,$B13)-1))+($M13*(SUMIFS(OBJECT_CONDITIONS!$R:$R,OBJECT_CONDITIONS!$A:$A,$B13)-1)),3))</f>
        <v/>
      </c>
      <c r="O13" s="22"/>
      <c r="P13" s="22" t="str">
        <f t="shared" si="0"/>
        <v/>
      </c>
      <c r="Q13" s="22" t="str">
        <f t="shared" si="1"/>
        <v/>
      </c>
      <c r="R13" s="4" t="str">
        <f>IF($D13="","",IFERROR(INDEX(MATERIAL_VARIANTS!$O:$O,MATCH($D13,MATERIAL_VARIANTS!$A:$A,0)),""))</f>
        <v/>
      </c>
      <c r="S13" s="22" t="str">
        <f>IF($D13="","",IFERROR(INDEX(MATERIAL_VARIANTS!$P:$P,MATCH($D13,MATERIAL_VARIANTS!$A:$A,0)),""))</f>
        <v/>
      </c>
      <c r="T13" s="4" t="str">
        <f t="shared" si="2"/>
        <v/>
      </c>
      <c r="U13" s="4"/>
    </row>
    <row r="14" spans="1:21" x14ac:dyDescent="0.3">
      <c r="A14" s="4"/>
      <c r="B14" s="4"/>
      <c r="C14" s="4"/>
      <c r="D14" s="4"/>
      <c r="E14" s="4"/>
      <c r="F14" s="4"/>
      <c r="G14" s="4" t="str">
        <f>IF($C14="","",INDEX(MATERIAL_MASTER!$O:$O,MATCH($C14,MATERIAL_MASTER!$A:$A,0)))</f>
        <v/>
      </c>
      <c r="H14" s="22" t="str">
        <f>IF($C14="","",INDEX(MATERIAL_MASTER!$P:$P,MATCH($C14,MATERIAL_MASTER!$A:$A,0)))</f>
        <v/>
      </c>
      <c r="I14" s="22" t="str">
        <f>IF($C14="","",INDEX(MATERIAL_FACTOR_APPLICABILITY!$D:$D,MATCH($C14,MATERIAL_FACTOR_APPLICABILITY!$A:$A,0)))</f>
        <v/>
      </c>
      <c r="J14" s="22" t="str">
        <f>IF($C14="","",INDEX(MATERIAL_FACTOR_APPLICABILITY!$E:$E,MATCH($C14,MATERIAL_FACTOR_APPLICABILITY!$A:$A,0)))</f>
        <v/>
      </c>
      <c r="K14" s="22" t="str">
        <f>IF($C14="","",INDEX(MATERIAL_FACTOR_APPLICABILITY!$F:$F,MATCH($C14,MATERIAL_FACTOR_APPLICABILITY!$A:$A,0)))</f>
        <v/>
      </c>
      <c r="L14" s="22" t="str">
        <f>IF($C14="","",INDEX(MATERIAL_FACTOR_APPLICABILITY!$G:$G,MATCH($C14,MATERIAL_FACTOR_APPLICABILITY!$A:$A,0)))</f>
        <v/>
      </c>
      <c r="M14" s="22" t="str">
        <f>IF($C14="","",INDEX(MATERIAL_FACTOR_APPLICABILITY!$H:$H,MATCH($C14,MATERIAL_FACTOR_APPLICABILITY!$A:$A,0)))</f>
        <v/>
      </c>
      <c r="N14" s="22" t="str">
        <f>IF($B14="","",ROUND(1+($I14*(SUMIFS(OBJECT_CONDITIONS!$W:$W,OBJECT_CONDITIONS!$A:$A,$B14)-1))+($J14*(SUMIFS(OBJECT_CONDITIONS!$J:$J,OBJECT_CONDITIONS!$A:$A,$B14)-1))+($K14*(SUMIFS(OBJECT_CONDITIONS!$L:$L,OBJECT_CONDITIONS!$A:$A,$B14)-1))+($L14*(SUMIFS(OBJECT_CONDITIONS!$N:$N,OBJECT_CONDITIONS!$A:$A,$B14)-1))+($M14*(SUMIFS(OBJECT_CONDITIONS!$R:$R,OBJECT_CONDITIONS!$A:$A,$B14)-1)),3))</f>
        <v/>
      </c>
      <c r="O14" s="22"/>
      <c r="P14" s="22" t="str">
        <f t="shared" si="0"/>
        <v/>
      </c>
      <c r="Q14" s="22" t="str">
        <f t="shared" si="1"/>
        <v/>
      </c>
      <c r="R14" s="4" t="str">
        <f>IF($D14="","",IFERROR(INDEX(MATERIAL_VARIANTS!$O:$O,MATCH($D14,MATERIAL_VARIANTS!$A:$A,0)),""))</f>
        <v/>
      </c>
      <c r="S14" s="22" t="str">
        <f>IF($D14="","",IFERROR(INDEX(MATERIAL_VARIANTS!$P:$P,MATCH($D14,MATERIAL_VARIANTS!$A:$A,0)),""))</f>
        <v/>
      </c>
      <c r="T14" s="4" t="str">
        <f t="shared" si="2"/>
        <v/>
      </c>
      <c r="U14" s="4"/>
    </row>
    <row r="15" spans="1:21" x14ac:dyDescent="0.3">
      <c r="A15" s="4"/>
      <c r="B15" s="4"/>
      <c r="C15" s="4"/>
      <c r="D15" s="4"/>
      <c r="E15" s="4"/>
      <c r="F15" s="4"/>
      <c r="G15" s="4" t="str">
        <f>IF($C15="","",INDEX(MATERIAL_MASTER!$O:$O,MATCH($C15,MATERIAL_MASTER!$A:$A,0)))</f>
        <v/>
      </c>
      <c r="H15" s="22" t="str">
        <f>IF($C15="","",INDEX(MATERIAL_MASTER!$P:$P,MATCH($C15,MATERIAL_MASTER!$A:$A,0)))</f>
        <v/>
      </c>
      <c r="I15" s="22" t="str">
        <f>IF($C15="","",INDEX(MATERIAL_FACTOR_APPLICABILITY!$D:$D,MATCH($C15,MATERIAL_FACTOR_APPLICABILITY!$A:$A,0)))</f>
        <v/>
      </c>
      <c r="J15" s="22" t="str">
        <f>IF($C15="","",INDEX(MATERIAL_FACTOR_APPLICABILITY!$E:$E,MATCH($C15,MATERIAL_FACTOR_APPLICABILITY!$A:$A,0)))</f>
        <v/>
      </c>
      <c r="K15" s="22" t="str">
        <f>IF($C15="","",INDEX(MATERIAL_FACTOR_APPLICABILITY!$F:$F,MATCH($C15,MATERIAL_FACTOR_APPLICABILITY!$A:$A,0)))</f>
        <v/>
      </c>
      <c r="L15" s="22" t="str">
        <f>IF($C15="","",INDEX(MATERIAL_FACTOR_APPLICABILITY!$G:$G,MATCH($C15,MATERIAL_FACTOR_APPLICABILITY!$A:$A,0)))</f>
        <v/>
      </c>
      <c r="M15" s="22" t="str">
        <f>IF($C15="","",INDEX(MATERIAL_FACTOR_APPLICABILITY!$H:$H,MATCH($C15,MATERIAL_FACTOR_APPLICABILITY!$A:$A,0)))</f>
        <v/>
      </c>
      <c r="N15" s="22" t="str">
        <f>IF($B15="","",ROUND(1+($I15*(SUMIFS(OBJECT_CONDITIONS!$W:$W,OBJECT_CONDITIONS!$A:$A,$B15)-1))+($J15*(SUMIFS(OBJECT_CONDITIONS!$J:$J,OBJECT_CONDITIONS!$A:$A,$B15)-1))+($K15*(SUMIFS(OBJECT_CONDITIONS!$L:$L,OBJECT_CONDITIONS!$A:$A,$B15)-1))+($L15*(SUMIFS(OBJECT_CONDITIONS!$N:$N,OBJECT_CONDITIONS!$A:$A,$B15)-1))+($M15*(SUMIFS(OBJECT_CONDITIONS!$R:$R,OBJECT_CONDITIONS!$A:$A,$B15)-1)),3))</f>
        <v/>
      </c>
      <c r="O15" s="22"/>
      <c r="P15" s="22" t="str">
        <f t="shared" si="0"/>
        <v/>
      </c>
      <c r="Q15" s="22" t="str">
        <f t="shared" si="1"/>
        <v/>
      </c>
      <c r="R15" s="4" t="str">
        <f>IF($D15="","",IFERROR(INDEX(MATERIAL_VARIANTS!$O:$O,MATCH($D15,MATERIAL_VARIANTS!$A:$A,0)),""))</f>
        <v/>
      </c>
      <c r="S15" s="22" t="str">
        <f>IF($D15="","",IFERROR(INDEX(MATERIAL_VARIANTS!$P:$P,MATCH($D15,MATERIAL_VARIANTS!$A:$A,0)),""))</f>
        <v/>
      </c>
      <c r="T15" s="4" t="str">
        <f t="shared" si="2"/>
        <v/>
      </c>
      <c r="U15" s="4"/>
    </row>
    <row r="16" spans="1:21" x14ac:dyDescent="0.3">
      <c r="A16" s="4"/>
      <c r="B16" s="4"/>
      <c r="C16" s="4"/>
      <c r="D16" s="4"/>
      <c r="E16" s="4"/>
      <c r="F16" s="4"/>
      <c r="G16" s="4" t="str">
        <f>IF($C16="","",INDEX(MATERIAL_MASTER!$O:$O,MATCH($C16,MATERIAL_MASTER!$A:$A,0)))</f>
        <v/>
      </c>
      <c r="H16" s="22" t="str">
        <f>IF($C16="","",INDEX(MATERIAL_MASTER!$P:$P,MATCH($C16,MATERIAL_MASTER!$A:$A,0)))</f>
        <v/>
      </c>
      <c r="I16" s="22" t="str">
        <f>IF($C16="","",INDEX(MATERIAL_FACTOR_APPLICABILITY!$D:$D,MATCH($C16,MATERIAL_FACTOR_APPLICABILITY!$A:$A,0)))</f>
        <v/>
      </c>
      <c r="J16" s="22" t="str">
        <f>IF($C16="","",INDEX(MATERIAL_FACTOR_APPLICABILITY!$E:$E,MATCH($C16,MATERIAL_FACTOR_APPLICABILITY!$A:$A,0)))</f>
        <v/>
      </c>
      <c r="K16" s="22" t="str">
        <f>IF($C16="","",INDEX(MATERIAL_FACTOR_APPLICABILITY!$F:$F,MATCH($C16,MATERIAL_FACTOR_APPLICABILITY!$A:$A,0)))</f>
        <v/>
      </c>
      <c r="L16" s="22" t="str">
        <f>IF($C16="","",INDEX(MATERIAL_FACTOR_APPLICABILITY!$G:$G,MATCH($C16,MATERIAL_FACTOR_APPLICABILITY!$A:$A,0)))</f>
        <v/>
      </c>
      <c r="M16" s="22" t="str">
        <f>IF($C16="","",INDEX(MATERIAL_FACTOR_APPLICABILITY!$H:$H,MATCH($C16,MATERIAL_FACTOR_APPLICABILITY!$A:$A,0)))</f>
        <v/>
      </c>
      <c r="N16" s="22" t="str">
        <f>IF($B16="","",ROUND(1+($I16*(SUMIFS(OBJECT_CONDITIONS!$W:$W,OBJECT_CONDITIONS!$A:$A,$B16)-1))+($J16*(SUMIFS(OBJECT_CONDITIONS!$J:$J,OBJECT_CONDITIONS!$A:$A,$B16)-1))+($K16*(SUMIFS(OBJECT_CONDITIONS!$L:$L,OBJECT_CONDITIONS!$A:$A,$B16)-1))+($L16*(SUMIFS(OBJECT_CONDITIONS!$N:$N,OBJECT_CONDITIONS!$A:$A,$B16)-1))+($M16*(SUMIFS(OBJECT_CONDITIONS!$R:$R,OBJECT_CONDITIONS!$A:$A,$B16)-1)),3))</f>
        <v/>
      </c>
      <c r="O16" s="22"/>
      <c r="P16" s="22" t="str">
        <f t="shared" si="0"/>
        <v/>
      </c>
      <c r="Q16" s="22" t="str">
        <f t="shared" si="1"/>
        <v/>
      </c>
      <c r="R16" s="4" t="str">
        <f>IF($D16="","",IFERROR(INDEX(MATERIAL_VARIANTS!$O:$O,MATCH($D16,MATERIAL_VARIANTS!$A:$A,0)),""))</f>
        <v/>
      </c>
      <c r="S16" s="22" t="str">
        <f>IF($D16="","",IFERROR(INDEX(MATERIAL_VARIANTS!$P:$P,MATCH($D16,MATERIAL_VARIANTS!$A:$A,0)),""))</f>
        <v/>
      </c>
      <c r="T16" s="4" t="str">
        <f t="shared" si="2"/>
        <v/>
      </c>
      <c r="U16" s="4"/>
    </row>
    <row r="17" spans="1:21" x14ac:dyDescent="0.3">
      <c r="A17" s="4"/>
      <c r="B17" s="4"/>
      <c r="C17" s="4"/>
      <c r="D17" s="4"/>
      <c r="E17" s="4"/>
      <c r="F17" s="4"/>
      <c r="G17" s="4" t="str">
        <f>IF($C17="","",INDEX(MATERIAL_MASTER!$O:$O,MATCH($C17,MATERIAL_MASTER!$A:$A,0)))</f>
        <v/>
      </c>
      <c r="H17" s="22" t="str">
        <f>IF($C17="","",INDEX(MATERIAL_MASTER!$P:$P,MATCH($C17,MATERIAL_MASTER!$A:$A,0)))</f>
        <v/>
      </c>
      <c r="I17" s="22" t="str">
        <f>IF($C17="","",INDEX(MATERIAL_FACTOR_APPLICABILITY!$D:$D,MATCH($C17,MATERIAL_FACTOR_APPLICABILITY!$A:$A,0)))</f>
        <v/>
      </c>
      <c r="J17" s="22" t="str">
        <f>IF($C17="","",INDEX(MATERIAL_FACTOR_APPLICABILITY!$E:$E,MATCH($C17,MATERIAL_FACTOR_APPLICABILITY!$A:$A,0)))</f>
        <v/>
      </c>
      <c r="K17" s="22" t="str">
        <f>IF($C17="","",INDEX(MATERIAL_FACTOR_APPLICABILITY!$F:$F,MATCH($C17,MATERIAL_FACTOR_APPLICABILITY!$A:$A,0)))</f>
        <v/>
      </c>
      <c r="L17" s="22" t="str">
        <f>IF($C17="","",INDEX(MATERIAL_FACTOR_APPLICABILITY!$G:$G,MATCH($C17,MATERIAL_FACTOR_APPLICABILITY!$A:$A,0)))</f>
        <v/>
      </c>
      <c r="M17" s="22" t="str">
        <f>IF($C17="","",INDEX(MATERIAL_FACTOR_APPLICABILITY!$H:$H,MATCH($C17,MATERIAL_FACTOR_APPLICABILITY!$A:$A,0)))</f>
        <v/>
      </c>
      <c r="N17" s="22" t="str">
        <f>IF($B17="","",ROUND(1+($I17*(SUMIFS(OBJECT_CONDITIONS!$W:$W,OBJECT_CONDITIONS!$A:$A,$B17)-1))+($J17*(SUMIFS(OBJECT_CONDITIONS!$J:$J,OBJECT_CONDITIONS!$A:$A,$B17)-1))+($K17*(SUMIFS(OBJECT_CONDITIONS!$L:$L,OBJECT_CONDITIONS!$A:$A,$B17)-1))+($L17*(SUMIFS(OBJECT_CONDITIONS!$N:$N,OBJECT_CONDITIONS!$A:$A,$B17)-1))+($M17*(SUMIFS(OBJECT_CONDITIONS!$R:$R,OBJECT_CONDITIONS!$A:$A,$B17)-1)),3))</f>
        <v/>
      </c>
      <c r="O17" s="22"/>
      <c r="P17" s="22" t="str">
        <f t="shared" si="0"/>
        <v/>
      </c>
      <c r="Q17" s="22" t="str">
        <f t="shared" si="1"/>
        <v/>
      </c>
      <c r="R17" s="4" t="str">
        <f>IF($D17="","",IFERROR(INDEX(MATERIAL_VARIANTS!$O:$O,MATCH($D17,MATERIAL_VARIANTS!$A:$A,0)),""))</f>
        <v/>
      </c>
      <c r="S17" s="22" t="str">
        <f>IF($D17="","",IFERROR(INDEX(MATERIAL_VARIANTS!$P:$P,MATCH($D17,MATERIAL_VARIANTS!$A:$A,0)),""))</f>
        <v/>
      </c>
      <c r="T17" s="4" t="str">
        <f t="shared" si="2"/>
        <v/>
      </c>
      <c r="U17" s="4"/>
    </row>
    <row r="18" spans="1:21" x14ac:dyDescent="0.3">
      <c r="A18" s="4"/>
      <c r="B18" s="4"/>
      <c r="C18" s="4"/>
      <c r="D18" s="4"/>
      <c r="E18" s="4"/>
      <c r="F18" s="4"/>
      <c r="G18" s="4" t="str">
        <f>IF($C18="","",INDEX(MATERIAL_MASTER!$O:$O,MATCH($C18,MATERIAL_MASTER!$A:$A,0)))</f>
        <v/>
      </c>
      <c r="H18" s="22" t="str">
        <f>IF($C18="","",INDEX(MATERIAL_MASTER!$P:$P,MATCH($C18,MATERIAL_MASTER!$A:$A,0)))</f>
        <v/>
      </c>
      <c r="I18" s="22" t="str">
        <f>IF($C18="","",INDEX(MATERIAL_FACTOR_APPLICABILITY!$D:$D,MATCH($C18,MATERIAL_FACTOR_APPLICABILITY!$A:$A,0)))</f>
        <v/>
      </c>
      <c r="J18" s="22" t="str">
        <f>IF($C18="","",INDEX(MATERIAL_FACTOR_APPLICABILITY!$E:$E,MATCH($C18,MATERIAL_FACTOR_APPLICABILITY!$A:$A,0)))</f>
        <v/>
      </c>
      <c r="K18" s="22" t="str">
        <f>IF($C18="","",INDEX(MATERIAL_FACTOR_APPLICABILITY!$F:$F,MATCH($C18,MATERIAL_FACTOR_APPLICABILITY!$A:$A,0)))</f>
        <v/>
      </c>
      <c r="L18" s="22" t="str">
        <f>IF($C18="","",INDEX(MATERIAL_FACTOR_APPLICABILITY!$G:$G,MATCH($C18,MATERIAL_FACTOR_APPLICABILITY!$A:$A,0)))</f>
        <v/>
      </c>
      <c r="M18" s="22" t="str">
        <f>IF($C18="","",INDEX(MATERIAL_FACTOR_APPLICABILITY!$H:$H,MATCH($C18,MATERIAL_FACTOR_APPLICABILITY!$A:$A,0)))</f>
        <v/>
      </c>
      <c r="N18" s="22" t="str">
        <f>IF($B18="","",ROUND(1+($I18*(SUMIFS(OBJECT_CONDITIONS!$W:$W,OBJECT_CONDITIONS!$A:$A,$B18)-1))+($J18*(SUMIFS(OBJECT_CONDITIONS!$J:$J,OBJECT_CONDITIONS!$A:$A,$B18)-1))+($K18*(SUMIFS(OBJECT_CONDITIONS!$L:$L,OBJECT_CONDITIONS!$A:$A,$B18)-1))+($L18*(SUMIFS(OBJECT_CONDITIONS!$N:$N,OBJECT_CONDITIONS!$A:$A,$B18)-1))+($M18*(SUMIFS(OBJECT_CONDITIONS!$R:$R,OBJECT_CONDITIONS!$A:$A,$B18)-1)),3))</f>
        <v/>
      </c>
      <c r="O18" s="22"/>
      <c r="P18" s="22" t="str">
        <f t="shared" si="0"/>
        <v/>
      </c>
      <c r="Q18" s="22" t="str">
        <f t="shared" si="1"/>
        <v/>
      </c>
      <c r="R18" s="4" t="str">
        <f>IF($D18="","",IFERROR(INDEX(MATERIAL_VARIANTS!$O:$O,MATCH($D18,MATERIAL_VARIANTS!$A:$A,0)),""))</f>
        <v/>
      </c>
      <c r="S18" s="22" t="str">
        <f>IF($D18="","",IFERROR(INDEX(MATERIAL_VARIANTS!$P:$P,MATCH($D18,MATERIAL_VARIANTS!$A:$A,0)),""))</f>
        <v/>
      </c>
      <c r="T18" s="4" t="str">
        <f t="shared" si="2"/>
        <v/>
      </c>
      <c r="U18" s="4"/>
    </row>
    <row r="19" spans="1:21" x14ac:dyDescent="0.3">
      <c r="A19" s="4"/>
      <c r="B19" s="4"/>
      <c r="C19" s="4"/>
      <c r="D19" s="4"/>
      <c r="E19" s="4"/>
      <c r="F19" s="4"/>
      <c r="G19" s="4" t="str">
        <f>IF($C19="","",INDEX(MATERIAL_MASTER!$O:$O,MATCH($C19,MATERIAL_MASTER!$A:$A,0)))</f>
        <v/>
      </c>
      <c r="H19" s="22" t="str">
        <f>IF($C19="","",INDEX(MATERIAL_MASTER!$P:$P,MATCH($C19,MATERIAL_MASTER!$A:$A,0)))</f>
        <v/>
      </c>
      <c r="I19" s="22" t="str">
        <f>IF($C19="","",INDEX(MATERIAL_FACTOR_APPLICABILITY!$D:$D,MATCH($C19,MATERIAL_FACTOR_APPLICABILITY!$A:$A,0)))</f>
        <v/>
      </c>
      <c r="J19" s="22" t="str">
        <f>IF($C19="","",INDEX(MATERIAL_FACTOR_APPLICABILITY!$E:$E,MATCH($C19,MATERIAL_FACTOR_APPLICABILITY!$A:$A,0)))</f>
        <v/>
      </c>
      <c r="K19" s="22" t="str">
        <f>IF($C19="","",INDEX(MATERIAL_FACTOR_APPLICABILITY!$F:$F,MATCH($C19,MATERIAL_FACTOR_APPLICABILITY!$A:$A,0)))</f>
        <v/>
      </c>
      <c r="L19" s="22" t="str">
        <f>IF($C19="","",INDEX(MATERIAL_FACTOR_APPLICABILITY!$G:$G,MATCH($C19,MATERIAL_FACTOR_APPLICABILITY!$A:$A,0)))</f>
        <v/>
      </c>
      <c r="M19" s="22" t="str">
        <f>IF($C19="","",INDEX(MATERIAL_FACTOR_APPLICABILITY!$H:$H,MATCH($C19,MATERIAL_FACTOR_APPLICABILITY!$A:$A,0)))</f>
        <v/>
      </c>
      <c r="N19" s="22" t="str">
        <f>IF($B19="","",ROUND(1+($I19*(SUMIFS(OBJECT_CONDITIONS!$W:$W,OBJECT_CONDITIONS!$A:$A,$B19)-1))+($J19*(SUMIFS(OBJECT_CONDITIONS!$J:$J,OBJECT_CONDITIONS!$A:$A,$B19)-1))+($K19*(SUMIFS(OBJECT_CONDITIONS!$L:$L,OBJECT_CONDITIONS!$A:$A,$B19)-1))+($L19*(SUMIFS(OBJECT_CONDITIONS!$N:$N,OBJECT_CONDITIONS!$A:$A,$B19)-1))+($M19*(SUMIFS(OBJECT_CONDITIONS!$R:$R,OBJECT_CONDITIONS!$A:$A,$B19)-1)),3))</f>
        <v/>
      </c>
      <c r="O19" s="22"/>
      <c r="P19" s="22" t="str">
        <f t="shared" si="0"/>
        <v/>
      </c>
      <c r="Q19" s="22" t="str">
        <f t="shared" si="1"/>
        <v/>
      </c>
      <c r="R19" s="4" t="str">
        <f>IF($D19="","",IFERROR(INDEX(MATERIAL_VARIANTS!$O:$O,MATCH($D19,MATERIAL_VARIANTS!$A:$A,0)),""))</f>
        <v/>
      </c>
      <c r="S19" s="22" t="str">
        <f>IF($D19="","",IFERROR(INDEX(MATERIAL_VARIANTS!$P:$P,MATCH($D19,MATERIAL_VARIANTS!$A:$A,0)),""))</f>
        <v/>
      </c>
      <c r="T19" s="4" t="str">
        <f t="shared" si="2"/>
        <v/>
      </c>
      <c r="U19" s="4"/>
    </row>
    <row r="20" spans="1:21" x14ac:dyDescent="0.3">
      <c r="A20" s="4"/>
      <c r="B20" s="4"/>
      <c r="C20" s="4"/>
      <c r="D20" s="4"/>
      <c r="E20" s="4"/>
      <c r="F20" s="4"/>
      <c r="G20" s="4" t="str">
        <f>IF($C20="","",INDEX(MATERIAL_MASTER!$O:$O,MATCH($C20,MATERIAL_MASTER!$A:$A,0)))</f>
        <v/>
      </c>
      <c r="H20" s="22" t="str">
        <f>IF($C20="","",INDEX(MATERIAL_MASTER!$P:$P,MATCH($C20,MATERIAL_MASTER!$A:$A,0)))</f>
        <v/>
      </c>
      <c r="I20" s="22" t="str">
        <f>IF($C20="","",INDEX(MATERIAL_FACTOR_APPLICABILITY!$D:$D,MATCH($C20,MATERIAL_FACTOR_APPLICABILITY!$A:$A,0)))</f>
        <v/>
      </c>
      <c r="J20" s="22" t="str">
        <f>IF($C20="","",INDEX(MATERIAL_FACTOR_APPLICABILITY!$E:$E,MATCH($C20,MATERIAL_FACTOR_APPLICABILITY!$A:$A,0)))</f>
        <v/>
      </c>
      <c r="K20" s="22" t="str">
        <f>IF($C20="","",INDEX(MATERIAL_FACTOR_APPLICABILITY!$F:$F,MATCH($C20,MATERIAL_FACTOR_APPLICABILITY!$A:$A,0)))</f>
        <v/>
      </c>
      <c r="L20" s="22" t="str">
        <f>IF($C20="","",INDEX(MATERIAL_FACTOR_APPLICABILITY!$G:$G,MATCH($C20,MATERIAL_FACTOR_APPLICABILITY!$A:$A,0)))</f>
        <v/>
      </c>
      <c r="M20" s="22" t="str">
        <f>IF($C20="","",INDEX(MATERIAL_FACTOR_APPLICABILITY!$H:$H,MATCH($C20,MATERIAL_FACTOR_APPLICABILITY!$A:$A,0)))</f>
        <v/>
      </c>
      <c r="N20" s="22" t="str">
        <f>IF($B20="","",ROUND(1+($I20*(SUMIFS(OBJECT_CONDITIONS!$W:$W,OBJECT_CONDITIONS!$A:$A,$B20)-1))+($J20*(SUMIFS(OBJECT_CONDITIONS!$J:$J,OBJECT_CONDITIONS!$A:$A,$B20)-1))+($K20*(SUMIFS(OBJECT_CONDITIONS!$L:$L,OBJECT_CONDITIONS!$A:$A,$B20)-1))+($L20*(SUMIFS(OBJECT_CONDITIONS!$N:$N,OBJECT_CONDITIONS!$A:$A,$B20)-1))+($M20*(SUMIFS(OBJECT_CONDITIONS!$R:$R,OBJECT_CONDITIONS!$A:$A,$B20)-1)),3))</f>
        <v/>
      </c>
      <c r="O20" s="22"/>
      <c r="P20" s="22" t="str">
        <f t="shared" si="0"/>
        <v/>
      </c>
      <c r="Q20" s="22" t="str">
        <f t="shared" si="1"/>
        <v/>
      </c>
      <c r="R20" s="4" t="str">
        <f>IF($D20="","",IFERROR(INDEX(MATERIAL_VARIANTS!$O:$O,MATCH($D20,MATERIAL_VARIANTS!$A:$A,0)),""))</f>
        <v/>
      </c>
      <c r="S20" s="22" t="str">
        <f>IF($D20="","",IFERROR(INDEX(MATERIAL_VARIANTS!$P:$P,MATCH($D20,MATERIAL_VARIANTS!$A:$A,0)),""))</f>
        <v/>
      </c>
      <c r="T20" s="4" t="str">
        <f t="shared" si="2"/>
        <v/>
      </c>
      <c r="U20" s="4"/>
    </row>
    <row r="21" spans="1:21" x14ac:dyDescent="0.3">
      <c r="A21" s="4"/>
      <c r="B21" s="4"/>
      <c r="C21" s="4"/>
      <c r="D21" s="4"/>
      <c r="E21" s="4"/>
      <c r="F21" s="4"/>
      <c r="G21" s="4" t="str">
        <f>IF($C21="","",INDEX(MATERIAL_MASTER!$O:$O,MATCH($C21,MATERIAL_MASTER!$A:$A,0)))</f>
        <v/>
      </c>
      <c r="H21" s="22" t="str">
        <f>IF($C21="","",INDEX(MATERIAL_MASTER!$P:$P,MATCH($C21,MATERIAL_MASTER!$A:$A,0)))</f>
        <v/>
      </c>
      <c r="I21" s="22" t="str">
        <f>IF($C21="","",INDEX(MATERIAL_FACTOR_APPLICABILITY!$D:$D,MATCH($C21,MATERIAL_FACTOR_APPLICABILITY!$A:$A,0)))</f>
        <v/>
      </c>
      <c r="J21" s="22" t="str">
        <f>IF($C21="","",INDEX(MATERIAL_FACTOR_APPLICABILITY!$E:$E,MATCH($C21,MATERIAL_FACTOR_APPLICABILITY!$A:$A,0)))</f>
        <v/>
      </c>
      <c r="K21" s="22" t="str">
        <f>IF($C21="","",INDEX(MATERIAL_FACTOR_APPLICABILITY!$F:$F,MATCH($C21,MATERIAL_FACTOR_APPLICABILITY!$A:$A,0)))</f>
        <v/>
      </c>
      <c r="L21" s="22" t="str">
        <f>IF($C21="","",INDEX(MATERIAL_FACTOR_APPLICABILITY!$G:$G,MATCH($C21,MATERIAL_FACTOR_APPLICABILITY!$A:$A,0)))</f>
        <v/>
      </c>
      <c r="M21" s="22" t="str">
        <f>IF($C21="","",INDEX(MATERIAL_FACTOR_APPLICABILITY!$H:$H,MATCH($C21,MATERIAL_FACTOR_APPLICABILITY!$A:$A,0)))</f>
        <v/>
      </c>
      <c r="N21" s="22" t="str">
        <f>IF($B21="","",ROUND(1+($I21*(SUMIFS(OBJECT_CONDITIONS!$W:$W,OBJECT_CONDITIONS!$A:$A,$B21)-1))+($J21*(SUMIFS(OBJECT_CONDITIONS!$J:$J,OBJECT_CONDITIONS!$A:$A,$B21)-1))+($K21*(SUMIFS(OBJECT_CONDITIONS!$L:$L,OBJECT_CONDITIONS!$A:$A,$B21)-1))+($L21*(SUMIFS(OBJECT_CONDITIONS!$N:$N,OBJECT_CONDITIONS!$A:$A,$B21)-1))+($M21*(SUMIFS(OBJECT_CONDITIONS!$R:$R,OBJECT_CONDITIONS!$A:$A,$B21)-1)),3))</f>
        <v/>
      </c>
      <c r="O21" s="22"/>
      <c r="P21" s="22" t="str">
        <f t="shared" si="0"/>
        <v/>
      </c>
      <c r="Q21" s="22" t="str">
        <f t="shared" si="1"/>
        <v/>
      </c>
      <c r="R21" s="4" t="str">
        <f>IF($D21="","",IFERROR(INDEX(MATERIAL_VARIANTS!$O:$O,MATCH($D21,MATERIAL_VARIANTS!$A:$A,0)),""))</f>
        <v/>
      </c>
      <c r="S21" s="22" t="str">
        <f>IF($D21="","",IFERROR(INDEX(MATERIAL_VARIANTS!$P:$P,MATCH($D21,MATERIAL_VARIANTS!$A:$A,0)),""))</f>
        <v/>
      </c>
      <c r="T21" s="4" t="str">
        <f t="shared" si="2"/>
        <v/>
      </c>
      <c r="U21" s="4"/>
    </row>
    <row r="22" spans="1:21" x14ac:dyDescent="0.3">
      <c r="A22" s="4"/>
      <c r="B22" s="4"/>
      <c r="C22" s="4"/>
      <c r="D22" s="4"/>
      <c r="E22" s="4"/>
      <c r="F22" s="4"/>
      <c r="G22" s="4" t="str">
        <f>IF($C22="","",INDEX(MATERIAL_MASTER!$O:$O,MATCH($C22,MATERIAL_MASTER!$A:$A,0)))</f>
        <v/>
      </c>
      <c r="H22" s="22" t="str">
        <f>IF($C22="","",INDEX(MATERIAL_MASTER!$P:$P,MATCH($C22,MATERIAL_MASTER!$A:$A,0)))</f>
        <v/>
      </c>
      <c r="I22" s="22" t="str">
        <f>IF($C22="","",INDEX(MATERIAL_FACTOR_APPLICABILITY!$D:$D,MATCH($C22,MATERIAL_FACTOR_APPLICABILITY!$A:$A,0)))</f>
        <v/>
      </c>
      <c r="J22" s="22" t="str">
        <f>IF($C22="","",INDEX(MATERIAL_FACTOR_APPLICABILITY!$E:$E,MATCH($C22,MATERIAL_FACTOR_APPLICABILITY!$A:$A,0)))</f>
        <v/>
      </c>
      <c r="K22" s="22" t="str">
        <f>IF($C22="","",INDEX(MATERIAL_FACTOR_APPLICABILITY!$F:$F,MATCH($C22,MATERIAL_FACTOR_APPLICABILITY!$A:$A,0)))</f>
        <v/>
      </c>
      <c r="L22" s="22" t="str">
        <f>IF($C22="","",INDEX(MATERIAL_FACTOR_APPLICABILITY!$G:$G,MATCH($C22,MATERIAL_FACTOR_APPLICABILITY!$A:$A,0)))</f>
        <v/>
      </c>
      <c r="M22" s="22" t="str">
        <f>IF($C22="","",INDEX(MATERIAL_FACTOR_APPLICABILITY!$H:$H,MATCH($C22,MATERIAL_FACTOR_APPLICABILITY!$A:$A,0)))</f>
        <v/>
      </c>
      <c r="N22" s="22" t="str">
        <f>IF($B22="","",ROUND(1+($I22*(SUMIFS(OBJECT_CONDITIONS!$W:$W,OBJECT_CONDITIONS!$A:$A,$B22)-1))+($J22*(SUMIFS(OBJECT_CONDITIONS!$J:$J,OBJECT_CONDITIONS!$A:$A,$B22)-1))+($K22*(SUMIFS(OBJECT_CONDITIONS!$L:$L,OBJECT_CONDITIONS!$A:$A,$B22)-1))+($L22*(SUMIFS(OBJECT_CONDITIONS!$N:$N,OBJECT_CONDITIONS!$A:$A,$B22)-1))+($M22*(SUMIFS(OBJECT_CONDITIONS!$R:$R,OBJECT_CONDITIONS!$A:$A,$B22)-1)),3))</f>
        <v/>
      </c>
      <c r="O22" s="22"/>
      <c r="P22" s="22" t="str">
        <f t="shared" si="0"/>
        <v/>
      </c>
      <c r="Q22" s="22" t="str">
        <f t="shared" si="1"/>
        <v/>
      </c>
      <c r="R22" s="4" t="str">
        <f>IF($D22="","",IFERROR(INDEX(MATERIAL_VARIANTS!$O:$O,MATCH($D22,MATERIAL_VARIANTS!$A:$A,0)),""))</f>
        <v/>
      </c>
      <c r="S22" s="22" t="str">
        <f>IF($D22="","",IFERROR(INDEX(MATERIAL_VARIANTS!$P:$P,MATCH($D22,MATERIAL_VARIANTS!$A:$A,0)),""))</f>
        <v/>
      </c>
      <c r="T22" s="4" t="str">
        <f t="shared" si="2"/>
        <v/>
      </c>
      <c r="U22" s="4"/>
    </row>
    <row r="23" spans="1:21" x14ac:dyDescent="0.3">
      <c r="A23" s="4"/>
      <c r="B23" s="4"/>
      <c r="C23" s="4"/>
      <c r="D23" s="4"/>
      <c r="E23" s="4"/>
      <c r="F23" s="4"/>
      <c r="G23" s="4" t="str">
        <f>IF($C23="","",INDEX(MATERIAL_MASTER!$O:$O,MATCH($C23,MATERIAL_MASTER!$A:$A,0)))</f>
        <v/>
      </c>
      <c r="H23" s="22" t="str">
        <f>IF($C23="","",INDEX(MATERIAL_MASTER!$P:$P,MATCH($C23,MATERIAL_MASTER!$A:$A,0)))</f>
        <v/>
      </c>
      <c r="I23" s="22" t="str">
        <f>IF($C23="","",INDEX(MATERIAL_FACTOR_APPLICABILITY!$D:$D,MATCH($C23,MATERIAL_FACTOR_APPLICABILITY!$A:$A,0)))</f>
        <v/>
      </c>
      <c r="J23" s="22" t="str">
        <f>IF($C23="","",INDEX(MATERIAL_FACTOR_APPLICABILITY!$E:$E,MATCH($C23,MATERIAL_FACTOR_APPLICABILITY!$A:$A,0)))</f>
        <v/>
      </c>
      <c r="K23" s="22" t="str">
        <f>IF($C23="","",INDEX(MATERIAL_FACTOR_APPLICABILITY!$F:$F,MATCH($C23,MATERIAL_FACTOR_APPLICABILITY!$A:$A,0)))</f>
        <v/>
      </c>
      <c r="L23" s="22" t="str">
        <f>IF($C23="","",INDEX(MATERIAL_FACTOR_APPLICABILITY!$G:$G,MATCH($C23,MATERIAL_FACTOR_APPLICABILITY!$A:$A,0)))</f>
        <v/>
      </c>
      <c r="M23" s="22" t="str">
        <f>IF($C23="","",INDEX(MATERIAL_FACTOR_APPLICABILITY!$H:$H,MATCH($C23,MATERIAL_FACTOR_APPLICABILITY!$A:$A,0)))</f>
        <v/>
      </c>
      <c r="N23" s="22" t="str">
        <f>IF($B23="","",ROUND(1+($I23*(SUMIFS(OBJECT_CONDITIONS!$W:$W,OBJECT_CONDITIONS!$A:$A,$B23)-1))+($J23*(SUMIFS(OBJECT_CONDITIONS!$J:$J,OBJECT_CONDITIONS!$A:$A,$B23)-1))+($K23*(SUMIFS(OBJECT_CONDITIONS!$L:$L,OBJECT_CONDITIONS!$A:$A,$B23)-1))+($L23*(SUMIFS(OBJECT_CONDITIONS!$N:$N,OBJECT_CONDITIONS!$A:$A,$B23)-1))+($M23*(SUMIFS(OBJECT_CONDITIONS!$R:$R,OBJECT_CONDITIONS!$A:$A,$B23)-1)),3))</f>
        <v/>
      </c>
      <c r="O23" s="22"/>
      <c r="P23" s="22" t="str">
        <f t="shared" si="0"/>
        <v/>
      </c>
      <c r="Q23" s="22" t="str">
        <f t="shared" si="1"/>
        <v/>
      </c>
      <c r="R23" s="4" t="str">
        <f>IF($D23="","",IFERROR(INDEX(MATERIAL_VARIANTS!$O:$O,MATCH($D23,MATERIAL_VARIANTS!$A:$A,0)),""))</f>
        <v/>
      </c>
      <c r="S23" s="22" t="str">
        <f>IF($D23="","",IFERROR(INDEX(MATERIAL_VARIANTS!$P:$P,MATCH($D23,MATERIAL_VARIANTS!$A:$A,0)),""))</f>
        <v/>
      </c>
      <c r="T23" s="4" t="str">
        <f t="shared" si="2"/>
        <v/>
      </c>
      <c r="U23" s="4"/>
    </row>
    <row r="24" spans="1:21" x14ac:dyDescent="0.3">
      <c r="A24" s="4"/>
      <c r="B24" s="4"/>
      <c r="C24" s="4"/>
      <c r="D24" s="4"/>
      <c r="E24" s="4"/>
      <c r="F24" s="4"/>
      <c r="G24" s="4" t="str">
        <f>IF($C24="","",INDEX(MATERIAL_MASTER!$O:$O,MATCH($C24,MATERIAL_MASTER!$A:$A,0)))</f>
        <v/>
      </c>
      <c r="H24" s="22" t="str">
        <f>IF($C24="","",INDEX(MATERIAL_MASTER!$P:$P,MATCH($C24,MATERIAL_MASTER!$A:$A,0)))</f>
        <v/>
      </c>
      <c r="I24" s="22" t="str">
        <f>IF($C24="","",INDEX(MATERIAL_FACTOR_APPLICABILITY!$D:$D,MATCH($C24,MATERIAL_FACTOR_APPLICABILITY!$A:$A,0)))</f>
        <v/>
      </c>
      <c r="J24" s="22" t="str">
        <f>IF($C24="","",INDEX(MATERIAL_FACTOR_APPLICABILITY!$E:$E,MATCH($C24,MATERIAL_FACTOR_APPLICABILITY!$A:$A,0)))</f>
        <v/>
      </c>
      <c r="K24" s="22" t="str">
        <f>IF($C24="","",INDEX(MATERIAL_FACTOR_APPLICABILITY!$F:$F,MATCH($C24,MATERIAL_FACTOR_APPLICABILITY!$A:$A,0)))</f>
        <v/>
      </c>
      <c r="L24" s="22" t="str">
        <f>IF($C24="","",INDEX(MATERIAL_FACTOR_APPLICABILITY!$G:$G,MATCH($C24,MATERIAL_FACTOR_APPLICABILITY!$A:$A,0)))</f>
        <v/>
      </c>
      <c r="M24" s="22" t="str">
        <f>IF($C24="","",INDEX(MATERIAL_FACTOR_APPLICABILITY!$H:$H,MATCH($C24,MATERIAL_FACTOR_APPLICABILITY!$A:$A,0)))</f>
        <v/>
      </c>
      <c r="N24" s="22" t="str">
        <f>IF($B24="","",ROUND(1+($I24*(SUMIFS(OBJECT_CONDITIONS!$W:$W,OBJECT_CONDITIONS!$A:$A,$B24)-1))+($J24*(SUMIFS(OBJECT_CONDITIONS!$J:$J,OBJECT_CONDITIONS!$A:$A,$B24)-1))+($K24*(SUMIFS(OBJECT_CONDITIONS!$L:$L,OBJECT_CONDITIONS!$A:$A,$B24)-1))+($L24*(SUMIFS(OBJECT_CONDITIONS!$N:$N,OBJECT_CONDITIONS!$A:$A,$B24)-1))+($M24*(SUMIFS(OBJECT_CONDITIONS!$R:$R,OBJECT_CONDITIONS!$A:$A,$B24)-1)),3))</f>
        <v/>
      </c>
      <c r="O24" s="22"/>
      <c r="P24" s="22" t="str">
        <f t="shared" si="0"/>
        <v/>
      </c>
      <c r="Q24" s="22" t="str">
        <f t="shared" si="1"/>
        <v/>
      </c>
      <c r="R24" s="4" t="str">
        <f>IF($D24="","",IFERROR(INDEX(MATERIAL_VARIANTS!$O:$O,MATCH($D24,MATERIAL_VARIANTS!$A:$A,0)),""))</f>
        <v/>
      </c>
      <c r="S24" s="22" t="str">
        <f>IF($D24="","",IFERROR(INDEX(MATERIAL_VARIANTS!$P:$P,MATCH($D24,MATERIAL_VARIANTS!$A:$A,0)),""))</f>
        <v/>
      </c>
      <c r="T24" s="4" t="str">
        <f t="shared" si="2"/>
        <v/>
      </c>
      <c r="U24" s="4"/>
    </row>
    <row r="25" spans="1:21" x14ac:dyDescent="0.3">
      <c r="A25" s="4"/>
      <c r="B25" s="4"/>
      <c r="C25" s="4"/>
      <c r="D25" s="4"/>
      <c r="E25" s="4"/>
      <c r="F25" s="4"/>
      <c r="G25" s="4" t="str">
        <f>IF($C25="","",INDEX(MATERIAL_MASTER!$O:$O,MATCH($C25,MATERIAL_MASTER!$A:$A,0)))</f>
        <v/>
      </c>
      <c r="H25" s="22" t="str">
        <f>IF($C25="","",INDEX(MATERIAL_MASTER!$P:$P,MATCH($C25,MATERIAL_MASTER!$A:$A,0)))</f>
        <v/>
      </c>
      <c r="I25" s="22" t="str">
        <f>IF($C25="","",INDEX(MATERIAL_FACTOR_APPLICABILITY!$D:$D,MATCH($C25,MATERIAL_FACTOR_APPLICABILITY!$A:$A,0)))</f>
        <v/>
      </c>
      <c r="J25" s="22" t="str">
        <f>IF($C25="","",INDEX(MATERIAL_FACTOR_APPLICABILITY!$E:$E,MATCH($C25,MATERIAL_FACTOR_APPLICABILITY!$A:$A,0)))</f>
        <v/>
      </c>
      <c r="K25" s="22" t="str">
        <f>IF($C25="","",INDEX(MATERIAL_FACTOR_APPLICABILITY!$F:$F,MATCH($C25,MATERIAL_FACTOR_APPLICABILITY!$A:$A,0)))</f>
        <v/>
      </c>
      <c r="L25" s="22" t="str">
        <f>IF($C25="","",INDEX(MATERIAL_FACTOR_APPLICABILITY!$G:$G,MATCH($C25,MATERIAL_FACTOR_APPLICABILITY!$A:$A,0)))</f>
        <v/>
      </c>
      <c r="M25" s="22" t="str">
        <f>IF($C25="","",INDEX(MATERIAL_FACTOR_APPLICABILITY!$H:$H,MATCH($C25,MATERIAL_FACTOR_APPLICABILITY!$A:$A,0)))</f>
        <v/>
      </c>
      <c r="N25" s="22" t="str">
        <f>IF($B25="","",ROUND(1+($I25*(SUMIFS(OBJECT_CONDITIONS!$W:$W,OBJECT_CONDITIONS!$A:$A,$B25)-1))+($J25*(SUMIFS(OBJECT_CONDITIONS!$J:$J,OBJECT_CONDITIONS!$A:$A,$B25)-1))+($K25*(SUMIFS(OBJECT_CONDITIONS!$L:$L,OBJECT_CONDITIONS!$A:$A,$B25)-1))+($L25*(SUMIFS(OBJECT_CONDITIONS!$N:$N,OBJECT_CONDITIONS!$A:$A,$B25)-1))+($M25*(SUMIFS(OBJECT_CONDITIONS!$R:$R,OBJECT_CONDITIONS!$A:$A,$B25)-1)),3))</f>
        <v/>
      </c>
      <c r="O25" s="22"/>
      <c r="P25" s="22" t="str">
        <f t="shared" si="0"/>
        <v/>
      </c>
      <c r="Q25" s="22" t="str">
        <f t="shared" si="1"/>
        <v/>
      </c>
      <c r="R25" s="4" t="str">
        <f>IF($D25="","",IFERROR(INDEX(MATERIAL_VARIANTS!$O:$O,MATCH($D25,MATERIAL_VARIANTS!$A:$A,0)),""))</f>
        <v/>
      </c>
      <c r="S25" s="22" t="str">
        <f>IF($D25="","",IFERROR(INDEX(MATERIAL_VARIANTS!$P:$P,MATCH($D25,MATERIAL_VARIANTS!$A:$A,0)),""))</f>
        <v/>
      </c>
      <c r="T25" s="4" t="str">
        <f t="shared" si="2"/>
        <v/>
      </c>
      <c r="U25" s="4"/>
    </row>
    <row r="26" spans="1:21" x14ac:dyDescent="0.3">
      <c r="A26" s="4"/>
      <c r="B26" s="4"/>
      <c r="C26" s="4"/>
      <c r="D26" s="4"/>
      <c r="E26" s="4"/>
      <c r="F26" s="4"/>
      <c r="G26" s="4" t="str">
        <f>IF($C26="","",INDEX(MATERIAL_MASTER!$O:$O,MATCH($C26,MATERIAL_MASTER!$A:$A,0)))</f>
        <v/>
      </c>
      <c r="H26" s="22" t="str">
        <f>IF($C26="","",INDEX(MATERIAL_MASTER!$P:$P,MATCH($C26,MATERIAL_MASTER!$A:$A,0)))</f>
        <v/>
      </c>
      <c r="I26" s="22" t="str">
        <f>IF($C26="","",INDEX(MATERIAL_FACTOR_APPLICABILITY!$D:$D,MATCH($C26,MATERIAL_FACTOR_APPLICABILITY!$A:$A,0)))</f>
        <v/>
      </c>
      <c r="J26" s="22" t="str">
        <f>IF($C26="","",INDEX(MATERIAL_FACTOR_APPLICABILITY!$E:$E,MATCH($C26,MATERIAL_FACTOR_APPLICABILITY!$A:$A,0)))</f>
        <v/>
      </c>
      <c r="K26" s="22" t="str">
        <f>IF($C26="","",INDEX(MATERIAL_FACTOR_APPLICABILITY!$F:$F,MATCH($C26,MATERIAL_FACTOR_APPLICABILITY!$A:$A,0)))</f>
        <v/>
      </c>
      <c r="L26" s="22" t="str">
        <f>IF($C26="","",INDEX(MATERIAL_FACTOR_APPLICABILITY!$G:$G,MATCH($C26,MATERIAL_FACTOR_APPLICABILITY!$A:$A,0)))</f>
        <v/>
      </c>
      <c r="M26" s="22" t="str">
        <f>IF($C26="","",INDEX(MATERIAL_FACTOR_APPLICABILITY!$H:$H,MATCH($C26,MATERIAL_FACTOR_APPLICABILITY!$A:$A,0)))</f>
        <v/>
      </c>
      <c r="N26" s="22" t="str">
        <f>IF($B26="","",ROUND(1+($I26*(SUMIFS(OBJECT_CONDITIONS!$W:$W,OBJECT_CONDITIONS!$A:$A,$B26)-1))+($J26*(SUMIFS(OBJECT_CONDITIONS!$J:$J,OBJECT_CONDITIONS!$A:$A,$B26)-1))+($K26*(SUMIFS(OBJECT_CONDITIONS!$L:$L,OBJECT_CONDITIONS!$A:$A,$B26)-1))+($L26*(SUMIFS(OBJECT_CONDITIONS!$N:$N,OBJECT_CONDITIONS!$A:$A,$B26)-1))+($M26*(SUMIFS(OBJECT_CONDITIONS!$R:$R,OBJECT_CONDITIONS!$A:$A,$B26)-1)),3))</f>
        <v/>
      </c>
      <c r="O26" s="22"/>
      <c r="P26" s="22" t="str">
        <f t="shared" si="0"/>
        <v/>
      </c>
      <c r="Q26" s="22" t="str">
        <f t="shared" si="1"/>
        <v/>
      </c>
      <c r="R26" s="4" t="str">
        <f>IF($D26="","",IFERROR(INDEX(MATERIAL_VARIANTS!$O:$O,MATCH($D26,MATERIAL_VARIANTS!$A:$A,0)),""))</f>
        <v/>
      </c>
      <c r="S26" s="22" t="str">
        <f>IF($D26="","",IFERROR(INDEX(MATERIAL_VARIANTS!$P:$P,MATCH($D26,MATERIAL_VARIANTS!$A:$A,0)),""))</f>
        <v/>
      </c>
      <c r="T26" s="4" t="str">
        <f t="shared" si="2"/>
        <v/>
      </c>
      <c r="U26" s="4"/>
    </row>
    <row r="27" spans="1:21" x14ac:dyDescent="0.3">
      <c r="A27" s="4"/>
      <c r="B27" s="4"/>
      <c r="C27" s="4"/>
      <c r="D27" s="4"/>
      <c r="E27" s="4"/>
      <c r="F27" s="4"/>
      <c r="G27" s="4" t="str">
        <f>IF($C27="","",INDEX(MATERIAL_MASTER!$O:$O,MATCH($C27,MATERIAL_MASTER!$A:$A,0)))</f>
        <v/>
      </c>
      <c r="H27" s="22" t="str">
        <f>IF($C27="","",INDEX(MATERIAL_MASTER!$P:$P,MATCH($C27,MATERIAL_MASTER!$A:$A,0)))</f>
        <v/>
      </c>
      <c r="I27" s="22" t="str">
        <f>IF($C27="","",INDEX(MATERIAL_FACTOR_APPLICABILITY!$D:$D,MATCH($C27,MATERIAL_FACTOR_APPLICABILITY!$A:$A,0)))</f>
        <v/>
      </c>
      <c r="J27" s="22" t="str">
        <f>IF($C27="","",INDEX(MATERIAL_FACTOR_APPLICABILITY!$E:$E,MATCH($C27,MATERIAL_FACTOR_APPLICABILITY!$A:$A,0)))</f>
        <v/>
      </c>
      <c r="K27" s="22" t="str">
        <f>IF($C27="","",INDEX(MATERIAL_FACTOR_APPLICABILITY!$F:$F,MATCH($C27,MATERIAL_FACTOR_APPLICABILITY!$A:$A,0)))</f>
        <v/>
      </c>
      <c r="L27" s="22" t="str">
        <f>IF($C27="","",INDEX(MATERIAL_FACTOR_APPLICABILITY!$G:$G,MATCH($C27,MATERIAL_FACTOR_APPLICABILITY!$A:$A,0)))</f>
        <v/>
      </c>
      <c r="M27" s="22" t="str">
        <f>IF($C27="","",INDEX(MATERIAL_FACTOR_APPLICABILITY!$H:$H,MATCH($C27,MATERIAL_FACTOR_APPLICABILITY!$A:$A,0)))</f>
        <v/>
      </c>
      <c r="N27" s="22" t="str">
        <f>IF($B27="","",ROUND(1+($I27*(SUMIFS(OBJECT_CONDITIONS!$W:$W,OBJECT_CONDITIONS!$A:$A,$B27)-1))+($J27*(SUMIFS(OBJECT_CONDITIONS!$J:$J,OBJECT_CONDITIONS!$A:$A,$B27)-1))+($K27*(SUMIFS(OBJECT_CONDITIONS!$L:$L,OBJECT_CONDITIONS!$A:$A,$B27)-1))+($L27*(SUMIFS(OBJECT_CONDITIONS!$N:$N,OBJECT_CONDITIONS!$A:$A,$B27)-1))+($M27*(SUMIFS(OBJECT_CONDITIONS!$R:$R,OBJECT_CONDITIONS!$A:$A,$B27)-1)),3))</f>
        <v/>
      </c>
      <c r="O27" s="22"/>
      <c r="P27" s="22" t="str">
        <f t="shared" si="0"/>
        <v/>
      </c>
      <c r="Q27" s="22" t="str">
        <f t="shared" si="1"/>
        <v/>
      </c>
      <c r="R27" s="4" t="str">
        <f>IF($D27="","",IFERROR(INDEX(MATERIAL_VARIANTS!$O:$O,MATCH($D27,MATERIAL_VARIANTS!$A:$A,0)),""))</f>
        <v/>
      </c>
      <c r="S27" s="22" t="str">
        <f>IF($D27="","",IFERROR(INDEX(MATERIAL_VARIANTS!$P:$P,MATCH($D27,MATERIAL_VARIANTS!$A:$A,0)),""))</f>
        <v/>
      </c>
      <c r="T27" s="4" t="str">
        <f t="shared" si="2"/>
        <v/>
      </c>
      <c r="U27" s="4"/>
    </row>
    <row r="28" spans="1:21" x14ac:dyDescent="0.3">
      <c r="A28" s="4"/>
      <c r="B28" s="4"/>
      <c r="C28" s="4"/>
      <c r="D28" s="4"/>
      <c r="E28" s="4"/>
      <c r="F28" s="4"/>
      <c r="G28" s="4" t="str">
        <f>IF($C28="","",INDEX(MATERIAL_MASTER!$O:$O,MATCH($C28,MATERIAL_MASTER!$A:$A,0)))</f>
        <v/>
      </c>
      <c r="H28" s="22" t="str">
        <f>IF($C28="","",INDEX(MATERIAL_MASTER!$P:$P,MATCH($C28,MATERIAL_MASTER!$A:$A,0)))</f>
        <v/>
      </c>
      <c r="I28" s="22" t="str">
        <f>IF($C28="","",INDEX(MATERIAL_FACTOR_APPLICABILITY!$D:$D,MATCH($C28,MATERIAL_FACTOR_APPLICABILITY!$A:$A,0)))</f>
        <v/>
      </c>
      <c r="J28" s="22" t="str">
        <f>IF($C28="","",INDEX(MATERIAL_FACTOR_APPLICABILITY!$E:$E,MATCH($C28,MATERIAL_FACTOR_APPLICABILITY!$A:$A,0)))</f>
        <v/>
      </c>
      <c r="K28" s="22" t="str">
        <f>IF($C28="","",INDEX(MATERIAL_FACTOR_APPLICABILITY!$F:$F,MATCH($C28,MATERIAL_FACTOR_APPLICABILITY!$A:$A,0)))</f>
        <v/>
      </c>
      <c r="L28" s="22" t="str">
        <f>IF($C28="","",INDEX(MATERIAL_FACTOR_APPLICABILITY!$G:$G,MATCH($C28,MATERIAL_FACTOR_APPLICABILITY!$A:$A,0)))</f>
        <v/>
      </c>
      <c r="M28" s="22" t="str">
        <f>IF($C28="","",INDEX(MATERIAL_FACTOR_APPLICABILITY!$H:$H,MATCH($C28,MATERIAL_FACTOR_APPLICABILITY!$A:$A,0)))</f>
        <v/>
      </c>
      <c r="N28" s="22" t="str">
        <f>IF($B28="","",ROUND(1+($I28*(SUMIFS(OBJECT_CONDITIONS!$W:$W,OBJECT_CONDITIONS!$A:$A,$B28)-1))+($J28*(SUMIFS(OBJECT_CONDITIONS!$J:$J,OBJECT_CONDITIONS!$A:$A,$B28)-1))+($K28*(SUMIFS(OBJECT_CONDITIONS!$L:$L,OBJECT_CONDITIONS!$A:$A,$B28)-1))+($L28*(SUMIFS(OBJECT_CONDITIONS!$N:$N,OBJECT_CONDITIONS!$A:$A,$B28)-1))+($M28*(SUMIFS(OBJECT_CONDITIONS!$R:$R,OBJECT_CONDITIONS!$A:$A,$B28)-1)),3))</f>
        <v/>
      </c>
      <c r="O28" s="22"/>
      <c r="P28" s="22" t="str">
        <f t="shared" si="0"/>
        <v/>
      </c>
      <c r="Q28" s="22" t="str">
        <f t="shared" si="1"/>
        <v/>
      </c>
      <c r="R28" s="4" t="str">
        <f>IF($D28="","",IFERROR(INDEX(MATERIAL_VARIANTS!$O:$O,MATCH($D28,MATERIAL_VARIANTS!$A:$A,0)),""))</f>
        <v/>
      </c>
      <c r="S28" s="22" t="str">
        <f>IF($D28="","",IFERROR(INDEX(MATERIAL_VARIANTS!$P:$P,MATCH($D28,MATERIAL_VARIANTS!$A:$A,0)),""))</f>
        <v/>
      </c>
      <c r="T28" s="4" t="str">
        <f t="shared" si="2"/>
        <v/>
      </c>
      <c r="U28" s="4"/>
    </row>
    <row r="29" spans="1:21" x14ac:dyDescent="0.3">
      <c r="A29" s="4"/>
      <c r="B29" s="4"/>
      <c r="C29" s="4"/>
      <c r="D29" s="4"/>
      <c r="E29" s="4"/>
      <c r="F29" s="4"/>
      <c r="G29" s="4" t="str">
        <f>IF($C29="","",INDEX(MATERIAL_MASTER!$O:$O,MATCH($C29,MATERIAL_MASTER!$A:$A,0)))</f>
        <v/>
      </c>
      <c r="H29" s="22" t="str">
        <f>IF($C29="","",INDEX(MATERIAL_MASTER!$P:$P,MATCH($C29,MATERIAL_MASTER!$A:$A,0)))</f>
        <v/>
      </c>
      <c r="I29" s="22" t="str">
        <f>IF($C29="","",INDEX(MATERIAL_FACTOR_APPLICABILITY!$D:$D,MATCH($C29,MATERIAL_FACTOR_APPLICABILITY!$A:$A,0)))</f>
        <v/>
      </c>
      <c r="J29" s="22" t="str">
        <f>IF($C29="","",INDEX(MATERIAL_FACTOR_APPLICABILITY!$E:$E,MATCH($C29,MATERIAL_FACTOR_APPLICABILITY!$A:$A,0)))</f>
        <v/>
      </c>
      <c r="K29" s="22" t="str">
        <f>IF($C29="","",INDEX(MATERIAL_FACTOR_APPLICABILITY!$F:$F,MATCH($C29,MATERIAL_FACTOR_APPLICABILITY!$A:$A,0)))</f>
        <v/>
      </c>
      <c r="L29" s="22" t="str">
        <f>IF($C29="","",INDEX(MATERIAL_FACTOR_APPLICABILITY!$G:$G,MATCH($C29,MATERIAL_FACTOR_APPLICABILITY!$A:$A,0)))</f>
        <v/>
      </c>
      <c r="M29" s="22" t="str">
        <f>IF($C29="","",INDEX(MATERIAL_FACTOR_APPLICABILITY!$H:$H,MATCH($C29,MATERIAL_FACTOR_APPLICABILITY!$A:$A,0)))</f>
        <v/>
      </c>
      <c r="N29" s="22" t="str">
        <f>IF($B29="","",ROUND(1+($I29*(SUMIFS(OBJECT_CONDITIONS!$W:$W,OBJECT_CONDITIONS!$A:$A,$B29)-1))+($J29*(SUMIFS(OBJECT_CONDITIONS!$J:$J,OBJECT_CONDITIONS!$A:$A,$B29)-1))+($K29*(SUMIFS(OBJECT_CONDITIONS!$L:$L,OBJECT_CONDITIONS!$A:$A,$B29)-1))+($L29*(SUMIFS(OBJECT_CONDITIONS!$N:$N,OBJECT_CONDITIONS!$A:$A,$B29)-1))+($M29*(SUMIFS(OBJECT_CONDITIONS!$R:$R,OBJECT_CONDITIONS!$A:$A,$B29)-1)),3))</f>
        <v/>
      </c>
      <c r="O29" s="22"/>
      <c r="P29" s="22" t="str">
        <f t="shared" si="0"/>
        <v/>
      </c>
      <c r="Q29" s="22" t="str">
        <f t="shared" si="1"/>
        <v/>
      </c>
      <c r="R29" s="4" t="str">
        <f>IF($D29="","",IFERROR(INDEX(MATERIAL_VARIANTS!$O:$O,MATCH($D29,MATERIAL_VARIANTS!$A:$A,0)),""))</f>
        <v/>
      </c>
      <c r="S29" s="22" t="str">
        <f>IF($D29="","",IFERROR(INDEX(MATERIAL_VARIANTS!$P:$P,MATCH($D29,MATERIAL_VARIANTS!$A:$A,0)),""))</f>
        <v/>
      </c>
      <c r="T29" s="4" t="str">
        <f t="shared" si="2"/>
        <v/>
      </c>
      <c r="U29" s="4"/>
    </row>
    <row r="30" spans="1:21" x14ac:dyDescent="0.3">
      <c r="A30" s="4"/>
      <c r="B30" s="4"/>
      <c r="C30" s="4"/>
      <c r="D30" s="4"/>
      <c r="E30" s="4"/>
      <c r="F30" s="4"/>
      <c r="G30" s="4" t="str">
        <f>IF($C30="","",INDEX(MATERIAL_MASTER!$O:$O,MATCH($C30,MATERIAL_MASTER!$A:$A,0)))</f>
        <v/>
      </c>
      <c r="H30" s="22" t="str">
        <f>IF($C30="","",INDEX(MATERIAL_MASTER!$P:$P,MATCH($C30,MATERIAL_MASTER!$A:$A,0)))</f>
        <v/>
      </c>
      <c r="I30" s="22" t="str">
        <f>IF($C30="","",INDEX(MATERIAL_FACTOR_APPLICABILITY!$D:$D,MATCH($C30,MATERIAL_FACTOR_APPLICABILITY!$A:$A,0)))</f>
        <v/>
      </c>
      <c r="J30" s="22" t="str">
        <f>IF($C30="","",INDEX(MATERIAL_FACTOR_APPLICABILITY!$E:$E,MATCH($C30,MATERIAL_FACTOR_APPLICABILITY!$A:$A,0)))</f>
        <v/>
      </c>
      <c r="K30" s="22" t="str">
        <f>IF($C30="","",INDEX(MATERIAL_FACTOR_APPLICABILITY!$F:$F,MATCH($C30,MATERIAL_FACTOR_APPLICABILITY!$A:$A,0)))</f>
        <v/>
      </c>
      <c r="L30" s="22" t="str">
        <f>IF($C30="","",INDEX(MATERIAL_FACTOR_APPLICABILITY!$G:$G,MATCH($C30,MATERIAL_FACTOR_APPLICABILITY!$A:$A,0)))</f>
        <v/>
      </c>
      <c r="M30" s="22" t="str">
        <f>IF($C30="","",INDEX(MATERIAL_FACTOR_APPLICABILITY!$H:$H,MATCH($C30,MATERIAL_FACTOR_APPLICABILITY!$A:$A,0)))</f>
        <v/>
      </c>
      <c r="N30" s="22" t="str">
        <f>IF($B30="","",ROUND(1+($I30*(SUMIFS(OBJECT_CONDITIONS!$W:$W,OBJECT_CONDITIONS!$A:$A,$B30)-1))+($J30*(SUMIFS(OBJECT_CONDITIONS!$J:$J,OBJECT_CONDITIONS!$A:$A,$B30)-1))+($K30*(SUMIFS(OBJECT_CONDITIONS!$L:$L,OBJECT_CONDITIONS!$A:$A,$B30)-1))+($L30*(SUMIFS(OBJECT_CONDITIONS!$N:$N,OBJECT_CONDITIONS!$A:$A,$B30)-1))+($M30*(SUMIFS(OBJECT_CONDITIONS!$R:$R,OBJECT_CONDITIONS!$A:$A,$B30)-1)),3))</f>
        <v/>
      </c>
      <c r="O30" s="22"/>
      <c r="P30" s="22" t="str">
        <f t="shared" si="0"/>
        <v/>
      </c>
      <c r="Q30" s="22" t="str">
        <f t="shared" si="1"/>
        <v/>
      </c>
      <c r="R30" s="4" t="str">
        <f>IF($D30="","",IFERROR(INDEX(MATERIAL_VARIANTS!$O:$O,MATCH($D30,MATERIAL_VARIANTS!$A:$A,0)),""))</f>
        <v/>
      </c>
      <c r="S30" s="22" t="str">
        <f>IF($D30="","",IFERROR(INDEX(MATERIAL_VARIANTS!$P:$P,MATCH($D30,MATERIAL_VARIANTS!$A:$A,0)),""))</f>
        <v/>
      </c>
      <c r="T30" s="4" t="str">
        <f t="shared" si="2"/>
        <v/>
      </c>
      <c r="U30" s="4"/>
    </row>
    <row r="31" spans="1:21" x14ac:dyDescent="0.3">
      <c r="A31" s="4"/>
      <c r="B31" s="4"/>
      <c r="C31" s="4"/>
      <c r="D31" s="4"/>
      <c r="E31" s="4"/>
      <c r="F31" s="4"/>
      <c r="G31" s="4" t="str">
        <f>IF($C31="","",INDEX(MATERIAL_MASTER!$O:$O,MATCH($C31,MATERIAL_MASTER!$A:$A,0)))</f>
        <v/>
      </c>
      <c r="H31" s="22" t="str">
        <f>IF($C31="","",INDEX(MATERIAL_MASTER!$P:$P,MATCH($C31,MATERIAL_MASTER!$A:$A,0)))</f>
        <v/>
      </c>
      <c r="I31" s="22" t="str">
        <f>IF($C31="","",INDEX(MATERIAL_FACTOR_APPLICABILITY!$D:$D,MATCH($C31,MATERIAL_FACTOR_APPLICABILITY!$A:$A,0)))</f>
        <v/>
      </c>
      <c r="J31" s="22" t="str">
        <f>IF($C31="","",INDEX(MATERIAL_FACTOR_APPLICABILITY!$E:$E,MATCH($C31,MATERIAL_FACTOR_APPLICABILITY!$A:$A,0)))</f>
        <v/>
      </c>
      <c r="K31" s="22" t="str">
        <f>IF($C31="","",INDEX(MATERIAL_FACTOR_APPLICABILITY!$F:$F,MATCH($C31,MATERIAL_FACTOR_APPLICABILITY!$A:$A,0)))</f>
        <v/>
      </c>
      <c r="L31" s="22" t="str">
        <f>IF($C31="","",INDEX(MATERIAL_FACTOR_APPLICABILITY!$G:$G,MATCH($C31,MATERIAL_FACTOR_APPLICABILITY!$A:$A,0)))</f>
        <v/>
      </c>
      <c r="M31" s="22" t="str">
        <f>IF($C31="","",INDEX(MATERIAL_FACTOR_APPLICABILITY!$H:$H,MATCH($C31,MATERIAL_FACTOR_APPLICABILITY!$A:$A,0)))</f>
        <v/>
      </c>
      <c r="N31" s="22" t="str">
        <f>IF($B31="","",ROUND(1+($I31*(SUMIFS(OBJECT_CONDITIONS!$W:$W,OBJECT_CONDITIONS!$A:$A,$B31)-1))+($J31*(SUMIFS(OBJECT_CONDITIONS!$J:$J,OBJECT_CONDITIONS!$A:$A,$B31)-1))+($K31*(SUMIFS(OBJECT_CONDITIONS!$L:$L,OBJECT_CONDITIONS!$A:$A,$B31)-1))+($L31*(SUMIFS(OBJECT_CONDITIONS!$N:$N,OBJECT_CONDITIONS!$A:$A,$B31)-1))+($M31*(SUMIFS(OBJECT_CONDITIONS!$R:$R,OBJECT_CONDITIONS!$A:$A,$B31)-1)),3))</f>
        <v/>
      </c>
      <c r="O31" s="22"/>
      <c r="P31" s="22" t="str">
        <f t="shared" si="0"/>
        <v/>
      </c>
      <c r="Q31" s="22" t="str">
        <f t="shared" si="1"/>
        <v/>
      </c>
      <c r="R31" s="4" t="str">
        <f>IF($D31="","",IFERROR(INDEX(MATERIAL_VARIANTS!$O:$O,MATCH($D31,MATERIAL_VARIANTS!$A:$A,0)),""))</f>
        <v/>
      </c>
      <c r="S31" s="22" t="str">
        <f>IF($D31="","",IFERROR(INDEX(MATERIAL_VARIANTS!$P:$P,MATCH($D31,MATERIAL_VARIANTS!$A:$A,0)),""))</f>
        <v/>
      </c>
      <c r="T31" s="4" t="str">
        <f t="shared" si="2"/>
        <v/>
      </c>
      <c r="U31" s="4"/>
    </row>
    <row r="32" spans="1:21" x14ac:dyDescent="0.3">
      <c r="A32" s="4"/>
      <c r="B32" s="4"/>
      <c r="C32" s="4"/>
      <c r="D32" s="4"/>
      <c r="E32" s="4"/>
      <c r="F32" s="4"/>
      <c r="G32" s="4" t="str">
        <f>IF($C32="","",INDEX(MATERIAL_MASTER!$O:$O,MATCH($C32,MATERIAL_MASTER!$A:$A,0)))</f>
        <v/>
      </c>
      <c r="H32" s="22" t="str">
        <f>IF($C32="","",INDEX(MATERIAL_MASTER!$P:$P,MATCH($C32,MATERIAL_MASTER!$A:$A,0)))</f>
        <v/>
      </c>
      <c r="I32" s="22" t="str">
        <f>IF($C32="","",INDEX(MATERIAL_FACTOR_APPLICABILITY!$D:$D,MATCH($C32,MATERIAL_FACTOR_APPLICABILITY!$A:$A,0)))</f>
        <v/>
      </c>
      <c r="J32" s="22" t="str">
        <f>IF($C32="","",INDEX(MATERIAL_FACTOR_APPLICABILITY!$E:$E,MATCH($C32,MATERIAL_FACTOR_APPLICABILITY!$A:$A,0)))</f>
        <v/>
      </c>
      <c r="K32" s="22" t="str">
        <f>IF($C32="","",INDEX(MATERIAL_FACTOR_APPLICABILITY!$F:$F,MATCH($C32,MATERIAL_FACTOR_APPLICABILITY!$A:$A,0)))</f>
        <v/>
      </c>
      <c r="L32" s="22" t="str">
        <f>IF($C32="","",INDEX(MATERIAL_FACTOR_APPLICABILITY!$G:$G,MATCH($C32,MATERIAL_FACTOR_APPLICABILITY!$A:$A,0)))</f>
        <v/>
      </c>
      <c r="M32" s="22" t="str">
        <f>IF($C32="","",INDEX(MATERIAL_FACTOR_APPLICABILITY!$H:$H,MATCH($C32,MATERIAL_FACTOR_APPLICABILITY!$A:$A,0)))</f>
        <v/>
      </c>
      <c r="N32" s="22" t="str">
        <f>IF($B32="","",ROUND(1+($I32*(SUMIFS(OBJECT_CONDITIONS!$W:$W,OBJECT_CONDITIONS!$A:$A,$B32)-1))+($J32*(SUMIFS(OBJECT_CONDITIONS!$J:$J,OBJECT_CONDITIONS!$A:$A,$B32)-1))+($K32*(SUMIFS(OBJECT_CONDITIONS!$L:$L,OBJECT_CONDITIONS!$A:$A,$B32)-1))+($L32*(SUMIFS(OBJECT_CONDITIONS!$N:$N,OBJECT_CONDITIONS!$A:$A,$B32)-1))+($M32*(SUMIFS(OBJECT_CONDITIONS!$R:$R,OBJECT_CONDITIONS!$A:$A,$B32)-1)),3))</f>
        <v/>
      </c>
      <c r="O32" s="22"/>
      <c r="P32" s="22" t="str">
        <f t="shared" si="0"/>
        <v/>
      </c>
      <c r="Q32" s="22" t="str">
        <f t="shared" si="1"/>
        <v/>
      </c>
      <c r="R32" s="4" t="str">
        <f>IF($D32="","",IFERROR(INDEX(MATERIAL_VARIANTS!$O:$O,MATCH($D32,MATERIAL_VARIANTS!$A:$A,0)),""))</f>
        <v/>
      </c>
      <c r="S32" s="22" t="str">
        <f>IF($D32="","",IFERROR(INDEX(MATERIAL_VARIANTS!$P:$P,MATCH($D32,MATERIAL_VARIANTS!$A:$A,0)),""))</f>
        <v/>
      </c>
      <c r="T32" s="4" t="str">
        <f t="shared" si="2"/>
        <v/>
      </c>
      <c r="U32" s="4"/>
    </row>
    <row r="33" spans="1:21" x14ac:dyDescent="0.3">
      <c r="A33" s="4"/>
      <c r="B33" s="4"/>
      <c r="C33" s="4"/>
      <c r="D33" s="4"/>
      <c r="E33" s="4"/>
      <c r="F33" s="4"/>
      <c r="G33" s="4" t="str">
        <f>IF($C33="","",INDEX(MATERIAL_MASTER!$O:$O,MATCH($C33,MATERIAL_MASTER!$A:$A,0)))</f>
        <v/>
      </c>
      <c r="H33" s="22" t="str">
        <f>IF($C33="","",INDEX(MATERIAL_MASTER!$P:$P,MATCH($C33,MATERIAL_MASTER!$A:$A,0)))</f>
        <v/>
      </c>
      <c r="I33" s="22" t="str">
        <f>IF($C33="","",INDEX(MATERIAL_FACTOR_APPLICABILITY!$D:$D,MATCH($C33,MATERIAL_FACTOR_APPLICABILITY!$A:$A,0)))</f>
        <v/>
      </c>
      <c r="J33" s="22" t="str">
        <f>IF($C33="","",INDEX(MATERIAL_FACTOR_APPLICABILITY!$E:$E,MATCH($C33,MATERIAL_FACTOR_APPLICABILITY!$A:$A,0)))</f>
        <v/>
      </c>
      <c r="K33" s="22" t="str">
        <f>IF($C33="","",INDEX(MATERIAL_FACTOR_APPLICABILITY!$F:$F,MATCH($C33,MATERIAL_FACTOR_APPLICABILITY!$A:$A,0)))</f>
        <v/>
      </c>
      <c r="L33" s="22" t="str">
        <f>IF($C33="","",INDEX(MATERIAL_FACTOR_APPLICABILITY!$G:$G,MATCH($C33,MATERIAL_FACTOR_APPLICABILITY!$A:$A,0)))</f>
        <v/>
      </c>
      <c r="M33" s="22" t="str">
        <f>IF($C33="","",INDEX(MATERIAL_FACTOR_APPLICABILITY!$H:$H,MATCH($C33,MATERIAL_FACTOR_APPLICABILITY!$A:$A,0)))</f>
        <v/>
      </c>
      <c r="N33" s="22" t="str">
        <f>IF($B33="","",ROUND(1+($I33*(SUMIFS(OBJECT_CONDITIONS!$W:$W,OBJECT_CONDITIONS!$A:$A,$B33)-1))+($J33*(SUMIFS(OBJECT_CONDITIONS!$J:$J,OBJECT_CONDITIONS!$A:$A,$B33)-1))+($K33*(SUMIFS(OBJECT_CONDITIONS!$L:$L,OBJECT_CONDITIONS!$A:$A,$B33)-1))+($L33*(SUMIFS(OBJECT_CONDITIONS!$N:$N,OBJECT_CONDITIONS!$A:$A,$B33)-1))+($M33*(SUMIFS(OBJECT_CONDITIONS!$R:$R,OBJECT_CONDITIONS!$A:$A,$B33)-1)),3))</f>
        <v/>
      </c>
      <c r="O33" s="22"/>
      <c r="P33" s="22" t="str">
        <f t="shared" si="0"/>
        <v/>
      </c>
      <c r="Q33" s="22" t="str">
        <f t="shared" si="1"/>
        <v/>
      </c>
      <c r="R33" s="4" t="str">
        <f>IF($D33="","",IFERROR(INDEX(MATERIAL_VARIANTS!$O:$O,MATCH($D33,MATERIAL_VARIANTS!$A:$A,0)),""))</f>
        <v/>
      </c>
      <c r="S33" s="22" t="str">
        <f>IF($D33="","",IFERROR(INDEX(MATERIAL_VARIANTS!$P:$P,MATCH($D33,MATERIAL_VARIANTS!$A:$A,0)),""))</f>
        <v/>
      </c>
      <c r="T33" s="4" t="str">
        <f t="shared" si="2"/>
        <v/>
      </c>
      <c r="U33" s="4"/>
    </row>
    <row r="34" spans="1:21" x14ac:dyDescent="0.3">
      <c r="A34" s="4"/>
      <c r="B34" s="4"/>
      <c r="C34" s="4"/>
      <c r="D34" s="4"/>
      <c r="E34" s="4"/>
      <c r="F34" s="4"/>
      <c r="G34" s="4" t="str">
        <f>IF($C34="","",INDEX(MATERIAL_MASTER!$O:$O,MATCH($C34,MATERIAL_MASTER!$A:$A,0)))</f>
        <v/>
      </c>
      <c r="H34" s="22" t="str">
        <f>IF($C34="","",INDEX(MATERIAL_MASTER!$P:$P,MATCH($C34,MATERIAL_MASTER!$A:$A,0)))</f>
        <v/>
      </c>
      <c r="I34" s="22" t="str">
        <f>IF($C34="","",INDEX(MATERIAL_FACTOR_APPLICABILITY!$D:$D,MATCH($C34,MATERIAL_FACTOR_APPLICABILITY!$A:$A,0)))</f>
        <v/>
      </c>
      <c r="J34" s="22" t="str">
        <f>IF($C34="","",INDEX(MATERIAL_FACTOR_APPLICABILITY!$E:$E,MATCH($C34,MATERIAL_FACTOR_APPLICABILITY!$A:$A,0)))</f>
        <v/>
      </c>
      <c r="K34" s="22" t="str">
        <f>IF($C34="","",INDEX(MATERIAL_FACTOR_APPLICABILITY!$F:$F,MATCH($C34,MATERIAL_FACTOR_APPLICABILITY!$A:$A,0)))</f>
        <v/>
      </c>
      <c r="L34" s="22" t="str">
        <f>IF($C34="","",INDEX(MATERIAL_FACTOR_APPLICABILITY!$G:$G,MATCH($C34,MATERIAL_FACTOR_APPLICABILITY!$A:$A,0)))</f>
        <v/>
      </c>
      <c r="M34" s="22" t="str">
        <f>IF($C34="","",INDEX(MATERIAL_FACTOR_APPLICABILITY!$H:$H,MATCH($C34,MATERIAL_FACTOR_APPLICABILITY!$A:$A,0)))</f>
        <v/>
      </c>
      <c r="N34" s="22" t="str">
        <f>IF($B34="","",ROUND(1+($I34*(SUMIFS(OBJECT_CONDITIONS!$W:$W,OBJECT_CONDITIONS!$A:$A,$B34)-1))+($J34*(SUMIFS(OBJECT_CONDITIONS!$J:$J,OBJECT_CONDITIONS!$A:$A,$B34)-1))+($K34*(SUMIFS(OBJECT_CONDITIONS!$L:$L,OBJECT_CONDITIONS!$A:$A,$B34)-1))+($L34*(SUMIFS(OBJECT_CONDITIONS!$N:$N,OBJECT_CONDITIONS!$A:$A,$B34)-1))+($M34*(SUMIFS(OBJECT_CONDITIONS!$R:$R,OBJECT_CONDITIONS!$A:$A,$B34)-1)),3))</f>
        <v/>
      </c>
      <c r="O34" s="22"/>
      <c r="P34" s="22" t="str">
        <f t="shared" ref="P34:P65" si="3">IF(OR($H34="",$N34=""),"",ROUND($H34*$N34*IF($O34="",1,$O34),3))</f>
        <v/>
      </c>
      <c r="Q34" s="22" t="str">
        <f t="shared" ref="Q34:Q65" si="4">IF(OR($E34="",$P34=""),"",ROUND($E34*$P34,3))</f>
        <v/>
      </c>
      <c r="R34" s="4" t="str">
        <f>IF($D34="","",IFERROR(INDEX(MATERIAL_VARIANTS!$O:$O,MATCH($D34,MATERIAL_VARIANTS!$A:$A,0)),""))</f>
        <v/>
      </c>
      <c r="S34" s="22" t="str">
        <f>IF($D34="","",IFERROR(INDEX(MATERIAL_VARIANTS!$P:$P,MATCH($D34,MATERIAL_VARIANTS!$A:$A,0)),""))</f>
        <v/>
      </c>
      <c r="T34" s="4" t="str">
        <f t="shared" ref="T34:T65" si="5">IF(OR($Q34="",$S34="",$S34=0),"",ROUNDUP($Q34/$S34,0))</f>
        <v/>
      </c>
      <c r="U34" s="4"/>
    </row>
    <row r="35" spans="1:21" x14ac:dyDescent="0.3">
      <c r="A35" s="4"/>
      <c r="B35" s="4"/>
      <c r="C35" s="4"/>
      <c r="D35" s="4"/>
      <c r="E35" s="4"/>
      <c r="F35" s="4"/>
      <c r="G35" s="4" t="str">
        <f>IF($C35="","",INDEX(MATERIAL_MASTER!$O:$O,MATCH($C35,MATERIAL_MASTER!$A:$A,0)))</f>
        <v/>
      </c>
      <c r="H35" s="22" t="str">
        <f>IF($C35="","",INDEX(MATERIAL_MASTER!$P:$P,MATCH($C35,MATERIAL_MASTER!$A:$A,0)))</f>
        <v/>
      </c>
      <c r="I35" s="22" t="str">
        <f>IF($C35="","",INDEX(MATERIAL_FACTOR_APPLICABILITY!$D:$D,MATCH($C35,MATERIAL_FACTOR_APPLICABILITY!$A:$A,0)))</f>
        <v/>
      </c>
      <c r="J35" s="22" t="str">
        <f>IF($C35="","",INDEX(MATERIAL_FACTOR_APPLICABILITY!$E:$E,MATCH($C35,MATERIAL_FACTOR_APPLICABILITY!$A:$A,0)))</f>
        <v/>
      </c>
      <c r="K35" s="22" t="str">
        <f>IF($C35="","",INDEX(MATERIAL_FACTOR_APPLICABILITY!$F:$F,MATCH($C35,MATERIAL_FACTOR_APPLICABILITY!$A:$A,0)))</f>
        <v/>
      </c>
      <c r="L35" s="22" t="str">
        <f>IF($C35="","",INDEX(MATERIAL_FACTOR_APPLICABILITY!$G:$G,MATCH($C35,MATERIAL_FACTOR_APPLICABILITY!$A:$A,0)))</f>
        <v/>
      </c>
      <c r="M35" s="22" t="str">
        <f>IF($C35="","",INDEX(MATERIAL_FACTOR_APPLICABILITY!$H:$H,MATCH($C35,MATERIAL_FACTOR_APPLICABILITY!$A:$A,0)))</f>
        <v/>
      </c>
      <c r="N35" s="22" t="str">
        <f>IF($B35="","",ROUND(1+($I35*(SUMIFS(OBJECT_CONDITIONS!$W:$W,OBJECT_CONDITIONS!$A:$A,$B35)-1))+($J35*(SUMIFS(OBJECT_CONDITIONS!$J:$J,OBJECT_CONDITIONS!$A:$A,$B35)-1))+($K35*(SUMIFS(OBJECT_CONDITIONS!$L:$L,OBJECT_CONDITIONS!$A:$A,$B35)-1))+($L35*(SUMIFS(OBJECT_CONDITIONS!$N:$N,OBJECT_CONDITIONS!$A:$A,$B35)-1))+($M35*(SUMIFS(OBJECT_CONDITIONS!$R:$R,OBJECT_CONDITIONS!$A:$A,$B35)-1)),3))</f>
        <v/>
      </c>
      <c r="O35" s="22"/>
      <c r="P35" s="22" t="str">
        <f t="shared" si="3"/>
        <v/>
      </c>
      <c r="Q35" s="22" t="str">
        <f t="shared" si="4"/>
        <v/>
      </c>
      <c r="R35" s="4" t="str">
        <f>IF($D35="","",IFERROR(INDEX(MATERIAL_VARIANTS!$O:$O,MATCH($D35,MATERIAL_VARIANTS!$A:$A,0)),""))</f>
        <v/>
      </c>
      <c r="S35" s="22" t="str">
        <f>IF($D35="","",IFERROR(INDEX(MATERIAL_VARIANTS!$P:$P,MATCH($D35,MATERIAL_VARIANTS!$A:$A,0)),""))</f>
        <v/>
      </c>
      <c r="T35" s="4" t="str">
        <f t="shared" si="5"/>
        <v/>
      </c>
      <c r="U35" s="4"/>
    </row>
    <row r="36" spans="1:21" x14ac:dyDescent="0.3">
      <c r="A36" s="4"/>
      <c r="B36" s="4"/>
      <c r="C36" s="4"/>
      <c r="D36" s="4"/>
      <c r="E36" s="4"/>
      <c r="F36" s="4"/>
      <c r="G36" s="4" t="str">
        <f>IF($C36="","",INDEX(MATERIAL_MASTER!$O:$O,MATCH($C36,MATERIAL_MASTER!$A:$A,0)))</f>
        <v/>
      </c>
      <c r="H36" s="22" t="str">
        <f>IF($C36="","",INDEX(MATERIAL_MASTER!$P:$P,MATCH($C36,MATERIAL_MASTER!$A:$A,0)))</f>
        <v/>
      </c>
      <c r="I36" s="22" t="str">
        <f>IF($C36="","",INDEX(MATERIAL_FACTOR_APPLICABILITY!$D:$D,MATCH($C36,MATERIAL_FACTOR_APPLICABILITY!$A:$A,0)))</f>
        <v/>
      </c>
      <c r="J36" s="22" t="str">
        <f>IF($C36="","",INDEX(MATERIAL_FACTOR_APPLICABILITY!$E:$E,MATCH($C36,MATERIAL_FACTOR_APPLICABILITY!$A:$A,0)))</f>
        <v/>
      </c>
      <c r="K36" s="22" t="str">
        <f>IF($C36="","",INDEX(MATERIAL_FACTOR_APPLICABILITY!$F:$F,MATCH($C36,MATERIAL_FACTOR_APPLICABILITY!$A:$A,0)))</f>
        <v/>
      </c>
      <c r="L36" s="22" t="str">
        <f>IF($C36="","",INDEX(MATERIAL_FACTOR_APPLICABILITY!$G:$G,MATCH($C36,MATERIAL_FACTOR_APPLICABILITY!$A:$A,0)))</f>
        <v/>
      </c>
      <c r="M36" s="22" t="str">
        <f>IF($C36="","",INDEX(MATERIAL_FACTOR_APPLICABILITY!$H:$H,MATCH($C36,MATERIAL_FACTOR_APPLICABILITY!$A:$A,0)))</f>
        <v/>
      </c>
      <c r="N36" s="22" t="str">
        <f>IF($B36="","",ROUND(1+($I36*(SUMIFS(OBJECT_CONDITIONS!$W:$W,OBJECT_CONDITIONS!$A:$A,$B36)-1))+($J36*(SUMIFS(OBJECT_CONDITIONS!$J:$J,OBJECT_CONDITIONS!$A:$A,$B36)-1))+($K36*(SUMIFS(OBJECT_CONDITIONS!$L:$L,OBJECT_CONDITIONS!$A:$A,$B36)-1))+($L36*(SUMIFS(OBJECT_CONDITIONS!$N:$N,OBJECT_CONDITIONS!$A:$A,$B36)-1))+($M36*(SUMIFS(OBJECT_CONDITIONS!$R:$R,OBJECT_CONDITIONS!$A:$A,$B36)-1)),3))</f>
        <v/>
      </c>
      <c r="O36" s="22"/>
      <c r="P36" s="22" t="str">
        <f t="shared" si="3"/>
        <v/>
      </c>
      <c r="Q36" s="22" t="str">
        <f t="shared" si="4"/>
        <v/>
      </c>
      <c r="R36" s="4" t="str">
        <f>IF($D36="","",IFERROR(INDEX(MATERIAL_VARIANTS!$O:$O,MATCH($D36,MATERIAL_VARIANTS!$A:$A,0)),""))</f>
        <v/>
      </c>
      <c r="S36" s="22" t="str">
        <f>IF($D36="","",IFERROR(INDEX(MATERIAL_VARIANTS!$P:$P,MATCH($D36,MATERIAL_VARIANTS!$A:$A,0)),""))</f>
        <v/>
      </c>
      <c r="T36" s="4" t="str">
        <f t="shared" si="5"/>
        <v/>
      </c>
      <c r="U36" s="4"/>
    </row>
    <row r="37" spans="1:21" x14ac:dyDescent="0.3">
      <c r="A37" s="4"/>
      <c r="B37" s="4"/>
      <c r="C37" s="4"/>
      <c r="D37" s="4"/>
      <c r="E37" s="4"/>
      <c r="F37" s="4"/>
      <c r="G37" s="4" t="str">
        <f>IF($C37="","",INDEX(MATERIAL_MASTER!$O:$O,MATCH($C37,MATERIAL_MASTER!$A:$A,0)))</f>
        <v/>
      </c>
      <c r="H37" s="22" t="str">
        <f>IF($C37="","",INDEX(MATERIAL_MASTER!$P:$P,MATCH($C37,MATERIAL_MASTER!$A:$A,0)))</f>
        <v/>
      </c>
      <c r="I37" s="22" t="str">
        <f>IF($C37="","",INDEX(MATERIAL_FACTOR_APPLICABILITY!$D:$D,MATCH($C37,MATERIAL_FACTOR_APPLICABILITY!$A:$A,0)))</f>
        <v/>
      </c>
      <c r="J37" s="22" t="str">
        <f>IF($C37="","",INDEX(MATERIAL_FACTOR_APPLICABILITY!$E:$E,MATCH($C37,MATERIAL_FACTOR_APPLICABILITY!$A:$A,0)))</f>
        <v/>
      </c>
      <c r="K37" s="22" t="str">
        <f>IF($C37="","",INDEX(MATERIAL_FACTOR_APPLICABILITY!$F:$F,MATCH($C37,MATERIAL_FACTOR_APPLICABILITY!$A:$A,0)))</f>
        <v/>
      </c>
      <c r="L37" s="22" t="str">
        <f>IF($C37="","",INDEX(MATERIAL_FACTOR_APPLICABILITY!$G:$G,MATCH($C37,MATERIAL_FACTOR_APPLICABILITY!$A:$A,0)))</f>
        <v/>
      </c>
      <c r="M37" s="22" t="str">
        <f>IF($C37="","",INDEX(MATERIAL_FACTOR_APPLICABILITY!$H:$H,MATCH($C37,MATERIAL_FACTOR_APPLICABILITY!$A:$A,0)))</f>
        <v/>
      </c>
      <c r="N37" s="22" t="str">
        <f>IF($B37="","",ROUND(1+($I37*(SUMIFS(OBJECT_CONDITIONS!$W:$W,OBJECT_CONDITIONS!$A:$A,$B37)-1))+($J37*(SUMIFS(OBJECT_CONDITIONS!$J:$J,OBJECT_CONDITIONS!$A:$A,$B37)-1))+($K37*(SUMIFS(OBJECT_CONDITIONS!$L:$L,OBJECT_CONDITIONS!$A:$A,$B37)-1))+($L37*(SUMIFS(OBJECT_CONDITIONS!$N:$N,OBJECT_CONDITIONS!$A:$A,$B37)-1))+($M37*(SUMIFS(OBJECT_CONDITIONS!$R:$R,OBJECT_CONDITIONS!$A:$A,$B37)-1)),3))</f>
        <v/>
      </c>
      <c r="O37" s="22"/>
      <c r="P37" s="22" t="str">
        <f t="shared" si="3"/>
        <v/>
      </c>
      <c r="Q37" s="22" t="str">
        <f t="shared" si="4"/>
        <v/>
      </c>
      <c r="R37" s="4" t="str">
        <f>IF($D37="","",IFERROR(INDEX(MATERIAL_VARIANTS!$O:$O,MATCH($D37,MATERIAL_VARIANTS!$A:$A,0)),""))</f>
        <v/>
      </c>
      <c r="S37" s="22" t="str">
        <f>IF($D37="","",IFERROR(INDEX(MATERIAL_VARIANTS!$P:$P,MATCH($D37,MATERIAL_VARIANTS!$A:$A,0)),""))</f>
        <v/>
      </c>
      <c r="T37" s="4" t="str">
        <f t="shared" si="5"/>
        <v/>
      </c>
      <c r="U37" s="4"/>
    </row>
    <row r="38" spans="1:21" x14ac:dyDescent="0.3">
      <c r="A38" s="4"/>
      <c r="B38" s="4"/>
      <c r="C38" s="4"/>
      <c r="D38" s="4"/>
      <c r="E38" s="4"/>
      <c r="F38" s="4"/>
      <c r="G38" s="4" t="str">
        <f>IF($C38="","",INDEX(MATERIAL_MASTER!$O:$O,MATCH($C38,MATERIAL_MASTER!$A:$A,0)))</f>
        <v/>
      </c>
      <c r="H38" s="22" t="str">
        <f>IF($C38="","",INDEX(MATERIAL_MASTER!$P:$P,MATCH($C38,MATERIAL_MASTER!$A:$A,0)))</f>
        <v/>
      </c>
      <c r="I38" s="22" t="str">
        <f>IF($C38="","",INDEX(MATERIAL_FACTOR_APPLICABILITY!$D:$D,MATCH($C38,MATERIAL_FACTOR_APPLICABILITY!$A:$A,0)))</f>
        <v/>
      </c>
      <c r="J38" s="22" t="str">
        <f>IF($C38="","",INDEX(MATERIAL_FACTOR_APPLICABILITY!$E:$E,MATCH($C38,MATERIAL_FACTOR_APPLICABILITY!$A:$A,0)))</f>
        <v/>
      </c>
      <c r="K38" s="22" t="str">
        <f>IF($C38="","",INDEX(MATERIAL_FACTOR_APPLICABILITY!$F:$F,MATCH($C38,MATERIAL_FACTOR_APPLICABILITY!$A:$A,0)))</f>
        <v/>
      </c>
      <c r="L38" s="22" t="str">
        <f>IF($C38="","",INDEX(MATERIAL_FACTOR_APPLICABILITY!$G:$G,MATCH($C38,MATERIAL_FACTOR_APPLICABILITY!$A:$A,0)))</f>
        <v/>
      </c>
      <c r="M38" s="22" t="str">
        <f>IF($C38="","",INDEX(MATERIAL_FACTOR_APPLICABILITY!$H:$H,MATCH($C38,MATERIAL_FACTOR_APPLICABILITY!$A:$A,0)))</f>
        <v/>
      </c>
      <c r="N38" s="22" t="str">
        <f>IF($B38="","",ROUND(1+($I38*(SUMIFS(OBJECT_CONDITIONS!$W:$W,OBJECT_CONDITIONS!$A:$A,$B38)-1))+($J38*(SUMIFS(OBJECT_CONDITIONS!$J:$J,OBJECT_CONDITIONS!$A:$A,$B38)-1))+($K38*(SUMIFS(OBJECT_CONDITIONS!$L:$L,OBJECT_CONDITIONS!$A:$A,$B38)-1))+($L38*(SUMIFS(OBJECT_CONDITIONS!$N:$N,OBJECT_CONDITIONS!$A:$A,$B38)-1))+($M38*(SUMIFS(OBJECT_CONDITIONS!$R:$R,OBJECT_CONDITIONS!$A:$A,$B38)-1)),3))</f>
        <v/>
      </c>
      <c r="O38" s="22"/>
      <c r="P38" s="22" t="str">
        <f t="shared" si="3"/>
        <v/>
      </c>
      <c r="Q38" s="22" t="str">
        <f t="shared" si="4"/>
        <v/>
      </c>
      <c r="R38" s="4" t="str">
        <f>IF($D38="","",IFERROR(INDEX(MATERIAL_VARIANTS!$O:$O,MATCH($D38,MATERIAL_VARIANTS!$A:$A,0)),""))</f>
        <v/>
      </c>
      <c r="S38" s="22" t="str">
        <f>IF($D38="","",IFERROR(INDEX(MATERIAL_VARIANTS!$P:$P,MATCH($D38,MATERIAL_VARIANTS!$A:$A,0)),""))</f>
        <v/>
      </c>
      <c r="T38" s="4" t="str">
        <f t="shared" si="5"/>
        <v/>
      </c>
      <c r="U38" s="4"/>
    </row>
    <row r="39" spans="1:21" x14ac:dyDescent="0.3">
      <c r="A39" s="4"/>
      <c r="B39" s="4"/>
      <c r="C39" s="4"/>
      <c r="D39" s="4"/>
      <c r="E39" s="4"/>
      <c r="F39" s="4"/>
      <c r="G39" s="4" t="str">
        <f>IF($C39="","",INDEX(MATERIAL_MASTER!$O:$O,MATCH($C39,MATERIAL_MASTER!$A:$A,0)))</f>
        <v/>
      </c>
      <c r="H39" s="22" t="str">
        <f>IF($C39="","",INDEX(MATERIAL_MASTER!$P:$P,MATCH($C39,MATERIAL_MASTER!$A:$A,0)))</f>
        <v/>
      </c>
      <c r="I39" s="22" t="str">
        <f>IF($C39="","",INDEX(MATERIAL_FACTOR_APPLICABILITY!$D:$D,MATCH($C39,MATERIAL_FACTOR_APPLICABILITY!$A:$A,0)))</f>
        <v/>
      </c>
      <c r="J39" s="22" t="str">
        <f>IF($C39="","",INDEX(MATERIAL_FACTOR_APPLICABILITY!$E:$E,MATCH($C39,MATERIAL_FACTOR_APPLICABILITY!$A:$A,0)))</f>
        <v/>
      </c>
      <c r="K39" s="22" t="str">
        <f>IF($C39="","",INDEX(MATERIAL_FACTOR_APPLICABILITY!$F:$F,MATCH($C39,MATERIAL_FACTOR_APPLICABILITY!$A:$A,0)))</f>
        <v/>
      </c>
      <c r="L39" s="22" t="str">
        <f>IF($C39="","",INDEX(MATERIAL_FACTOR_APPLICABILITY!$G:$G,MATCH($C39,MATERIAL_FACTOR_APPLICABILITY!$A:$A,0)))</f>
        <v/>
      </c>
      <c r="M39" s="22" t="str">
        <f>IF($C39="","",INDEX(MATERIAL_FACTOR_APPLICABILITY!$H:$H,MATCH($C39,MATERIAL_FACTOR_APPLICABILITY!$A:$A,0)))</f>
        <v/>
      </c>
      <c r="N39" s="22" t="str">
        <f>IF($B39="","",ROUND(1+($I39*(SUMIFS(OBJECT_CONDITIONS!$W:$W,OBJECT_CONDITIONS!$A:$A,$B39)-1))+($J39*(SUMIFS(OBJECT_CONDITIONS!$J:$J,OBJECT_CONDITIONS!$A:$A,$B39)-1))+($K39*(SUMIFS(OBJECT_CONDITIONS!$L:$L,OBJECT_CONDITIONS!$A:$A,$B39)-1))+($L39*(SUMIFS(OBJECT_CONDITIONS!$N:$N,OBJECT_CONDITIONS!$A:$A,$B39)-1))+($M39*(SUMIFS(OBJECT_CONDITIONS!$R:$R,OBJECT_CONDITIONS!$A:$A,$B39)-1)),3))</f>
        <v/>
      </c>
      <c r="O39" s="22"/>
      <c r="P39" s="22" t="str">
        <f t="shared" si="3"/>
        <v/>
      </c>
      <c r="Q39" s="22" t="str">
        <f t="shared" si="4"/>
        <v/>
      </c>
      <c r="R39" s="4" t="str">
        <f>IF($D39="","",IFERROR(INDEX(MATERIAL_VARIANTS!$O:$O,MATCH($D39,MATERIAL_VARIANTS!$A:$A,0)),""))</f>
        <v/>
      </c>
      <c r="S39" s="22" t="str">
        <f>IF($D39="","",IFERROR(INDEX(MATERIAL_VARIANTS!$P:$P,MATCH($D39,MATERIAL_VARIANTS!$A:$A,0)),""))</f>
        <v/>
      </c>
      <c r="T39" s="4" t="str">
        <f t="shared" si="5"/>
        <v/>
      </c>
      <c r="U39" s="4"/>
    </row>
    <row r="40" spans="1:21" x14ac:dyDescent="0.3">
      <c r="A40" s="4"/>
      <c r="B40" s="4"/>
      <c r="C40" s="4"/>
      <c r="D40" s="4"/>
      <c r="E40" s="4"/>
      <c r="F40" s="4"/>
      <c r="G40" s="4" t="str">
        <f>IF($C40="","",INDEX(MATERIAL_MASTER!$O:$O,MATCH($C40,MATERIAL_MASTER!$A:$A,0)))</f>
        <v/>
      </c>
      <c r="H40" s="22" t="str">
        <f>IF($C40="","",INDEX(MATERIAL_MASTER!$P:$P,MATCH($C40,MATERIAL_MASTER!$A:$A,0)))</f>
        <v/>
      </c>
      <c r="I40" s="22" t="str">
        <f>IF($C40="","",INDEX(MATERIAL_FACTOR_APPLICABILITY!$D:$D,MATCH($C40,MATERIAL_FACTOR_APPLICABILITY!$A:$A,0)))</f>
        <v/>
      </c>
      <c r="J40" s="22" t="str">
        <f>IF($C40="","",INDEX(MATERIAL_FACTOR_APPLICABILITY!$E:$E,MATCH($C40,MATERIAL_FACTOR_APPLICABILITY!$A:$A,0)))</f>
        <v/>
      </c>
      <c r="K40" s="22" t="str">
        <f>IF($C40="","",INDEX(MATERIAL_FACTOR_APPLICABILITY!$F:$F,MATCH($C40,MATERIAL_FACTOR_APPLICABILITY!$A:$A,0)))</f>
        <v/>
      </c>
      <c r="L40" s="22" t="str">
        <f>IF($C40="","",INDEX(MATERIAL_FACTOR_APPLICABILITY!$G:$G,MATCH($C40,MATERIAL_FACTOR_APPLICABILITY!$A:$A,0)))</f>
        <v/>
      </c>
      <c r="M40" s="22" t="str">
        <f>IF($C40="","",INDEX(MATERIAL_FACTOR_APPLICABILITY!$H:$H,MATCH($C40,MATERIAL_FACTOR_APPLICABILITY!$A:$A,0)))</f>
        <v/>
      </c>
      <c r="N40" s="22" t="str">
        <f>IF($B40="","",ROUND(1+($I40*(SUMIFS(OBJECT_CONDITIONS!$W:$W,OBJECT_CONDITIONS!$A:$A,$B40)-1))+($J40*(SUMIFS(OBJECT_CONDITIONS!$J:$J,OBJECT_CONDITIONS!$A:$A,$B40)-1))+($K40*(SUMIFS(OBJECT_CONDITIONS!$L:$L,OBJECT_CONDITIONS!$A:$A,$B40)-1))+($L40*(SUMIFS(OBJECT_CONDITIONS!$N:$N,OBJECT_CONDITIONS!$A:$A,$B40)-1))+($M40*(SUMIFS(OBJECT_CONDITIONS!$R:$R,OBJECT_CONDITIONS!$A:$A,$B40)-1)),3))</f>
        <v/>
      </c>
      <c r="O40" s="22"/>
      <c r="P40" s="22" t="str">
        <f t="shared" si="3"/>
        <v/>
      </c>
      <c r="Q40" s="22" t="str">
        <f t="shared" si="4"/>
        <v/>
      </c>
      <c r="R40" s="4" t="str">
        <f>IF($D40="","",IFERROR(INDEX(MATERIAL_VARIANTS!$O:$O,MATCH($D40,MATERIAL_VARIANTS!$A:$A,0)),""))</f>
        <v/>
      </c>
      <c r="S40" s="22" t="str">
        <f>IF($D40="","",IFERROR(INDEX(MATERIAL_VARIANTS!$P:$P,MATCH($D40,MATERIAL_VARIANTS!$A:$A,0)),""))</f>
        <v/>
      </c>
      <c r="T40" s="4" t="str">
        <f t="shared" si="5"/>
        <v/>
      </c>
      <c r="U40" s="4"/>
    </row>
    <row r="41" spans="1:21" x14ac:dyDescent="0.3">
      <c r="A41" s="4"/>
      <c r="B41" s="4"/>
      <c r="C41" s="4"/>
      <c r="D41" s="4"/>
      <c r="E41" s="4"/>
      <c r="F41" s="4"/>
      <c r="G41" s="4" t="str">
        <f>IF($C41="","",INDEX(MATERIAL_MASTER!$O:$O,MATCH($C41,MATERIAL_MASTER!$A:$A,0)))</f>
        <v/>
      </c>
      <c r="H41" s="22" t="str">
        <f>IF($C41="","",INDEX(MATERIAL_MASTER!$P:$P,MATCH($C41,MATERIAL_MASTER!$A:$A,0)))</f>
        <v/>
      </c>
      <c r="I41" s="22" t="str">
        <f>IF($C41="","",INDEX(MATERIAL_FACTOR_APPLICABILITY!$D:$D,MATCH($C41,MATERIAL_FACTOR_APPLICABILITY!$A:$A,0)))</f>
        <v/>
      </c>
      <c r="J41" s="22" t="str">
        <f>IF($C41="","",INDEX(MATERIAL_FACTOR_APPLICABILITY!$E:$E,MATCH($C41,MATERIAL_FACTOR_APPLICABILITY!$A:$A,0)))</f>
        <v/>
      </c>
      <c r="K41" s="22" t="str">
        <f>IF($C41="","",INDEX(MATERIAL_FACTOR_APPLICABILITY!$F:$F,MATCH($C41,MATERIAL_FACTOR_APPLICABILITY!$A:$A,0)))</f>
        <v/>
      </c>
      <c r="L41" s="22" t="str">
        <f>IF($C41="","",INDEX(MATERIAL_FACTOR_APPLICABILITY!$G:$G,MATCH($C41,MATERIAL_FACTOR_APPLICABILITY!$A:$A,0)))</f>
        <v/>
      </c>
      <c r="M41" s="22" t="str">
        <f>IF($C41="","",INDEX(MATERIAL_FACTOR_APPLICABILITY!$H:$H,MATCH($C41,MATERIAL_FACTOR_APPLICABILITY!$A:$A,0)))</f>
        <v/>
      </c>
      <c r="N41" s="22" t="str">
        <f>IF($B41="","",ROUND(1+($I41*(SUMIFS(OBJECT_CONDITIONS!$W:$W,OBJECT_CONDITIONS!$A:$A,$B41)-1))+($J41*(SUMIFS(OBJECT_CONDITIONS!$J:$J,OBJECT_CONDITIONS!$A:$A,$B41)-1))+($K41*(SUMIFS(OBJECT_CONDITIONS!$L:$L,OBJECT_CONDITIONS!$A:$A,$B41)-1))+($L41*(SUMIFS(OBJECT_CONDITIONS!$N:$N,OBJECT_CONDITIONS!$A:$A,$B41)-1))+($M41*(SUMIFS(OBJECT_CONDITIONS!$R:$R,OBJECT_CONDITIONS!$A:$A,$B41)-1)),3))</f>
        <v/>
      </c>
      <c r="O41" s="22"/>
      <c r="P41" s="22" t="str">
        <f t="shared" si="3"/>
        <v/>
      </c>
      <c r="Q41" s="22" t="str">
        <f t="shared" si="4"/>
        <v/>
      </c>
      <c r="R41" s="4" t="str">
        <f>IF($D41="","",IFERROR(INDEX(MATERIAL_VARIANTS!$O:$O,MATCH($D41,MATERIAL_VARIANTS!$A:$A,0)),""))</f>
        <v/>
      </c>
      <c r="S41" s="22" t="str">
        <f>IF($D41="","",IFERROR(INDEX(MATERIAL_VARIANTS!$P:$P,MATCH($D41,MATERIAL_VARIANTS!$A:$A,0)),""))</f>
        <v/>
      </c>
      <c r="T41" s="4" t="str">
        <f t="shared" si="5"/>
        <v/>
      </c>
      <c r="U41" s="4"/>
    </row>
    <row r="42" spans="1:21" x14ac:dyDescent="0.3">
      <c r="A42" s="4"/>
      <c r="B42" s="4"/>
      <c r="C42" s="4"/>
      <c r="D42" s="4"/>
      <c r="E42" s="4"/>
      <c r="F42" s="4"/>
      <c r="G42" s="4" t="str">
        <f>IF($C42="","",INDEX(MATERIAL_MASTER!$O:$O,MATCH($C42,MATERIAL_MASTER!$A:$A,0)))</f>
        <v/>
      </c>
      <c r="H42" s="22" t="str">
        <f>IF($C42="","",INDEX(MATERIAL_MASTER!$P:$P,MATCH($C42,MATERIAL_MASTER!$A:$A,0)))</f>
        <v/>
      </c>
      <c r="I42" s="22" t="str">
        <f>IF($C42="","",INDEX(MATERIAL_FACTOR_APPLICABILITY!$D:$D,MATCH($C42,MATERIAL_FACTOR_APPLICABILITY!$A:$A,0)))</f>
        <v/>
      </c>
      <c r="J42" s="22" t="str">
        <f>IF($C42="","",INDEX(MATERIAL_FACTOR_APPLICABILITY!$E:$E,MATCH($C42,MATERIAL_FACTOR_APPLICABILITY!$A:$A,0)))</f>
        <v/>
      </c>
      <c r="K42" s="22" t="str">
        <f>IF($C42="","",INDEX(MATERIAL_FACTOR_APPLICABILITY!$F:$F,MATCH($C42,MATERIAL_FACTOR_APPLICABILITY!$A:$A,0)))</f>
        <v/>
      </c>
      <c r="L42" s="22" t="str">
        <f>IF($C42="","",INDEX(MATERIAL_FACTOR_APPLICABILITY!$G:$G,MATCH($C42,MATERIAL_FACTOR_APPLICABILITY!$A:$A,0)))</f>
        <v/>
      </c>
      <c r="M42" s="22" t="str">
        <f>IF($C42="","",INDEX(MATERIAL_FACTOR_APPLICABILITY!$H:$H,MATCH($C42,MATERIAL_FACTOR_APPLICABILITY!$A:$A,0)))</f>
        <v/>
      </c>
      <c r="N42" s="22" t="str">
        <f>IF($B42="","",ROUND(1+($I42*(SUMIFS(OBJECT_CONDITIONS!$W:$W,OBJECT_CONDITIONS!$A:$A,$B42)-1))+($J42*(SUMIFS(OBJECT_CONDITIONS!$J:$J,OBJECT_CONDITIONS!$A:$A,$B42)-1))+($K42*(SUMIFS(OBJECT_CONDITIONS!$L:$L,OBJECT_CONDITIONS!$A:$A,$B42)-1))+($L42*(SUMIFS(OBJECT_CONDITIONS!$N:$N,OBJECT_CONDITIONS!$A:$A,$B42)-1))+($M42*(SUMIFS(OBJECT_CONDITIONS!$R:$R,OBJECT_CONDITIONS!$A:$A,$B42)-1)),3))</f>
        <v/>
      </c>
      <c r="O42" s="22"/>
      <c r="P42" s="22" t="str">
        <f t="shared" si="3"/>
        <v/>
      </c>
      <c r="Q42" s="22" t="str">
        <f t="shared" si="4"/>
        <v/>
      </c>
      <c r="R42" s="4" t="str">
        <f>IF($D42="","",IFERROR(INDEX(MATERIAL_VARIANTS!$O:$O,MATCH($D42,MATERIAL_VARIANTS!$A:$A,0)),""))</f>
        <v/>
      </c>
      <c r="S42" s="22" t="str">
        <f>IF($D42="","",IFERROR(INDEX(MATERIAL_VARIANTS!$P:$P,MATCH($D42,MATERIAL_VARIANTS!$A:$A,0)),""))</f>
        <v/>
      </c>
      <c r="T42" s="4" t="str">
        <f t="shared" si="5"/>
        <v/>
      </c>
      <c r="U42" s="4"/>
    </row>
    <row r="43" spans="1:21" x14ac:dyDescent="0.3">
      <c r="A43" s="4"/>
      <c r="B43" s="4"/>
      <c r="C43" s="4"/>
      <c r="D43" s="4"/>
      <c r="E43" s="4"/>
      <c r="F43" s="4"/>
      <c r="G43" s="4" t="str">
        <f>IF($C43="","",INDEX(MATERIAL_MASTER!$O:$O,MATCH($C43,MATERIAL_MASTER!$A:$A,0)))</f>
        <v/>
      </c>
      <c r="H43" s="22" t="str">
        <f>IF($C43="","",INDEX(MATERIAL_MASTER!$P:$P,MATCH($C43,MATERIAL_MASTER!$A:$A,0)))</f>
        <v/>
      </c>
      <c r="I43" s="22" t="str">
        <f>IF($C43="","",INDEX(MATERIAL_FACTOR_APPLICABILITY!$D:$D,MATCH($C43,MATERIAL_FACTOR_APPLICABILITY!$A:$A,0)))</f>
        <v/>
      </c>
      <c r="J43" s="22" t="str">
        <f>IF($C43="","",INDEX(MATERIAL_FACTOR_APPLICABILITY!$E:$E,MATCH($C43,MATERIAL_FACTOR_APPLICABILITY!$A:$A,0)))</f>
        <v/>
      </c>
      <c r="K43" s="22" t="str">
        <f>IF($C43="","",INDEX(MATERIAL_FACTOR_APPLICABILITY!$F:$F,MATCH($C43,MATERIAL_FACTOR_APPLICABILITY!$A:$A,0)))</f>
        <v/>
      </c>
      <c r="L43" s="22" t="str">
        <f>IF($C43="","",INDEX(MATERIAL_FACTOR_APPLICABILITY!$G:$G,MATCH($C43,MATERIAL_FACTOR_APPLICABILITY!$A:$A,0)))</f>
        <v/>
      </c>
      <c r="M43" s="22" t="str">
        <f>IF($C43="","",INDEX(MATERIAL_FACTOR_APPLICABILITY!$H:$H,MATCH($C43,MATERIAL_FACTOR_APPLICABILITY!$A:$A,0)))</f>
        <v/>
      </c>
      <c r="N43" s="22" t="str">
        <f>IF($B43="","",ROUND(1+($I43*(SUMIFS(OBJECT_CONDITIONS!$W:$W,OBJECT_CONDITIONS!$A:$A,$B43)-1))+($J43*(SUMIFS(OBJECT_CONDITIONS!$J:$J,OBJECT_CONDITIONS!$A:$A,$B43)-1))+($K43*(SUMIFS(OBJECT_CONDITIONS!$L:$L,OBJECT_CONDITIONS!$A:$A,$B43)-1))+($L43*(SUMIFS(OBJECT_CONDITIONS!$N:$N,OBJECT_CONDITIONS!$A:$A,$B43)-1))+($M43*(SUMIFS(OBJECT_CONDITIONS!$R:$R,OBJECT_CONDITIONS!$A:$A,$B43)-1)),3))</f>
        <v/>
      </c>
      <c r="O43" s="22"/>
      <c r="P43" s="22" t="str">
        <f t="shared" si="3"/>
        <v/>
      </c>
      <c r="Q43" s="22" t="str">
        <f t="shared" si="4"/>
        <v/>
      </c>
      <c r="R43" s="4" t="str">
        <f>IF($D43="","",IFERROR(INDEX(MATERIAL_VARIANTS!$O:$O,MATCH($D43,MATERIAL_VARIANTS!$A:$A,0)),""))</f>
        <v/>
      </c>
      <c r="S43" s="22" t="str">
        <f>IF($D43="","",IFERROR(INDEX(MATERIAL_VARIANTS!$P:$P,MATCH($D43,MATERIAL_VARIANTS!$A:$A,0)),""))</f>
        <v/>
      </c>
      <c r="T43" s="4" t="str">
        <f t="shared" si="5"/>
        <v/>
      </c>
      <c r="U43" s="4"/>
    </row>
    <row r="44" spans="1:21" x14ac:dyDescent="0.3">
      <c r="A44" s="4"/>
      <c r="B44" s="4"/>
      <c r="C44" s="4"/>
      <c r="D44" s="4"/>
      <c r="E44" s="4"/>
      <c r="F44" s="4"/>
      <c r="G44" s="4" t="str">
        <f>IF($C44="","",INDEX(MATERIAL_MASTER!$O:$O,MATCH($C44,MATERIAL_MASTER!$A:$A,0)))</f>
        <v/>
      </c>
      <c r="H44" s="22" t="str">
        <f>IF($C44="","",INDEX(MATERIAL_MASTER!$P:$P,MATCH($C44,MATERIAL_MASTER!$A:$A,0)))</f>
        <v/>
      </c>
      <c r="I44" s="22" t="str">
        <f>IF($C44="","",INDEX(MATERIAL_FACTOR_APPLICABILITY!$D:$D,MATCH($C44,MATERIAL_FACTOR_APPLICABILITY!$A:$A,0)))</f>
        <v/>
      </c>
      <c r="J44" s="22" t="str">
        <f>IF($C44="","",INDEX(MATERIAL_FACTOR_APPLICABILITY!$E:$E,MATCH($C44,MATERIAL_FACTOR_APPLICABILITY!$A:$A,0)))</f>
        <v/>
      </c>
      <c r="K44" s="22" t="str">
        <f>IF($C44="","",INDEX(MATERIAL_FACTOR_APPLICABILITY!$F:$F,MATCH($C44,MATERIAL_FACTOR_APPLICABILITY!$A:$A,0)))</f>
        <v/>
      </c>
      <c r="L44" s="22" t="str">
        <f>IF($C44="","",INDEX(MATERIAL_FACTOR_APPLICABILITY!$G:$G,MATCH($C44,MATERIAL_FACTOR_APPLICABILITY!$A:$A,0)))</f>
        <v/>
      </c>
      <c r="M44" s="22" t="str">
        <f>IF($C44="","",INDEX(MATERIAL_FACTOR_APPLICABILITY!$H:$H,MATCH($C44,MATERIAL_FACTOR_APPLICABILITY!$A:$A,0)))</f>
        <v/>
      </c>
      <c r="N44" s="22" t="str">
        <f>IF($B44="","",ROUND(1+($I44*(SUMIFS(OBJECT_CONDITIONS!$W:$W,OBJECT_CONDITIONS!$A:$A,$B44)-1))+($J44*(SUMIFS(OBJECT_CONDITIONS!$J:$J,OBJECT_CONDITIONS!$A:$A,$B44)-1))+($K44*(SUMIFS(OBJECT_CONDITIONS!$L:$L,OBJECT_CONDITIONS!$A:$A,$B44)-1))+($L44*(SUMIFS(OBJECT_CONDITIONS!$N:$N,OBJECT_CONDITIONS!$A:$A,$B44)-1))+($M44*(SUMIFS(OBJECT_CONDITIONS!$R:$R,OBJECT_CONDITIONS!$A:$A,$B44)-1)),3))</f>
        <v/>
      </c>
      <c r="O44" s="22"/>
      <c r="P44" s="22" t="str">
        <f t="shared" si="3"/>
        <v/>
      </c>
      <c r="Q44" s="22" t="str">
        <f t="shared" si="4"/>
        <v/>
      </c>
      <c r="R44" s="4" t="str">
        <f>IF($D44="","",IFERROR(INDEX(MATERIAL_VARIANTS!$O:$O,MATCH($D44,MATERIAL_VARIANTS!$A:$A,0)),""))</f>
        <v/>
      </c>
      <c r="S44" s="22" t="str">
        <f>IF($D44="","",IFERROR(INDEX(MATERIAL_VARIANTS!$P:$P,MATCH($D44,MATERIAL_VARIANTS!$A:$A,0)),""))</f>
        <v/>
      </c>
      <c r="T44" s="4" t="str">
        <f t="shared" si="5"/>
        <v/>
      </c>
      <c r="U44" s="4"/>
    </row>
    <row r="45" spans="1:21" x14ac:dyDescent="0.3">
      <c r="A45" s="4"/>
      <c r="B45" s="4"/>
      <c r="C45" s="4"/>
      <c r="D45" s="4"/>
      <c r="E45" s="4"/>
      <c r="F45" s="4"/>
      <c r="G45" s="4" t="str">
        <f>IF($C45="","",INDEX(MATERIAL_MASTER!$O:$O,MATCH($C45,MATERIAL_MASTER!$A:$A,0)))</f>
        <v/>
      </c>
      <c r="H45" s="22" t="str">
        <f>IF($C45="","",INDEX(MATERIAL_MASTER!$P:$P,MATCH($C45,MATERIAL_MASTER!$A:$A,0)))</f>
        <v/>
      </c>
      <c r="I45" s="22" t="str">
        <f>IF($C45="","",INDEX(MATERIAL_FACTOR_APPLICABILITY!$D:$D,MATCH($C45,MATERIAL_FACTOR_APPLICABILITY!$A:$A,0)))</f>
        <v/>
      </c>
      <c r="J45" s="22" t="str">
        <f>IF($C45="","",INDEX(MATERIAL_FACTOR_APPLICABILITY!$E:$E,MATCH($C45,MATERIAL_FACTOR_APPLICABILITY!$A:$A,0)))</f>
        <v/>
      </c>
      <c r="K45" s="22" t="str">
        <f>IF($C45="","",INDEX(MATERIAL_FACTOR_APPLICABILITY!$F:$F,MATCH($C45,MATERIAL_FACTOR_APPLICABILITY!$A:$A,0)))</f>
        <v/>
      </c>
      <c r="L45" s="22" t="str">
        <f>IF($C45="","",INDEX(MATERIAL_FACTOR_APPLICABILITY!$G:$G,MATCH($C45,MATERIAL_FACTOR_APPLICABILITY!$A:$A,0)))</f>
        <v/>
      </c>
      <c r="M45" s="22" t="str">
        <f>IF($C45="","",INDEX(MATERIAL_FACTOR_APPLICABILITY!$H:$H,MATCH($C45,MATERIAL_FACTOR_APPLICABILITY!$A:$A,0)))</f>
        <v/>
      </c>
      <c r="N45" s="22" t="str">
        <f>IF($B45="","",ROUND(1+($I45*(SUMIFS(OBJECT_CONDITIONS!$W:$W,OBJECT_CONDITIONS!$A:$A,$B45)-1))+($J45*(SUMIFS(OBJECT_CONDITIONS!$J:$J,OBJECT_CONDITIONS!$A:$A,$B45)-1))+($K45*(SUMIFS(OBJECT_CONDITIONS!$L:$L,OBJECT_CONDITIONS!$A:$A,$B45)-1))+($L45*(SUMIFS(OBJECT_CONDITIONS!$N:$N,OBJECT_CONDITIONS!$A:$A,$B45)-1))+($M45*(SUMIFS(OBJECT_CONDITIONS!$R:$R,OBJECT_CONDITIONS!$A:$A,$B45)-1)),3))</f>
        <v/>
      </c>
      <c r="O45" s="22"/>
      <c r="P45" s="22" t="str">
        <f t="shared" si="3"/>
        <v/>
      </c>
      <c r="Q45" s="22" t="str">
        <f t="shared" si="4"/>
        <v/>
      </c>
      <c r="R45" s="4" t="str">
        <f>IF($D45="","",IFERROR(INDEX(MATERIAL_VARIANTS!$O:$O,MATCH($D45,MATERIAL_VARIANTS!$A:$A,0)),""))</f>
        <v/>
      </c>
      <c r="S45" s="22" t="str">
        <f>IF($D45="","",IFERROR(INDEX(MATERIAL_VARIANTS!$P:$P,MATCH($D45,MATERIAL_VARIANTS!$A:$A,0)),""))</f>
        <v/>
      </c>
      <c r="T45" s="4" t="str">
        <f t="shared" si="5"/>
        <v/>
      </c>
      <c r="U45" s="4"/>
    </row>
    <row r="46" spans="1:21" x14ac:dyDescent="0.3">
      <c r="A46" s="4"/>
      <c r="B46" s="4"/>
      <c r="C46" s="4"/>
      <c r="D46" s="4"/>
      <c r="E46" s="4"/>
      <c r="F46" s="4"/>
      <c r="G46" s="4" t="str">
        <f>IF($C46="","",INDEX(MATERIAL_MASTER!$O:$O,MATCH($C46,MATERIAL_MASTER!$A:$A,0)))</f>
        <v/>
      </c>
      <c r="H46" s="22" t="str">
        <f>IF($C46="","",INDEX(MATERIAL_MASTER!$P:$P,MATCH($C46,MATERIAL_MASTER!$A:$A,0)))</f>
        <v/>
      </c>
      <c r="I46" s="22" t="str">
        <f>IF($C46="","",INDEX(MATERIAL_FACTOR_APPLICABILITY!$D:$D,MATCH($C46,MATERIAL_FACTOR_APPLICABILITY!$A:$A,0)))</f>
        <v/>
      </c>
      <c r="J46" s="22" t="str">
        <f>IF($C46="","",INDEX(MATERIAL_FACTOR_APPLICABILITY!$E:$E,MATCH($C46,MATERIAL_FACTOR_APPLICABILITY!$A:$A,0)))</f>
        <v/>
      </c>
      <c r="K46" s="22" t="str">
        <f>IF($C46="","",INDEX(MATERIAL_FACTOR_APPLICABILITY!$F:$F,MATCH($C46,MATERIAL_FACTOR_APPLICABILITY!$A:$A,0)))</f>
        <v/>
      </c>
      <c r="L46" s="22" t="str">
        <f>IF($C46="","",INDEX(MATERIAL_FACTOR_APPLICABILITY!$G:$G,MATCH($C46,MATERIAL_FACTOR_APPLICABILITY!$A:$A,0)))</f>
        <v/>
      </c>
      <c r="M46" s="22" t="str">
        <f>IF($C46="","",INDEX(MATERIAL_FACTOR_APPLICABILITY!$H:$H,MATCH($C46,MATERIAL_FACTOR_APPLICABILITY!$A:$A,0)))</f>
        <v/>
      </c>
      <c r="N46" s="22" t="str">
        <f>IF($B46="","",ROUND(1+($I46*(SUMIFS(OBJECT_CONDITIONS!$W:$W,OBJECT_CONDITIONS!$A:$A,$B46)-1))+($J46*(SUMIFS(OBJECT_CONDITIONS!$J:$J,OBJECT_CONDITIONS!$A:$A,$B46)-1))+($K46*(SUMIFS(OBJECT_CONDITIONS!$L:$L,OBJECT_CONDITIONS!$A:$A,$B46)-1))+($L46*(SUMIFS(OBJECT_CONDITIONS!$N:$N,OBJECT_CONDITIONS!$A:$A,$B46)-1))+($M46*(SUMIFS(OBJECT_CONDITIONS!$R:$R,OBJECT_CONDITIONS!$A:$A,$B46)-1)),3))</f>
        <v/>
      </c>
      <c r="O46" s="22"/>
      <c r="P46" s="22" t="str">
        <f t="shared" si="3"/>
        <v/>
      </c>
      <c r="Q46" s="22" t="str">
        <f t="shared" si="4"/>
        <v/>
      </c>
      <c r="R46" s="4" t="str">
        <f>IF($D46="","",IFERROR(INDEX(MATERIAL_VARIANTS!$O:$O,MATCH($D46,MATERIAL_VARIANTS!$A:$A,0)),""))</f>
        <v/>
      </c>
      <c r="S46" s="22" t="str">
        <f>IF($D46="","",IFERROR(INDEX(MATERIAL_VARIANTS!$P:$P,MATCH($D46,MATERIAL_VARIANTS!$A:$A,0)),""))</f>
        <v/>
      </c>
      <c r="T46" s="4" t="str">
        <f t="shared" si="5"/>
        <v/>
      </c>
      <c r="U46" s="4"/>
    </row>
    <row r="47" spans="1:21" x14ac:dyDescent="0.3">
      <c r="A47" s="4"/>
      <c r="B47" s="4"/>
      <c r="C47" s="4"/>
      <c r="D47" s="4"/>
      <c r="E47" s="4"/>
      <c r="F47" s="4"/>
      <c r="G47" s="4" t="str">
        <f>IF($C47="","",INDEX(MATERIAL_MASTER!$O:$O,MATCH($C47,MATERIAL_MASTER!$A:$A,0)))</f>
        <v/>
      </c>
      <c r="H47" s="22" t="str">
        <f>IF($C47="","",INDEX(MATERIAL_MASTER!$P:$P,MATCH($C47,MATERIAL_MASTER!$A:$A,0)))</f>
        <v/>
      </c>
      <c r="I47" s="22" t="str">
        <f>IF($C47="","",INDEX(MATERIAL_FACTOR_APPLICABILITY!$D:$D,MATCH($C47,MATERIAL_FACTOR_APPLICABILITY!$A:$A,0)))</f>
        <v/>
      </c>
      <c r="J47" s="22" t="str">
        <f>IF($C47="","",INDEX(MATERIAL_FACTOR_APPLICABILITY!$E:$E,MATCH($C47,MATERIAL_FACTOR_APPLICABILITY!$A:$A,0)))</f>
        <v/>
      </c>
      <c r="K47" s="22" t="str">
        <f>IF($C47="","",INDEX(MATERIAL_FACTOR_APPLICABILITY!$F:$F,MATCH($C47,MATERIAL_FACTOR_APPLICABILITY!$A:$A,0)))</f>
        <v/>
      </c>
      <c r="L47" s="22" t="str">
        <f>IF($C47="","",INDEX(MATERIAL_FACTOR_APPLICABILITY!$G:$G,MATCH($C47,MATERIAL_FACTOR_APPLICABILITY!$A:$A,0)))</f>
        <v/>
      </c>
      <c r="M47" s="22" t="str">
        <f>IF($C47="","",INDEX(MATERIAL_FACTOR_APPLICABILITY!$H:$H,MATCH($C47,MATERIAL_FACTOR_APPLICABILITY!$A:$A,0)))</f>
        <v/>
      </c>
      <c r="N47" s="22" t="str">
        <f>IF($B47="","",ROUND(1+($I47*(SUMIFS(OBJECT_CONDITIONS!$W:$W,OBJECT_CONDITIONS!$A:$A,$B47)-1))+($J47*(SUMIFS(OBJECT_CONDITIONS!$J:$J,OBJECT_CONDITIONS!$A:$A,$B47)-1))+($K47*(SUMIFS(OBJECT_CONDITIONS!$L:$L,OBJECT_CONDITIONS!$A:$A,$B47)-1))+($L47*(SUMIFS(OBJECT_CONDITIONS!$N:$N,OBJECT_CONDITIONS!$A:$A,$B47)-1))+($M47*(SUMIFS(OBJECT_CONDITIONS!$R:$R,OBJECT_CONDITIONS!$A:$A,$B47)-1)),3))</f>
        <v/>
      </c>
      <c r="O47" s="22"/>
      <c r="P47" s="22" t="str">
        <f t="shared" si="3"/>
        <v/>
      </c>
      <c r="Q47" s="22" t="str">
        <f t="shared" si="4"/>
        <v/>
      </c>
      <c r="R47" s="4" t="str">
        <f>IF($D47="","",IFERROR(INDEX(MATERIAL_VARIANTS!$O:$O,MATCH($D47,MATERIAL_VARIANTS!$A:$A,0)),""))</f>
        <v/>
      </c>
      <c r="S47" s="22" t="str">
        <f>IF($D47="","",IFERROR(INDEX(MATERIAL_VARIANTS!$P:$P,MATCH($D47,MATERIAL_VARIANTS!$A:$A,0)),""))</f>
        <v/>
      </c>
      <c r="T47" s="4" t="str">
        <f t="shared" si="5"/>
        <v/>
      </c>
      <c r="U47" s="4"/>
    </row>
    <row r="48" spans="1:21" x14ac:dyDescent="0.3">
      <c r="A48" s="4"/>
      <c r="B48" s="4"/>
      <c r="C48" s="4"/>
      <c r="D48" s="4"/>
      <c r="E48" s="4"/>
      <c r="F48" s="4"/>
      <c r="G48" s="4" t="str">
        <f>IF($C48="","",INDEX(MATERIAL_MASTER!$O:$O,MATCH($C48,MATERIAL_MASTER!$A:$A,0)))</f>
        <v/>
      </c>
      <c r="H48" s="22" t="str">
        <f>IF($C48="","",INDEX(MATERIAL_MASTER!$P:$P,MATCH($C48,MATERIAL_MASTER!$A:$A,0)))</f>
        <v/>
      </c>
      <c r="I48" s="22" t="str">
        <f>IF($C48="","",INDEX(MATERIAL_FACTOR_APPLICABILITY!$D:$D,MATCH($C48,MATERIAL_FACTOR_APPLICABILITY!$A:$A,0)))</f>
        <v/>
      </c>
      <c r="J48" s="22" t="str">
        <f>IF($C48="","",INDEX(MATERIAL_FACTOR_APPLICABILITY!$E:$E,MATCH($C48,MATERIAL_FACTOR_APPLICABILITY!$A:$A,0)))</f>
        <v/>
      </c>
      <c r="K48" s="22" t="str">
        <f>IF($C48="","",INDEX(MATERIAL_FACTOR_APPLICABILITY!$F:$F,MATCH($C48,MATERIAL_FACTOR_APPLICABILITY!$A:$A,0)))</f>
        <v/>
      </c>
      <c r="L48" s="22" t="str">
        <f>IF($C48="","",INDEX(MATERIAL_FACTOR_APPLICABILITY!$G:$G,MATCH($C48,MATERIAL_FACTOR_APPLICABILITY!$A:$A,0)))</f>
        <v/>
      </c>
      <c r="M48" s="22" t="str">
        <f>IF($C48="","",INDEX(MATERIAL_FACTOR_APPLICABILITY!$H:$H,MATCH($C48,MATERIAL_FACTOR_APPLICABILITY!$A:$A,0)))</f>
        <v/>
      </c>
      <c r="N48" s="22" t="str">
        <f>IF($B48="","",ROUND(1+($I48*(SUMIFS(OBJECT_CONDITIONS!$W:$W,OBJECT_CONDITIONS!$A:$A,$B48)-1))+($J48*(SUMIFS(OBJECT_CONDITIONS!$J:$J,OBJECT_CONDITIONS!$A:$A,$B48)-1))+($K48*(SUMIFS(OBJECT_CONDITIONS!$L:$L,OBJECT_CONDITIONS!$A:$A,$B48)-1))+($L48*(SUMIFS(OBJECT_CONDITIONS!$N:$N,OBJECT_CONDITIONS!$A:$A,$B48)-1))+($M48*(SUMIFS(OBJECT_CONDITIONS!$R:$R,OBJECT_CONDITIONS!$A:$A,$B48)-1)),3))</f>
        <v/>
      </c>
      <c r="O48" s="22"/>
      <c r="P48" s="22" t="str">
        <f t="shared" si="3"/>
        <v/>
      </c>
      <c r="Q48" s="22" t="str">
        <f t="shared" si="4"/>
        <v/>
      </c>
      <c r="R48" s="4" t="str">
        <f>IF($D48="","",IFERROR(INDEX(MATERIAL_VARIANTS!$O:$O,MATCH($D48,MATERIAL_VARIANTS!$A:$A,0)),""))</f>
        <v/>
      </c>
      <c r="S48" s="22" t="str">
        <f>IF($D48="","",IFERROR(INDEX(MATERIAL_VARIANTS!$P:$P,MATCH($D48,MATERIAL_VARIANTS!$A:$A,0)),""))</f>
        <v/>
      </c>
      <c r="T48" s="4" t="str">
        <f t="shared" si="5"/>
        <v/>
      </c>
      <c r="U48" s="4"/>
    </row>
    <row r="49" spans="1:21" x14ac:dyDescent="0.3">
      <c r="A49" s="4"/>
      <c r="B49" s="4"/>
      <c r="C49" s="4"/>
      <c r="D49" s="4"/>
      <c r="E49" s="4"/>
      <c r="F49" s="4"/>
      <c r="G49" s="4" t="str">
        <f>IF($C49="","",INDEX(MATERIAL_MASTER!$O:$O,MATCH($C49,MATERIAL_MASTER!$A:$A,0)))</f>
        <v/>
      </c>
      <c r="H49" s="22" t="str">
        <f>IF($C49="","",INDEX(MATERIAL_MASTER!$P:$P,MATCH($C49,MATERIAL_MASTER!$A:$A,0)))</f>
        <v/>
      </c>
      <c r="I49" s="22" t="str">
        <f>IF($C49="","",INDEX(MATERIAL_FACTOR_APPLICABILITY!$D:$D,MATCH($C49,MATERIAL_FACTOR_APPLICABILITY!$A:$A,0)))</f>
        <v/>
      </c>
      <c r="J49" s="22" t="str">
        <f>IF($C49="","",INDEX(MATERIAL_FACTOR_APPLICABILITY!$E:$E,MATCH($C49,MATERIAL_FACTOR_APPLICABILITY!$A:$A,0)))</f>
        <v/>
      </c>
      <c r="K49" s="22" t="str">
        <f>IF($C49="","",INDEX(MATERIAL_FACTOR_APPLICABILITY!$F:$F,MATCH($C49,MATERIAL_FACTOR_APPLICABILITY!$A:$A,0)))</f>
        <v/>
      </c>
      <c r="L49" s="22" t="str">
        <f>IF($C49="","",INDEX(MATERIAL_FACTOR_APPLICABILITY!$G:$G,MATCH($C49,MATERIAL_FACTOR_APPLICABILITY!$A:$A,0)))</f>
        <v/>
      </c>
      <c r="M49" s="22" t="str">
        <f>IF($C49="","",INDEX(MATERIAL_FACTOR_APPLICABILITY!$H:$H,MATCH($C49,MATERIAL_FACTOR_APPLICABILITY!$A:$A,0)))</f>
        <v/>
      </c>
      <c r="N49" s="22" t="str">
        <f>IF($B49="","",ROUND(1+($I49*(SUMIFS(OBJECT_CONDITIONS!$W:$W,OBJECT_CONDITIONS!$A:$A,$B49)-1))+($J49*(SUMIFS(OBJECT_CONDITIONS!$J:$J,OBJECT_CONDITIONS!$A:$A,$B49)-1))+($K49*(SUMIFS(OBJECT_CONDITIONS!$L:$L,OBJECT_CONDITIONS!$A:$A,$B49)-1))+($L49*(SUMIFS(OBJECT_CONDITIONS!$N:$N,OBJECT_CONDITIONS!$A:$A,$B49)-1))+($M49*(SUMIFS(OBJECT_CONDITIONS!$R:$R,OBJECT_CONDITIONS!$A:$A,$B49)-1)),3))</f>
        <v/>
      </c>
      <c r="O49" s="22"/>
      <c r="P49" s="22" t="str">
        <f t="shared" si="3"/>
        <v/>
      </c>
      <c r="Q49" s="22" t="str">
        <f t="shared" si="4"/>
        <v/>
      </c>
      <c r="R49" s="4" t="str">
        <f>IF($D49="","",IFERROR(INDEX(MATERIAL_VARIANTS!$O:$O,MATCH($D49,MATERIAL_VARIANTS!$A:$A,0)),""))</f>
        <v/>
      </c>
      <c r="S49" s="22" t="str">
        <f>IF($D49="","",IFERROR(INDEX(MATERIAL_VARIANTS!$P:$P,MATCH($D49,MATERIAL_VARIANTS!$A:$A,0)),""))</f>
        <v/>
      </c>
      <c r="T49" s="4" t="str">
        <f t="shared" si="5"/>
        <v/>
      </c>
      <c r="U49" s="4"/>
    </row>
    <row r="50" spans="1:21" x14ac:dyDescent="0.3">
      <c r="A50" s="4"/>
      <c r="B50" s="4"/>
      <c r="C50" s="4"/>
      <c r="D50" s="4"/>
      <c r="E50" s="4"/>
      <c r="F50" s="4"/>
      <c r="G50" s="4" t="str">
        <f>IF($C50="","",INDEX(MATERIAL_MASTER!$O:$O,MATCH($C50,MATERIAL_MASTER!$A:$A,0)))</f>
        <v/>
      </c>
      <c r="H50" s="22" t="str">
        <f>IF($C50="","",INDEX(MATERIAL_MASTER!$P:$P,MATCH($C50,MATERIAL_MASTER!$A:$A,0)))</f>
        <v/>
      </c>
      <c r="I50" s="22" t="str">
        <f>IF($C50="","",INDEX(MATERIAL_FACTOR_APPLICABILITY!$D:$D,MATCH($C50,MATERIAL_FACTOR_APPLICABILITY!$A:$A,0)))</f>
        <v/>
      </c>
      <c r="J50" s="22" t="str">
        <f>IF($C50="","",INDEX(MATERIAL_FACTOR_APPLICABILITY!$E:$E,MATCH($C50,MATERIAL_FACTOR_APPLICABILITY!$A:$A,0)))</f>
        <v/>
      </c>
      <c r="K50" s="22" t="str">
        <f>IF($C50="","",INDEX(MATERIAL_FACTOR_APPLICABILITY!$F:$F,MATCH($C50,MATERIAL_FACTOR_APPLICABILITY!$A:$A,0)))</f>
        <v/>
      </c>
      <c r="L50" s="22" t="str">
        <f>IF($C50="","",INDEX(MATERIAL_FACTOR_APPLICABILITY!$G:$G,MATCH($C50,MATERIAL_FACTOR_APPLICABILITY!$A:$A,0)))</f>
        <v/>
      </c>
      <c r="M50" s="22" t="str">
        <f>IF($C50="","",INDEX(MATERIAL_FACTOR_APPLICABILITY!$H:$H,MATCH($C50,MATERIAL_FACTOR_APPLICABILITY!$A:$A,0)))</f>
        <v/>
      </c>
      <c r="N50" s="22" t="str">
        <f>IF($B50="","",ROUND(1+($I50*(SUMIFS(OBJECT_CONDITIONS!$W:$W,OBJECT_CONDITIONS!$A:$A,$B50)-1))+($J50*(SUMIFS(OBJECT_CONDITIONS!$J:$J,OBJECT_CONDITIONS!$A:$A,$B50)-1))+($K50*(SUMIFS(OBJECT_CONDITIONS!$L:$L,OBJECT_CONDITIONS!$A:$A,$B50)-1))+($L50*(SUMIFS(OBJECT_CONDITIONS!$N:$N,OBJECT_CONDITIONS!$A:$A,$B50)-1))+($M50*(SUMIFS(OBJECT_CONDITIONS!$R:$R,OBJECT_CONDITIONS!$A:$A,$B50)-1)),3))</f>
        <v/>
      </c>
      <c r="O50" s="22"/>
      <c r="P50" s="22" t="str">
        <f t="shared" si="3"/>
        <v/>
      </c>
      <c r="Q50" s="22" t="str">
        <f t="shared" si="4"/>
        <v/>
      </c>
      <c r="R50" s="4" t="str">
        <f>IF($D50="","",IFERROR(INDEX(MATERIAL_VARIANTS!$O:$O,MATCH($D50,MATERIAL_VARIANTS!$A:$A,0)),""))</f>
        <v/>
      </c>
      <c r="S50" s="22" t="str">
        <f>IF($D50="","",IFERROR(INDEX(MATERIAL_VARIANTS!$P:$P,MATCH($D50,MATERIAL_VARIANTS!$A:$A,0)),""))</f>
        <v/>
      </c>
      <c r="T50" s="4" t="str">
        <f t="shared" si="5"/>
        <v/>
      </c>
      <c r="U50" s="4"/>
    </row>
    <row r="51" spans="1:21" x14ac:dyDescent="0.3">
      <c r="A51" s="4"/>
      <c r="B51" s="4"/>
      <c r="C51" s="4"/>
      <c r="D51" s="4"/>
      <c r="E51" s="4"/>
      <c r="F51" s="4"/>
      <c r="G51" s="4" t="str">
        <f>IF($C51="","",INDEX(MATERIAL_MASTER!$O:$O,MATCH($C51,MATERIAL_MASTER!$A:$A,0)))</f>
        <v/>
      </c>
      <c r="H51" s="22" t="str">
        <f>IF($C51="","",INDEX(MATERIAL_MASTER!$P:$P,MATCH($C51,MATERIAL_MASTER!$A:$A,0)))</f>
        <v/>
      </c>
      <c r="I51" s="22" t="str">
        <f>IF($C51="","",INDEX(MATERIAL_FACTOR_APPLICABILITY!$D:$D,MATCH($C51,MATERIAL_FACTOR_APPLICABILITY!$A:$A,0)))</f>
        <v/>
      </c>
      <c r="J51" s="22" t="str">
        <f>IF($C51="","",INDEX(MATERIAL_FACTOR_APPLICABILITY!$E:$E,MATCH($C51,MATERIAL_FACTOR_APPLICABILITY!$A:$A,0)))</f>
        <v/>
      </c>
      <c r="K51" s="22" t="str">
        <f>IF($C51="","",INDEX(MATERIAL_FACTOR_APPLICABILITY!$F:$F,MATCH($C51,MATERIAL_FACTOR_APPLICABILITY!$A:$A,0)))</f>
        <v/>
      </c>
      <c r="L51" s="22" t="str">
        <f>IF($C51="","",INDEX(MATERIAL_FACTOR_APPLICABILITY!$G:$G,MATCH($C51,MATERIAL_FACTOR_APPLICABILITY!$A:$A,0)))</f>
        <v/>
      </c>
      <c r="M51" s="22" t="str">
        <f>IF($C51="","",INDEX(MATERIAL_FACTOR_APPLICABILITY!$H:$H,MATCH($C51,MATERIAL_FACTOR_APPLICABILITY!$A:$A,0)))</f>
        <v/>
      </c>
      <c r="N51" s="22" t="str">
        <f>IF($B51="","",ROUND(1+($I51*(SUMIFS(OBJECT_CONDITIONS!$W:$W,OBJECT_CONDITIONS!$A:$A,$B51)-1))+($J51*(SUMIFS(OBJECT_CONDITIONS!$J:$J,OBJECT_CONDITIONS!$A:$A,$B51)-1))+($K51*(SUMIFS(OBJECT_CONDITIONS!$L:$L,OBJECT_CONDITIONS!$A:$A,$B51)-1))+($L51*(SUMIFS(OBJECT_CONDITIONS!$N:$N,OBJECT_CONDITIONS!$A:$A,$B51)-1))+($M51*(SUMIFS(OBJECT_CONDITIONS!$R:$R,OBJECT_CONDITIONS!$A:$A,$B51)-1)),3))</f>
        <v/>
      </c>
      <c r="O51" s="22"/>
      <c r="P51" s="22" t="str">
        <f t="shared" si="3"/>
        <v/>
      </c>
      <c r="Q51" s="22" t="str">
        <f t="shared" si="4"/>
        <v/>
      </c>
      <c r="R51" s="4" t="str">
        <f>IF($D51="","",IFERROR(INDEX(MATERIAL_VARIANTS!$O:$O,MATCH($D51,MATERIAL_VARIANTS!$A:$A,0)),""))</f>
        <v/>
      </c>
      <c r="S51" s="22" t="str">
        <f>IF($D51="","",IFERROR(INDEX(MATERIAL_VARIANTS!$P:$P,MATCH($D51,MATERIAL_VARIANTS!$A:$A,0)),""))</f>
        <v/>
      </c>
      <c r="T51" s="4" t="str">
        <f t="shared" si="5"/>
        <v/>
      </c>
      <c r="U51" s="4"/>
    </row>
    <row r="52" spans="1:21" x14ac:dyDescent="0.3">
      <c r="A52" s="4"/>
      <c r="B52" s="4"/>
      <c r="C52" s="4"/>
      <c r="D52" s="4"/>
      <c r="E52" s="4"/>
      <c r="F52" s="4"/>
      <c r="G52" s="4" t="str">
        <f>IF($C52="","",INDEX(MATERIAL_MASTER!$O:$O,MATCH($C52,MATERIAL_MASTER!$A:$A,0)))</f>
        <v/>
      </c>
      <c r="H52" s="22" t="str">
        <f>IF($C52="","",INDEX(MATERIAL_MASTER!$P:$P,MATCH($C52,MATERIAL_MASTER!$A:$A,0)))</f>
        <v/>
      </c>
      <c r="I52" s="22" t="str">
        <f>IF($C52="","",INDEX(MATERIAL_FACTOR_APPLICABILITY!$D:$D,MATCH($C52,MATERIAL_FACTOR_APPLICABILITY!$A:$A,0)))</f>
        <v/>
      </c>
      <c r="J52" s="22" t="str">
        <f>IF($C52="","",INDEX(MATERIAL_FACTOR_APPLICABILITY!$E:$E,MATCH($C52,MATERIAL_FACTOR_APPLICABILITY!$A:$A,0)))</f>
        <v/>
      </c>
      <c r="K52" s="22" t="str">
        <f>IF($C52="","",INDEX(MATERIAL_FACTOR_APPLICABILITY!$F:$F,MATCH($C52,MATERIAL_FACTOR_APPLICABILITY!$A:$A,0)))</f>
        <v/>
      </c>
      <c r="L52" s="22" t="str">
        <f>IF($C52="","",INDEX(MATERIAL_FACTOR_APPLICABILITY!$G:$G,MATCH($C52,MATERIAL_FACTOR_APPLICABILITY!$A:$A,0)))</f>
        <v/>
      </c>
      <c r="M52" s="22" t="str">
        <f>IF($C52="","",INDEX(MATERIAL_FACTOR_APPLICABILITY!$H:$H,MATCH($C52,MATERIAL_FACTOR_APPLICABILITY!$A:$A,0)))</f>
        <v/>
      </c>
      <c r="N52" s="22" t="str">
        <f>IF($B52="","",ROUND(1+($I52*(SUMIFS(OBJECT_CONDITIONS!$W:$W,OBJECT_CONDITIONS!$A:$A,$B52)-1))+($J52*(SUMIFS(OBJECT_CONDITIONS!$J:$J,OBJECT_CONDITIONS!$A:$A,$B52)-1))+($K52*(SUMIFS(OBJECT_CONDITIONS!$L:$L,OBJECT_CONDITIONS!$A:$A,$B52)-1))+($L52*(SUMIFS(OBJECT_CONDITIONS!$N:$N,OBJECT_CONDITIONS!$A:$A,$B52)-1))+($M52*(SUMIFS(OBJECT_CONDITIONS!$R:$R,OBJECT_CONDITIONS!$A:$A,$B52)-1)),3))</f>
        <v/>
      </c>
      <c r="O52" s="22"/>
      <c r="P52" s="22" t="str">
        <f t="shared" si="3"/>
        <v/>
      </c>
      <c r="Q52" s="22" t="str">
        <f t="shared" si="4"/>
        <v/>
      </c>
      <c r="R52" s="4" t="str">
        <f>IF($D52="","",IFERROR(INDEX(MATERIAL_VARIANTS!$O:$O,MATCH($D52,MATERIAL_VARIANTS!$A:$A,0)),""))</f>
        <v/>
      </c>
      <c r="S52" s="22" t="str">
        <f>IF($D52="","",IFERROR(INDEX(MATERIAL_VARIANTS!$P:$P,MATCH($D52,MATERIAL_VARIANTS!$A:$A,0)),""))</f>
        <v/>
      </c>
      <c r="T52" s="4" t="str">
        <f t="shared" si="5"/>
        <v/>
      </c>
      <c r="U52" s="4"/>
    </row>
    <row r="53" spans="1:21" x14ac:dyDescent="0.3">
      <c r="A53" s="4"/>
      <c r="B53" s="4"/>
      <c r="C53" s="4"/>
      <c r="D53" s="4"/>
      <c r="E53" s="4"/>
      <c r="F53" s="4"/>
      <c r="G53" s="4" t="str">
        <f>IF($C53="","",INDEX(MATERIAL_MASTER!$O:$O,MATCH($C53,MATERIAL_MASTER!$A:$A,0)))</f>
        <v/>
      </c>
      <c r="H53" s="22" t="str">
        <f>IF($C53="","",INDEX(MATERIAL_MASTER!$P:$P,MATCH($C53,MATERIAL_MASTER!$A:$A,0)))</f>
        <v/>
      </c>
      <c r="I53" s="22" t="str">
        <f>IF($C53="","",INDEX(MATERIAL_FACTOR_APPLICABILITY!$D:$D,MATCH($C53,MATERIAL_FACTOR_APPLICABILITY!$A:$A,0)))</f>
        <v/>
      </c>
      <c r="J53" s="22" t="str">
        <f>IF($C53="","",INDEX(MATERIAL_FACTOR_APPLICABILITY!$E:$E,MATCH($C53,MATERIAL_FACTOR_APPLICABILITY!$A:$A,0)))</f>
        <v/>
      </c>
      <c r="K53" s="22" t="str">
        <f>IF($C53="","",INDEX(MATERIAL_FACTOR_APPLICABILITY!$F:$F,MATCH($C53,MATERIAL_FACTOR_APPLICABILITY!$A:$A,0)))</f>
        <v/>
      </c>
      <c r="L53" s="22" t="str">
        <f>IF($C53="","",INDEX(MATERIAL_FACTOR_APPLICABILITY!$G:$G,MATCH($C53,MATERIAL_FACTOR_APPLICABILITY!$A:$A,0)))</f>
        <v/>
      </c>
      <c r="M53" s="22" t="str">
        <f>IF($C53="","",INDEX(MATERIAL_FACTOR_APPLICABILITY!$H:$H,MATCH($C53,MATERIAL_FACTOR_APPLICABILITY!$A:$A,0)))</f>
        <v/>
      </c>
      <c r="N53" s="22" t="str">
        <f>IF($B53="","",ROUND(1+($I53*(SUMIFS(OBJECT_CONDITIONS!$W:$W,OBJECT_CONDITIONS!$A:$A,$B53)-1))+($J53*(SUMIFS(OBJECT_CONDITIONS!$J:$J,OBJECT_CONDITIONS!$A:$A,$B53)-1))+($K53*(SUMIFS(OBJECT_CONDITIONS!$L:$L,OBJECT_CONDITIONS!$A:$A,$B53)-1))+($L53*(SUMIFS(OBJECT_CONDITIONS!$N:$N,OBJECT_CONDITIONS!$A:$A,$B53)-1))+($M53*(SUMIFS(OBJECT_CONDITIONS!$R:$R,OBJECT_CONDITIONS!$A:$A,$B53)-1)),3))</f>
        <v/>
      </c>
      <c r="O53" s="22"/>
      <c r="P53" s="22" t="str">
        <f t="shared" si="3"/>
        <v/>
      </c>
      <c r="Q53" s="22" t="str">
        <f t="shared" si="4"/>
        <v/>
      </c>
      <c r="R53" s="4" t="str">
        <f>IF($D53="","",IFERROR(INDEX(MATERIAL_VARIANTS!$O:$O,MATCH($D53,MATERIAL_VARIANTS!$A:$A,0)),""))</f>
        <v/>
      </c>
      <c r="S53" s="22" t="str">
        <f>IF($D53="","",IFERROR(INDEX(MATERIAL_VARIANTS!$P:$P,MATCH($D53,MATERIAL_VARIANTS!$A:$A,0)),""))</f>
        <v/>
      </c>
      <c r="T53" s="4" t="str">
        <f t="shared" si="5"/>
        <v/>
      </c>
      <c r="U53" s="4"/>
    </row>
    <row r="54" spans="1:21" x14ac:dyDescent="0.3">
      <c r="A54" s="4"/>
      <c r="B54" s="4"/>
      <c r="C54" s="4"/>
      <c r="D54" s="4"/>
      <c r="E54" s="4"/>
      <c r="F54" s="4"/>
      <c r="G54" s="4" t="str">
        <f>IF($C54="","",INDEX(MATERIAL_MASTER!$O:$O,MATCH($C54,MATERIAL_MASTER!$A:$A,0)))</f>
        <v/>
      </c>
      <c r="H54" s="22" t="str">
        <f>IF($C54="","",INDEX(MATERIAL_MASTER!$P:$P,MATCH($C54,MATERIAL_MASTER!$A:$A,0)))</f>
        <v/>
      </c>
      <c r="I54" s="22" t="str">
        <f>IF($C54="","",INDEX(MATERIAL_FACTOR_APPLICABILITY!$D:$D,MATCH($C54,MATERIAL_FACTOR_APPLICABILITY!$A:$A,0)))</f>
        <v/>
      </c>
      <c r="J54" s="22" t="str">
        <f>IF($C54="","",INDEX(MATERIAL_FACTOR_APPLICABILITY!$E:$E,MATCH($C54,MATERIAL_FACTOR_APPLICABILITY!$A:$A,0)))</f>
        <v/>
      </c>
      <c r="K54" s="22" t="str">
        <f>IF($C54="","",INDEX(MATERIAL_FACTOR_APPLICABILITY!$F:$F,MATCH($C54,MATERIAL_FACTOR_APPLICABILITY!$A:$A,0)))</f>
        <v/>
      </c>
      <c r="L54" s="22" t="str">
        <f>IF($C54="","",INDEX(MATERIAL_FACTOR_APPLICABILITY!$G:$G,MATCH($C54,MATERIAL_FACTOR_APPLICABILITY!$A:$A,0)))</f>
        <v/>
      </c>
      <c r="M54" s="22" t="str">
        <f>IF($C54="","",INDEX(MATERIAL_FACTOR_APPLICABILITY!$H:$H,MATCH($C54,MATERIAL_FACTOR_APPLICABILITY!$A:$A,0)))</f>
        <v/>
      </c>
      <c r="N54" s="22" t="str">
        <f>IF($B54="","",ROUND(1+($I54*(SUMIFS(OBJECT_CONDITIONS!$W:$W,OBJECT_CONDITIONS!$A:$A,$B54)-1))+($J54*(SUMIFS(OBJECT_CONDITIONS!$J:$J,OBJECT_CONDITIONS!$A:$A,$B54)-1))+($K54*(SUMIFS(OBJECT_CONDITIONS!$L:$L,OBJECT_CONDITIONS!$A:$A,$B54)-1))+($L54*(SUMIFS(OBJECT_CONDITIONS!$N:$N,OBJECT_CONDITIONS!$A:$A,$B54)-1))+($M54*(SUMIFS(OBJECT_CONDITIONS!$R:$R,OBJECT_CONDITIONS!$A:$A,$B54)-1)),3))</f>
        <v/>
      </c>
      <c r="O54" s="22"/>
      <c r="P54" s="22" t="str">
        <f t="shared" si="3"/>
        <v/>
      </c>
      <c r="Q54" s="22" t="str">
        <f t="shared" si="4"/>
        <v/>
      </c>
      <c r="R54" s="4" t="str">
        <f>IF($D54="","",IFERROR(INDEX(MATERIAL_VARIANTS!$O:$O,MATCH($D54,MATERIAL_VARIANTS!$A:$A,0)),""))</f>
        <v/>
      </c>
      <c r="S54" s="22" t="str">
        <f>IF($D54="","",IFERROR(INDEX(MATERIAL_VARIANTS!$P:$P,MATCH($D54,MATERIAL_VARIANTS!$A:$A,0)),""))</f>
        <v/>
      </c>
      <c r="T54" s="4" t="str">
        <f t="shared" si="5"/>
        <v/>
      </c>
      <c r="U54" s="4"/>
    </row>
    <row r="55" spans="1:21" x14ac:dyDescent="0.3">
      <c r="A55" s="4"/>
      <c r="B55" s="4"/>
      <c r="C55" s="4"/>
      <c r="D55" s="4"/>
      <c r="E55" s="4"/>
      <c r="F55" s="4"/>
      <c r="G55" s="4" t="str">
        <f>IF($C55="","",INDEX(MATERIAL_MASTER!$O:$O,MATCH($C55,MATERIAL_MASTER!$A:$A,0)))</f>
        <v/>
      </c>
      <c r="H55" s="22" t="str">
        <f>IF($C55="","",INDEX(MATERIAL_MASTER!$P:$P,MATCH($C55,MATERIAL_MASTER!$A:$A,0)))</f>
        <v/>
      </c>
      <c r="I55" s="22" t="str">
        <f>IF($C55="","",INDEX(MATERIAL_FACTOR_APPLICABILITY!$D:$D,MATCH($C55,MATERIAL_FACTOR_APPLICABILITY!$A:$A,0)))</f>
        <v/>
      </c>
      <c r="J55" s="22" t="str">
        <f>IF($C55="","",INDEX(MATERIAL_FACTOR_APPLICABILITY!$E:$E,MATCH($C55,MATERIAL_FACTOR_APPLICABILITY!$A:$A,0)))</f>
        <v/>
      </c>
      <c r="K55" s="22" t="str">
        <f>IF($C55="","",INDEX(MATERIAL_FACTOR_APPLICABILITY!$F:$F,MATCH($C55,MATERIAL_FACTOR_APPLICABILITY!$A:$A,0)))</f>
        <v/>
      </c>
      <c r="L55" s="22" t="str">
        <f>IF($C55="","",INDEX(MATERIAL_FACTOR_APPLICABILITY!$G:$G,MATCH($C55,MATERIAL_FACTOR_APPLICABILITY!$A:$A,0)))</f>
        <v/>
      </c>
      <c r="M55" s="22" t="str">
        <f>IF($C55="","",INDEX(MATERIAL_FACTOR_APPLICABILITY!$H:$H,MATCH($C55,MATERIAL_FACTOR_APPLICABILITY!$A:$A,0)))</f>
        <v/>
      </c>
      <c r="N55" s="22" t="str">
        <f>IF($B55="","",ROUND(1+($I55*(SUMIFS(OBJECT_CONDITIONS!$W:$W,OBJECT_CONDITIONS!$A:$A,$B55)-1))+($J55*(SUMIFS(OBJECT_CONDITIONS!$J:$J,OBJECT_CONDITIONS!$A:$A,$B55)-1))+($K55*(SUMIFS(OBJECT_CONDITIONS!$L:$L,OBJECT_CONDITIONS!$A:$A,$B55)-1))+($L55*(SUMIFS(OBJECT_CONDITIONS!$N:$N,OBJECT_CONDITIONS!$A:$A,$B55)-1))+($M55*(SUMIFS(OBJECT_CONDITIONS!$R:$R,OBJECT_CONDITIONS!$A:$A,$B55)-1)),3))</f>
        <v/>
      </c>
      <c r="O55" s="22"/>
      <c r="P55" s="22" t="str">
        <f t="shared" si="3"/>
        <v/>
      </c>
      <c r="Q55" s="22" t="str">
        <f t="shared" si="4"/>
        <v/>
      </c>
      <c r="R55" s="4" t="str">
        <f>IF($D55="","",IFERROR(INDEX(MATERIAL_VARIANTS!$O:$O,MATCH($D55,MATERIAL_VARIANTS!$A:$A,0)),""))</f>
        <v/>
      </c>
      <c r="S55" s="22" t="str">
        <f>IF($D55="","",IFERROR(INDEX(MATERIAL_VARIANTS!$P:$P,MATCH($D55,MATERIAL_VARIANTS!$A:$A,0)),""))</f>
        <v/>
      </c>
      <c r="T55" s="4" t="str">
        <f t="shared" si="5"/>
        <v/>
      </c>
      <c r="U55" s="4"/>
    </row>
    <row r="56" spans="1:21" x14ac:dyDescent="0.3">
      <c r="A56" s="4"/>
      <c r="B56" s="4"/>
      <c r="C56" s="4"/>
      <c r="D56" s="4"/>
      <c r="E56" s="4"/>
      <c r="F56" s="4"/>
      <c r="G56" s="4" t="str">
        <f>IF($C56="","",INDEX(MATERIAL_MASTER!$O:$O,MATCH($C56,MATERIAL_MASTER!$A:$A,0)))</f>
        <v/>
      </c>
      <c r="H56" s="22" t="str">
        <f>IF($C56="","",INDEX(MATERIAL_MASTER!$P:$P,MATCH($C56,MATERIAL_MASTER!$A:$A,0)))</f>
        <v/>
      </c>
      <c r="I56" s="22" t="str">
        <f>IF($C56="","",INDEX(MATERIAL_FACTOR_APPLICABILITY!$D:$D,MATCH($C56,MATERIAL_FACTOR_APPLICABILITY!$A:$A,0)))</f>
        <v/>
      </c>
      <c r="J56" s="22" t="str">
        <f>IF($C56="","",INDEX(MATERIAL_FACTOR_APPLICABILITY!$E:$E,MATCH($C56,MATERIAL_FACTOR_APPLICABILITY!$A:$A,0)))</f>
        <v/>
      </c>
      <c r="K56" s="22" t="str">
        <f>IF($C56="","",INDEX(MATERIAL_FACTOR_APPLICABILITY!$F:$F,MATCH($C56,MATERIAL_FACTOR_APPLICABILITY!$A:$A,0)))</f>
        <v/>
      </c>
      <c r="L56" s="22" t="str">
        <f>IF($C56="","",INDEX(MATERIAL_FACTOR_APPLICABILITY!$G:$G,MATCH($C56,MATERIAL_FACTOR_APPLICABILITY!$A:$A,0)))</f>
        <v/>
      </c>
      <c r="M56" s="22" t="str">
        <f>IF($C56="","",INDEX(MATERIAL_FACTOR_APPLICABILITY!$H:$H,MATCH($C56,MATERIAL_FACTOR_APPLICABILITY!$A:$A,0)))</f>
        <v/>
      </c>
      <c r="N56" s="22" t="str">
        <f>IF($B56="","",ROUND(1+($I56*(SUMIFS(OBJECT_CONDITIONS!$W:$W,OBJECT_CONDITIONS!$A:$A,$B56)-1))+($J56*(SUMIFS(OBJECT_CONDITIONS!$J:$J,OBJECT_CONDITIONS!$A:$A,$B56)-1))+($K56*(SUMIFS(OBJECT_CONDITIONS!$L:$L,OBJECT_CONDITIONS!$A:$A,$B56)-1))+($L56*(SUMIFS(OBJECT_CONDITIONS!$N:$N,OBJECT_CONDITIONS!$A:$A,$B56)-1))+($M56*(SUMIFS(OBJECT_CONDITIONS!$R:$R,OBJECT_CONDITIONS!$A:$A,$B56)-1)),3))</f>
        <v/>
      </c>
      <c r="O56" s="22"/>
      <c r="P56" s="22" t="str">
        <f t="shared" si="3"/>
        <v/>
      </c>
      <c r="Q56" s="22" t="str">
        <f t="shared" si="4"/>
        <v/>
      </c>
      <c r="R56" s="4" t="str">
        <f>IF($D56="","",IFERROR(INDEX(MATERIAL_VARIANTS!$O:$O,MATCH($D56,MATERIAL_VARIANTS!$A:$A,0)),""))</f>
        <v/>
      </c>
      <c r="S56" s="22" t="str">
        <f>IF($D56="","",IFERROR(INDEX(MATERIAL_VARIANTS!$P:$P,MATCH($D56,MATERIAL_VARIANTS!$A:$A,0)),""))</f>
        <v/>
      </c>
      <c r="T56" s="4" t="str">
        <f t="shared" si="5"/>
        <v/>
      </c>
      <c r="U56" s="4"/>
    </row>
    <row r="57" spans="1:21" x14ac:dyDescent="0.3">
      <c r="A57" s="4"/>
      <c r="B57" s="4"/>
      <c r="C57" s="4"/>
      <c r="D57" s="4"/>
      <c r="E57" s="4"/>
      <c r="F57" s="4"/>
      <c r="G57" s="4" t="str">
        <f>IF($C57="","",INDEX(MATERIAL_MASTER!$O:$O,MATCH($C57,MATERIAL_MASTER!$A:$A,0)))</f>
        <v/>
      </c>
      <c r="H57" s="22" t="str">
        <f>IF($C57="","",INDEX(MATERIAL_MASTER!$P:$P,MATCH($C57,MATERIAL_MASTER!$A:$A,0)))</f>
        <v/>
      </c>
      <c r="I57" s="22" t="str">
        <f>IF($C57="","",INDEX(MATERIAL_FACTOR_APPLICABILITY!$D:$D,MATCH($C57,MATERIAL_FACTOR_APPLICABILITY!$A:$A,0)))</f>
        <v/>
      </c>
      <c r="J57" s="22" t="str">
        <f>IF($C57="","",INDEX(MATERIAL_FACTOR_APPLICABILITY!$E:$E,MATCH($C57,MATERIAL_FACTOR_APPLICABILITY!$A:$A,0)))</f>
        <v/>
      </c>
      <c r="K57" s="22" t="str">
        <f>IF($C57="","",INDEX(MATERIAL_FACTOR_APPLICABILITY!$F:$F,MATCH($C57,MATERIAL_FACTOR_APPLICABILITY!$A:$A,0)))</f>
        <v/>
      </c>
      <c r="L57" s="22" t="str">
        <f>IF($C57="","",INDEX(MATERIAL_FACTOR_APPLICABILITY!$G:$G,MATCH($C57,MATERIAL_FACTOR_APPLICABILITY!$A:$A,0)))</f>
        <v/>
      </c>
      <c r="M57" s="22" t="str">
        <f>IF($C57="","",INDEX(MATERIAL_FACTOR_APPLICABILITY!$H:$H,MATCH($C57,MATERIAL_FACTOR_APPLICABILITY!$A:$A,0)))</f>
        <v/>
      </c>
      <c r="N57" s="22" t="str">
        <f>IF($B57="","",ROUND(1+($I57*(SUMIFS(OBJECT_CONDITIONS!$W:$W,OBJECT_CONDITIONS!$A:$A,$B57)-1))+($J57*(SUMIFS(OBJECT_CONDITIONS!$J:$J,OBJECT_CONDITIONS!$A:$A,$B57)-1))+($K57*(SUMIFS(OBJECT_CONDITIONS!$L:$L,OBJECT_CONDITIONS!$A:$A,$B57)-1))+($L57*(SUMIFS(OBJECT_CONDITIONS!$N:$N,OBJECT_CONDITIONS!$A:$A,$B57)-1))+($M57*(SUMIFS(OBJECT_CONDITIONS!$R:$R,OBJECT_CONDITIONS!$A:$A,$B57)-1)),3))</f>
        <v/>
      </c>
      <c r="O57" s="22"/>
      <c r="P57" s="22" t="str">
        <f t="shared" si="3"/>
        <v/>
      </c>
      <c r="Q57" s="22" t="str">
        <f t="shared" si="4"/>
        <v/>
      </c>
      <c r="R57" s="4" t="str">
        <f>IF($D57="","",IFERROR(INDEX(MATERIAL_VARIANTS!$O:$O,MATCH($D57,MATERIAL_VARIANTS!$A:$A,0)),""))</f>
        <v/>
      </c>
      <c r="S57" s="22" t="str">
        <f>IF($D57="","",IFERROR(INDEX(MATERIAL_VARIANTS!$P:$P,MATCH($D57,MATERIAL_VARIANTS!$A:$A,0)),""))</f>
        <v/>
      </c>
      <c r="T57" s="4" t="str">
        <f t="shared" si="5"/>
        <v/>
      </c>
      <c r="U57" s="4"/>
    </row>
    <row r="58" spans="1:21" x14ac:dyDescent="0.3">
      <c r="A58" s="4"/>
      <c r="B58" s="4"/>
      <c r="C58" s="4"/>
      <c r="D58" s="4"/>
      <c r="E58" s="4"/>
      <c r="F58" s="4"/>
      <c r="G58" s="4" t="str">
        <f>IF($C58="","",INDEX(MATERIAL_MASTER!$O:$O,MATCH($C58,MATERIAL_MASTER!$A:$A,0)))</f>
        <v/>
      </c>
      <c r="H58" s="22" t="str">
        <f>IF($C58="","",INDEX(MATERIAL_MASTER!$P:$P,MATCH($C58,MATERIAL_MASTER!$A:$A,0)))</f>
        <v/>
      </c>
      <c r="I58" s="22" t="str">
        <f>IF($C58="","",INDEX(MATERIAL_FACTOR_APPLICABILITY!$D:$D,MATCH($C58,MATERIAL_FACTOR_APPLICABILITY!$A:$A,0)))</f>
        <v/>
      </c>
      <c r="J58" s="22" t="str">
        <f>IF($C58="","",INDEX(MATERIAL_FACTOR_APPLICABILITY!$E:$E,MATCH($C58,MATERIAL_FACTOR_APPLICABILITY!$A:$A,0)))</f>
        <v/>
      </c>
      <c r="K58" s="22" t="str">
        <f>IF($C58="","",INDEX(MATERIAL_FACTOR_APPLICABILITY!$F:$F,MATCH($C58,MATERIAL_FACTOR_APPLICABILITY!$A:$A,0)))</f>
        <v/>
      </c>
      <c r="L58" s="22" t="str">
        <f>IF($C58="","",INDEX(MATERIAL_FACTOR_APPLICABILITY!$G:$G,MATCH($C58,MATERIAL_FACTOR_APPLICABILITY!$A:$A,0)))</f>
        <v/>
      </c>
      <c r="M58" s="22" t="str">
        <f>IF($C58="","",INDEX(MATERIAL_FACTOR_APPLICABILITY!$H:$H,MATCH($C58,MATERIAL_FACTOR_APPLICABILITY!$A:$A,0)))</f>
        <v/>
      </c>
      <c r="N58" s="22" t="str">
        <f>IF($B58="","",ROUND(1+($I58*(SUMIFS(OBJECT_CONDITIONS!$W:$W,OBJECT_CONDITIONS!$A:$A,$B58)-1))+($J58*(SUMIFS(OBJECT_CONDITIONS!$J:$J,OBJECT_CONDITIONS!$A:$A,$B58)-1))+($K58*(SUMIFS(OBJECT_CONDITIONS!$L:$L,OBJECT_CONDITIONS!$A:$A,$B58)-1))+($L58*(SUMIFS(OBJECT_CONDITIONS!$N:$N,OBJECT_CONDITIONS!$A:$A,$B58)-1))+($M58*(SUMIFS(OBJECT_CONDITIONS!$R:$R,OBJECT_CONDITIONS!$A:$A,$B58)-1)),3))</f>
        <v/>
      </c>
      <c r="O58" s="22"/>
      <c r="P58" s="22" t="str">
        <f t="shared" si="3"/>
        <v/>
      </c>
      <c r="Q58" s="22" t="str">
        <f t="shared" si="4"/>
        <v/>
      </c>
      <c r="R58" s="4" t="str">
        <f>IF($D58="","",IFERROR(INDEX(MATERIAL_VARIANTS!$O:$O,MATCH($D58,MATERIAL_VARIANTS!$A:$A,0)),""))</f>
        <v/>
      </c>
      <c r="S58" s="22" t="str">
        <f>IF($D58="","",IFERROR(INDEX(MATERIAL_VARIANTS!$P:$P,MATCH($D58,MATERIAL_VARIANTS!$A:$A,0)),""))</f>
        <v/>
      </c>
      <c r="T58" s="4" t="str">
        <f t="shared" si="5"/>
        <v/>
      </c>
      <c r="U58" s="4"/>
    </row>
    <row r="59" spans="1:21" x14ac:dyDescent="0.3">
      <c r="A59" s="4"/>
      <c r="B59" s="4"/>
      <c r="C59" s="4"/>
      <c r="D59" s="4"/>
      <c r="E59" s="4"/>
      <c r="F59" s="4"/>
      <c r="G59" s="4" t="str">
        <f>IF($C59="","",INDEX(MATERIAL_MASTER!$O:$O,MATCH($C59,MATERIAL_MASTER!$A:$A,0)))</f>
        <v/>
      </c>
      <c r="H59" s="22" t="str">
        <f>IF($C59="","",INDEX(MATERIAL_MASTER!$P:$P,MATCH($C59,MATERIAL_MASTER!$A:$A,0)))</f>
        <v/>
      </c>
      <c r="I59" s="22" t="str">
        <f>IF($C59="","",INDEX(MATERIAL_FACTOR_APPLICABILITY!$D:$D,MATCH($C59,MATERIAL_FACTOR_APPLICABILITY!$A:$A,0)))</f>
        <v/>
      </c>
      <c r="J59" s="22" t="str">
        <f>IF($C59="","",INDEX(MATERIAL_FACTOR_APPLICABILITY!$E:$E,MATCH($C59,MATERIAL_FACTOR_APPLICABILITY!$A:$A,0)))</f>
        <v/>
      </c>
      <c r="K59" s="22" t="str">
        <f>IF($C59="","",INDEX(MATERIAL_FACTOR_APPLICABILITY!$F:$F,MATCH($C59,MATERIAL_FACTOR_APPLICABILITY!$A:$A,0)))</f>
        <v/>
      </c>
      <c r="L59" s="22" t="str">
        <f>IF($C59="","",INDEX(MATERIAL_FACTOR_APPLICABILITY!$G:$G,MATCH($C59,MATERIAL_FACTOR_APPLICABILITY!$A:$A,0)))</f>
        <v/>
      </c>
      <c r="M59" s="22" t="str">
        <f>IF($C59="","",INDEX(MATERIAL_FACTOR_APPLICABILITY!$H:$H,MATCH($C59,MATERIAL_FACTOR_APPLICABILITY!$A:$A,0)))</f>
        <v/>
      </c>
      <c r="N59" s="22" t="str">
        <f>IF($B59="","",ROUND(1+($I59*(SUMIFS(OBJECT_CONDITIONS!$W:$W,OBJECT_CONDITIONS!$A:$A,$B59)-1))+($J59*(SUMIFS(OBJECT_CONDITIONS!$J:$J,OBJECT_CONDITIONS!$A:$A,$B59)-1))+($K59*(SUMIFS(OBJECT_CONDITIONS!$L:$L,OBJECT_CONDITIONS!$A:$A,$B59)-1))+($L59*(SUMIFS(OBJECT_CONDITIONS!$N:$N,OBJECT_CONDITIONS!$A:$A,$B59)-1))+($M59*(SUMIFS(OBJECT_CONDITIONS!$R:$R,OBJECT_CONDITIONS!$A:$A,$B59)-1)),3))</f>
        <v/>
      </c>
      <c r="O59" s="22"/>
      <c r="P59" s="22" t="str">
        <f t="shared" si="3"/>
        <v/>
      </c>
      <c r="Q59" s="22" t="str">
        <f t="shared" si="4"/>
        <v/>
      </c>
      <c r="R59" s="4" t="str">
        <f>IF($D59="","",IFERROR(INDEX(MATERIAL_VARIANTS!$O:$O,MATCH($D59,MATERIAL_VARIANTS!$A:$A,0)),""))</f>
        <v/>
      </c>
      <c r="S59" s="22" t="str">
        <f>IF($D59="","",IFERROR(INDEX(MATERIAL_VARIANTS!$P:$P,MATCH($D59,MATERIAL_VARIANTS!$A:$A,0)),""))</f>
        <v/>
      </c>
      <c r="T59" s="4" t="str">
        <f t="shared" si="5"/>
        <v/>
      </c>
      <c r="U59" s="4"/>
    </row>
    <row r="60" spans="1:21" x14ac:dyDescent="0.3">
      <c r="A60" s="4"/>
      <c r="B60" s="4"/>
      <c r="C60" s="4"/>
      <c r="D60" s="4"/>
      <c r="E60" s="4"/>
      <c r="F60" s="4"/>
      <c r="G60" s="4" t="str">
        <f>IF($C60="","",INDEX(MATERIAL_MASTER!$O:$O,MATCH($C60,MATERIAL_MASTER!$A:$A,0)))</f>
        <v/>
      </c>
      <c r="H60" s="22" t="str">
        <f>IF($C60="","",INDEX(MATERIAL_MASTER!$P:$P,MATCH($C60,MATERIAL_MASTER!$A:$A,0)))</f>
        <v/>
      </c>
      <c r="I60" s="22" t="str">
        <f>IF($C60="","",INDEX(MATERIAL_FACTOR_APPLICABILITY!$D:$D,MATCH($C60,MATERIAL_FACTOR_APPLICABILITY!$A:$A,0)))</f>
        <v/>
      </c>
      <c r="J60" s="22" t="str">
        <f>IF($C60="","",INDEX(MATERIAL_FACTOR_APPLICABILITY!$E:$E,MATCH($C60,MATERIAL_FACTOR_APPLICABILITY!$A:$A,0)))</f>
        <v/>
      </c>
      <c r="K60" s="22" t="str">
        <f>IF($C60="","",INDEX(MATERIAL_FACTOR_APPLICABILITY!$F:$F,MATCH($C60,MATERIAL_FACTOR_APPLICABILITY!$A:$A,0)))</f>
        <v/>
      </c>
      <c r="L60" s="22" t="str">
        <f>IF($C60="","",INDEX(MATERIAL_FACTOR_APPLICABILITY!$G:$G,MATCH($C60,MATERIAL_FACTOR_APPLICABILITY!$A:$A,0)))</f>
        <v/>
      </c>
      <c r="M60" s="22" t="str">
        <f>IF($C60="","",INDEX(MATERIAL_FACTOR_APPLICABILITY!$H:$H,MATCH($C60,MATERIAL_FACTOR_APPLICABILITY!$A:$A,0)))</f>
        <v/>
      </c>
      <c r="N60" s="22" t="str">
        <f>IF($B60="","",ROUND(1+($I60*(SUMIFS(OBJECT_CONDITIONS!$W:$W,OBJECT_CONDITIONS!$A:$A,$B60)-1))+($J60*(SUMIFS(OBJECT_CONDITIONS!$J:$J,OBJECT_CONDITIONS!$A:$A,$B60)-1))+($K60*(SUMIFS(OBJECT_CONDITIONS!$L:$L,OBJECT_CONDITIONS!$A:$A,$B60)-1))+($L60*(SUMIFS(OBJECT_CONDITIONS!$N:$N,OBJECT_CONDITIONS!$A:$A,$B60)-1))+($M60*(SUMIFS(OBJECT_CONDITIONS!$R:$R,OBJECT_CONDITIONS!$A:$A,$B60)-1)),3))</f>
        <v/>
      </c>
      <c r="O60" s="22"/>
      <c r="P60" s="22" t="str">
        <f t="shared" si="3"/>
        <v/>
      </c>
      <c r="Q60" s="22" t="str">
        <f t="shared" si="4"/>
        <v/>
      </c>
      <c r="R60" s="4" t="str">
        <f>IF($D60="","",IFERROR(INDEX(MATERIAL_VARIANTS!$O:$O,MATCH($D60,MATERIAL_VARIANTS!$A:$A,0)),""))</f>
        <v/>
      </c>
      <c r="S60" s="22" t="str">
        <f>IF($D60="","",IFERROR(INDEX(MATERIAL_VARIANTS!$P:$P,MATCH($D60,MATERIAL_VARIANTS!$A:$A,0)),""))</f>
        <v/>
      </c>
      <c r="T60" s="4" t="str">
        <f t="shared" si="5"/>
        <v/>
      </c>
      <c r="U60" s="4"/>
    </row>
    <row r="61" spans="1:21" x14ac:dyDescent="0.3">
      <c r="A61" s="4"/>
      <c r="B61" s="4"/>
      <c r="C61" s="4"/>
      <c r="D61" s="4"/>
      <c r="E61" s="4"/>
      <c r="F61" s="4"/>
      <c r="G61" s="4" t="str">
        <f>IF($C61="","",INDEX(MATERIAL_MASTER!$O:$O,MATCH($C61,MATERIAL_MASTER!$A:$A,0)))</f>
        <v/>
      </c>
      <c r="H61" s="22" t="str">
        <f>IF($C61="","",INDEX(MATERIAL_MASTER!$P:$P,MATCH($C61,MATERIAL_MASTER!$A:$A,0)))</f>
        <v/>
      </c>
      <c r="I61" s="22" t="str">
        <f>IF($C61="","",INDEX(MATERIAL_FACTOR_APPLICABILITY!$D:$D,MATCH($C61,MATERIAL_FACTOR_APPLICABILITY!$A:$A,0)))</f>
        <v/>
      </c>
      <c r="J61" s="22" t="str">
        <f>IF($C61="","",INDEX(MATERIAL_FACTOR_APPLICABILITY!$E:$E,MATCH($C61,MATERIAL_FACTOR_APPLICABILITY!$A:$A,0)))</f>
        <v/>
      </c>
      <c r="K61" s="22" t="str">
        <f>IF($C61="","",INDEX(MATERIAL_FACTOR_APPLICABILITY!$F:$F,MATCH($C61,MATERIAL_FACTOR_APPLICABILITY!$A:$A,0)))</f>
        <v/>
      </c>
      <c r="L61" s="22" t="str">
        <f>IF($C61="","",INDEX(MATERIAL_FACTOR_APPLICABILITY!$G:$G,MATCH($C61,MATERIAL_FACTOR_APPLICABILITY!$A:$A,0)))</f>
        <v/>
      </c>
      <c r="M61" s="22" t="str">
        <f>IF($C61="","",INDEX(MATERIAL_FACTOR_APPLICABILITY!$H:$H,MATCH($C61,MATERIAL_FACTOR_APPLICABILITY!$A:$A,0)))</f>
        <v/>
      </c>
      <c r="N61" s="22" t="str">
        <f>IF($B61="","",ROUND(1+($I61*(SUMIFS(OBJECT_CONDITIONS!$W:$W,OBJECT_CONDITIONS!$A:$A,$B61)-1))+($J61*(SUMIFS(OBJECT_CONDITIONS!$J:$J,OBJECT_CONDITIONS!$A:$A,$B61)-1))+($K61*(SUMIFS(OBJECT_CONDITIONS!$L:$L,OBJECT_CONDITIONS!$A:$A,$B61)-1))+($L61*(SUMIFS(OBJECT_CONDITIONS!$N:$N,OBJECT_CONDITIONS!$A:$A,$B61)-1))+($M61*(SUMIFS(OBJECT_CONDITIONS!$R:$R,OBJECT_CONDITIONS!$A:$A,$B61)-1)),3))</f>
        <v/>
      </c>
      <c r="O61" s="22"/>
      <c r="P61" s="22" t="str">
        <f t="shared" si="3"/>
        <v/>
      </c>
      <c r="Q61" s="22" t="str">
        <f t="shared" si="4"/>
        <v/>
      </c>
      <c r="R61" s="4" t="str">
        <f>IF($D61="","",IFERROR(INDEX(MATERIAL_VARIANTS!$O:$O,MATCH($D61,MATERIAL_VARIANTS!$A:$A,0)),""))</f>
        <v/>
      </c>
      <c r="S61" s="22" t="str">
        <f>IF($D61="","",IFERROR(INDEX(MATERIAL_VARIANTS!$P:$P,MATCH($D61,MATERIAL_VARIANTS!$A:$A,0)),""))</f>
        <v/>
      </c>
      <c r="T61" s="4" t="str">
        <f t="shared" si="5"/>
        <v/>
      </c>
      <c r="U61" s="4"/>
    </row>
    <row r="62" spans="1:21" x14ac:dyDescent="0.3">
      <c r="A62" s="4"/>
      <c r="B62" s="4"/>
      <c r="C62" s="4"/>
      <c r="D62" s="4"/>
      <c r="E62" s="4"/>
      <c r="F62" s="4"/>
      <c r="G62" s="4" t="str">
        <f>IF($C62="","",INDEX(MATERIAL_MASTER!$O:$O,MATCH($C62,MATERIAL_MASTER!$A:$A,0)))</f>
        <v/>
      </c>
      <c r="H62" s="22" t="str">
        <f>IF($C62="","",INDEX(MATERIAL_MASTER!$P:$P,MATCH($C62,MATERIAL_MASTER!$A:$A,0)))</f>
        <v/>
      </c>
      <c r="I62" s="22" t="str">
        <f>IF($C62="","",INDEX(MATERIAL_FACTOR_APPLICABILITY!$D:$D,MATCH($C62,MATERIAL_FACTOR_APPLICABILITY!$A:$A,0)))</f>
        <v/>
      </c>
      <c r="J62" s="22" t="str">
        <f>IF($C62="","",INDEX(MATERIAL_FACTOR_APPLICABILITY!$E:$E,MATCH($C62,MATERIAL_FACTOR_APPLICABILITY!$A:$A,0)))</f>
        <v/>
      </c>
      <c r="K62" s="22" t="str">
        <f>IF($C62="","",INDEX(MATERIAL_FACTOR_APPLICABILITY!$F:$F,MATCH($C62,MATERIAL_FACTOR_APPLICABILITY!$A:$A,0)))</f>
        <v/>
      </c>
      <c r="L62" s="22" t="str">
        <f>IF($C62="","",INDEX(MATERIAL_FACTOR_APPLICABILITY!$G:$G,MATCH($C62,MATERIAL_FACTOR_APPLICABILITY!$A:$A,0)))</f>
        <v/>
      </c>
      <c r="M62" s="22" t="str">
        <f>IF($C62="","",INDEX(MATERIAL_FACTOR_APPLICABILITY!$H:$H,MATCH($C62,MATERIAL_FACTOR_APPLICABILITY!$A:$A,0)))</f>
        <v/>
      </c>
      <c r="N62" s="22" t="str">
        <f>IF($B62="","",ROUND(1+($I62*(SUMIFS(OBJECT_CONDITIONS!$W:$W,OBJECT_CONDITIONS!$A:$A,$B62)-1))+($J62*(SUMIFS(OBJECT_CONDITIONS!$J:$J,OBJECT_CONDITIONS!$A:$A,$B62)-1))+($K62*(SUMIFS(OBJECT_CONDITIONS!$L:$L,OBJECT_CONDITIONS!$A:$A,$B62)-1))+($L62*(SUMIFS(OBJECT_CONDITIONS!$N:$N,OBJECT_CONDITIONS!$A:$A,$B62)-1))+($M62*(SUMIFS(OBJECT_CONDITIONS!$R:$R,OBJECT_CONDITIONS!$A:$A,$B62)-1)),3))</f>
        <v/>
      </c>
      <c r="O62" s="22"/>
      <c r="P62" s="22" t="str">
        <f t="shared" si="3"/>
        <v/>
      </c>
      <c r="Q62" s="22" t="str">
        <f t="shared" si="4"/>
        <v/>
      </c>
      <c r="R62" s="4" t="str">
        <f>IF($D62="","",IFERROR(INDEX(MATERIAL_VARIANTS!$O:$O,MATCH($D62,MATERIAL_VARIANTS!$A:$A,0)),""))</f>
        <v/>
      </c>
      <c r="S62" s="22" t="str">
        <f>IF($D62="","",IFERROR(INDEX(MATERIAL_VARIANTS!$P:$P,MATCH($D62,MATERIAL_VARIANTS!$A:$A,0)),""))</f>
        <v/>
      </c>
      <c r="T62" s="4" t="str">
        <f t="shared" si="5"/>
        <v/>
      </c>
      <c r="U62" s="4"/>
    </row>
    <row r="63" spans="1:21" x14ac:dyDescent="0.3">
      <c r="A63" s="4"/>
      <c r="B63" s="4"/>
      <c r="C63" s="4"/>
      <c r="D63" s="4"/>
      <c r="E63" s="4"/>
      <c r="F63" s="4"/>
      <c r="G63" s="4" t="str">
        <f>IF($C63="","",INDEX(MATERIAL_MASTER!$O:$O,MATCH($C63,MATERIAL_MASTER!$A:$A,0)))</f>
        <v/>
      </c>
      <c r="H63" s="22" t="str">
        <f>IF($C63="","",INDEX(MATERIAL_MASTER!$P:$P,MATCH($C63,MATERIAL_MASTER!$A:$A,0)))</f>
        <v/>
      </c>
      <c r="I63" s="22" t="str">
        <f>IF($C63="","",INDEX(MATERIAL_FACTOR_APPLICABILITY!$D:$D,MATCH($C63,MATERIAL_FACTOR_APPLICABILITY!$A:$A,0)))</f>
        <v/>
      </c>
      <c r="J63" s="22" t="str">
        <f>IF($C63="","",INDEX(MATERIAL_FACTOR_APPLICABILITY!$E:$E,MATCH($C63,MATERIAL_FACTOR_APPLICABILITY!$A:$A,0)))</f>
        <v/>
      </c>
      <c r="K63" s="22" t="str">
        <f>IF($C63="","",INDEX(MATERIAL_FACTOR_APPLICABILITY!$F:$F,MATCH($C63,MATERIAL_FACTOR_APPLICABILITY!$A:$A,0)))</f>
        <v/>
      </c>
      <c r="L63" s="22" t="str">
        <f>IF($C63="","",INDEX(MATERIAL_FACTOR_APPLICABILITY!$G:$G,MATCH($C63,MATERIAL_FACTOR_APPLICABILITY!$A:$A,0)))</f>
        <v/>
      </c>
      <c r="M63" s="22" t="str">
        <f>IF($C63="","",INDEX(MATERIAL_FACTOR_APPLICABILITY!$H:$H,MATCH($C63,MATERIAL_FACTOR_APPLICABILITY!$A:$A,0)))</f>
        <v/>
      </c>
      <c r="N63" s="22" t="str">
        <f>IF($B63="","",ROUND(1+($I63*(SUMIFS(OBJECT_CONDITIONS!$W:$W,OBJECT_CONDITIONS!$A:$A,$B63)-1))+($J63*(SUMIFS(OBJECT_CONDITIONS!$J:$J,OBJECT_CONDITIONS!$A:$A,$B63)-1))+($K63*(SUMIFS(OBJECT_CONDITIONS!$L:$L,OBJECT_CONDITIONS!$A:$A,$B63)-1))+($L63*(SUMIFS(OBJECT_CONDITIONS!$N:$N,OBJECT_CONDITIONS!$A:$A,$B63)-1))+($M63*(SUMIFS(OBJECT_CONDITIONS!$R:$R,OBJECT_CONDITIONS!$A:$A,$B63)-1)),3))</f>
        <v/>
      </c>
      <c r="O63" s="22"/>
      <c r="P63" s="22" t="str">
        <f t="shared" si="3"/>
        <v/>
      </c>
      <c r="Q63" s="22" t="str">
        <f t="shared" si="4"/>
        <v/>
      </c>
      <c r="R63" s="4" t="str">
        <f>IF($D63="","",IFERROR(INDEX(MATERIAL_VARIANTS!$O:$O,MATCH($D63,MATERIAL_VARIANTS!$A:$A,0)),""))</f>
        <v/>
      </c>
      <c r="S63" s="22" t="str">
        <f>IF($D63="","",IFERROR(INDEX(MATERIAL_VARIANTS!$P:$P,MATCH($D63,MATERIAL_VARIANTS!$A:$A,0)),""))</f>
        <v/>
      </c>
      <c r="T63" s="4" t="str">
        <f t="shared" si="5"/>
        <v/>
      </c>
      <c r="U63" s="4"/>
    </row>
    <row r="64" spans="1:21" x14ac:dyDescent="0.3">
      <c r="A64" s="4"/>
      <c r="B64" s="4"/>
      <c r="C64" s="4"/>
      <c r="D64" s="4"/>
      <c r="E64" s="4"/>
      <c r="F64" s="4"/>
      <c r="G64" s="4" t="str">
        <f>IF($C64="","",INDEX(MATERIAL_MASTER!$O:$O,MATCH($C64,MATERIAL_MASTER!$A:$A,0)))</f>
        <v/>
      </c>
      <c r="H64" s="22" t="str">
        <f>IF($C64="","",INDEX(MATERIAL_MASTER!$P:$P,MATCH($C64,MATERIAL_MASTER!$A:$A,0)))</f>
        <v/>
      </c>
      <c r="I64" s="22" t="str">
        <f>IF($C64="","",INDEX(MATERIAL_FACTOR_APPLICABILITY!$D:$D,MATCH($C64,MATERIAL_FACTOR_APPLICABILITY!$A:$A,0)))</f>
        <v/>
      </c>
      <c r="J64" s="22" t="str">
        <f>IF($C64="","",INDEX(MATERIAL_FACTOR_APPLICABILITY!$E:$E,MATCH($C64,MATERIAL_FACTOR_APPLICABILITY!$A:$A,0)))</f>
        <v/>
      </c>
      <c r="K64" s="22" t="str">
        <f>IF($C64="","",INDEX(MATERIAL_FACTOR_APPLICABILITY!$F:$F,MATCH($C64,MATERIAL_FACTOR_APPLICABILITY!$A:$A,0)))</f>
        <v/>
      </c>
      <c r="L64" s="22" t="str">
        <f>IF($C64="","",INDEX(MATERIAL_FACTOR_APPLICABILITY!$G:$G,MATCH($C64,MATERIAL_FACTOR_APPLICABILITY!$A:$A,0)))</f>
        <v/>
      </c>
      <c r="M64" s="22" t="str">
        <f>IF($C64="","",INDEX(MATERIAL_FACTOR_APPLICABILITY!$H:$H,MATCH($C64,MATERIAL_FACTOR_APPLICABILITY!$A:$A,0)))</f>
        <v/>
      </c>
      <c r="N64" s="22" t="str">
        <f>IF($B64="","",ROUND(1+($I64*(SUMIFS(OBJECT_CONDITIONS!$W:$W,OBJECT_CONDITIONS!$A:$A,$B64)-1))+($J64*(SUMIFS(OBJECT_CONDITIONS!$J:$J,OBJECT_CONDITIONS!$A:$A,$B64)-1))+($K64*(SUMIFS(OBJECT_CONDITIONS!$L:$L,OBJECT_CONDITIONS!$A:$A,$B64)-1))+($L64*(SUMIFS(OBJECT_CONDITIONS!$N:$N,OBJECT_CONDITIONS!$A:$A,$B64)-1))+($M64*(SUMIFS(OBJECT_CONDITIONS!$R:$R,OBJECT_CONDITIONS!$A:$A,$B64)-1)),3))</f>
        <v/>
      </c>
      <c r="O64" s="22"/>
      <c r="P64" s="22" t="str">
        <f t="shared" si="3"/>
        <v/>
      </c>
      <c r="Q64" s="22" t="str">
        <f t="shared" si="4"/>
        <v/>
      </c>
      <c r="R64" s="4" t="str">
        <f>IF($D64="","",IFERROR(INDEX(MATERIAL_VARIANTS!$O:$O,MATCH($D64,MATERIAL_VARIANTS!$A:$A,0)),""))</f>
        <v/>
      </c>
      <c r="S64" s="22" t="str">
        <f>IF($D64="","",IFERROR(INDEX(MATERIAL_VARIANTS!$P:$P,MATCH($D64,MATERIAL_VARIANTS!$A:$A,0)),""))</f>
        <v/>
      </c>
      <c r="T64" s="4" t="str">
        <f t="shared" si="5"/>
        <v/>
      </c>
      <c r="U64" s="4"/>
    </row>
    <row r="65" spans="1:21" x14ac:dyDescent="0.3">
      <c r="A65" s="4"/>
      <c r="B65" s="4"/>
      <c r="C65" s="4"/>
      <c r="D65" s="4"/>
      <c r="E65" s="4"/>
      <c r="F65" s="4"/>
      <c r="G65" s="4" t="str">
        <f>IF($C65="","",INDEX(MATERIAL_MASTER!$O:$O,MATCH($C65,MATERIAL_MASTER!$A:$A,0)))</f>
        <v/>
      </c>
      <c r="H65" s="22" t="str">
        <f>IF($C65="","",INDEX(MATERIAL_MASTER!$P:$P,MATCH($C65,MATERIAL_MASTER!$A:$A,0)))</f>
        <v/>
      </c>
      <c r="I65" s="22" t="str">
        <f>IF($C65="","",INDEX(MATERIAL_FACTOR_APPLICABILITY!$D:$D,MATCH($C65,MATERIAL_FACTOR_APPLICABILITY!$A:$A,0)))</f>
        <v/>
      </c>
      <c r="J65" s="22" t="str">
        <f>IF($C65="","",INDEX(MATERIAL_FACTOR_APPLICABILITY!$E:$E,MATCH($C65,MATERIAL_FACTOR_APPLICABILITY!$A:$A,0)))</f>
        <v/>
      </c>
      <c r="K65" s="22" t="str">
        <f>IF($C65="","",INDEX(MATERIAL_FACTOR_APPLICABILITY!$F:$F,MATCH($C65,MATERIAL_FACTOR_APPLICABILITY!$A:$A,0)))</f>
        <v/>
      </c>
      <c r="L65" s="22" t="str">
        <f>IF($C65="","",INDEX(MATERIAL_FACTOR_APPLICABILITY!$G:$G,MATCH($C65,MATERIAL_FACTOR_APPLICABILITY!$A:$A,0)))</f>
        <v/>
      </c>
      <c r="M65" s="22" t="str">
        <f>IF($C65="","",INDEX(MATERIAL_FACTOR_APPLICABILITY!$H:$H,MATCH($C65,MATERIAL_FACTOR_APPLICABILITY!$A:$A,0)))</f>
        <v/>
      </c>
      <c r="N65" s="22" t="str">
        <f>IF($B65="","",ROUND(1+($I65*(SUMIFS(OBJECT_CONDITIONS!$W:$W,OBJECT_CONDITIONS!$A:$A,$B65)-1))+($J65*(SUMIFS(OBJECT_CONDITIONS!$J:$J,OBJECT_CONDITIONS!$A:$A,$B65)-1))+($K65*(SUMIFS(OBJECT_CONDITIONS!$L:$L,OBJECT_CONDITIONS!$A:$A,$B65)-1))+($L65*(SUMIFS(OBJECT_CONDITIONS!$N:$N,OBJECT_CONDITIONS!$A:$A,$B65)-1))+($M65*(SUMIFS(OBJECT_CONDITIONS!$R:$R,OBJECT_CONDITIONS!$A:$A,$B65)-1)),3))</f>
        <v/>
      </c>
      <c r="O65" s="22"/>
      <c r="P65" s="22" t="str">
        <f t="shared" si="3"/>
        <v/>
      </c>
      <c r="Q65" s="22" t="str">
        <f t="shared" si="4"/>
        <v/>
      </c>
      <c r="R65" s="4" t="str">
        <f>IF($D65="","",IFERROR(INDEX(MATERIAL_VARIANTS!$O:$O,MATCH($D65,MATERIAL_VARIANTS!$A:$A,0)),""))</f>
        <v/>
      </c>
      <c r="S65" s="22" t="str">
        <f>IF($D65="","",IFERROR(INDEX(MATERIAL_VARIANTS!$P:$P,MATCH($D65,MATERIAL_VARIANTS!$A:$A,0)),""))</f>
        <v/>
      </c>
      <c r="T65" s="4" t="str">
        <f t="shared" si="5"/>
        <v/>
      </c>
      <c r="U65" s="4"/>
    </row>
    <row r="66" spans="1:21" x14ac:dyDescent="0.3">
      <c r="A66" s="4"/>
      <c r="B66" s="4"/>
      <c r="C66" s="4"/>
      <c r="D66" s="4"/>
      <c r="E66" s="4"/>
      <c r="F66" s="4"/>
      <c r="G66" s="4" t="str">
        <f>IF($C66="","",INDEX(MATERIAL_MASTER!$O:$O,MATCH($C66,MATERIAL_MASTER!$A:$A,0)))</f>
        <v/>
      </c>
      <c r="H66" s="22" t="str">
        <f>IF($C66="","",INDEX(MATERIAL_MASTER!$P:$P,MATCH($C66,MATERIAL_MASTER!$A:$A,0)))</f>
        <v/>
      </c>
      <c r="I66" s="22" t="str">
        <f>IF($C66="","",INDEX(MATERIAL_FACTOR_APPLICABILITY!$D:$D,MATCH($C66,MATERIAL_FACTOR_APPLICABILITY!$A:$A,0)))</f>
        <v/>
      </c>
      <c r="J66" s="22" t="str">
        <f>IF($C66="","",INDEX(MATERIAL_FACTOR_APPLICABILITY!$E:$E,MATCH($C66,MATERIAL_FACTOR_APPLICABILITY!$A:$A,0)))</f>
        <v/>
      </c>
      <c r="K66" s="22" t="str">
        <f>IF($C66="","",INDEX(MATERIAL_FACTOR_APPLICABILITY!$F:$F,MATCH($C66,MATERIAL_FACTOR_APPLICABILITY!$A:$A,0)))</f>
        <v/>
      </c>
      <c r="L66" s="22" t="str">
        <f>IF($C66="","",INDEX(MATERIAL_FACTOR_APPLICABILITY!$G:$G,MATCH($C66,MATERIAL_FACTOR_APPLICABILITY!$A:$A,0)))</f>
        <v/>
      </c>
      <c r="M66" s="22" t="str">
        <f>IF($C66="","",INDEX(MATERIAL_FACTOR_APPLICABILITY!$H:$H,MATCH($C66,MATERIAL_FACTOR_APPLICABILITY!$A:$A,0)))</f>
        <v/>
      </c>
      <c r="N66" s="22" t="str">
        <f>IF($B66="","",ROUND(1+($I66*(SUMIFS(OBJECT_CONDITIONS!$W:$W,OBJECT_CONDITIONS!$A:$A,$B66)-1))+($J66*(SUMIFS(OBJECT_CONDITIONS!$J:$J,OBJECT_CONDITIONS!$A:$A,$B66)-1))+($K66*(SUMIFS(OBJECT_CONDITIONS!$L:$L,OBJECT_CONDITIONS!$A:$A,$B66)-1))+($L66*(SUMIFS(OBJECT_CONDITIONS!$N:$N,OBJECT_CONDITIONS!$A:$A,$B66)-1))+($M66*(SUMIFS(OBJECT_CONDITIONS!$R:$R,OBJECT_CONDITIONS!$A:$A,$B66)-1)),3))</f>
        <v/>
      </c>
      <c r="O66" s="22"/>
      <c r="P66" s="22" t="str">
        <f t="shared" ref="P66:P97" si="6">IF(OR($H66="",$N66=""),"",ROUND($H66*$N66*IF($O66="",1,$O66),3))</f>
        <v/>
      </c>
      <c r="Q66" s="22" t="str">
        <f t="shared" ref="Q66:Q97" si="7">IF(OR($E66="",$P66=""),"",ROUND($E66*$P66,3))</f>
        <v/>
      </c>
      <c r="R66" s="4" t="str">
        <f>IF($D66="","",IFERROR(INDEX(MATERIAL_VARIANTS!$O:$O,MATCH($D66,MATERIAL_VARIANTS!$A:$A,0)),""))</f>
        <v/>
      </c>
      <c r="S66" s="22" t="str">
        <f>IF($D66="","",IFERROR(INDEX(MATERIAL_VARIANTS!$P:$P,MATCH($D66,MATERIAL_VARIANTS!$A:$A,0)),""))</f>
        <v/>
      </c>
      <c r="T66" s="4" t="str">
        <f t="shared" ref="T66:T97" si="8">IF(OR($Q66="",$S66="",$S66=0),"",ROUNDUP($Q66/$S66,0))</f>
        <v/>
      </c>
      <c r="U66" s="4"/>
    </row>
    <row r="67" spans="1:21" x14ac:dyDescent="0.3">
      <c r="A67" s="4"/>
      <c r="B67" s="4"/>
      <c r="C67" s="4"/>
      <c r="D67" s="4"/>
      <c r="E67" s="4"/>
      <c r="F67" s="4"/>
      <c r="G67" s="4" t="str">
        <f>IF($C67="","",INDEX(MATERIAL_MASTER!$O:$O,MATCH($C67,MATERIAL_MASTER!$A:$A,0)))</f>
        <v/>
      </c>
      <c r="H67" s="22" t="str">
        <f>IF($C67="","",INDEX(MATERIAL_MASTER!$P:$P,MATCH($C67,MATERIAL_MASTER!$A:$A,0)))</f>
        <v/>
      </c>
      <c r="I67" s="22" t="str">
        <f>IF($C67="","",INDEX(MATERIAL_FACTOR_APPLICABILITY!$D:$D,MATCH($C67,MATERIAL_FACTOR_APPLICABILITY!$A:$A,0)))</f>
        <v/>
      </c>
      <c r="J67" s="22" t="str">
        <f>IF($C67="","",INDEX(MATERIAL_FACTOR_APPLICABILITY!$E:$E,MATCH($C67,MATERIAL_FACTOR_APPLICABILITY!$A:$A,0)))</f>
        <v/>
      </c>
      <c r="K67" s="22" t="str">
        <f>IF($C67="","",INDEX(MATERIAL_FACTOR_APPLICABILITY!$F:$F,MATCH($C67,MATERIAL_FACTOR_APPLICABILITY!$A:$A,0)))</f>
        <v/>
      </c>
      <c r="L67" s="22" t="str">
        <f>IF($C67="","",INDEX(MATERIAL_FACTOR_APPLICABILITY!$G:$G,MATCH($C67,MATERIAL_FACTOR_APPLICABILITY!$A:$A,0)))</f>
        <v/>
      </c>
      <c r="M67" s="22" t="str">
        <f>IF($C67="","",INDEX(MATERIAL_FACTOR_APPLICABILITY!$H:$H,MATCH($C67,MATERIAL_FACTOR_APPLICABILITY!$A:$A,0)))</f>
        <v/>
      </c>
      <c r="N67" s="22" t="str">
        <f>IF($B67="","",ROUND(1+($I67*(SUMIFS(OBJECT_CONDITIONS!$W:$W,OBJECT_CONDITIONS!$A:$A,$B67)-1))+($J67*(SUMIFS(OBJECT_CONDITIONS!$J:$J,OBJECT_CONDITIONS!$A:$A,$B67)-1))+($K67*(SUMIFS(OBJECT_CONDITIONS!$L:$L,OBJECT_CONDITIONS!$A:$A,$B67)-1))+($L67*(SUMIFS(OBJECT_CONDITIONS!$N:$N,OBJECT_CONDITIONS!$A:$A,$B67)-1))+($M67*(SUMIFS(OBJECT_CONDITIONS!$R:$R,OBJECT_CONDITIONS!$A:$A,$B67)-1)),3))</f>
        <v/>
      </c>
      <c r="O67" s="22"/>
      <c r="P67" s="22" t="str">
        <f t="shared" si="6"/>
        <v/>
      </c>
      <c r="Q67" s="22" t="str">
        <f t="shared" si="7"/>
        <v/>
      </c>
      <c r="R67" s="4" t="str">
        <f>IF($D67="","",IFERROR(INDEX(MATERIAL_VARIANTS!$O:$O,MATCH($D67,MATERIAL_VARIANTS!$A:$A,0)),""))</f>
        <v/>
      </c>
      <c r="S67" s="22" t="str">
        <f>IF($D67="","",IFERROR(INDEX(MATERIAL_VARIANTS!$P:$P,MATCH($D67,MATERIAL_VARIANTS!$A:$A,0)),""))</f>
        <v/>
      </c>
      <c r="T67" s="4" t="str">
        <f t="shared" si="8"/>
        <v/>
      </c>
      <c r="U67" s="4"/>
    </row>
    <row r="68" spans="1:21" x14ac:dyDescent="0.3">
      <c r="A68" s="4"/>
      <c r="B68" s="4"/>
      <c r="C68" s="4"/>
      <c r="D68" s="4"/>
      <c r="E68" s="4"/>
      <c r="F68" s="4"/>
      <c r="G68" s="4" t="str">
        <f>IF($C68="","",INDEX(MATERIAL_MASTER!$O:$O,MATCH($C68,MATERIAL_MASTER!$A:$A,0)))</f>
        <v/>
      </c>
      <c r="H68" s="22" t="str">
        <f>IF($C68="","",INDEX(MATERIAL_MASTER!$P:$P,MATCH($C68,MATERIAL_MASTER!$A:$A,0)))</f>
        <v/>
      </c>
      <c r="I68" s="22" t="str">
        <f>IF($C68="","",INDEX(MATERIAL_FACTOR_APPLICABILITY!$D:$D,MATCH($C68,MATERIAL_FACTOR_APPLICABILITY!$A:$A,0)))</f>
        <v/>
      </c>
      <c r="J68" s="22" t="str">
        <f>IF($C68="","",INDEX(MATERIAL_FACTOR_APPLICABILITY!$E:$E,MATCH($C68,MATERIAL_FACTOR_APPLICABILITY!$A:$A,0)))</f>
        <v/>
      </c>
      <c r="K68" s="22" t="str">
        <f>IF($C68="","",INDEX(MATERIAL_FACTOR_APPLICABILITY!$F:$F,MATCH($C68,MATERIAL_FACTOR_APPLICABILITY!$A:$A,0)))</f>
        <v/>
      </c>
      <c r="L68" s="22" t="str">
        <f>IF($C68="","",INDEX(MATERIAL_FACTOR_APPLICABILITY!$G:$G,MATCH($C68,MATERIAL_FACTOR_APPLICABILITY!$A:$A,0)))</f>
        <v/>
      </c>
      <c r="M68" s="22" t="str">
        <f>IF($C68="","",INDEX(MATERIAL_FACTOR_APPLICABILITY!$H:$H,MATCH($C68,MATERIAL_FACTOR_APPLICABILITY!$A:$A,0)))</f>
        <v/>
      </c>
      <c r="N68" s="22" t="str">
        <f>IF($B68="","",ROUND(1+($I68*(SUMIFS(OBJECT_CONDITIONS!$W:$W,OBJECT_CONDITIONS!$A:$A,$B68)-1))+($J68*(SUMIFS(OBJECT_CONDITIONS!$J:$J,OBJECT_CONDITIONS!$A:$A,$B68)-1))+($K68*(SUMIFS(OBJECT_CONDITIONS!$L:$L,OBJECT_CONDITIONS!$A:$A,$B68)-1))+($L68*(SUMIFS(OBJECT_CONDITIONS!$N:$N,OBJECT_CONDITIONS!$A:$A,$B68)-1))+($M68*(SUMIFS(OBJECT_CONDITIONS!$R:$R,OBJECT_CONDITIONS!$A:$A,$B68)-1)),3))</f>
        <v/>
      </c>
      <c r="O68" s="22"/>
      <c r="P68" s="22" t="str">
        <f t="shared" si="6"/>
        <v/>
      </c>
      <c r="Q68" s="22" t="str">
        <f t="shared" si="7"/>
        <v/>
      </c>
      <c r="R68" s="4" t="str">
        <f>IF($D68="","",IFERROR(INDEX(MATERIAL_VARIANTS!$O:$O,MATCH($D68,MATERIAL_VARIANTS!$A:$A,0)),""))</f>
        <v/>
      </c>
      <c r="S68" s="22" t="str">
        <f>IF($D68="","",IFERROR(INDEX(MATERIAL_VARIANTS!$P:$P,MATCH($D68,MATERIAL_VARIANTS!$A:$A,0)),""))</f>
        <v/>
      </c>
      <c r="T68" s="4" t="str">
        <f t="shared" si="8"/>
        <v/>
      </c>
      <c r="U68" s="4"/>
    </row>
    <row r="69" spans="1:21" x14ac:dyDescent="0.3">
      <c r="A69" s="4"/>
      <c r="B69" s="4"/>
      <c r="C69" s="4"/>
      <c r="D69" s="4"/>
      <c r="E69" s="4"/>
      <c r="F69" s="4"/>
      <c r="G69" s="4" t="str">
        <f>IF($C69="","",INDEX(MATERIAL_MASTER!$O:$O,MATCH($C69,MATERIAL_MASTER!$A:$A,0)))</f>
        <v/>
      </c>
      <c r="H69" s="22" t="str">
        <f>IF($C69="","",INDEX(MATERIAL_MASTER!$P:$P,MATCH($C69,MATERIAL_MASTER!$A:$A,0)))</f>
        <v/>
      </c>
      <c r="I69" s="22" t="str">
        <f>IF($C69="","",INDEX(MATERIAL_FACTOR_APPLICABILITY!$D:$D,MATCH($C69,MATERIAL_FACTOR_APPLICABILITY!$A:$A,0)))</f>
        <v/>
      </c>
      <c r="J69" s="22" t="str">
        <f>IF($C69="","",INDEX(MATERIAL_FACTOR_APPLICABILITY!$E:$E,MATCH($C69,MATERIAL_FACTOR_APPLICABILITY!$A:$A,0)))</f>
        <v/>
      </c>
      <c r="K69" s="22" t="str">
        <f>IF($C69="","",INDEX(MATERIAL_FACTOR_APPLICABILITY!$F:$F,MATCH($C69,MATERIAL_FACTOR_APPLICABILITY!$A:$A,0)))</f>
        <v/>
      </c>
      <c r="L69" s="22" t="str">
        <f>IF($C69="","",INDEX(MATERIAL_FACTOR_APPLICABILITY!$G:$G,MATCH($C69,MATERIAL_FACTOR_APPLICABILITY!$A:$A,0)))</f>
        <v/>
      </c>
      <c r="M69" s="22" t="str">
        <f>IF($C69="","",INDEX(MATERIAL_FACTOR_APPLICABILITY!$H:$H,MATCH($C69,MATERIAL_FACTOR_APPLICABILITY!$A:$A,0)))</f>
        <v/>
      </c>
      <c r="N69" s="22" t="str">
        <f>IF($B69="","",ROUND(1+($I69*(SUMIFS(OBJECT_CONDITIONS!$W:$W,OBJECT_CONDITIONS!$A:$A,$B69)-1))+($J69*(SUMIFS(OBJECT_CONDITIONS!$J:$J,OBJECT_CONDITIONS!$A:$A,$B69)-1))+($K69*(SUMIFS(OBJECT_CONDITIONS!$L:$L,OBJECT_CONDITIONS!$A:$A,$B69)-1))+($L69*(SUMIFS(OBJECT_CONDITIONS!$N:$N,OBJECT_CONDITIONS!$A:$A,$B69)-1))+($M69*(SUMIFS(OBJECT_CONDITIONS!$R:$R,OBJECT_CONDITIONS!$A:$A,$B69)-1)),3))</f>
        <v/>
      </c>
      <c r="O69" s="22"/>
      <c r="P69" s="22" t="str">
        <f t="shared" si="6"/>
        <v/>
      </c>
      <c r="Q69" s="22" t="str">
        <f t="shared" si="7"/>
        <v/>
      </c>
      <c r="R69" s="4" t="str">
        <f>IF($D69="","",IFERROR(INDEX(MATERIAL_VARIANTS!$O:$O,MATCH($D69,MATERIAL_VARIANTS!$A:$A,0)),""))</f>
        <v/>
      </c>
      <c r="S69" s="22" t="str">
        <f>IF($D69="","",IFERROR(INDEX(MATERIAL_VARIANTS!$P:$P,MATCH($D69,MATERIAL_VARIANTS!$A:$A,0)),""))</f>
        <v/>
      </c>
      <c r="T69" s="4" t="str">
        <f t="shared" si="8"/>
        <v/>
      </c>
      <c r="U69" s="4"/>
    </row>
    <row r="70" spans="1:21" x14ac:dyDescent="0.3">
      <c r="A70" s="4"/>
      <c r="B70" s="4"/>
      <c r="C70" s="4"/>
      <c r="D70" s="4"/>
      <c r="E70" s="4"/>
      <c r="F70" s="4"/>
      <c r="G70" s="4" t="str">
        <f>IF($C70="","",INDEX(MATERIAL_MASTER!$O:$O,MATCH($C70,MATERIAL_MASTER!$A:$A,0)))</f>
        <v/>
      </c>
      <c r="H70" s="22" t="str">
        <f>IF($C70="","",INDEX(MATERIAL_MASTER!$P:$P,MATCH($C70,MATERIAL_MASTER!$A:$A,0)))</f>
        <v/>
      </c>
      <c r="I70" s="22" t="str">
        <f>IF($C70="","",INDEX(MATERIAL_FACTOR_APPLICABILITY!$D:$D,MATCH($C70,MATERIAL_FACTOR_APPLICABILITY!$A:$A,0)))</f>
        <v/>
      </c>
      <c r="J70" s="22" t="str">
        <f>IF($C70="","",INDEX(MATERIAL_FACTOR_APPLICABILITY!$E:$E,MATCH($C70,MATERIAL_FACTOR_APPLICABILITY!$A:$A,0)))</f>
        <v/>
      </c>
      <c r="K70" s="22" t="str">
        <f>IF($C70="","",INDEX(MATERIAL_FACTOR_APPLICABILITY!$F:$F,MATCH($C70,MATERIAL_FACTOR_APPLICABILITY!$A:$A,0)))</f>
        <v/>
      </c>
      <c r="L70" s="22" t="str">
        <f>IF($C70="","",INDEX(MATERIAL_FACTOR_APPLICABILITY!$G:$G,MATCH($C70,MATERIAL_FACTOR_APPLICABILITY!$A:$A,0)))</f>
        <v/>
      </c>
      <c r="M70" s="22" t="str">
        <f>IF($C70="","",INDEX(MATERIAL_FACTOR_APPLICABILITY!$H:$H,MATCH($C70,MATERIAL_FACTOR_APPLICABILITY!$A:$A,0)))</f>
        <v/>
      </c>
      <c r="N70" s="22" t="str">
        <f>IF($B70="","",ROUND(1+($I70*(SUMIFS(OBJECT_CONDITIONS!$W:$W,OBJECT_CONDITIONS!$A:$A,$B70)-1))+($J70*(SUMIFS(OBJECT_CONDITIONS!$J:$J,OBJECT_CONDITIONS!$A:$A,$B70)-1))+($K70*(SUMIFS(OBJECT_CONDITIONS!$L:$L,OBJECT_CONDITIONS!$A:$A,$B70)-1))+($L70*(SUMIFS(OBJECT_CONDITIONS!$N:$N,OBJECT_CONDITIONS!$A:$A,$B70)-1))+($M70*(SUMIFS(OBJECT_CONDITIONS!$R:$R,OBJECT_CONDITIONS!$A:$A,$B70)-1)),3))</f>
        <v/>
      </c>
      <c r="O70" s="22"/>
      <c r="P70" s="22" t="str">
        <f t="shared" si="6"/>
        <v/>
      </c>
      <c r="Q70" s="22" t="str">
        <f t="shared" si="7"/>
        <v/>
      </c>
      <c r="R70" s="4" t="str">
        <f>IF($D70="","",IFERROR(INDEX(MATERIAL_VARIANTS!$O:$O,MATCH($D70,MATERIAL_VARIANTS!$A:$A,0)),""))</f>
        <v/>
      </c>
      <c r="S70" s="22" t="str">
        <f>IF($D70="","",IFERROR(INDEX(MATERIAL_VARIANTS!$P:$P,MATCH($D70,MATERIAL_VARIANTS!$A:$A,0)),""))</f>
        <v/>
      </c>
      <c r="T70" s="4" t="str">
        <f t="shared" si="8"/>
        <v/>
      </c>
      <c r="U70" s="4"/>
    </row>
    <row r="71" spans="1:21" x14ac:dyDescent="0.3">
      <c r="A71" s="4"/>
      <c r="B71" s="4"/>
      <c r="C71" s="4"/>
      <c r="D71" s="4"/>
      <c r="E71" s="4"/>
      <c r="F71" s="4"/>
      <c r="G71" s="4" t="str">
        <f>IF($C71="","",INDEX(MATERIAL_MASTER!$O:$O,MATCH($C71,MATERIAL_MASTER!$A:$A,0)))</f>
        <v/>
      </c>
      <c r="H71" s="22" t="str">
        <f>IF($C71="","",INDEX(MATERIAL_MASTER!$P:$P,MATCH($C71,MATERIAL_MASTER!$A:$A,0)))</f>
        <v/>
      </c>
      <c r="I71" s="22" t="str">
        <f>IF($C71="","",INDEX(MATERIAL_FACTOR_APPLICABILITY!$D:$D,MATCH($C71,MATERIAL_FACTOR_APPLICABILITY!$A:$A,0)))</f>
        <v/>
      </c>
      <c r="J71" s="22" t="str">
        <f>IF($C71="","",INDEX(MATERIAL_FACTOR_APPLICABILITY!$E:$E,MATCH($C71,MATERIAL_FACTOR_APPLICABILITY!$A:$A,0)))</f>
        <v/>
      </c>
      <c r="K71" s="22" t="str">
        <f>IF($C71="","",INDEX(MATERIAL_FACTOR_APPLICABILITY!$F:$F,MATCH($C71,MATERIAL_FACTOR_APPLICABILITY!$A:$A,0)))</f>
        <v/>
      </c>
      <c r="L71" s="22" t="str">
        <f>IF($C71="","",INDEX(MATERIAL_FACTOR_APPLICABILITY!$G:$G,MATCH($C71,MATERIAL_FACTOR_APPLICABILITY!$A:$A,0)))</f>
        <v/>
      </c>
      <c r="M71" s="22" t="str">
        <f>IF($C71="","",INDEX(MATERIAL_FACTOR_APPLICABILITY!$H:$H,MATCH($C71,MATERIAL_FACTOR_APPLICABILITY!$A:$A,0)))</f>
        <v/>
      </c>
      <c r="N71" s="22" t="str">
        <f>IF($B71="","",ROUND(1+($I71*(SUMIFS(OBJECT_CONDITIONS!$W:$W,OBJECT_CONDITIONS!$A:$A,$B71)-1))+($J71*(SUMIFS(OBJECT_CONDITIONS!$J:$J,OBJECT_CONDITIONS!$A:$A,$B71)-1))+($K71*(SUMIFS(OBJECT_CONDITIONS!$L:$L,OBJECT_CONDITIONS!$A:$A,$B71)-1))+($L71*(SUMIFS(OBJECT_CONDITIONS!$N:$N,OBJECT_CONDITIONS!$A:$A,$B71)-1))+($M71*(SUMIFS(OBJECT_CONDITIONS!$R:$R,OBJECT_CONDITIONS!$A:$A,$B71)-1)),3))</f>
        <v/>
      </c>
      <c r="O71" s="22"/>
      <c r="P71" s="22" t="str">
        <f t="shared" si="6"/>
        <v/>
      </c>
      <c r="Q71" s="22" t="str">
        <f t="shared" si="7"/>
        <v/>
      </c>
      <c r="R71" s="4" t="str">
        <f>IF($D71="","",IFERROR(INDEX(MATERIAL_VARIANTS!$O:$O,MATCH($D71,MATERIAL_VARIANTS!$A:$A,0)),""))</f>
        <v/>
      </c>
      <c r="S71" s="22" t="str">
        <f>IF($D71="","",IFERROR(INDEX(MATERIAL_VARIANTS!$P:$P,MATCH($D71,MATERIAL_VARIANTS!$A:$A,0)),""))</f>
        <v/>
      </c>
      <c r="T71" s="4" t="str">
        <f t="shared" si="8"/>
        <v/>
      </c>
      <c r="U71" s="4"/>
    </row>
    <row r="72" spans="1:21" x14ac:dyDescent="0.3">
      <c r="A72" s="4"/>
      <c r="B72" s="4"/>
      <c r="C72" s="4"/>
      <c r="D72" s="4"/>
      <c r="E72" s="4"/>
      <c r="F72" s="4"/>
      <c r="G72" s="4" t="str">
        <f>IF($C72="","",INDEX(MATERIAL_MASTER!$O:$O,MATCH($C72,MATERIAL_MASTER!$A:$A,0)))</f>
        <v/>
      </c>
      <c r="H72" s="22" t="str">
        <f>IF($C72="","",INDEX(MATERIAL_MASTER!$P:$P,MATCH($C72,MATERIAL_MASTER!$A:$A,0)))</f>
        <v/>
      </c>
      <c r="I72" s="22" t="str">
        <f>IF($C72="","",INDEX(MATERIAL_FACTOR_APPLICABILITY!$D:$D,MATCH($C72,MATERIAL_FACTOR_APPLICABILITY!$A:$A,0)))</f>
        <v/>
      </c>
      <c r="J72" s="22" t="str">
        <f>IF($C72="","",INDEX(MATERIAL_FACTOR_APPLICABILITY!$E:$E,MATCH($C72,MATERIAL_FACTOR_APPLICABILITY!$A:$A,0)))</f>
        <v/>
      </c>
      <c r="K72" s="22" t="str">
        <f>IF($C72="","",INDEX(MATERIAL_FACTOR_APPLICABILITY!$F:$F,MATCH($C72,MATERIAL_FACTOR_APPLICABILITY!$A:$A,0)))</f>
        <v/>
      </c>
      <c r="L72" s="22" t="str">
        <f>IF($C72="","",INDEX(MATERIAL_FACTOR_APPLICABILITY!$G:$G,MATCH($C72,MATERIAL_FACTOR_APPLICABILITY!$A:$A,0)))</f>
        <v/>
      </c>
      <c r="M72" s="22" t="str">
        <f>IF($C72="","",INDEX(MATERIAL_FACTOR_APPLICABILITY!$H:$H,MATCH($C72,MATERIAL_FACTOR_APPLICABILITY!$A:$A,0)))</f>
        <v/>
      </c>
      <c r="N72" s="22" t="str">
        <f>IF($B72="","",ROUND(1+($I72*(SUMIFS(OBJECT_CONDITIONS!$W:$W,OBJECT_CONDITIONS!$A:$A,$B72)-1))+($J72*(SUMIFS(OBJECT_CONDITIONS!$J:$J,OBJECT_CONDITIONS!$A:$A,$B72)-1))+($K72*(SUMIFS(OBJECT_CONDITIONS!$L:$L,OBJECT_CONDITIONS!$A:$A,$B72)-1))+($L72*(SUMIFS(OBJECT_CONDITIONS!$N:$N,OBJECT_CONDITIONS!$A:$A,$B72)-1))+($M72*(SUMIFS(OBJECT_CONDITIONS!$R:$R,OBJECT_CONDITIONS!$A:$A,$B72)-1)),3))</f>
        <v/>
      </c>
      <c r="O72" s="22"/>
      <c r="P72" s="22" t="str">
        <f t="shared" si="6"/>
        <v/>
      </c>
      <c r="Q72" s="22" t="str">
        <f t="shared" si="7"/>
        <v/>
      </c>
      <c r="R72" s="4" t="str">
        <f>IF($D72="","",IFERROR(INDEX(MATERIAL_VARIANTS!$O:$O,MATCH($D72,MATERIAL_VARIANTS!$A:$A,0)),""))</f>
        <v/>
      </c>
      <c r="S72" s="22" t="str">
        <f>IF($D72="","",IFERROR(INDEX(MATERIAL_VARIANTS!$P:$P,MATCH($D72,MATERIAL_VARIANTS!$A:$A,0)),""))</f>
        <v/>
      </c>
      <c r="T72" s="4" t="str">
        <f t="shared" si="8"/>
        <v/>
      </c>
      <c r="U72" s="4"/>
    </row>
    <row r="73" spans="1:21" x14ac:dyDescent="0.3">
      <c r="A73" s="4"/>
      <c r="B73" s="4"/>
      <c r="C73" s="4"/>
      <c r="D73" s="4"/>
      <c r="E73" s="4"/>
      <c r="F73" s="4"/>
      <c r="G73" s="4" t="str">
        <f>IF($C73="","",INDEX(MATERIAL_MASTER!$O:$O,MATCH($C73,MATERIAL_MASTER!$A:$A,0)))</f>
        <v/>
      </c>
      <c r="H73" s="22" t="str">
        <f>IF($C73="","",INDEX(MATERIAL_MASTER!$P:$P,MATCH($C73,MATERIAL_MASTER!$A:$A,0)))</f>
        <v/>
      </c>
      <c r="I73" s="22" t="str">
        <f>IF($C73="","",INDEX(MATERIAL_FACTOR_APPLICABILITY!$D:$D,MATCH($C73,MATERIAL_FACTOR_APPLICABILITY!$A:$A,0)))</f>
        <v/>
      </c>
      <c r="J73" s="22" t="str">
        <f>IF($C73="","",INDEX(MATERIAL_FACTOR_APPLICABILITY!$E:$E,MATCH($C73,MATERIAL_FACTOR_APPLICABILITY!$A:$A,0)))</f>
        <v/>
      </c>
      <c r="K73" s="22" t="str">
        <f>IF($C73="","",INDEX(MATERIAL_FACTOR_APPLICABILITY!$F:$F,MATCH($C73,MATERIAL_FACTOR_APPLICABILITY!$A:$A,0)))</f>
        <v/>
      </c>
      <c r="L73" s="22" t="str">
        <f>IF($C73="","",INDEX(MATERIAL_FACTOR_APPLICABILITY!$G:$G,MATCH($C73,MATERIAL_FACTOR_APPLICABILITY!$A:$A,0)))</f>
        <v/>
      </c>
      <c r="M73" s="22" t="str">
        <f>IF($C73="","",INDEX(MATERIAL_FACTOR_APPLICABILITY!$H:$H,MATCH($C73,MATERIAL_FACTOR_APPLICABILITY!$A:$A,0)))</f>
        <v/>
      </c>
      <c r="N73" s="22" t="str">
        <f>IF($B73="","",ROUND(1+($I73*(SUMIFS(OBJECT_CONDITIONS!$W:$W,OBJECT_CONDITIONS!$A:$A,$B73)-1))+($J73*(SUMIFS(OBJECT_CONDITIONS!$J:$J,OBJECT_CONDITIONS!$A:$A,$B73)-1))+($K73*(SUMIFS(OBJECT_CONDITIONS!$L:$L,OBJECT_CONDITIONS!$A:$A,$B73)-1))+($L73*(SUMIFS(OBJECT_CONDITIONS!$N:$N,OBJECT_CONDITIONS!$A:$A,$B73)-1))+($M73*(SUMIFS(OBJECT_CONDITIONS!$R:$R,OBJECT_CONDITIONS!$A:$A,$B73)-1)),3))</f>
        <v/>
      </c>
      <c r="O73" s="22"/>
      <c r="P73" s="22" t="str">
        <f t="shared" si="6"/>
        <v/>
      </c>
      <c r="Q73" s="22" t="str">
        <f t="shared" si="7"/>
        <v/>
      </c>
      <c r="R73" s="4" t="str">
        <f>IF($D73="","",IFERROR(INDEX(MATERIAL_VARIANTS!$O:$O,MATCH($D73,MATERIAL_VARIANTS!$A:$A,0)),""))</f>
        <v/>
      </c>
      <c r="S73" s="22" t="str">
        <f>IF($D73="","",IFERROR(INDEX(MATERIAL_VARIANTS!$P:$P,MATCH($D73,MATERIAL_VARIANTS!$A:$A,0)),""))</f>
        <v/>
      </c>
      <c r="T73" s="4" t="str">
        <f t="shared" si="8"/>
        <v/>
      </c>
      <c r="U73" s="4"/>
    </row>
    <row r="74" spans="1:21" x14ac:dyDescent="0.3">
      <c r="A74" s="4"/>
      <c r="B74" s="4"/>
      <c r="C74" s="4"/>
      <c r="D74" s="4"/>
      <c r="E74" s="4"/>
      <c r="F74" s="4"/>
      <c r="G74" s="4" t="str">
        <f>IF($C74="","",INDEX(MATERIAL_MASTER!$O:$O,MATCH($C74,MATERIAL_MASTER!$A:$A,0)))</f>
        <v/>
      </c>
      <c r="H74" s="22" t="str">
        <f>IF($C74="","",INDEX(MATERIAL_MASTER!$P:$P,MATCH($C74,MATERIAL_MASTER!$A:$A,0)))</f>
        <v/>
      </c>
      <c r="I74" s="22" t="str">
        <f>IF($C74="","",INDEX(MATERIAL_FACTOR_APPLICABILITY!$D:$D,MATCH($C74,MATERIAL_FACTOR_APPLICABILITY!$A:$A,0)))</f>
        <v/>
      </c>
      <c r="J74" s="22" t="str">
        <f>IF($C74="","",INDEX(MATERIAL_FACTOR_APPLICABILITY!$E:$E,MATCH($C74,MATERIAL_FACTOR_APPLICABILITY!$A:$A,0)))</f>
        <v/>
      </c>
      <c r="K74" s="22" t="str">
        <f>IF($C74="","",INDEX(MATERIAL_FACTOR_APPLICABILITY!$F:$F,MATCH($C74,MATERIAL_FACTOR_APPLICABILITY!$A:$A,0)))</f>
        <v/>
      </c>
      <c r="L74" s="22" t="str">
        <f>IF($C74="","",INDEX(MATERIAL_FACTOR_APPLICABILITY!$G:$G,MATCH($C74,MATERIAL_FACTOR_APPLICABILITY!$A:$A,0)))</f>
        <v/>
      </c>
      <c r="M74" s="22" t="str">
        <f>IF($C74="","",INDEX(MATERIAL_FACTOR_APPLICABILITY!$H:$H,MATCH($C74,MATERIAL_FACTOR_APPLICABILITY!$A:$A,0)))</f>
        <v/>
      </c>
      <c r="N74" s="22" t="str">
        <f>IF($B74="","",ROUND(1+($I74*(SUMIFS(OBJECT_CONDITIONS!$W:$W,OBJECT_CONDITIONS!$A:$A,$B74)-1))+($J74*(SUMIFS(OBJECT_CONDITIONS!$J:$J,OBJECT_CONDITIONS!$A:$A,$B74)-1))+($K74*(SUMIFS(OBJECT_CONDITIONS!$L:$L,OBJECT_CONDITIONS!$A:$A,$B74)-1))+($L74*(SUMIFS(OBJECT_CONDITIONS!$N:$N,OBJECT_CONDITIONS!$A:$A,$B74)-1))+($M74*(SUMIFS(OBJECT_CONDITIONS!$R:$R,OBJECT_CONDITIONS!$A:$A,$B74)-1)),3))</f>
        <v/>
      </c>
      <c r="O74" s="22"/>
      <c r="P74" s="22" t="str">
        <f t="shared" si="6"/>
        <v/>
      </c>
      <c r="Q74" s="22" t="str">
        <f t="shared" si="7"/>
        <v/>
      </c>
      <c r="R74" s="4" t="str">
        <f>IF($D74="","",IFERROR(INDEX(MATERIAL_VARIANTS!$O:$O,MATCH($D74,MATERIAL_VARIANTS!$A:$A,0)),""))</f>
        <v/>
      </c>
      <c r="S74" s="22" t="str">
        <f>IF($D74="","",IFERROR(INDEX(MATERIAL_VARIANTS!$P:$P,MATCH($D74,MATERIAL_VARIANTS!$A:$A,0)),""))</f>
        <v/>
      </c>
      <c r="T74" s="4" t="str">
        <f t="shared" si="8"/>
        <v/>
      </c>
      <c r="U74" s="4"/>
    </row>
    <row r="75" spans="1:21" x14ac:dyDescent="0.3">
      <c r="A75" s="4"/>
      <c r="B75" s="4"/>
      <c r="C75" s="4"/>
      <c r="D75" s="4"/>
      <c r="E75" s="4"/>
      <c r="F75" s="4"/>
      <c r="G75" s="4" t="str">
        <f>IF($C75="","",INDEX(MATERIAL_MASTER!$O:$O,MATCH($C75,MATERIAL_MASTER!$A:$A,0)))</f>
        <v/>
      </c>
      <c r="H75" s="22" t="str">
        <f>IF($C75="","",INDEX(MATERIAL_MASTER!$P:$P,MATCH($C75,MATERIAL_MASTER!$A:$A,0)))</f>
        <v/>
      </c>
      <c r="I75" s="22" t="str">
        <f>IF($C75="","",INDEX(MATERIAL_FACTOR_APPLICABILITY!$D:$D,MATCH($C75,MATERIAL_FACTOR_APPLICABILITY!$A:$A,0)))</f>
        <v/>
      </c>
      <c r="J75" s="22" t="str">
        <f>IF($C75="","",INDEX(MATERIAL_FACTOR_APPLICABILITY!$E:$E,MATCH($C75,MATERIAL_FACTOR_APPLICABILITY!$A:$A,0)))</f>
        <v/>
      </c>
      <c r="K75" s="22" t="str">
        <f>IF($C75="","",INDEX(MATERIAL_FACTOR_APPLICABILITY!$F:$F,MATCH($C75,MATERIAL_FACTOR_APPLICABILITY!$A:$A,0)))</f>
        <v/>
      </c>
      <c r="L75" s="22" t="str">
        <f>IF($C75="","",INDEX(MATERIAL_FACTOR_APPLICABILITY!$G:$G,MATCH($C75,MATERIAL_FACTOR_APPLICABILITY!$A:$A,0)))</f>
        <v/>
      </c>
      <c r="M75" s="22" t="str">
        <f>IF($C75="","",INDEX(MATERIAL_FACTOR_APPLICABILITY!$H:$H,MATCH($C75,MATERIAL_FACTOR_APPLICABILITY!$A:$A,0)))</f>
        <v/>
      </c>
      <c r="N75" s="22" t="str">
        <f>IF($B75="","",ROUND(1+($I75*(SUMIFS(OBJECT_CONDITIONS!$W:$W,OBJECT_CONDITIONS!$A:$A,$B75)-1))+($J75*(SUMIFS(OBJECT_CONDITIONS!$J:$J,OBJECT_CONDITIONS!$A:$A,$B75)-1))+($K75*(SUMIFS(OBJECT_CONDITIONS!$L:$L,OBJECT_CONDITIONS!$A:$A,$B75)-1))+($L75*(SUMIFS(OBJECT_CONDITIONS!$N:$N,OBJECT_CONDITIONS!$A:$A,$B75)-1))+($M75*(SUMIFS(OBJECT_CONDITIONS!$R:$R,OBJECT_CONDITIONS!$A:$A,$B75)-1)),3))</f>
        <v/>
      </c>
      <c r="O75" s="22"/>
      <c r="P75" s="22" t="str">
        <f t="shared" si="6"/>
        <v/>
      </c>
      <c r="Q75" s="22" t="str">
        <f t="shared" si="7"/>
        <v/>
      </c>
      <c r="R75" s="4" t="str">
        <f>IF($D75="","",IFERROR(INDEX(MATERIAL_VARIANTS!$O:$O,MATCH($D75,MATERIAL_VARIANTS!$A:$A,0)),""))</f>
        <v/>
      </c>
      <c r="S75" s="22" t="str">
        <f>IF($D75="","",IFERROR(INDEX(MATERIAL_VARIANTS!$P:$P,MATCH($D75,MATERIAL_VARIANTS!$A:$A,0)),""))</f>
        <v/>
      </c>
      <c r="T75" s="4" t="str">
        <f t="shared" si="8"/>
        <v/>
      </c>
      <c r="U75" s="4"/>
    </row>
    <row r="76" spans="1:21" x14ac:dyDescent="0.3">
      <c r="A76" s="4"/>
      <c r="B76" s="4"/>
      <c r="C76" s="4"/>
      <c r="D76" s="4"/>
      <c r="E76" s="4"/>
      <c r="F76" s="4"/>
      <c r="G76" s="4" t="str">
        <f>IF($C76="","",INDEX(MATERIAL_MASTER!$O:$O,MATCH($C76,MATERIAL_MASTER!$A:$A,0)))</f>
        <v/>
      </c>
      <c r="H76" s="22" t="str">
        <f>IF($C76="","",INDEX(MATERIAL_MASTER!$P:$P,MATCH($C76,MATERIAL_MASTER!$A:$A,0)))</f>
        <v/>
      </c>
      <c r="I76" s="22" t="str">
        <f>IF($C76="","",INDEX(MATERIAL_FACTOR_APPLICABILITY!$D:$D,MATCH($C76,MATERIAL_FACTOR_APPLICABILITY!$A:$A,0)))</f>
        <v/>
      </c>
      <c r="J76" s="22" t="str">
        <f>IF($C76="","",INDEX(MATERIAL_FACTOR_APPLICABILITY!$E:$E,MATCH($C76,MATERIAL_FACTOR_APPLICABILITY!$A:$A,0)))</f>
        <v/>
      </c>
      <c r="K76" s="22" t="str">
        <f>IF($C76="","",INDEX(MATERIAL_FACTOR_APPLICABILITY!$F:$F,MATCH($C76,MATERIAL_FACTOR_APPLICABILITY!$A:$A,0)))</f>
        <v/>
      </c>
      <c r="L76" s="22" t="str">
        <f>IF($C76="","",INDEX(MATERIAL_FACTOR_APPLICABILITY!$G:$G,MATCH($C76,MATERIAL_FACTOR_APPLICABILITY!$A:$A,0)))</f>
        <v/>
      </c>
      <c r="M76" s="22" t="str">
        <f>IF($C76="","",INDEX(MATERIAL_FACTOR_APPLICABILITY!$H:$H,MATCH($C76,MATERIAL_FACTOR_APPLICABILITY!$A:$A,0)))</f>
        <v/>
      </c>
      <c r="N76" s="22" t="str">
        <f>IF($B76="","",ROUND(1+($I76*(SUMIFS(OBJECT_CONDITIONS!$W:$W,OBJECT_CONDITIONS!$A:$A,$B76)-1))+($J76*(SUMIFS(OBJECT_CONDITIONS!$J:$J,OBJECT_CONDITIONS!$A:$A,$B76)-1))+($K76*(SUMIFS(OBJECT_CONDITIONS!$L:$L,OBJECT_CONDITIONS!$A:$A,$B76)-1))+($L76*(SUMIFS(OBJECT_CONDITIONS!$N:$N,OBJECT_CONDITIONS!$A:$A,$B76)-1))+($M76*(SUMIFS(OBJECT_CONDITIONS!$R:$R,OBJECT_CONDITIONS!$A:$A,$B76)-1)),3))</f>
        <v/>
      </c>
      <c r="O76" s="22"/>
      <c r="P76" s="22" t="str">
        <f t="shared" si="6"/>
        <v/>
      </c>
      <c r="Q76" s="22" t="str">
        <f t="shared" si="7"/>
        <v/>
      </c>
      <c r="R76" s="4" t="str">
        <f>IF($D76="","",IFERROR(INDEX(MATERIAL_VARIANTS!$O:$O,MATCH($D76,MATERIAL_VARIANTS!$A:$A,0)),""))</f>
        <v/>
      </c>
      <c r="S76" s="22" t="str">
        <f>IF($D76="","",IFERROR(INDEX(MATERIAL_VARIANTS!$P:$P,MATCH($D76,MATERIAL_VARIANTS!$A:$A,0)),""))</f>
        <v/>
      </c>
      <c r="T76" s="4" t="str">
        <f t="shared" si="8"/>
        <v/>
      </c>
      <c r="U76" s="4"/>
    </row>
    <row r="77" spans="1:21" x14ac:dyDescent="0.3">
      <c r="A77" s="4"/>
      <c r="B77" s="4"/>
      <c r="C77" s="4"/>
      <c r="D77" s="4"/>
      <c r="E77" s="4"/>
      <c r="F77" s="4"/>
      <c r="G77" s="4" t="str">
        <f>IF($C77="","",INDEX(MATERIAL_MASTER!$O:$O,MATCH($C77,MATERIAL_MASTER!$A:$A,0)))</f>
        <v/>
      </c>
      <c r="H77" s="22" t="str">
        <f>IF($C77="","",INDEX(MATERIAL_MASTER!$P:$P,MATCH($C77,MATERIAL_MASTER!$A:$A,0)))</f>
        <v/>
      </c>
      <c r="I77" s="22" t="str">
        <f>IF($C77="","",INDEX(MATERIAL_FACTOR_APPLICABILITY!$D:$D,MATCH($C77,MATERIAL_FACTOR_APPLICABILITY!$A:$A,0)))</f>
        <v/>
      </c>
      <c r="J77" s="22" t="str">
        <f>IF($C77="","",INDEX(MATERIAL_FACTOR_APPLICABILITY!$E:$E,MATCH($C77,MATERIAL_FACTOR_APPLICABILITY!$A:$A,0)))</f>
        <v/>
      </c>
      <c r="K77" s="22" t="str">
        <f>IF($C77="","",INDEX(MATERIAL_FACTOR_APPLICABILITY!$F:$F,MATCH($C77,MATERIAL_FACTOR_APPLICABILITY!$A:$A,0)))</f>
        <v/>
      </c>
      <c r="L77" s="22" t="str">
        <f>IF($C77="","",INDEX(MATERIAL_FACTOR_APPLICABILITY!$G:$G,MATCH($C77,MATERIAL_FACTOR_APPLICABILITY!$A:$A,0)))</f>
        <v/>
      </c>
      <c r="M77" s="22" t="str">
        <f>IF($C77="","",INDEX(MATERIAL_FACTOR_APPLICABILITY!$H:$H,MATCH($C77,MATERIAL_FACTOR_APPLICABILITY!$A:$A,0)))</f>
        <v/>
      </c>
      <c r="N77" s="22" t="str">
        <f>IF($B77="","",ROUND(1+($I77*(SUMIFS(OBJECT_CONDITIONS!$W:$W,OBJECT_CONDITIONS!$A:$A,$B77)-1))+($J77*(SUMIFS(OBJECT_CONDITIONS!$J:$J,OBJECT_CONDITIONS!$A:$A,$B77)-1))+($K77*(SUMIFS(OBJECT_CONDITIONS!$L:$L,OBJECT_CONDITIONS!$A:$A,$B77)-1))+($L77*(SUMIFS(OBJECT_CONDITIONS!$N:$N,OBJECT_CONDITIONS!$A:$A,$B77)-1))+($M77*(SUMIFS(OBJECT_CONDITIONS!$R:$R,OBJECT_CONDITIONS!$A:$A,$B77)-1)),3))</f>
        <v/>
      </c>
      <c r="O77" s="22"/>
      <c r="P77" s="22" t="str">
        <f t="shared" si="6"/>
        <v/>
      </c>
      <c r="Q77" s="22" t="str">
        <f t="shared" si="7"/>
        <v/>
      </c>
      <c r="R77" s="4" t="str">
        <f>IF($D77="","",IFERROR(INDEX(MATERIAL_VARIANTS!$O:$O,MATCH($D77,MATERIAL_VARIANTS!$A:$A,0)),""))</f>
        <v/>
      </c>
      <c r="S77" s="22" t="str">
        <f>IF($D77="","",IFERROR(INDEX(MATERIAL_VARIANTS!$P:$P,MATCH($D77,MATERIAL_VARIANTS!$A:$A,0)),""))</f>
        <v/>
      </c>
      <c r="T77" s="4" t="str">
        <f t="shared" si="8"/>
        <v/>
      </c>
      <c r="U77" s="4"/>
    </row>
    <row r="78" spans="1:21" x14ac:dyDescent="0.3">
      <c r="A78" s="4"/>
      <c r="B78" s="4"/>
      <c r="C78" s="4"/>
      <c r="D78" s="4"/>
      <c r="E78" s="4"/>
      <c r="F78" s="4"/>
      <c r="G78" s="4" t="str">
        <f>IF($C78="","",INDEX(MATERIAL_MASTER!$O:$O,MATCH($C78,MATERIAL_MASTER!$A:$A,0)))</f>
        <v/>
      </c>
      <c r="H78" s="22" t="str">
        <f>IF($C78="","",INDEX(MATERIAL_MASTER!$P:$P,MATCH($C78,MATERIAL_MASTER!$A:$A,0)))</f>
        <v/>
      </c>
      <c r="I78" s="22" t="str">
        <f>IF($C78="","",INDEX(MATERIAL_FACTOR_APPLICABILITY!$D:$D,MATCH($C78,MATERIAL_FACTOR_APPLICABILITY!$A:$A,0)))</f>
        <v/>
      </c>
      <c r="J78" s="22" t="str">
        <f>IF($C78="","",INDEX(MATERIAL_FACTOR_APPLICABILITY!$E:$E,MATCH($C78,MATERIAL_FACTOR_APPLICABILITY!$A:$A,0)))</f>
        <v/>
      </c>
      <c r="K78" s="22" t="str">
        <f>IF($C78="","",INDEX(MATERIAL_FACTOR_APPLICABILITY!$F:$F,MATCH($C78,MATERIAL_FACTOR_APPLICABILITY!$A:$A,0)))</f>
        <v/>
      </c>
      <c r="L78" s="22" t="str">
        <f>IF($C78="","",INDEX(MATERIAL_FACTOR_APPLICABILITY!$G:$G,MATCH($C78,MATERIAL_FACTOR_APPLICABILITY!$A:$A,0)))</f>
        <v/>
      </c>
      <c r="M78" s="22" t="str">
        <f>IF($C78="","",INDEX(MATERIAL_FACTOR_APPLICABILITY!$H:$H,MATCH($C78,MATERIAL_FACTOR_APPLICABILITY!$A:$A,0)))</f>
        <v/>
      </c>
      <c r="N78" s="22" t="str">
        <f>IF($B78="","",ROUND(1+($I78*(SUMIFS(OBJECT_CONDITIONS!$W:$W,OBJECT_CONDITIONS!$A:$A,$B78)-1))+($J78*(SUMIFS(OBJECT_CONDITIONS!$J:$J,OBJECT_CONDITIONS!$A:$A,$B78)-1))+($K78*(SUMIFS(OBJECT_CONDITIONS!$L:$L,OBJECT_CONDITIONS!$A:$A,$B78)-1))+($L78*(SUMIFS(OBJECT_CONDITIONS!$N:$N,OBJECT_CONDITIONS!$A:$A,$B78)-1))+($M78*(SUMIFS(OBJECT_CONDITIONS!$R:$R,OBJECT_CONDITIONS!$A:$A,$B78)-1)),3))</f>
        <v/>
      </c>
      <c r="O78" s="22"/>
      <c r="P78" s="22" t="str">
        <f t="shared" si="6"/>
        <v/>
      </c>
      <c r="Q78" s="22" t="str">
        <f t="shared" si="7"/>
        <v/>
      </c>
      <c r="R78" s="4" t="str">
        <f>IF($D78="","",IFERROR(INDEX(MATERIAL_VARIANTS!$O:$O,MATCH($D78,MATERIAL_VARIANTS!$A:$A,0)),""))</f>
        <v/>
      </c>
      <c r="S78" s="22" t="str">
        <f>IF($D78="","",IFERROR(INDEX(MATERIAL_VARIANTS!$P:$P,MATCH($D78,MATERIAL_VARIANTS!$A:$A,0)),""))</f>
        <v/>
      </c>
      <c r="T78" s="4" t="str">
        <f t="shared" si="8"/>
        <v/>
      </c>
      <c r="U78" s="4"/>
    </row>
    <row r="79" spans="1:21" x14ac:dyDescent="0.3">
      <c r="A79" s="4"/>
      <c r="B79" s="4"/>
      <c r="C79" s="4"/>
      <c r="D79" s="4"/>
      <c r="E79" s="4"/>
      <c r="F79" s="4"/>
      <c r="G79" s="4" t="str">
        <f>IF($C79="","",INDEX(MATERIAL_MASTER!$O:$O,MATCH($C79,MATERIAL_MASTER!$A:$A,0)))</f>
        <v/>
      </c>
      <c r="H79" s="22" t="str">
        <f>IF($C79="","",INDEX(MATERIAL_MASTER!$P:$P,MATCH($C79,MATERIAL_MASTER!$A:$A,0)))</f>
        <v/>
      </c>
      <c r="I79" s="22" t="str">
        <f>IF($C79="","",INDEX(MATERIAL_FACTOR_APPLICABILITY!$D:$D,MATCH($C79,MATERIAL_FACTOR_APPLICABILITY!$A:$A,0)))</f>
        <v/>
      </c>
      <c r="J79" s="22" t="str">
        <f>IF($C79="","",INDEX(MATERIAL_FACTOR_APPLICABILITY!$E:$E,MATCH($C79,MATERIAL_FACTOR_APPLICABILITY!$A:$A,0)))</f>
        <v/>
      </c>
      <c r="K79" s="22" t="str">
        <f>IF($C79="","",INDEX(MATERIAL_FACTOR_APPLICABILITY!$F:$F,MATCH($C79,MATERIAL_FACTOR_APPLICABILITY!$A:$A,0)))</f>
        <v/>
      </c>
      <c r="L79" s="22" t="str">
        <f>IF($C79="","",INDEX(MATERIAL_FACTOR_APPLICABILITY!$G:$G,MATCH($C79,MATERIAL_FACTOR_APPLICABILITY!$A:$A,0)))</f>
        <v/>
      </c>
      <c r="M79" s="22" t="str">
        <f>IF($C79="","",INDEX(MATERIAL_FACTOR_APPLICABILITY!$H:$H,MATCH($C79,MATERIAL_FACTOR_APPLICABILITY!$A:$A,0)))</f>
        <v/>
      </c>
      <c r="N79" s="22" t="str">
        <f>IF($B79="","",ROUND(1+($I79*(SUMIFS(OBJECT_CONDITIONS!$W:$W,OBJECT_CONDITIONS!$A:$A,$B79)-1))+($J79*(SUMIFS(OBJECT_CONDITIONS!$J:$J,OBJECT_CONDITIONS!$A:$A,$B79)-1))+($K79*(SUMIFS(OBJECT_CONDITIONS!$L:$L,OBJECT_CONDITIONS!$A:$A,$B79)-1))+($L79*(SUMIFS(OBJECT_CONDITIONS!$N:$N,OBJECT_CONDITIONS!$A:$A,$B79)-1))+($M79*(SUMIFS(OBJECT_CONDITIONS!$R:$R,OBJECT_CONDITIONS!$A:$A,$B79)-1)),3))</f>
        <v/>
      </c>
      <c r="O79" s="22"/>
      <c r="P79" s="22" t="str">
        <f t="shared" si="6"/>
        <v/>
      </c>
      <c r="Q79" s="22" t="str">
        <f t="shared" si="7"/>
        <v/>
      </c>
      <c r="R79" s="4" t="str">
        <f>IF($D79="","",IFERROR(INDEX(MATERIAL_VARIANTS!$O:$O,MATCH($D79,MATERIAL_VARIANTS!$A:$A,0)),""))</f>
        <v/>
      </c>
      <c r="S79" s="22" t="str">
        <f>IF($D79="","",IFERROR(INDEX(MATERIAL_VARIANTS!$P:$P,MATCH($D79,MATERIAL_VARIANTS!$A:$A,0)),""))</f>
        <v/>
      </c>
      <c r="T79" s="4" t="str">
        <f t="shared" si="8"/>
        <v/>
      </c>
      <c r="U79" s="4"/>
    </row>
    <row r="80" spans="1:21" x14ac:dyDescent="0.3">
      <c r="A80" s="4"/>
      <c r="B80" s="4"/>
      <c r="C80" s="4"/>
      <c r="D80" s="4"/>
      <c r="E80" s="4"/>
      <c r="F80" s="4"/>
      <c r="G80" s="4" t="str">
        <f>IF($C80="","",INDEX(MATERIAL_MASTER!$O:$O,MATCH($C80,MATERIAL_MASTER!$A:$A,0)))</f>
        <v/>
      </c>
      <c r="H80" s="22" t="str">
        <f>IF($C80="","",INDEX(MATERIAL_MASTER!$P:$P,MATCH($C80,MATERIAL_MASTER!$A:$A,0)))</f>
        <v/>
      </c>
      <c r="I80" s="22" t="str">
        <f>IF($C80="","",INDEX(MATERIAL_FACTOR_APPLICABILITY!$D:$D,MATCH($C80,MATERIAL_FACTOR_APPLICABILITY!$A:$A,0)))</f>
        <v/>
      </c>
      <c r="J80" s="22" t="str">
        <f>IF($C80="","",INDEX(MATERIAL_FACTOR_APPLICABILITY!$E:$E,MATCH($C80,MATERIAL_FACTOR_APPLICABILITY!$A:$A,0)))</f>
        <v/>
      </c>
      <c r="K80" s="22" t="str">
        <f>IF($C80="","",INDEX(MATERIAL_FACTOR_APPLICABILITY!$F:$F,MATCH($C80,MATERIAL_FACTOR_APPLICABILITY!$A:$A,0)))</f>
        <v/>
      </c>
      <c r="L80" s="22" t="str">
        <f>IF($C80="","",INDEX(MATERIAL_FACTOR_APPLICABILITY!$G:$G,MATCH($C80,MATERIAL_FACTOR_APPLICABILITY!$A:$A,0)))</f>
        <v/>
      </c>
      <c r="M80" s="22" t="str">
        <f>IF($C80="","",INDEX(MATERIAL_FACTOR_APPLICABILITY!$H:$H,MATCH($C80,MATERIAL_FACTOR_APPLICABILITY!$A:$A,0)))</f>
        <v/>
      </c>
      <c r="N80" s="22" t="str">
        <f>IF($B80="","",ROUND(1+($I80*(SUMIFS(OBJECT_CONDITIONS!$W:$W,OBJECT_CONDITIONS!$A:$A,$B80)-1))+($J80*(SUMIFS(OBJECT_CONDITIONS!$J:$J,OBJECT_CONDITIONS!$A:$A,$B80)-1))+($K80*(SUMIFS(OBJECT_CONDITIONS!$L:$L,OBJECT_CONDITIONS!$A:$A,$B80)-1))+($L80*(SUMIFS(OBJECT_CONDITIONS!$N:$N,OBJECT_CONDITIONS!$A:$A,$B80)-1))+($M80*(SUMIFS(OBJECT_CONDITIONS!$R:$R,OBJECT_CONDITIONS!$A:$A,$B80)-1)),3))</f>
        <v/>
      </c>
      <c r="O80" s="22"/>
      <c r="P80" s="22" t="str">
        <f t="shared" si="6"/>
        <v/>
      </c>
      <c r="Q80" s="22" t="str">
        <f t="shared" si="7"/>
        <v/>
      </c>
      <c r="R80" s="4" t="str">
        <f>IF($D80="","",IFERROR(INDEX(MATERIAL_VARIANTS!$O:$O,MATCH($D80,MATERIAL_VARIANTS!$A:$A,0)),""))</f>
        <v/>
      </c>
      <c r="S80" s="22" t="str">
        <f>IF($D80="","",IFERROR(INDEX(MATERIAL_VARIANTS!$P:$P,MATCH($D80,MATERIAL_VARIANTS!$A:$A,0)),""))</f>
        <v/>
      </c>
      <c r="T80" s="4" t="str">
        <f t="shared" si="8"/>
        <v/>
      </c>
      <c r="U80" s="4"/>
    </row>
    <row r="81" spans="1:21" x14ac:dyDescent="0.3">
      <c r="A81" s="4"/>
      <c r="B81" s="4"/>
      <c r="C81" s="4"/>
      <c r="D81" s="4"/>
      <c r="E81" s="4"/>
      <c r="F81" s="4"/>
      <c r="G81" s="4" t="str">
        <f>IF($C81="","",INDEX(MATERIAL_MASTER!$O:$O,MATCH($C81,MATERIAL_MASTER!$A:$A,0)))</f>
        <v/>
      </c>
      <c r="H81" s="22" t="str">
        <f>IF($C81="","",INDEX(MATERIAL_MASTER!$P:$P,MATCH($C81,MATERIAL_MASTER!$A:$A,0)))</f>
        <v/>
      </c>
      <c r="I81" s="22" t="str">
        <f>IF($C81="","",INDEX(MATERIAL_FACTOR_APPLICABILITY!$D:$D,MATCH($C81,MATERIAL_FACTOR_APPLICABILITY!$A:$A,0)))</f>
        <v/>
      </c>
      <c r="J81" s="22" t="str">
        <f>IF($C81="","",INDEX(MATERIAL_FACTOR_APPLICABILITY!$E:$E,MATCH($C81,MATERIAL_FACTOR_APPLICABILITY!$A:$A,0)))</f>
        <v/>
      </c>
      <c r="K81" s="22" t="str">
        <f>IF($C81="","",INDEX(MATERIAL_FACTOR_APPLICABILITY!$F:$F,MATCH($C81,MATERIAL_FACTOR_APPLICABILITY!$A:$A,0)))</f>
        <v/>
      </c>
      <c r="L81" s="22" t="str">
        <f>IF($C81="","",INDEX(MATERIAL_FACTOR_APPLICABILITY!$G:$G,MATCH($C81,MATERIAL_FACTOR_APPLICABILITY!$A:$A,0)))</f>
        <v/>
      </c>
      <c r="M81" s="22" t="str">
        <f>IF($C81="","",INDEX(MATERIAL_FACTOR_APPLICABILITY!$H:$H,MATCH($C81,MATERIAL_FACTOR_APPLICABILITY!$A:$A,0)))</f>
        <v/>
      </c>
      <c r="N81" s="22" t="str">
        <f>IF($B81="","",ROUND(1+($I81*(SUMIFS(OBJECT_CONDITIONS!$W:$W,OBJECT_CONDITIONS!$A:$A,$B81)-1))+($J81*(SUMIFS(OBJECT_CONDITIONS!$J:$J,OBJECT_CONDITIONS!$A:$A,$B81)-1))+($K81*(SUMIFS(OBJECT_CONDITIONS!$L:$L,OBJECT_CONDITIONS!$A:$A,$B81)-1))+($L81*(SUMIFS(OBJECT_CONDITIONS!$N:$N,OBJECT_CONDITIONS!$A:$A,$B81)-1))+($M81*(SUMIFS(OBJECT_CONDITIONS!$R:$R,OBJECT_CONDITIONS!$A:$A,$B81)-1)),3))</f>
        <v/>
      </c>
      <c r="O81" s="22"/>
      <c r="P81" s="22" t="str">
        <f t="shared" si="6"/>
        <v/>
      </c>
      <c r="Q81" s="22" t="str">
        <f t="shared" si="7"/>
        <v/>
      </c>
      <c r="R81" s="4" t="str">
        <f>IF($D81="","",IFERROR(INDEX(MATERIAL_VARIANTS!$O:$O,MATCH($D81,MATERIAL_VARIANTS!$A:$A,0)),""))</f>
        <v/>
      </c>
      <c r="S81" s="22" t="str">
        <f>IF($D81="","",IFERROR(INDEX(MATERIAL_VARIANTS!$P:$P,MATCH($D81,MATERIAL_VARIANTS!$A:$A,0)),""))</f>
        <v/>
      </c>
      <c r="T81" s="4" t="str">
        <f t="shared" si="8"/>
        <v/>
      </c>
      <c r="U81" s="4"/>
    </row>
    <row r="82" spans="1:21" x14ac:dyDescent="0.3">
      <c r="A82" s="4"/>
      <c r="B82" s="4"/>
      <c r="C82" s="4"/>
      <c r="D82" s="4"/>
      <c r="E82" s="4"/>
      <c r="F82" s="4"/>
      <c r="G82" s="4" t="str">
        <f>IF($C82="","",INDEX(MATERIAL_MASTER!$O:$O,MATCH($C82,MATERIAL_MASTER!$A:$A,0)))</f>
        <v/>
      </c>
      <c r="H82" s="22" t="str">
        <f>IF($C82="","",INDEX(MATERIAL_MASTER!$P:$P,MATCH($C82,MATERIAL_MASTER!$A:$A,0)))</f>
        <v/>
      </c>
      <c r="I82" s="22" t="str">
        <f>IF($C82="","",INDEX(MATERIAL_FACTOR_APPLICABILITY!$D:$D,MATCH($C82,MATERIAL_FACTOR_APPLICABILITY!$A:$A,0)))</f>
        <v/>
      </c>
      <c r="J82" s="22" t="str">
        <f>IF($C82="","",INDEX(MATERIAL_FACTOR_APPLICABILITY!$E:$E,MATCH($C82,MATERIAL_FACTOR_APPLICABILITY!$A:$A,0)))</f>
        <v/>
      </c>
      <c r="K82" s="22" t="str">
        <f>IF($C82="","",INDEX(MATERIAL_FACTOR_APPLICABILITY!$F:$F,MATCH($C82,MATERIAL_FACTOR_APPLICABILITY!$A:$A,0)))</f>
        <v/>
      </c>
      <c r="L82" s="22" t="str">
        <f>IF($C82="","",INDEX(MATERIAL_FACTOR_APPLICABILITY!$G:$G,MATCH($C82,MATERIAL_FACTOR_APPLICABILITY!$A:$A,0)))</f>
        <v/>
      </c>
      <c r="M82" s="22" t="str">
        <f>IF($C82="","",INDEX(MATERIAL_FACTOR_APPLICABILITY!$H:$H,MATCH($C82,MATERIAL_FACTOR_APPLICABILITY!$A:$A,0)))</f>
        <v/>
      </c>
      <c r="N82" s="22" t="str">
        <f>IF($B82="","",ROUND(1+($I82*(SUMIFS(OBJECT_CONDITIONS!$W:$W,OBJECT_CONDITIONS!$A:$A,$B82)-1))+($J82*(SUMIFS(OBJECT_CONDITIONS!$J:$J,OBJECT_CONDITIONS!$A:$A,$B82)-1))+($K82*(SUMIFS(OBJECT_CONDITIONS!$L:$L,OBJECT_CONDITIONS!$A:$A,$B82)-1))+($L82*(SUMIFS(OBJECT_CONDITIONS!$N:$N,OBJECT_CONDITIONS!$A:$A,$B82)-1))+($M82*(SUMIFS(OBJECT_CONDITIONS!$R:$R,OBJECT_CONDITIONS!$A:$A,$B82)-1)),3))</f>
        <v/>
      </c>
      <c r="O82" s="22"/>
      <c r="P82" s="22" t="str">
        <f t="shared" si="6"/>
        <v/>
      </c>
      <c r="Q82" s="22" t="str">
        <f t="shared" si="7"/>
        <v/>
      </c>
      <c r="R82" s="4" t="str">
        <f>IF($D82="","",IFERROR(INDEX(MATERIAL_VARIANTS!$O:$O,MATCH($D82,MATERIAL_VARIANTS!$A:$A,0)),""))</f>
        <v/>
      </c>
      <c r="S82" s="22" t="str">
        <f>IF($D82="","",IFERROR(INDEX(MATERIAL_VARIANTS!$P:$P,MATCH($D82,MATERIAL_VARIANTS!$A:$A,0)),""))</f>
        <v/>
      </c>
      <c r="T82" s="4" t="str">
        <f t="shared" si="8"/>
        <v/>
      </c>
      <c r="U82" s="4"/>
    </row>
    <row r="83" spans="1:21" x14ac:dyDescent="0.3">
      <c r="A83" s="4"/>
      <c r="B83" s="4"/>
      <c r="C83" s="4"/>
      <c r="D83" s="4"/>
      <c r="E83" s="4"/>
      <c r="F83" s="4"/>
      <c r="G83" s="4" t="str">
        <f>IF($C83="","",INDEX(MATERIAL_MASTER!$O:$O,MATCH($C83,MATERIAL_MASTER!$A:$A,0)))</f>
        <v/>
      </c>
      <c r="H83" s="22" t="str">
        <f>IF($C83="","",INDEX(MATERIAL_MASTER!$P:$P,MATCH($C83,MATERIAL_MASTER!$A:$A,0)))</f>
        <v/>
      </c>
      <c r="I83" s="22" t="str">
        <f>IF($C83="","",INDEX(MATERIAL_FACTOR_APPLICABILITY!$D:$D,MATCH($C83,MATERIAL_FACTOR_APPLICABILITY!$A:$A,0)))</f>
        <v/>
      </c>
      <c r="J83" s="22" t="str">
        <f>IF($C83="","",INDEX(MATERIAL_FACTOR_APPLICABILITY!$E:$E,MATCH($C83,MATERIAL_FACTOR_APPLICABILITY!$A:$A,0)))</f>
        <v/>
      </c>
      <c r="K83" s="22" t="str">
        <f>IF($C83="","",INDEX(MATERIAL_FACTOR_APPLICABILITY!$F:$F,MATCH($C83,MATERIAL_FACTOR_APPLICABILITY!$A:$A,0)))</f>
        <v/>
      </c>
      <c r="L83" s="22" t="str">
        <f>IF($C83="","",INDEX(MATERIAL_FACTOR_APPLICABILITY!$G:$G,MATCH($C83,MATERIAL_FACTOR_APPLICABILITY!$A:$A,0)))</f>
        <v/>
      </c>
      <c r="M83" s="22" t="str">
        <f>IF($C83="","",INDEX(MATERIAL_FACTOR_APPLICABILITY!$H:$H,MATCH($C83,MATERIAL_FACTOR_APPLICABILITY!$A:$A,0)))</f>
        <v/>
      </c>
      <c r="N83" s="22" t="str">
        <f>IF($B83="","",ROUND(1+($I83*(SUMIFS(OBJECT_CONDITIONS!$W:$W,OBJECT_CONDITIONS!$A:$A,$B83)-1))+($J83*(SUMIFS(OBJECT_CONDITIONS!$J:$J,OBJECT_CONDITIONS!$A:$A,$B83)-1))+($K83*(SUMIFS(OBJECT_CONDITIONS!$L:$L,OBJECT_CONDITIONS!$A:$A,$B83)-1))+($L83*(SUMIFS(OBJECT_CONDITIONS!$N:$N,OBJECT_CONDITIONS!$A:$A,$B83)-1))+($M83*(SUMIFS(OBJECT_CONDITIONS!$R:$R,OBJECT_CONDITIONS!$A:$A,$B83)-1)),3))</f>
        <v/>
      </c>
      <c r="O83" s="22"/>
      <c r="P83" s="22" t="str">
        <f t="shared" si="6"/>
        <v/>
      </c>
      <c r="Q83" s="22" t="str">
        <f t="shared" si="7"/>
        <v/>
      </c>
      <c r="R83" s="4" t="str">
        <f>IF($D83="","",IFERROR(INDEX(MATERIAL_VARIANTS!$O:$O,MATCH($D83,MATERIAL_VARIANTS!$A:$A,0)),""))</f>
        <v/>
      </c>
      <c r="S83" s="22" t="str">
        <f>IF($D83="","",IFERROR(INDEX(MATERIAL_VARIANTS!$P:$P,MATCH($D83,MATERIAL_VARIANTS!$A:$A,0)),""))</f>
        <v/>
      </c>
      <c r="T83" s="4" t="str">
        <f t="shared" si="8"/>
        <v/>
      </c>
      <c r="U83" s="4"/>
    </row>
    <row r="84" spans="1:21" x14ac:dyDescent="0.3">
      <c r="A84" s="4"/>
      <c r="B84" s="4"/>
      <c r="C84" s="4"/>
      <c r="D84" s="4"/>
      <c r="E84" s="4"/>
      <c r="F84" s="4"/>
      <c r="G84" s="4" t="str">
        <f>IF($C84="","",INDEX(MATERIAL_MASTER!$O:$O,MATCH($C84,MATERIAL_MASTER!$A:$A,0)))</f>
        <v/>
      </c>
      <c r="H84" s="22" t="str">
        <f>IF($C84="","",INDEX(MATERIAL_MASTER!$P:$P,MATCH($C84,MATERIAL_MASTER!$A:$A,0)))</f>
        <v/>
      </c>
      <c r="I84" s="22" t="str">
        <f>IF($C84="","",INDEX(MATERIAL_FACTOR_APPLICABILITY!$D:$D,MATCH($C84,MATERIAL_FACTOR_APPLICABILITY!$A:$A,0)))</f>
        <v/>
      </c>
      <c r="J84" s="22" t="str">
        <f>IF($C84="","",INDEX(MATERIAL_FACTOR_APPLICABILITY!$E:$E,MATCH($C84,MATERIAL_FACTOR_APPLICABILITY!$A:$A,0)))</f>
        <v/>
      </c>
      <c r="K84" s="22" t="str">
        <f>IF($C84="","",INDEX(MATERIAL_FACTOR_APPLICABILITY!$F:$F,MATCH($C84,MATERIAL_FACTOR_APPLICABILITY!$A:$A,0)))</f>
        <v/>
      </c>
      <c r="L84" s="22" t="str">
        <f>IF($C84="","",INDEX(MATERIAL_FACTOR_APPLICABILITY!$G:$G,MATCH($C84,MATERIAL_FACTOR_APPLICABILITY!$A:$A,0)))</f>
        <v/>
      </c>
      <c r="M84" s="22" t="str">
        <f>IF($C84="","",INDEX(MATERIAL_FACTOR_APPLICABILITY!$H:$H,MATCH($C84,MATERIAL_FACTOR_APPLICABILITY!$A:$A,0)))</f>
        <v/>
      </c>
      <c r="N84" s="22" t="str">
        <f>IF($B84="","",ROUND(1+($I84*(SUMIFS(OBJECT_CONDITIONS!$W:$W,OBJECT_CONDITIONS!$A:$A,$B84)-1))+($J84*(SUMIFS(OBJECT_CONDITIONS!$J:$J,OBJECT_CONDITIONS!$A:$A,$B84)-1))+($K84*(SUMIFS(OBJECT_CONDITIONS!$L:$L,OBJECT_CONDITIONS!$A:$A,$B84)-1))+($L84*(SUMIFS(OBJECT_CONDITIONS!$N:$N,OBJECT_CONDITIONS!$A:$A,$B84)-1))+($M84*(SUMIFS(OBJECT_CONDITIONS!$R:$R,OBJECT_CONDITIONS!$A:$A,$B84)-1)),3))</f>
        <v/>
      </c>
      <c r="O84" s="22"/>
      <c r="P84" s="22" t="str">
        <f t="shared" si="6"/>
        <v/>
      </c>
      <c r="Q84" s="22" t="str">
        <f t="shared" si="7"/>
        <v/>
      </c>
      <c r="R84" s="4" t="str">
        <f>IF($D84="","",IFERROR(INDEX(MATERIAL_VARIANTS!$O:$O,MATCH($D84,MATERIAL_VARIANTS!$A:$A,0)),""))</f>
        <v/>
      </c>
      <c r="S84" s="22" t="str">
        <f>IF($D84="","",IFERROR(INDEX(MATERIAL_VARIANTS!$P:$P,MATCH($D84,MATERIAL_VARIANTS!$A:$A,0)),""))</f>
        <v/>
      </c>
      <c r="T84" s="4" t="str">
        <f t="shared" si="8"/>
        <v/>
      </c>
      <c r="U84" s="4"/>
    </row>
    <row r="85" spans="1:21" x14ac:dyDescent="0.3">
      <c r="A85" s="4"/>
      <c r="B85" s="4"/>
      <c r="C85" s="4"/>
      <c r="D85" s="4"/>
      <c r="E85" s="4"/>
      <c r="F85" s="4"/>
      <c r="G85" s="4" t="str">
        <f>IF($C85="","",INDEX(MATERIAL_MASTER!$O:$O,MATCH($C85,MATERIAL_MASTER!$A:$A,0)))</f>
        <v/>
      </c>
      <c r="H85" s="22" t="str">
        <f>IF($C85="","",INDEX(MATERIAL_MASTER!$P:$P,MATCH($C85,MATERIAL_MASTER!$A:$A,0)))</f>
        <v/>
      </c>
      <c r="I85" s="22" t="str">
        <f>IF($C85="","",INDEX(MATERIAL_FACTOR_APPLICABILITY!$D:$D,MATCH($C85,MATERIAL_FACTOR_APPLICABILITY!$A:$A,0)))</f>
        <v/>
      </c>
      <c r="J85" s="22" t="str">
        <f>IF($C85="","",INDEX(MATERIAL_FACTOR_APPLICABILITY!$E:$E,MATCH($C85,MATERIAL_FACTOR_APPLICABILITY!$A:$A,0)))</f>
        <v/>
      </c>
      <c r="K85" s="22" t="str">
        <f>IF($C85="","",INDEX(MATERIAL_FACTOR_APPLICABILITY!$F:$F,MATCH($C85,MATERIAL_FACTOR_APPLICABILITY!$A:$A,0)))</f>
        <v/>
      </c>
      <c r="L85" s="22" t="str">
        <f>IF($C85="","",INDEX(MATERIAL_FACTOR_APPLICABILITY!$G:$G,MATCH($C85,MATERIAL_FACTOR_APPLICABILITY!$A:$A,0)))</f>
        <v/>
      </c>
      <c r="M85" s="22" t="str">
        <f>IF($C85="","",INDEX(MATERIAL_FACTOR_APPLICABILITY!$H:$H,MATCH($C85,MATERIAL_FACTOR_APPLICABILITY!$A:$A,0)))</f>
        <v/>
      </c>
      <c r="N85" s="22" t="str">
        <f>IF($B85="","",ROUND(1+($I85*(SUMIFS(OBJECT_CONDITIONS!$W:$W,OBJECT_CONDITIONS!$A:$A,$B85)-1))+($J85*(SUMIFS(OBJECT_CONDITIONS!$J:$J,OBJECT_CONDITIONS!$A:$A,$B85)-1))+($K85*(SUMIFS(OBJECT_CONDITIONS!$L:$L,OBJECT_CONDITIONS!$A:$A,$B85)-1))+($L85*(SUMIFS(OBJECT_CONDITIONS!$N:$N,OBJECT_CONDITIONS!$A:$A,$B85)-1))+($M85*(SUMIFS(OBJECT_CONDITIONS!$R:$R,OBJECT_CONDITIONS!$A:$A,$B85)-1)),3))</f>
        <v/>
      </c>
      <c r="O85" s="22"/>
      <c r="P85" s="22" t="str">
        <f t="shared" si="6"/>
        <v/>
      </c>
      <c r="Q85" s="22" t="str">
        <f t="shared" si="7"/>
        <v/>
      </c>
      <c r="R85" s="4" t="str">
        <f>IF($D85="","",IFERROR(INDEX(MATERIAL_VARIANTS!$O:$O,MATCH($D85,MATERIAL_VARIANTS!$A:$A,0)),""))</f>
        <v/>
      </c>
      <c r="S85" s="22" t="str">
        <f>IF($D85="","",IFERROR(INDEX(MATERIAL_VARIANTS!$P:$P,MATCH($D85,MATERIAL_VARIANTS!$A:$A,0)),""))</f>
        <v/>
      </c>
      <c r="T85" s="4" t="str">
        <f t="shared" si="8"/>
        <v/>
      </c>
      <c r="U85" s="4"/>
    </row>
    <row r="86" spans="1:21" x14ac:dyDescent="0.3">
      <c r="A86" s="4"/>
      <c r="B86" s="4"/>
      <c r="C86" s="4"/>
      <c r="D86" s="4"/>
      <c r="E86" s="4"/>
      <c r="F86" s="4"/>
      <c r="G86" s="4" t="str">
        <f>IF($C86="","",INDEX(MATERIAL_MASTER!$O:$O,MATCH($C86,MATERIAL_MASTER!$A:$A,0)))</f>
        <v/>
      </c>
      <c r="H86" s="22" t="str">
        <f>IF($C86="","",INDEX(MATERIAL_MASTER!$P:$P,MATCH($C86,MATERIAL_MASTER!$A:$A,0)))</f>
        <v/>
      </c>
      <c r="I86" s="22" t="str">
        <f>IF($C86="","",INDEX(MATERIAL_FACTOR_APPLICABILITY!$D:$D,MATCH($C86,MATERIAL_FACTOR_APPLICABILITY!$A:$A,0)))</f>
        <v/>
      </c>
      <c r="J86" s="22" t="str">
        <f>IF($C86="","",INDEX(MATERIAL_FACTOR_APPLICABILITY!$E:$E,MATCH($C86,MATERIAL_FACTOR_APPLICABILITY!$A:$A,0)))</f>
        <v/>
      </c>
      <c r="K86" s="22" t="str">
        <f>IF($C86="","",INDEX(MATERIAL_FACTOR_APPLICABILITY!$F:$F,MATCH($C86,MATERIAL_FACTOR_APPLICABILITY!$A:$A,0)))</f>
        <v/>
      </c>
      <c r="L86" s="22" t="str">
        <f>IF($C86="","",INDEX(MATERIAL_FACTOR_APPLICABILITY!$G:$G,MATCH($C86,MATERIAL_FACTOR_APPLICABILITY!$A:$A,0)))</f>
        <v/>
      </c>
      <c r="M86" s="22" t="str">
        <f>IF($C86="","",INDEX(MATERIAL_FACTOR_APPLICABILITY!$H:$H,MATCH($C86,MATERIAL_FACTOR_APPLICABILITY!$A:$A,0)))</f>
        <v/>
      </c>
      <c r="N86" s="22" t="str">
        <f>IF($B86="","",ROUND(1+($I86*(SUMIFS(OBJECT_CONDITIONS!$W:$W,OBJECT_CONDITIONS!$A:$A,$B86)-1))+($J86*(SUMIFS(OBJECT_CONDITIONS!$J:$J,OBJECT_CONDITIONS!$A:$A,$B86)-1))+($K86*(SUMIFS(OBJECT_CONDITIONS!$L:$L,OBJECT_CONDITIONS!$A:$A,$B86)-1))+($L86*(SUMIFS(OBJECT_CONDITIONS!$N:$N,OBJECT_CONDITIONS!$A:$A,$B86)-1))+($M86*(SUMIFS(OBJECT_CONDITIONS!$R:$R,OBJECT_CONDITIONS!$A:$A,$B86)-1)),3))</f>
        <v/>
      </c>
      <c r="O86" s="22"/>
      <c r="P86" s="22" t="str">
        <f t="shared" si="6"/>
        <v/>
      </c>
      <c r="Q86" s="22" t="str">
        <f t="shared" si="7"/>
        <v/>
      </c>
      <c r="R86" s="4" t="str">
        <f>IF($D86="","",IFERROR(INDEX(MATERIAL_VARIANTS!$O:$O,MATCH($D86,MATERIAL_VARIANTS!$A:$A,0)),""))</f>
        <v/>
      </c>
      <c r="S86" s="22" t="str">
        <f>IF($D86="","",IFERROR(INDEX(MATERIAL_VARIANTS!$P:$P,MATCH($D86,MATERIAL_VARIANTS!$A:$A,0)),""))</f>
        <v/>
      </c>
      <c r="T86" s="4" t="str">
        <f t="shared" si="8"/>
        <v/>
      </c>
      <c r="U86" s="4"/>
    </row>
    <row r="87" spans="1:21" x14ac:dyDescent="0.3">
      <c r="A87" s="4"/>
      <c r="B87" s="4"/>
      <c r="C87" s="4"/>
      <c r="D87" s="4"/>
      <c r="E87" s="4"/>
      <c r="F87" s="4"/>
      <c r="G87" s="4" t="str">
        <f>IF($C87="","",INDEX(MATERIAL_MASTER!$O:$O,MATCH($C87,MATERIAL_MASTER!$A:$A,0)))</f>
        <v/>
      </c>
      <c r="H87" s="22" t="str">
        <f>IF($C87="","",INDEX(MATERIAL_MASTER!$P:$P,MATCH($C87,MATERIAL_MASTER!$A:$A,0)))</f>
        <v/>
      </c>
      <c r="I87" s="22" t="str">
        <f>IF($C87="","",INDEX(MATERIAL_FACTOR_APPLICABILITY!$D:$D,MATCH($C87,MATERIAL_FACTOR_APPLICABILITY!$A:$A,0)))</f>
        <v/>
      </c>
      <c r="J87" s="22" t="str">
        <f>IF($C87="","",INDEX(MATERIAL_FACTOR_APPLICABILITY!$E:$E,MATCH($C87,MATERIAL_FACTOR_APPLICABILITY!$A:$A,0)))</f>
        <v/>
      </c>
      <c r="K87" s="22" t="str">
        <f>IF($C87="","",INDEX(MATERIAL_FACTOR_APPLICABILITY!$F:$F,MATCH($C87,MATERIAL_FACTOR_APPLICABILITY!$A:$A,0)))</f>
        <v/>
      </c>
      <c r="L87" s="22" t="str">
        <f>IF($C87="","",INDEX(MATERIAL_FACTOR_APPLICABILITY!$G:$G,MATCH($C87,MATERIAL_FACTOR_APPLICABILITY!$A:$A,0)))</f>
        <v/>
      </c>
      <c r="M87" s="22" t="str">
        <f>IF($C87="","",INDEX(MATERIAL_FACTOR_APPLICABILITY!$H:$H,MATCH($C87,MATERIAL_FACTOR_APPLICABILITY!$A:$A,0)))</f>
        <v/>
      </c>
      <c r="N87" s="22" t="str">
        <f>IF($B87="","",ROUND(1+($I87*(SUMIFS(OBJECT_CONDITIONS!$W:$W,OBJECT_CONDITIONS!$A:$A,$B87)-1))+($J87*(SUMIFS(OBJECT_CONDITIONS!$J:$J,OBJECT_CONDITIONS!$A:$A,$B87)-1))+($K87*(SUMIFS(OBJECT_CONDITIONS!$L:$L,OBJECT_CONDITIONS!$A:$A,$B87)-1))+($L87*(SUMIFS(OBJECT_CONDITIONS!$N:$N,OBJECT_CONDITIONS!$A:$A,$B87)-1))+($M87*(SUMIFS(OBJECT_CONDITIONS!$R:$R,OBJECT_CONDITIONS!$A:$A,$B87)-1)),3))</f>
        <v/>
      </c>
      <c r="O87" s="22"/>
      <c r="P87" s="22" t="str">
        <f t="shared" si="6"/>
        <v/>
      </c>
      <c r="Q87" s="22" t="str">
        <f t="shared" si="7"/>
        <v/>
      </c>
      <c r="R87" s="4" t="str">
        <f>IF($D87="","",IFERROR(INDEX(MATERIAL_VARIANTS!$O:$O,MATCH($D87,MATERIAL_VARIANTS!$A:$A,0)),""))</f>
        <v/>
      </c>
      <c r="S87" s="22" t="str">
        <f>IF($D87="","",IFERROR(INDEX(MATERIAL_VARIANTS!$P:$P,MATCH($D87,MATERIAL_VARIANTS!$A:$A,0)),""))</f>
        <v/>
      </c>
      <c r="T87" s="4" t="str">
        <f t="shared" si="8"/>
        <v/>
      </c>
      <c r="U87" s="4"/>
    </row>
    <row r="88" spans="1:21" x14ac:dyDescent="0.3">
      <c r="A88" s="4"/>
      <c r="B88" s="4"/>
      <c r="C88" s="4"/>
      <c r="D88" s="4"/>
      <c r="E88" s="4"/>
      <c r="F88" s="4"/>
      <c r="G88" s="4" t="str">
        <f>IF($C88="","",INDEX(MATERIAL_MASTER!$O:$O,MATCH($C88,MATERIAL_MASTER!$A:$A,0)))</f>
        <v/>
      </c>
      <c r="H88" s="22" t="str">
        <f>IF($C88="","",INDEX(MATERIAL_MASTER!$P:$P,MATCH($C88,MATERIAL_MASTER!$A:$A,0)))</f>
        <v/>
      </c>
      <c r="I88" s="22" t="str">
        <f>IF($C88="","",INDEX(MATERIAL_FACTOR_APPLICABILITY!$D:$D,MATCH($C88,MATERIAL_FACTOR_APPLICABILITY!$A:$A,0)))</f>
        <v/>
      </c>
      <c r="J88" s="22" t="str">
        <f>IF($C88="","",INDEX(MATERIAL_FACTOR_APPLICABILITY!$E:$E,MATCH($C88,MATERIAL_FACTOR_APPLICABILITY!$A:$A,0)))</f>
        <v/>
      </c>
      <c r="K88" s="22" t="str">
        <f>IF($C88="","",INDEX(MATERIAL_FACTOR_APPLICABILITY!$F:$F,MATCH($C88,MATERIAL_FACTOR_APPLICABILITY!$A:$A,0)))</f>
        <v/>
      </c>
      <c r="L88" s="22" t="str">
        <f>IF($C88="","",INDEX(MATERIAL_FACTOR_APPLICABILITY!$G:$G,MATCH($C88,MATERIAL_FACTOR_APPLICABILITY!$A:$A,0)))</f>
        <v/>
      </c>
      <c r="M88" s="22" t="str">
        <f>IF($C88="","",INDEX(MATERIAL_FACTOR_APPLICABILITY!$H:$H,MATCH($C88,MATERIAL_FACTOR_APPLICABILITY!$A:$A,0)))</f>
        <v/>
      </c>
      <c r="N88" s="22" t="str">
        <f>IF($B88="","",ROUND(1+($I88*(SUMIFS(OBJECT_CONDITIONS!$W:$W,OBJECT_CONDITIONS!$A:$A,$B88)-1))+($J88*(SUMIFS(OBJECT_CONDITIONS!$J:$J,OBJECT_CONDITIONS!$A:$A,$B88)-1))+($K88*(SUMIFS(OBJECT_CONDITIONS!$L:$L,OBJECT_CONDITIONS!$A:$A,$B88)-1))+($L88*(SUMIFS(OBJECT_CONDITIONS!$N:$N,OBJECT_CONDITIONS!$A:$A,$B88)-1))+($M88*(SUMIFS(OBJECT_CONDITIONS!$R:$R,OBJECT_CONDITIONS!$A:$A,$B88)-1)),3))</f>
        <v/>
      </c>
      <c r="O88" s="22"/>
      <c r="P88" s="22" t="str">
        <f t="shared" si="6"/>
        <v/>
      </c>
      <c r="Q88" s="22" t="str">
        <f t="shared" si="7"/>
        <v/>
      </c>
      <c r="R88" s="4" t="str">
        <f>IF($D88="","",IFERROR(INDEX(MATERIAL_VARIANTS!$O:$O,MATCH($D88,MATERIAL_VARIANTS!$A:$A,0)),""))</f>
        <v/>
      </c>
      <c r="S88" s="22" t="str">
        <f>IF($D88="","",IFERROR(INDEX(MATERIAL_VARIANTS!$P:$P,MATCH($D88,MATERIAL_VARIANTS!$A:$A,0)),""))</f>
        <v/>
      </c>
      <c r="T88" s="4" t="str">
        <f t="shared" si="8"/>
        <v/>
      </c>
      <c r="U88" s="4"/>
    </row>
    <row r="89" spans="1:21" x14ac:dyDescent="0.3">
      <c r="A89" s="4"/>
      <c r="B89" s="4"/>
      <c r="C89" s="4"/>
      <c r="D89" s="4"/>
      <c r="E89" s="4"/>
      <c r="F89" s="4"/>
      <c r="G89" s="4" t="str">
        <f>IF($C89="","",INDEX(MATERIAL_MASTER!$O:$O,MATCH($C89,MATERIAL_MASTER!$A:$A,0)))</f>
        <v/>
      </c>
      <c r="H89" s="22" t="str">
        <f>IF($C89="","",INDEX(MATERIAL_MASTER!$P:$P,MATCH($C89,MATERIAL_MASTER!$A:$A,0)))</f>
        <v/>
      </c>
      <c r="I89" s="22" t="str">
        <f>IF($C89="","",INDEX(MATERIAL_FACTOR_APPLICABILITY!$D:$D,MATCH($C89,MATERIAL_FACTOR_APPLICABILITY!$A:$A,0)))</f>
        <v/>
      </c>
      <c r="J89" s="22" t="str">
        <f>IF($C89="","",INDEX(MATERIAL_FACTOR_APPLICABILITY!$E:$E,MATCH($C89,MATERIAL_FACTOR_APPLICABILITY!$A:$A,0)))</f>
        <v/>
      </c>
      <c r="K89" s="22" t="str">
        <f>IF($C89="","",INDEX(MATERIAL_FACTOR_APPLICABILITY!$F:$F,MATCH($C89,MATERIAL_FACTOR_APPLICABILITY!$A:$A,0)))</f>
        <v/>
      </c>
      <c r="L89" s="22" t="str">
        <f>IF($C89="","",INDEX(MATERIAL_FACTOR_APPLICABILITY!$G:$G,MATCH($C89,MATERIAL_FACTOR_APPLICABILITY!$A:$A,0)))</f>
        <v/>
      </c>
      <c r="M89" s="22" t="str">
        <f>IF($C89="","",INDEX(MATERIAL_FACTOR_APPLICABILITY!$H:$H,MATCH($C89,MATERIAL_FACTOR_APPLICABILITY!$A:$A,0)))</f>
        <v/>
      </c>
      <c r="N89" s="22" t="str">
        <f>IF($B89="","",ROUND(1+($I89*(SUMIFS(OBJECT_CONDITIONS!$W:$W,OBJECT_CONDITIONS!$A:$A,$B89)-1))+($J89*(SUMIFS(OBJECT_CONDITIONS!$J:$J,OBJECT_CONDITIONS!$A:$A,$B89)-1))+($K89*(SUMIFS(OBJECT_CONDITIONS!$L:$L,OBJECT_CONDITIONS!$A:$A,$B89)-1))+($L89*(SUMIFS(OBJECT_CONDITIONS!$N:$N,OBJECT_CONDITIONS!$A:$A,$B89)-1))+($M89*(SUMIFS(OBJECT_CONDITIONS!$R:$R,OBJECT_CONDITIONS!$A:$A,$B89)-1)),3))</f>
        <v/>
      </c>
      <c r="O89" s="22"/>
      <c r="P89" s="22" t="str">
        <f t="shared" si="6"/>
        <v/>
      </c>
      <c r="Q89" s="22" t="str">
        <f t="shared" si="7"/>
        <v/>
      </c>
      <c r="R89" s="4" t="str">
        <f>IF($D89="","",IFERROR(INDEX(MATERIAL_VARIANTS!$O:$O,MATCH($D89,MATERIAL_VARIANTS!$A:$A,0)),""))</f>
        <v/>
      </c>
      <c r="S89" s="22" t="str">
        <f>IF($D89="","",IFERROR(INDEX(MATERIAL_VARIANTS!$P:$P,MATCH($D89,MATERIAL_VARIANTS!$A:$A,0)),""))</f>
        <v/>
      </c>
      <c r="T89" s="4" t="str">
        <f t="shared" si="8"/>
        <v/>
      </c>
      <c r="U89" s="4"/>
    </row>
    <row r="90" spans="1:21" x14ac:dyDescent="0.3">
      <c r="A90" s="4"/>
      <c r="B90" s="4"/>
      <c r="C90" s="4"/>
      <c r="D90" s="4"/>
      <c r="E90" s="4"/>
      <c r="F90" s="4"/>
      <c r="G90" s="4" t="str">
        <f>IF($C90="","",INDEX(MATERIAL_MASTER!$O:$O,MATCH($C90,MATERIAL_MASTER!$A:$A,0)))</f>
        <v/>
      </c>
      <c r="H90" s="22" t="str">
        <f>IF($C90="","",INDEX(MATERIAL_MASTER!$P:$P,MATCH($C90,MATERIAL_MASTER!$A:$A,0)))</f>
        <v/>
      </c>
      <c r="I90" s="22" t="str">
        <f>IF($C90="","",INDEX(MATERIAL_FACTOR_APPLICABILITY!$D:$D,MATCH($C90,MATERIAL_FACTOR_APPLICABILITY!$A:$A,0)))</f>
        <v/>
      </c>
      <c r="J90" s="22" t="str">
        <f>IF($C90="","",INDEX(MATERIAL_FACTOR_APPLICABILITY!$E:$E,MATCH($C90,MATERIAL_FACTOR_APPLICABILITY!$A:$A,0)))</f>
        <v/>
      </c>
      <c r="K90" s="22" t="str">
        <f>IF($C90="","",INDEX(MATERIAL_FACTOR_APPLICABILITY!$F:$F,MATCH($C90,MATERIAL_FACTOR_APPLICABILITY!$A:$A,0)))</f>
        <v/>
      </c>
      <c r="L90" s="22" t="str">
        <f>IF($C90="","",INDEX(MATERIAL_FACTOR_APPLICABILITY!$G:$G,MATCH($C90,MATERIAL_FACTOR_APPLICABILITY!$A:$A,0)))</f>
        <v/>
      </c>
      <c r="M90" s="22" t="str">
        <f>IF($C90="","",INDEX(MATERIAL_FACTOR_APPLICABILITY!$H:$H,MATCH($C90,MATERIAL_FACTOR_APPLICABILITY!$A:$A,0)))</f>
        <v/>
      </c>
      <c r="N90" s="22" t="str">
        <f>IF($B90="","",ROUND(1+($I90*(SUMIFS(OBJECT_CONDITIONS!$W:$W,OBJECT_CONDITIONS!$A:$A,$B90)-1))+($J90*(SUMIFS(OBJECT_CONDITIONS!$J:$J,OBJECT_CONDITIONS!$A:$A,$B90)-1))+($K90*(SUMIFS(OBJECT_CONDITIONS!$L:$L,OBJECT_CONDITIONS!$A:$A,$B90)-1))+($L90*(SUMIFS(OBJECT_CONDITIONS!$N:$N,OBJECT_CONDITIONS!$A:$A,$B90)-1))+($M90*(SUMIFS(OBJECT_CONDITIONS!$R:$R,OBJECT_CONDITIONS!$A:$A,$B90)-1)),3))</f>
        <v/>
      </c>
      <c r="O90" s="22"/>
      <c r="P90" s="22" t="str">
        <f t="shared" si="6"/>
        <v/>
      </c>
      <c r="Q90" s="22" t="str">
        <f t="shared" si="7"/>
        <v/>
      </c>
      <c r="R90" s="4" t="str">
        <f>IF($D90="","",IFERROR(INDEX(MATERIAL_VARIANTS!$O:$O,MATCH($D90,MATERIAL_VARIANTS!$A:$A,0)),""))</f>
        <v/>
      </c>
      <c r="S90" s="22" t="str">
        <f>IF($D90="","",IFERROR(INDEX(MATERIAL_VARIANTS!$P:$P,MATCH($D90,MATERIAL_VARIANTS!$A:$A,0)),""))</f>
        <v/>
      </c>
      <c r="T90" s="4" t="str">
        <f t="shared" si="8"/>
        <v/>
      </c>
      <c r="U90" s="4"/>
    </row>
    <row r="91" spans="1:21" x14ac:dyDescent="0.3">
      <c r="A91" s="4"/>
      <c r="B91" s="4"/>
      <c r="C91" s="4"/>
      <c r="D91" s="4"/>
      <c r="E91" s="4"/>
      <c r="F91" s="4"/>
      <c r="G91" s="4" t="str">
        <f>IF($C91="","",INDEX(MATERIAL_MASTER!$O:$O,MATCH($C91,MATERIAL_MASTER!$A:$A,0)))</f>
        <v/>
      </c>
      <c r="H91" s="22" t="str">
        <f>IF($C91="","",INDEX(MATERIAL_MASTER!$P:$P,MATCH($C91,MATERIAL_MASTER!$A:$A,0)))</f>
        <v/>
      </c>
      <c r="I91" s="22" t="str">
        <f>IF($C91="","",INDEX(MATERIAL_FACTOR_APPLICABILITY!$D:$D,MATCH($C91,MATERIAL_FACTOR_APPLICABILITY!$A:$A,0)))</f>
        <v/>
      </c>
      <c r="J91" s="22" t="str">
        <f>IF($C91="","",INDEX(MATERIAL_FACTOR_APPLICABILITY!$E:$E,MATCH($C91,MATERIAL_FACTOR_APPLICABILITY!$A:$A,0)))</f>
        <v/>
      </c>
      <c r="K91" s="22" t="str">
        <f>IF($C91="","",INDEX(MATERIAL_FACTOR_APPLICABILITY!$F:$F,MATCH($C91,MATERIAL_FACTOR_APPLICABILITY!$A:$A,0)))</f>
        <v/>
      </c>
      <c r="L91" s="22" t="str">
        <f>IF($C91="","",INDEX(MATERIAL_FACTOR_APPLICABILITY!$G:$G,MATCH($C91,MATERIAL_FACTOR_APPLICABILITY!$A:$A,0)))</f>
        <v/>
      </c>
      <c r="M91" s="22" t="str">
        <f>IF($C91="","",INDEX(MATERIAL_FACTOR_APPLICABILITY!$H:$H,MATCH($C91,MATERIAL_FACTOR_APPLICABILITY!$A:$A,0)))</f>
        <v/>
      </c>
      <c r="N91" s="22" t="str">
        <f>IF($B91="","",ROUND(1+($I91*(SUMIFS(OBJECT_CONDITIONS!$W:$W,OBJECT_CONDITIONS!$A:$A,$B91)-1))+($J91*(SUMIFS(OBJECT_CONDITIONS!$J:$J,OBJECT_CONDITIONS!$A:$A,$B91)-1))+($K91*(SUMIFS(OBJECT_CONDITIONS!$L:$L,OBJECT_CONDITIONS!$A:$A,$B91)-1))+($L91*(SUMIFS(OBJECT_CONDITIONS!$N:$N,OBJECT_CONDITIONS!$A:$A,$B91)-1))+($M91*(SUMIFS(OBJECT_CONDITIONS!$R:$R,OBJECT_CONDITIONS!$A:$A,$B91)-1)),3))</f>
        <v/>
      </c>
      <c r="O91" s="22"/>
      <c r="P91" s="22" t="str">
        <f t="shared" si="6"/>
        <v/>
      </c>
      <c r="Q91" s="22" t="str">
        <f t="shared" si="7"/>
        <v/>
      </c>
      <c r="R91" s="4" t="str">
        <f>IF($D91="","",IFERROR(INDEX(MATERIAL_VARIANTS!$O:$O,MATCH($D91,MATERIAL_VARIANTS!$A:$A,0)),""))</f>
        <v/>
      </c>
      <c r="S91" s="22" t="str">
        <f>IF($D91="","",IFERROR(INDEX(MATERIAL_VARIANTS!$P:$P,MATCH($D91,MATERIAL_VARIANTS!$A:$A,0)),""))</f>
        <v/>
      </c>
      <c r="T91" s="4" t="str">
        <f t="shared" si="8"/>
        <v/>
      </c>
      <c r="U91" s="4"/>
    </row>
    <row r="92" spans="1:21" x14ac:dyDescent="0.3">
      <c r="A92" s="4"/>
      <c r="B92" s="4"/>
      <c r="C92" s="4"/>
      <c r="D92" s="4"/>
      <c r="E92" s="4"/>
      <c r="F92" s="4"/>
      <c r="G92" s="4" t="str">
        <f>IF($C92="","",INDEX(MATERIAL_MASTER!$O:$O,MATCH($C92,MATERIAL_MASTER!$A:$A,0)))</f>
        <v/>
      </c>
      <c r="H92" s="22" t="str">
        <f>IF($C92="","",INDEX(MATERIAL_MASTER!$P:$P,MATCH($C92,MATERIAL_MASTER!$A:$A,0)))</f>
        <v/>
      </c>
      <c r="I92" s="22" t="str">
        <f>IF($C92="","",INDEX(MATERIAL_FACTOR_APPLICABILITY!$D:$D,MATCH($C92,MATERIAL_FACTOR_APPLICABILITY!$A:$A,0)))</f>
        <v/>
      </c>
      <c r="J92" s="22" t="str">
        <f>IF($C92="","",INDEX(MATERIAL_FACTOR_APPLICABILITY!$E:$E,MATCH($C92,MATERIAL_FACTOR_APPLICABILITY!$A:$A,0)))</f>
        <v/>
      </c>
      <c r="K92" s="22" t="str">
        <f>IF($C92="","",INDEX(MATERIAL_FACTOR_APPLICABILITY!$F:$F,MATCH($C92,MATERIAL_FACTOR_APPLICABILITY!$A:$A,0)))</f>
        <v/>
      </c>
      <c r="L92" s="22" t="str">
        <f>IF($C92="","",INDEX(MATERIAL_FACTOR_APPLICABILITY!$G:$G,MATCH($C92,MATERIAL_FACTOR_APPLICABILITY!$A:$A,0)))</f>
        <v/>
      </c>
      <c r="M92" s="22" t="str">
        <f>IF($C92="","",INDEX(MATERIAL_FACTOR_APPLICABILITY!$H:$H,MATCH($C92,MATERIAL_FACTOR_APPLICABILITY!$A:$A,0)))</f>
        <v/>
      </c>
      <c r="N92" s="22" t="str">
        <f>IF($B92="","",ROUND(1+($I92*(SUMIFS(OBJECT_CONDITIONS!$W:$W,OBJECT_CONDITIONS!$A:$A,$B92)-1))+($J92*(SUMIFS(OBJECT_CONDITIONS!$J:$J,OBJECT_CONDITIONS!$A:$A,$B92)-1))+($K92*(SUMIFS(OBJECT_CONDITIONS!$L:$L,OBJECT_CONDITIONS!$A:$A,$B92)-1))+($L92*(SUMIFS(OBJECT_CONDITIONS!$N:$N,OBJECT_CONDITIONS!$A:$A,$B92)-1))+($M92*(SUMIFS(OBJECT_CONDITIONS!$R:$R,OBJECT_CONDITIONS!$A:$A,$B92)-1)),3))</f>
        <v/>
      </c>
      <c r="O92" s="22"/>
      <c r="P92" s="22" t="str">
        <f t="shared" si="6"/>
        <v/>
      </c>
      <c r="Q92" s="22" t="str">
        <f t="shared" si="7"/>
        <v/>
      </c>
      <c r="R92" s="4" t="str">
        <f>IF($D92="","",IFERROR(INDEX(MATERIAL_VARIANTS!$O:$O,MATCH($D92,MATERIAL_VARIANTS!$A:$A,0)),""))</f>
        <v/>
      </c>
      <c r="S92" s="22" t="str">
        <f>IF($D92="","",IFERROR(INDEX(MATERIAL_VARIANTS!$P:$P,MATCH($D92,MATERIAL_VARIANTS!$A:$A,0)),""))</f>
        <v/>
      </c>
      <c r="T92" s="4" t="str">
        <f t="shared" si="8"/>
        <v/>
      </c>
      <c r="U92" s="4"/>
    </row>
    <row r="93" spans="1:21" x14ac:dyDescent="0.3">
      <c r="A93" s="4"/>
      <c r="B93" s="4"/>
      <c r="C93" s="4"/>
      <c r="D93" s="4"/>
      <c r="E93" s="4"/>
      <c r="F93" s="4"/>
      <c r="G93" s="4" t="str">
        <f>IF($C93="","",INDEX(MATERIAL_MASTER!$O:$O,MATCH($C93,MATERIAL_MASTER!$A:$A,0)))</f>
        <v/>
      </c>
      <c r="H93" s="22" t="str">
        <f>IF($C93="","",INDEX(MATERIAL_MASTER!$P:$P,MATCH($C93,MATERIAL_MASTER!$A:$A,0)))</f>
        <v/>
      </c>
      <c r="I93" s="22" t="str">
        <f>IF($C93="","",INDEX(MATERIAL_FACTOR_APPLICABILITY!$D:$D,MATCH($C93,MATERIAL_FACTOR_APPLICABILITY!$A:$A,0)))</f>
        <v/>
      </c>
      <c r="J93" s="22" t="str">
        <f>IF($C93="","",INDEX(MATERIAL_FACTOR_APPLICABILITY!$E:$E,MATCH($C93,MATERIAL_FACTOR_APPLICABILITY!$A:$A,0)))</f>
        <v/>
      </c>
      <c r="K93" s="22" t="str">
        <f>IF($C93="","",INDEX(MATERIAL_FACTOR_APPLICABILITY!$F:$F,MATCH($C93,MATERIAL_FACTOR_APPLICABILITY!$A:$A,0)))</f>
        <v/>
      </c>
      <c r="L93" s="22" t="str">
        <f>IF($C93="","",INDEX(MATERIAL_FACTOR_APPLICABILITY!$G:$G,MATCH($C93,MATERIAL_FACTOR_APPLICABILITY!$A:$A,0)))</f>
        <v/>
      </c>
      <c r="M93" s="22" t="str">
        <f>IF($C93="","",INDEX(MATERIAL_FACTOR_APPLICABILITY!$H:$H,MATCH($C93,MATERIAL_FACTOR_APPLICABILITY!$A:$A,0)))</f>
        <v/>
      </c>
      <c r="N93" s="22" t="str">
        <f>IF($B93="","",ROUND(1+($I93*(SUMIFS(OBJECT_CONDITIONS!$W:$W,OBJECT_CONDITIONS!$A:$A,$B93)-1))+($J93*(SUMIFS(OBJECT_CONDITIONS!$J:$J,OBJECT_CONDITIONS!$A:$A,$B93)-1))+($K93*(SUMIFS(OBJECT_CONDITIONS!$L:$L,OBJECT_CONDITIONS!$A:$A,$B93)-1))+($L93*(SUMIFS(OBJECT_CONDITIONS!$N:$N,OBJECT_CONDITIONS!$A:$A,$B93)-1))+($M93*(SUMIFS(OBJECT_CONDITIONS!$R:$R,OBJECT_CONDITIONS!$A:$A,$B93)-1)),3))</f>
        <v/>
      </c>
      <c r="O93" s="22"/>
      <c r="P93" s="22" t="str">
        <f t="shared" si="6"/>
        <v/>
      </c>
      <c r="Q93" s="22" t="str">
        <f t="shared" si="7"/>
        <v/>
      </c>
      <c r="R93" s="4" t="str">
        <f>IF($D93="","",IFERROR(INDEX(MATERIAL_VARIANTS!$O:$O,MATCH($D93,MATERIAL_VARIANTS!$A:$A,0)),""))</f>
        <v/>
      </c>
      <c r="S93" s="22" t="str">
        <f>IF($D93="","",IFERROR(INDEX(MATERIAL_VARIANTS!$P:$P,MATCH($D93,MATERIAL_VARIANTS!$A:$A,0)),""))</f>
        <v/>
      </c>
      <c r="T93" s="4" t="str">
        <f t="shared" si="8"/>
        <v/>
      </c>
      <c r="U93" s="4"/>
    </row>
    <row r="94" spans="1:21" x14ac:dyDescent="0.3">
      <c r="A94" s="4"/>
      <c r="B94" s="4"/>
      <c r="C94" s="4"/>
      <c r="D94" s="4"/>
      <c r="E94" s="4"/>
      <c r="F94" s="4"/>
      <c r="G94" s="4" t="str">
        <f>IF($C94="","",INDEX(MATERIAL_MASTER!$O:$O,MATCH($C94,MATERIAL_MASTER!$A:$A,0)))</f>
        <v/>
      </c>
      <c r="H94" s="22" t="str">
        <f>IF($C94="","",INDEX(MATERIAL_MASTER!$P:$P,MATCH($C94,MATERIAL_MASTER!$A:$A,0)))</f>
        <v/>
      </c>
      <c r="I94" s="22" t="str">
        <f>IF($C94="","",INDEX(MATERIAL_FACTOR_APPLICABILITY!$D:$D,MATCH($C94,MATERIAL_FACTOR_APPLICABILITY!$A:$A,0)))</f>
        <v/>
      </c>
      <c r="J94" s="22" t="str">
        <f>IF($C94="","",INDEX(MATERIAL_FACTOR_APPLICABILITY!$E:$E,MATCH($C94,MATERIAL_FACTOR_APPLICABILITY!$A:$A,0)))</f>
        <v/>
      </c>
      <c r="K94" s="22" t="str">
        <f>IF($C94="","",INDEX(MATERIAL_FACTOR_APPLICABILITY!$F:$F,MATCH($C94,MATERIAL_FACTOR_APPLICABILITY!$A:$A,0)))</f>
        <v/>
      </c>
      <c r="L94" s="22" t="str">
        <f>IF($C94="","",INDEX(MATERIAL_FACTOR_APPLICABILITY!$G:$G,MATCH($C94,MATERIAL_FACTOR_APPLICABILITY!$A:$A,0)))</f>
        <v/>
      </c>
      <c r="M94" s="22" t="str">
        <f>IF($C94="","",INDEX(MATERIAL_FACTOR_APPLICABILITY!$H:$H,MATCH($C94,MATERIAL_FACTOR_APPLICABILITY!$A:$A,0)))</f>
        <v/>
      </c>
      <c r="N94" s="22" t="str">
        <f>IF($B94="","",ROUND(1+($I94*(SUMIFS(OBJECT_CONDITIONS!$W:$W,OBJECT_CONDITIONS!$A:$A,$B94)-1))+($J94*(SUMIFS(OBJECT_CONDITIONS!$J:$J,OBJECT_CONDITIONS!$A:$A,$B94)-1))+($K94*(SUMIFS(OBJECT_CONDITIONS!$L:$L,OBJECT_CONDITIONS!$A:$A,$B94)-1))+($L94*(SUMIFS(OBJECT_CONDITIONS!$N:$N,OBJECT_CONDITIONS!$A:$A,$B94)-1))+($M94*(SUMIFS(OBJECT_CONDITIONS!$R:$R,OBJECT_CONDITIONS!$A:$A,$B94)-1)),3))</f>
        <v/>
      </c>
      <c r="O94" s="22"/>
      <c r="P94" s="22" t="str">
        <f t="shared" si="6"/>
        <v/>
      </c>
      <c r="Q94" s="22" t="str">
        <f t="shared" si="7"/>
        <v/>
      </c>
      <c r="R94" s="4" t="str">
        <f>IF($D94="","",IFERROR(INDEX(MATERIAL_VARIANTS!$O:$O,MATCH($D94,MATERIAL_VARIANTS!$A:$A,0)),""))</f>
        <v/>
      </c>
      <c r="S94" s="22" t="str">
        <f>IF($D94="","",IFERROR(INDEX(MATERIAL_VARIANTS!$P:$P,MATCH($D94,MATERIAL_VARIANTS!$A:$A,0)),""))</f>
        <v/>
      </c>
      <c r="T94" s="4" t="str">
        <f t="shared" si="8"/>
        <v/>
      </c>
      <c r="U94" s="4"/>
    </row>
    <row r="95" spans="1:21" x14ac:dyDescent="0.3">
      <c r="A95" s="4"/>
      <c r="B95" s="4"/>
      <c r="C95" s="4"/>
      <c r="D95" s="4"/>
      <c r="E95" s="4"/>
      <c r="F95" s="4"/>
      <c r="G95" s="4" t="str">
        <f>IF($C95="","",INDEX(MATERIAL_MASTER!$O:$O,MATCH($C95,MATERIAL_MASTER!$A:$A,0)))</f>
        <v/>
      </c>
      <c r="H95" s="22" t="str">
        <f>IF($C95="","",INDEX(MATERIAL_MASTER!$P:$P,MATCH($C95,MATERIAL_MASTER!$A:$A,0)))</f>
        <v/>
      </c>
      <c r="I95" s="22" t="str">
        <f>IF($C95="","",INDEX(MATERIAL_FACTOR_APPLICABILITY!$D:$D,MATCH($C95,MATERIAL_FACTOR_APPLICABILITY!$A:$A,0)))</f>
        <v/>
      </c>
      <c r="J95" s="22" t="str">
        <f>IF($C95="","",INDEX(MATERIAL_FACTOR_APPLICABILITY!$E:$E,MATCH($C95,MATERIAL_FACTOR_APPLICABILITY!$A:$A,0)))</f>
        <v/>
      </c>
      <c r="K95" s="22" t="str">
        <f>IF($C95="","",INDEX(MATERIAL_FACTOR_APPLICABILITY!$F:$F,MATCH($C95,MATERIAL_FACTOR_APPLICABILITY!$A:$A,0)))</f>
        <v/>
      </c>
      <c r="L95" s="22" t="str">
        <f>IF($C95="","",INDEX(MATERIAL_FACTOR_APPLICABILITY!$G:$G,MATCH($C95,MATERIAL_FACTOR_APPLICABILITY!$A:$A,0)))</f>
        <v/>
      </c>
      <c r="M95" s="22" t="str">
        <f>IF($C95="","",INDEX(MATERIAL_FACTOR_APPLICABILITY!$H:$H,MATCH($C95,MATERIAL_FACTOR_APPLICABILITY!$A:$A,0)))</f>
        <v/>
      </c>
      <c r="N95" s="22" t="str">
        <f>IF($B95="","",ROUND(1+($I95*(SUMIFS(OBJECT_CONDITIONS!$W:$W,OBJECT_CONDITIONS!$A:$A,$B95)-1))+($J95*(SUMIFS(OBJECT_CONDITIONS!$J:$J,OBJECT_CONDITIONS!$A:$A,$B95)-1))+($K95*(SUMIFS(OBJECT_CONDITIONS!$L:$L,OBJECT_CONDITIONS!$A:$A,$B95)-1))+($L95*(SUMIFS(OBJECT_CONDITIONS!$N:$N,OBJECT_CONDITIONS!$A:$A,$B95)-1))+($M95*(SUMIFS(OBJECT_CONDITIONS!$R:$R,OBJECT_CONDITIONS!$A:$A,$B95)-1)),3))</f>
        <v/>
      </c>
      <c r="O95" s="22"/>
      <c r="P95" s="22" t="str">
        <f t="shared" si="6"/>
        <v/>
      </c>
      <c r="Q95" s="22" t="str">
        <f t="shared" si="7"/>
        <v/>
      </c>
      <c r="R95" s="4" t="str">
        <f>IF($D95="","",IFERROR(INDEX(MATERIAL_VARIANTS!$O:$O,MATCH($D95,MATERIAL_VARIANTS!$A:$A,0)),""))</f>
        <v/>
      </c>
      <c r="S95" s="22" t="str">
        <f>IF($D95="","",IFERROR(INDEX(MATERIAL_VARIANTS!$P:$P,MATCH($D95,MATERIAL_VARIANTS!$A:$A,0)),""))</f>
        <v/>
      </c>
      <c r="T95" s="4" t="str">
        <f t="shared" si="8"/>
        <v/>
      </c>
      <c r="U95" s="4"/>
    </row>
    <row r="96" spans="1:21" x14ac:dyDescent="0.3">
      <c r="A96" s="4"/>
      <c r="B96" s="4"/>
      <c r="C96" s="4"/>
      <c r="D96" s="4"/>
      <c r="E96" s="4"/>
      <c r="F96" s="4"/>
      <c r="G96" s="4" t="str">
        <f>IF($C96="","",INDEX(MATERIAL_MASTER!$O:$O,MATCH($C96,MATERIAL_MASTER!$A:$A,0)))</f>
        <v/>
      </c>
      <c r="H96" s="22" t="str">
        <f>IF($C96="","",INDEX(MATERIAL_MASTER!$P:$P,MATCH($C96,MATERIAL_MASTER!$A:$A,0)))</f>
        <v/>
      </c>
      <c r="I96" s="22" t="str">
        <f>IF($C96="","",INDEX(MATERIAL_FACTOR_APPLICABILITY!$D:$D,MATCH($C96,MATERIAL_FACTOR_APPLICABILITY!$A:$A,0)))</f>
        <v/>
      </c>
      <c r="J96" s="22" t="str">
        <f>IF($C96="","",INDEX(MATERIAL_FACTOR_APPLICABILITY!$E:$E,MATCH($C96,MATERIAL_FACTOR_APPLICABILITY!$A:$A,0)))</f>
        <v/>
      </c>
      <c r="K96" s="22" t="str">
        <f>IF($C96="","",INDEX(MATERIAL_FACTOR_APPLICABILITY!$F:$F,MATCH($C96,MATERIAL_FACTOR_APPLICABILITY!$A:$A,0)))</f>
        <v/>
      </c>
      <c r="L96" s="22" t="str">
        <f>IF($C96="","",INDEX(MATERIAL_FACTOR_APPLICABILITY!$G:$G,MATCH($C96,MATERIAL_FACTOR_APPLICABILITY!$A:$A,0)))</f>
        <v/>
      </c>
      <c r="M96" s="22" t="str">
        <f>IF($C96="","",INDEX(MATERIAL_FACTOR_APPLICABILITY!$H:$H,MATCH($C96,MATERIAL_FACTOR_APPLICABILITY!$A:$A,0)))</f>
        <v/>
      </c>
      <c r="N96" s="22" t="str">
        <f>IF($B96="","",ROUND(1+($I96*(SUMIFS(OBJECT_CONDITIONS!$W:$W,OBJECT_CONDITIONS!$A:$A,$B96)-1))+($J96*(SUMIFS(OBJECT_CONDITIONS!$J:$J,OBJECT_CONDITIONS!$A:$A,$B96)-1))+($K96*(SUMIFS(OBJECT_CONDITIONS!$L:$L,OBJECT_CONDITIONS!$A:$A,$B96)-1))+($L96*(SUMIFS(OBJECT_CONDITIONS!$N:$N,OBJECT_CONDITIONS!$A:$A,$B96)-1))+($M96*(SUMIFS(OBJECT_CONDITIONS!$R:$R,OBJECT_CONDITIONS!$A:$A,$B96)-1)),3))</f>
        <v/>
      </c>
      <c r="O96" s="22"/>
      <c r="P96" s="22" t="str">
        <f t="shared" si="6"/>
        <v/>
      </c>
      <c r="Q96" s="22" t="str">
        <f t="shared" si="7"/>
        <v/>
      </c>
      <c r="R96" s="4" t="str">
        <f>IF($D96="","",IFERROR(INDEX(MATERIAL_VARIANTS!$O:$O,MATCH($D96,MATERIAL_VARIANTS!$A:$A,0)),""))</f>
        <v/>
      </c>
      <c r="S96" s="22" t="str">
        <f>IF($D96="","",IFERROR(INDEX(MATERIAL_VARIANTS!$P:$P,MATCH($D96,MATERIAL_VARIANTS!$A:$A,0)),""))</f>
        <v/>
      </c>
      <c r="T96" s="4" t="str">
        <f t="shared" si="8"/>
        <v/>
      </c>
      <c r="U96" s="4"/>
    </row>
    <row r="97" spans="1:21" x14ac:dyDescent="0.3">
      <c r="A97" s="4"/>
      <c r="B97" s="4"/>
      <c r="C97" s="4"/>
      <c r="D97" s="4"/>
      <c r="E97" s="4"/>
      <c r="F97" s="4"/>
      <c r="G97" s="4" t="str">
        <f>IF($C97="","",INDEX(MATERIAL_MASTER!$O:$O,MATCH($C97,MATERIAL_MASTER!$A:$A,0)))</f>
        <v/>
      </c>
      <c r="H97" s="22" t="str">
        <f>IF($C97="","",INDEX(MATERIAL_MASTER!$P:$P,MATCH($C97,MATERIAL_MASTER!$A:$A,0)))</f>
        <v/>
      </c>
      <c r="I97" s="22" t="str">
        <f>IF($C97="","",INDEX(MATERIAL_FACTOR_APPLICABILITY!$D:$D,MATCH($C97,MATERIAL_FACTOR_APPLICABILITY!$A:$A,0)))</f>
        <v/>
      </c>
      <c r="J97" s="22" t="str">
        <f>IF($C97="","",INDEX(MATERIAL_FACTOR_APPLICABILITY!$E:$E,MATCH($C97,MATERIAL_FACTOR_APPLICABILITY!$A:$A,0)))</f>
        <v/>
      </c>
      <c r="K97" s="22" t="str">
        <f>IF($C97="","",INDEX(MATERIAL_FACTOR_APPLICABILITY!$F:$F,MATCH($C97,MATERIAL_FACTOR_APPLICABILITY!$A:$A,0)))</f>
        <v/>
      </c>
      <c r="L97" s="22" t="str">
        <f>IF($C97="","",INDEX(MATERIAL_FACTOR_APPLICABILITY!$G:$G,MATCH($C97,MATERIAL_FACTOR_APPLICABILITY!$A:$A,0)))</f>
        <v/>
      </c>
      <c r="M97" s="22" t="str">
        <f>IF($C97="","",INDEX(MATERIAL_FACTOR_APPLICABILITY!$H:$H,MATCH($C97,MATERIAL_FACTOR_APPLICABILITY!$A:$A,0)))</f>
        <v/>
      </c>
      <c r="N97" s="22" t="str">
        <f>IF($B97="","",ROUND(1+($I97*(SUMIFS(OBJECT_CONDITIONS!$W:$W,OBJECT_CONDITIONS!$A:$A,$B97)-1))+($J97*(SUMIFS(OBJECT_CONDITIONS!$J:$J,OBJECT_CONDITIONS!$A:$A,$B97)-1))+($K97*(SUMIFS(OBJECT_CONDITIONS!$L:$L,OBJECT_CONDITIONS!$A:$A,$B97)-1))+($L97*(SUMIFS(OBJECT_CONDITIONS!$N:$N,OBJECT_CONDITIONS!$A:$A,$B97)-1))+($M97*(SUMIFS(OBJECT_CONDITIONS!$R:$R,OBJECT_CONDITIONS!$A:$A,$B97)-1)),3))</f>
        <v/>
      </c>
      <c r="O97" s="22"/>
      <c r="P97" s="22" t="str">
        <f t="shared" si="6"/>
        <v/>
      </c>
      <c r="Q97" s="22" t="str">
        <f t="shared" si="7"/>
        <v/>
      </c>
      <c r="R97" s="4" t="str">
        <f>IF($D97="","",IFERROR(INDEX(MATERIAL_VARIANTS!$O:$O,MATCH($D97,MATERIAL_VARIANTS!$A:$A,0)),""))</f>
        <v/>
      </c>
      <c r="S97" s="22" t="str">
        <f>IF($D97="","",IFERROR(INDEX(MATERIAL_VARIANTS!$P:$P,MATCH($D97,MATERIAL_VARIANTS!$A:$A,0)),""))</f>
        <v/>
      </c>
      <c r="T97" s="4" t="str">
        <f t="shared" si="8"/>
        <v/>
      </c>
      <c r="U97" s="4"/>
    </row>
    <row r="98" spans="1:21" x14ac:dyDescent="0.3">
      <c r="A98" s="4"/>
      <c r="B98" s="4"/>
      <c r="C98" s="4"/>
      <c r="D98" s="4"/>
      <c r="E98" s="4"/>
      <c r="F98" s="4"/>
      <c r="G98" s="4" t="str">
        <f>IF($C98="","",INDEX(MATERIAL_MASTER!$O:$O,MATCH($C98,MATERIAL_MASTER!$A:$A,0)))</f>
        <v/>
      </c>
      <c r="H98" s="22" t="str">
        <f>IF($C98="","",INDEX(MATERIAL_MASTER!$P:$P,MATCH($C98,MATERIAL_MASTER!$A:$A,0)))</f>
        <v/>
      </c>
      <c r="I98" s="22" t="str">
        <f>IF($C98="","",INDEX(MATERIAL_FACTOR_APPLICABILITY!$D:$D,MATCH($C98,MATERIAL_FACTOR_APPLICABILITY!$A:$A,0)))</f>
        <v/>
      </c>
      <c r="J98" s="22" t="str">
        <f>IF($C98="","",INDEX(MATERIAL_FACTOR_APPLICABILITY!$E:$E,MATCH($C98,MATERIAL_FACTOR_APPLICABILITY!$A:$A,0)))</f>
        <v/>
      </c>
      <c r="K98" s="22" t="str">
        <f>IF($C98="","",INDEX(MATERIAL_FACTOR_APPLICABILITY!$F:$F,MATCH($C98,MATERIAL_FACTOR_APPLICABILITY!$A:$A,0)))</f>
        <v/>
      </c>
      <c r="L98" s="22" t="str">
        <f>IF($C98="","",INDEX(MATERIAL_FACTOR_APPLICABILITY!$G:$G,MATCH($C98,MATERIAL_FACTOR_APPLICABILITY!$A:$A,0)))</f>
        <v/>
      </c>
      <c r="M98" s="22" t="str">
        <f>IF($C98="","",INDEX(MATERIAL_FACTOR_APPLICABILITY!$H:$H,MATCH($C98,MATERIAL_FACTOR_APPLICABILITY!$A:$A,0)))</f>
        <v/>
      </c>
      <c r="N98" s="22" t="str">
        <f>IF($B98="","",ROUND(1+($I98*(SUMIFS(OBJECT_CONDITIONS!$W:$W,OBJECT_CONDITIONS!$A:$A,$B98)-1))+($J98*(SUMIFS(OBJECT_CONDITIONS!$J:$J,OBJECT_CONDITIONS!$A:$A,$B98)-1))+($K98*(SUMIFS(OBJECT_CONDITIONS!$L:$L,OBJECT_CONDITIONS!$A:$A,$B98)-1))+($L98*(SUMIFS(OBJECT_CONDITIONS!$N:$N,OBJECT_CONDITIONS!$A:$A,$B98)-1))+($M98*(SUMIFS(OBJECT_CONDITIONS!$R:$R,OBJECT_CONDITIONS!$A:$A,$B98)-1)),3))</f>
        <v/>
      </c>
      <c r="O98" s="22"/>
      <c r="P98" s="22" t="str">
        <f t="shared" ref="P98:P129" si="9">IF(OR($H98="",$N98=""),"",ROUND($H98*$N98*IF($O98="",1,$O98),3))</f>
        <v/>
      </c>
      <c r="Q98" s="22" t="str">
        <f t="shared" ref="Q98:Q129" si="10">IF(OR($E98="",$P98=""),"",ROUND($E98*$P98,3))</f>
        <v/>
      </c>
      <c r="R98" s="4" t="str">
        <f>IF($D98="","",IFERROR(INDEX(MATERIAL_VARIANTS!$O:$O,MATCH($D98,MATERIAL_VARIANTS!$A:$A,0)),""))</f>
        <v/>
      </c>
      <c r="S98" s="22" t="str">
        <f>IF($D98="","",IFERROR(INDEX(MATERIAL_VARIANTS!$P:$P,MATCH($D98,MATERIAL_VARIANTS!$A:$A,0)),""))</f>
        <v/>
      </c>
      <c r="T98" s="4" t="str">
        <f t="shared" ref="T98:T129" si="11">IF(OR($Q98="",$S98="",$S98=0),"",ROUNDUP($Q98/$S98,0))</f>
        <v/>
      </c>
      <c r="U98" s="4"/>
    </row>
    <row r="99" spans="1:21" x14ac:dyDescent="0.3">
      <c r="A99" s="4"/>
      <c r="B99" s="4"/>
      <c r="C99" s="4"/>
      <c r="D99" s="4"/>
      <c r="E99" s="4"/>
      <c r="F99" s="4"/>
      <c r="G99" s="4" t="str">
        <f>IF($C99="","",INDEX(MATERIAL_MASTER!$O:$O,MATCH($C99,MATERIAL_MASTER!$A:$A,0)))</f>
        <v/>
      </c>
      <c r="H99" s="22" t="str">
        <f>IF($C99="","",INDEX(MATERIAL_MASTER!$P:$P,MATCH($C99,MATERIAL_MASTER!$A:$A,0)))</f>
        <v/>
      </c>
      <c r="I99" s="22" t="str">
        <f>IF($C99="","",INDEX(MATERIAL_FACTOR_APPLICABILITY!$D:$D,MATCH($C99,MATERIAL_FACTOR_APPLICABILITY!$A:$A,0)))</f>
        <v/>
      </c>
      <c r="J99" s="22" t="str">
        <f>IF($C99="","",INDEX(MATERIAL_FACTOR_APPLICABILITY!$E:$E,MATCH($C99,MATERIAL_FACTOR_APPLICABILITY!$A:$A,0)))</f>
        <v/>
      </c>
      <c r="K99" s="22" t="str">
        <f>IF($C99="","",INDEX(MATERIAL_FACTOR_APPLICABILITY!$F:$F,MATCH($C99,MATERIAL_FACTOR_APPLICABILITY!$A:$A,0)))</f>
        <v/>
      </c>
      <c r="L99" s="22" t="str">
        <f>IF($C99="","",INDEX(MATERIAL_FACTOR_APPLICABILITY!$G:$G,MATCH($C99,MATERIAL_FACTOR_APPLICABILITY!$A:$A,0)))</f>
        <v/>
      </c>
      <c r="M99" s="22" t="str">
        <f>IF($C99="","",INDEX(MATERIAL_FACTOR_APPLICABILITY!$H:$H,MATCH($C99,MATERIAL_FACTOR_APPLICABILITY!$A:$A,0)))</f>
        <v/>
      </c>
      <c r="N99" s="22" t="str">
        <f>IF($B99="","",ROUND(1+($I99*(SUMIFS(OBJECT_CONDITIONS!$W:$W,OBJECT_CONDITIONS!$A:$A,$B99)-1))+($J99*(SUMIFS(OBJECT_CONDITIONS!$J:$J,OBJECT_CONDITIONS!$A:$A,$B99)-1))+($K99*(SUMIFS(OBJECT_CONDITIONS!$L:$L,OBJECT_CONDITIONS!$A:$A,$B99)-1))+($L99*(SUMIFS(OBJECT_CONDITIONS!$N:$N,OBJECT_CONDITIONS!$A:$A,$B99)-1))+($M99*(SUMIFS(OBJECT_CONDITIONS!$R:$R,OBJECT_CONDITIONS!$A:$A,$B99)-1)),3))</f>
        <v/>
      </c>
      <c r="O99" s="22"/>
      <c r="P99" s="22" t="str">
        <f t="shared" si="9"/>
        <v/>
      </c>
      <c r="Q99" s="22" t="str">
        <f t="shared" si="10"/>
        <v/>
      </c>
      <c r="R99" s="4" t="str">
        <f>IF($D99="","",IFERROR(INDEX(MATERIAL_VARIANTS!$O:$O,MATCH($D99,MATERIAL_VARIANTS!$A:$A,0)),""))</f>
        <v/>
      </c>
      <c r="S99" s="22" t="str">
        <f>IF($D99="","",IFERROR(INDEX(MATERIAL_VARIANTS!$P:$P,MATCH($D99,MATERIAL_VARIANTS!$A:$A,0)),""))</f>
        <v/>
      </c>
      <c r="T99" s="4" t="str">
        <f t="shared" si="11"/>
        <v/>
      </c>
      <c r="U99" s="4"/>
    </row>
    <row r="100" spans="1:21" x14ac:dyDescent="0.3">
      <c r="A100" s="4"/>
      <c r="B100" s="4"/>
      <c r="C100" s="4"/>
      <c r="D100" s="4"/>
      <c r="E100" s="4"/>
      <c r="F100" s="4"/>
      <c r="G100" s="4" t="str">
        <f>IF($C100="","",INDEX(MATERIAL_MASTER!$O:$O,MATCH($C100,MATERIAL_MASTER!$A:$A,0)))</f>
        <v/>
      </c>
      <c r="H100" s="22" t="str">
        <f>IF($C100="","",INDEX(MATERIAL_MASTER!$P:$P,MATCH($C100,MATERIAL_MASTER!$A:$A,0)))</f>
        <v/>
      </c>
      <c r="I100" s="22" t="str">
        <f>IF($C100="","",INDEX(MATERIAL_FACTOR_APPLICABILITY!$D:$D,MATCH($C100,MATERIAL_FACTOR_APPLICABILITY!$A:$A,0)))</f>
        <v/>
      </c>
      <c r="J100" s="22" t="str">
        <f>IF($C100="","",INDEX(MATERIAL_FACTOR_APPLICABILITY!$E:$E,MATCH($C100,MATERIAL_FACTOR_APPLICABILITY!$A:$A,0)))</f>
        <v/>
      </c>
      <c r="K100" s="22" t="str">
        <f>IF($C100="","",INDEX(MATERIAL_FACTOR_APPLICABILITY!$F:$F,MATCH($C100,MATERIAL_FACTOR_APPLICABILITY!$A:$A,0)))</f>
        <v/>
      </c>
      <c r="L100" s="22" t="str">
        <f>IF($C100="","",INDEX(MATERIAL_FACTOR_APPLICABILITY!$G:$G,MATCH($C100,MATERIAL_FACTOR_APPLICABILITY!$A:$A,0)))</f>
        <v/>
      </c>
      <c r="M100" s="22" t="str">
        <f>IF($C100="","",INDEX(MATERIAL_FACTOR_APPLICABILITY!$H:$H,MATCH($C100,MATERIAL_FACTOR_APPLICABILITY!$A:$A,0)))</f>
        <v/>
      </c>
      <c r="N100" s="22" t="str">
        <f>IF($B100="","",ROUND(1+($I100*(SUMIFS(OBJECT_CONDITIONS!$W:$W,OBJECT_CONDITIONS!$A:$A,$B100)-1))+($J100*(SUMIFS(OBJECT_CONDITIONS!$J:$J,OBJECT_CONDITIONS!$A:$A,$B100)-1))+($K100*(SUMIFS(OBJECT_CONDITIONS!$L:$L,OBJECT_CONDITIONS!$A:$A,$B100)-1))+($L100*(SUMIFS(OBJECT_CONDITIONS!$N:$N,OBJECT_CONDITIONS!$A:$A,$B100)-1))+($M100*(SUMIFS(OBJECT_CONDITIONS!$R:$R,OBJECT_CONDITIONS!$A:$A,$B100)-1)),3))</f>
        <v/>
      </c>
      <c r="O100" s="22"/>
      <c r="P100" s="22" t="str">
        <f t="shared" si="9"/>
        <v/>
      </c>
      <c r="Q100" s="22" t="str">
        <f t="shared" si="10"/>
        <v/>
      </c>
      <c r="R100" s="4" t="str">
        <f>IF($D100="","",IFERROR(INDEX(MATERIAL_VARIANTS!$O:$O,MATCH($D100,MATERIAL_VARIANTS!$A:$A,0)),""))</f>
        <v/>
      </c>
      <c r="S100" s="22" t="str">
        <f>IF($D100="","",IFERROR(INDEX(MATERIAL_VARIANTS!$P:$P,MATCH($D100,MATERIAL_VARIANTS!$A:$A,0)),""))</f>
        <v/>
      </c>
      <c r="T100" s="4" t="str">
        <f t="shared" si="11"/>
        <v/>
      </c>
      <c r="U100" s="4"/>
    </row>
    <row r="101" spans="1:21" x14ac:dyDescent="0.3">
      <c r="A101" s="4"/>
      <c r="B101" s="4"/>
      <c r="C101" s="4"/>
      <c r="D101" s="4"/>
      <c r="E101" s="4"/>
      <c r="F101" s="4"/>
      <c r="G101" s="4" t="str">
        <f>IF($C101="","",INDEX(MATERIAL_MASTER!$O:$O,MATCH($C101,MATERIAL_MASTER!$A:$A,0)))</f>
        <v/>
      </c>
      <c r="H101" s="22" t="str">
        <f>IF($C101="","",INDEX(MATERIAL_MASTER!$P:$P,MATCH($C101,MATERIAL_MASTER!$A:$A,0)))</f>
        <v/>
      </c>
      <c r="I101" s="22" t="str">
        <f>IF($C101="","",INDEX(MATERIAL_FACTOR_APPLICABILITY!$D:$D,MATCH($C101,MATERIAL_FACTOR_APPLICABILITY!$A:$A,0)))</f>
        <v/>
      </c>
      <c r="J101" s="22" t="str">
        <f>IF($C101="","",INDEX(MATERIAL_FACTOR_APPLICABILITY!$E:$E,MATCH($C101,MATERIAL_FACTOR_APPLICABILITY!$A:$A,0)))</f>
        <v/>
      </c>
      <c r="K101" s="22" t="str">
        <f>IF($C101="","",INDEX(MATERIAL_FACTOR_APPLICABILITY!$F:$F,MATCH($C101,MATERIAL_FACTOR_APPLICABILITY!$A:$A,0)))</f>
        <v/>
      </c>
      <c r="L101" s="22" t="str">
        <f>IF($C101="","",INDEX(MATERIAL_FACTOR_APPLICABILITY!$G:$G,MATCH($C101,MATERIAL_FACTOR_APPLICABILITY!$A:$A,0)))</f>
        <v/>
      </c>
      <c r="M101" s="22" t="str">
        <f>IF($C101="","",INDEX(MATERIAL_FACTOR_APPLICABILITY!$H:$H,MATCH($C101,MATERIAL_FACTOR_APPLICABILITY!$A:$A,0)))</f>
        <v/>
      </c>
      <c r="N101" s="22" t="str">
        <f>IF($B101="","",ROUND(1+($I101*(SUMIFS(OBJECT_CONDITIONS!$W:$W,OBJECT_CONDITIONS!$A:$A,$B101)-1))+($J101*(SUMIFS(OBJECT_CONDITIONS!$J:$J,OBJECT_CONDITIONS!$A:$A,$B101)-1))+($K101*(SUMIFS(OBJECT_CONDITIONS!$L:$L,OBJECT_CONDITIONS!$A:$A,$B101)-1))+($L101*(SUMIFS(OBJECT_CONDITIONS!$N:$N,OBJECT_CONDITIONS!$A:$A,$B101)-1))+($M101*(SUMIFS(OBJECT_CONDITIONS!$R:$R,OBJECT_CONDITIONS!$A:$A,$B101)-1)),3))</f>
        <v/>
      </c>
      <c r="O101" s="22"/>
      <c r="P101" s="22" t="str">
        <f t="shared" si="9"/>
        <v/>
      </c>
      <c r="Q101" s="22" t="str">
        <f t="shared" si="10"/>
        <v/>
      </c>
      <c r="R101" s="4" t="str">
        <f>IF($D101="","",IFERROR(INDEX(MATERIAL_VARIANTS!$O:$O,MATCH($D101,MATERIAL_VARIANTS!$A:$A,0)),""))</f>
        <v/>
      </c>
      <c r="S101" s="22" t="str">
        <f>IF($D101="","",IFERROR(INDEX(MATERIAL_VARIANTS!$P:$P,MATCH($D101,MATERIAL_VARIANTS!$A:$A,0)),""))</f>
        <v/>
      </c>
      <c r="T101" s="4" t="str">
        <f t="shared" si="11"/>
        <v/>
      </c>
      <c r="U101" s="4"/>
    </row>
    <row r="102" spans="1:21" x14ac:dyDescent="0.3">
      <c r="A102" s="4"/>
      <c r="B102" s="4"/>
      <c r="C102" s="4"/>
      <c r="D102" s="4"/>
      <c r="E102" s="4"/>
      <c r="F102" s="4"/>
      <c r="G102" s="4" t="str">
        <f>IF($C102="","",INDEX(MATERIAL_MASTER!$O:$O,MATCH($C102,MATERIAL_MASTER!$A:$A,0)))</f>
        <v/>
      </c>
      <c r="H102" s="22" t="str">
        <f>IF($C102="","",INDEX(MATERIAL_MASTER!$P:$P,MATCH($C102,MATERIAL_MASTER!$A:$A,0)))</f>
        <v/>
      </c>
      <c r="I102" s="22" t="str">
        <f>IF($C102="","",INDEX(MATERIAL_FACTOR_APPLICABILITY!$D:$D,MATCH($C102,MATERIAL_FACTOR_APPLICABILITY!$A:$A,0)))</f>
        <v/>
      </c>
      <c r="J102" s="22" t="str">
        <f>IF($C102="","",INDEX(MATERIAL_FACTOR_APPLICABILITY!$E:$E,MATCH($C102,MATERIAL_FACTOR_APPLICABILITY!$A:$A,0)))</f>
        <v/>
      </c>
      <c r="K102" s="22" t="str">
        <f>IF($C102="","",INDEX(MATERIAL_FACTOR_APPLICABILITY!$F:$F,MATCH($C102,MATERIAL_FACTOR_APPLICABILITY!$A:$A,0)))</f>
        <v/>
      </c>
      <c r="L102" s="22" t="str">
        <f>IF($C102="","",INDEX(MATERIAL_FACTOR_APPLICABILITY!$G:$G,MATCH($C102,MATERIAL_FACTOR_APPLICABILITY!$A:$A,0)))</f>
        <v/>
      </c>
      <c r="M102" s="22" t="str">
        <f>IF($C102="","",INDEX(MATERIAL_FACTOR_APPLICABILITY!$H:$H,MATCH($C102,MATERIAL_FACTOR_APPLICABILITY!$A:$A,0)))</f>
        <v/>
      </c>
      <c r="N102" s="22" t="str">
        <f>IF($B102="","",ROUND(1+($I102*(SUMIFS(OBJECT_CONDITIONS!$W:$W,OBJECT_CONDITIONS!$A:$A,$B102)-1))+($J102*(SUMIFS(OBJECT_CONDITIONS!$J:$J,OBJECT_CONDITIONS!$A:$A,$B102)-1))+($K102*(SUMIFS(OBJECT_CONDITIONS!$L:$L,OBJECT_CONDITIONS!$A:$A,$B102)-1))+($L102*(SUMIFS(OBJECT_CONDITIONS!$N:$N,OBJECT_CONDITIONS!$A:$A,$B102)-1))+($M102*(SUMIFS(OBJECT_CONDITIONS!$R:$R,OBJECT_CONDITIONS!$A:$A,$B102)-1)),3))</f>
        <v/>
      </c>
      <c r="O102" s="22"/>
      <c r="P102" s="22" t="str">
        <f t="shared" si="9"/>
        <v/>
      </c>
      <c r="Q102" s="22" t="str">
        <f t="shared" si="10"/>
        <v/>
      </c>
      <c r="R102" s="4" t="str">
        <f>IF($D102="","",IFERROR(INDEX(MATERIAL_VARIANTS!$O:$O,MATCH($D102,MATERIAL_VARIANTS!$A:$A,0)),""))</f>
        <v/>
      </c>
      <c r="S102" s="22" t="str">
        <f>IF($D102="","",IFERROR(INDEX(MATERIAL_VARIANTS!$P:$P,MATCH($D102,MATERIAL_VARIANTS!$A:$A,0)),""))</f>
        <v/>
      </c>
      <c r="T102" s="4" t="str">
        <f t="shared" si="11"/>
        <v/>
      </c>
      <c r="U102" s="4"/>
    </row>
    <row r="103" spans="1:21" x14ac:dyDescent="0.3">
      <c r="A103" s="4"/>
      <c r="B103" s="4"/>
      <c r="C103" s="4"/>
      <c r="D103" s="4"/>
      <c r="E103" s="4"/>
      <c r="F103" s="4"/>
      <c r="G103" s="4" t="str">
        <f>IF($C103="","",INDEX(MATERIAL_MASTER!$O:$O,MATCH($C103,MATERIAL_MASTER!$A:$A,0)))</f>
        <v/>
      </c>
      <c r="H103" s="22" t="str">
        <f>IF($C103="","",INDEX(MATERIAL_MASTER!$P:$P,MATCH($C103,MATERIAL_MASTER!$A:$A,0)))</f>
        <v/>
      </c>
      <c r="I103" s="22" t="str">
        <f>IF($C103="","",INDEX(MATERIAL_FACTOR_APPLICABILITY!$D:$D,MATCH($C103,MATERIAL_FACTOR_APPLICABILITY!$A:$A,0)))</f>
        <v/>
      </c>
      <c r="J103" s="22" t="str">
        <f>IF($C103="","",INDEX(MATERIAL_FACTOR_APPLICABILITY!$E:$E,MATCH($C103,MATERIAL_FACTOR_APPLICABILITY!$A:$A,0)))</f>
        <v/>
      </c>
      <c r="K103" s="22" t="str">
        <f>IF($C103="","",INDEX(MATERIAL_FACTOR_APPLICABILITY!$F:$F,MATCH($C103,MATERIAL_FACTOR_APPLICABILITY!$A:$A,0)))</f>
        <v/>
      </c>
      <c r="L103" s="22" t="str">
        <f>IF($C103="","",INDEX(MATERIAL_FACTOR_APPLICABILITY!$G:$G,MATCH($C103,MATERIAL_FACTOR_APPLICABILITY!$A:$A,0)))</f>
        <v/>
      </c>
      <c r="M103" s="22" t="str">
        <f>IF($C103="","",INDEX(MATERIAL_FACTOR_APPLICABILITY!$H:$H,MATCH($C103,MATERIAL_FACTOR_APPLICABILITY!$A:$A,0)))</f>
        <v/>
      </c>
      <c r="N103" s="22" t="str">
        <f>IF($B103="","",ROUND(1+($I103*(SUMIFS(OBJECT_CONDITIONS!$W:$W,OBJECT_CONDITIONS!$A:$A,$B103)-1))+($J103*(SUMIFS(OBJECT_CONDITIONS!$J:$J,OBJECT_CONDITIONS!$A:$A,$B103)-1))+($K103*(SUMIFS(OBJECT_CONDITIONS!$L:$L,OBJECT_CONDITIONS!$A:$A,$B103)-1))+($L103*(SUMIFS(OBJECT_CONDITIONS!$N:$N,OBJECT_CONDITIONS!$A:$A,$B103)-1))+($M103*(SUMIFS(OBJECT_CONDITIONS!$R:$R,OBJECT_CONDITIONS!$A:$A,$B103)-1)),3))</f>
        <v/>
      </c>
      <c r="O103" s="22"/>
      <c r="P103" s="22" t="str">
        <f t="shared" si="9"/>
        <v/>
      </c>
      <c r="Q103" s="22" t="str">
        <f t="shared" si="10"/>
        <v/>
      </c>
      <c r="R103" s="4" t="str">
        <f>IF($D103="","",IFERROR(INDEX(MATERIAL_VARIANTS!$O:$O,MATCH($D103,MATERIAL_VARIANTS!$A:$A,0)),""))</f>
        <v/>
      </c>
      <c r="S103" s="22" t="str">
        <f>IF($D103="","",IFERROR(INDEX(MATERIAL_VARIANTS!$P:$P,MATCH($D103,MATERIAL_VARIANTS!$A:$A,0)),""))</f>
        <v/>
      </c>
      <c r="T103" s="4" t="str">
        <f t="shared" si="11"/>
        <v/>
      </c>
      <c r="U103" s="4"/>
    </row>
    <row r="104" spans="1:21" x14ac:dyDescent="0.3">
      <c r="A104" s="4"/>
      <c r="B104" s="4"/>
      <c r="C104" s="4"/>
      <c r="D104" s="4"/>
      <c r="E104" s="4"/>
      <c r="F104" s="4"/>
      <c r="G104" s="4" t="str">
        <f>IF($C104="","",INDEX(MATERIAL_MASTER!$O:$O,MATCH($C104,MATERIAL_MASTER!$A:$A,0)))</f>
        <v/>
      </c>
      <c r="H104" s="22" t="str">
        <f>IF($C104="","",INDEX(MATERIAL_MASTER!$P:$P,MATCH($C104,MATERIAL_MASTER!$A:$A,0)))</f>
        <v/>
      </c>
      <c r="I104" s="22" t="str">
        <f>IF($C104="","",INDEX(MATERIAL_FACTOR_APPLICABILITY!$D:$D,MATCH($C104,MATERIAL_FACTOR_APPLICABILITY!$A:$A,0)))</f>
        <v/>
      </c>
      <c r="J104" s="22" t="str">
        <f>IF($C104="","",INDEX(MATERIAL_FACTOR_APPLICABILITY!$E:$E,MATCH($C104,MATERIAL_FACTOR_APPLICABILITY!$A:$A,0)))</f>
        <v/>
      </c>
      <c r="K104" s="22" t="str">
        <f>IF($C104="","",INDEX(MATERIAL_FACTOR_APPLICABILITY!$F:$F,MATCH($C104,MATERIAL_FACTOR_APPLICABILITY!$A:$A,0)))</f>
        <v/>
      </c>
      <c r="L104" s="22" t="str">
        <f>IF($C104="","",INDEX(MATERIAL_FACTOR_APPLICABILITY!$G:$G,MATCH($C104,MATERIAL_FACTOR_APPLICABILITY!$A:$A,0)))</f>
        <v/>
      </c>
      <c r="M104" s="22" t="str">
        <f>IF($C104="","",INDEX(MATERIAL_FACTOR_APPLICABILITY!$H:$H,MATCH($C104,MATERIAL_FACTOR_APPLICABILITY!$A:$A,0)))</f>
        <v/>
      </c>
      <c r="N104" s="22" t="str">
        <f>IF($B104="","",ROUND(1+($I104*(SUMIFS(OBJECT_CONDITIONS!$W:$W,OBJECT_CONDITIONS!$A:$A,$B104)-1))+($J104*(SUMIFS(OBJECT_CONDITIONS!$J:$J,OBJECT_CONDITIONS!$A:$A,$B104)-1))+($K104*(SUMIFS(OBJECT_CONDITIONS!$L:$L,OBJECT_CONDITIONS!$A:$A,$B104)-1))+($L104*(SUMIFS(OBJECT_CONDITIONS!$N:$N,OBJECT_CONDITIONS!$A:$A,$B104)-1))+($M104*(SUMIFS(OBJECT_CONDITIONS!$R:$R,OBJECT_CONDITIONS!$A:$A,$B104)-1)),3))</f>
        <v/>
      </c>
      <c r="O104" s="22"/>
      <c r="P104" s="22" t="str">
        <f t="shared" si="9"/>
        <v/>
      </c>
      <c r="Q104" s="22" t="str">
        <f t="shared" si="10"/>
        <v/>
      </c>
      <c r="R104" s="4" t="str">
        <f>IF($D104="","",IFERROR(INDEX(MATERIAL_VARIANTS!$O:$O,MATCH($D104,MATERIAL_VARIANTS!$A:$A,0)),""))</f>
        <v/>
      </c>
      <c r="S104" s="22" t="str">
        <f>IF($D104="","",IFERROR(INDEX(MATERIAL_VARIANTS!$P:$P,MATCH($D104,MATERIAL_VARIANTS!$A:$A,0)),""))</f>
        <v/>
      </c>
      <c r="T104" s="4" t="str">
        <f t="shared" si="11"/>
        <v/>
      </c>
      <c r="U104" s="4"/>
    </row>
    <row r="105" spans="1:21" x14ac:dyDescent="0.3">
      <c r="A105" s="4"/>
      <c r="B105" s="4"/>
      <c r="C105" s="4"/>
      <c r="D105" s="4"/>
      <c r="E105" s="4"/>
      <c r="F105" s="4"/>
      <c r="G105" s="4" t="str">
        <f>IF($C105="","",INDEX(MATERIAL_MASTER!$O:$O,MATCH($C105,MATERIAL_MASTER!$A:$A,0)))</f>
        <v/>
      </c>
      <c r="H105" s="22" t="str">
        <f>IF($C105="","",INDEX(MATERIAL_MASTER!$P:$P,MATCH($C105,MATERIAL_MASTER!$A:$A,0)))</f>
        <v/>
      </c>
      <c r="I105" s="22" t="str">
        <f>IF($C105="","",INDEX(MATERIAL_FACTOR_APPLICABILITY!$D:$D,MATCH($C105,MATERIAL_FACTOR_APPLICABILITY!$A:$A,0)))</f>
        <v/>
      </c>
      <c r="J105" s="22" t="str">
        <f>IF($C105="","",INDEX(MATERIAL_FACTOR_APPLICABILITY!$E:$E,MATCH($C105,MATERIAL_FACTOR_APPLICABILITY!$A:$A,0)))</f>
        <v/>
      </c>
      <c r="K105" s="22" t="str">
        <f>IF($C105="","",INDEX(MATERIAL_FACTOR_APPLICABILITY!$F:$F,MATCH($C105,MATERIAL_FACTOR_APPLICABILITY!$A:$A,0)))</f>
        <v/>
      </c>
      <c r="L105" s="22" t="str">
        <f>IF($C105="","",INDEX(MATERIAL_FACTOR_APPLICABILITY!$G:$G,MATCH($C105,MATERIAL_FACTOR_APPLICABILITY!$A:$A,0)))</f>
        <v/>
      </c>
      <c r="M105" s="22" t="str">
        <f>IF($C105="","",INDEX(MATERIAL_FACTOR_APPLICABILITY!$H:$H,MATCH($C105,MATERIAL_FACTOR_APPLICABILITY!$A:$A,0)))</f>
        <v/>
      </c>
      <c r="N105" s="22" t="str">
        <f>IF($B105="","",ROUND(1+($I105*(SUMIFS(OBJECT_CONDITIONS!$W:$W,OBJECT_CONDITIONS!$A:$A,$B105)-1))+($J105*(SUMIFS(OBJECT_CONDITIONS!$J:$J,OBJECT_CONDITIONS!$A:$A,$B105)-1))+($K105*(SUMIFS(OBJECT_CONDITIONS!$L:$L,OBJECT_CONDITIONS!$A:$A,$B105)-1))+($L105*(SUMIFS(OBJECT_CONDITIONS!$N:$N,OBJECT_CONDITIONS!$A:$A,$B105)-1))+($M105*(SUMIFS(OBJECT_CONDITIONS!$R:$R,OBJECT_CONDITIONS!$A:$A,$B105)-1)),3))</f>
        <v/>
      </c>
      <c r="O105" s="22"/>
      <c r="P105" s="22" t="str">
        <f t="shared" si="9"/>
        <v/>
      </c>
      <c r="Q105" s="22" t="str">
        <f t="shared" si="10"/>
        <v/>
      </c>
      <c r="R105" s="4" t="str">
        <f>IF($D105="","",IFERROR(INDEX(MATERIAL_VARIANTS!$O:$O,MATCH($D105,MATERIAL_VARIANTS!$A:$A,0)),""))</f>
        <v/>
      </c>
      <c r="S105" s="22" t="str">
        <f>IF($D105="","",IFERROR(INDEX(MATERIAL_VARIANTS!$P:$P,MATCH($D105,MATERIAL_VARIANTS!$A:$A,0)),""))</f>
        <v/>
      </c>
      <c r="T105" s="4" t="str">
        <f t="shared" si="11"/>
        <v/>
      </c>
      <c r="U105" s="4"/>
    </row>
    <row r="106" spans="1:21" x14ac:dyDescent="0.3">
      <c r="A106" s="4"/>
      <c r="B106" s="4"/>
      <c r="C106" s="4"/>
      <c r="D106" s="4"/>
      <c r="E106" s="4"/>
      <c r="F106" s="4"/>
      <c r="G106" s="4" t="str">
        <f>IF($C106="","",INDEX(MATERIAL_MASTER!$O:$O,MATCH($C106,MATERIAL_MASTER!$A:$A,0)))</f>
        <v/>
      </c>
      <c r="H106" s="22" t="str">
        <f>IF($C106="","",INDEX(MATERIAL_MASTER!$P:$P,MATCH($C106,MATERIAL_MASTER!$A:$A,0)))</f>
        <v/>
      </c>
      <c r="I106" s="22" t="str">
        <f>IF($C106="","",INDEX(MATERIAL_FACTOR_APPLICABILITY!$D:$D,MATCH($C106,MATERIAL_FACTOR_APPLICABILITY!$A:$A,0)))</f>
        <v/>
      </c>
      <c r="J106" s="22" t="str">
        <f>IF($C106="","",INDEX(MATERIAL_FACTOR_APPLICABILITY!$E:$E,MATCH($C106,MATERIAL_FACTOR_APPLICABILITY!$A:$A,0)))</f>
        <v/>
      </c>
      <c r="K106" s="22" t="str">
        <f>IF($C106="","",INDEX(MATERIAL_FACTOR_APPLICABILITY!$F:$F,MATCH($C106,MATERIAL_FACTOR_APPLICABILITY!$A:$A,0)))</f>
        <v/>
      </c>
      <c r="L106" s="22" t="str">
        <f>IF($C106="","",INDEX(MATERIAL_FACTOR_APPLICABILITY!$G:$G,MATCH($C106,MATERIAL_FACTOR_APPLICABILITY!$A:$A,0)))</f>
        <v/>
      </c>
      <c r="M106" s="22" t="str">
        <f>IF($C106="","",INDEX(MATERIAL_FACTOR_APPLICABILITY!$H:$H,MATCH($C106,MATERIAL_FACTOR_APPLICABILITY!$A:$A,0)))</f>
        <v/>
      </c>
      <c r="N106" s="22" t="str">
        <f>IF($B106="","",ROUND(1+($I106*(SUMIFS(OBJECT_CONDITIONS!$W:$W,OBJECT_CONDITIONS!$A:$A,$B106)-1))+($J106*(SUMIFS(OBJECT_CONDITIONS!$J:$J,OBJECT_CONDITIONS!$A:$A,$B106)-1))+($K106*(SUMIFS(OBJECT_CONDITIONS!$L:$L,OBJECT_CONDITIONS!$A:$A,$B106)-1))+($L106*(SUMIFS(OBJECT_CONDITIONS!$N:$N,OBJECT_CONDITIONS!$A:$A,$B106)-1))+($M106*(SUMIFS(OBJECT_CONDITIONS!$R:$R,OBJECT_CONDITIONS!$A:$A,$B106)-1)),3))</f>
        <v/>
      </c>
      <c r="O106" s="22"/>
      <c r="P106" s="22" t="str">
        <f t="shared" si="9"/>
        <v/>
      </c>
      <c r="Q106" s="22" t="str">
        <f t="shared" si="10"/>
        <v/>
      </c>
      <c r="R106" s="4" t="str">
        <f>IF($D106="","",IFERROR(INDEX(MATERIAL_VARIANTS!$O:$O,MATCH($D106,MATERIAL_VARIANTS!$A:$A,0)),""))</f>
        <v/>
      </c>
      <c r="S106" s="22" t="str">
        <f>IF($D106="","",IFERROR(INDEX(MATERIAL_VARIANTS!$P:$P,MATCH($D106,MATERIAL_VARIANTS!$A:$A,0)),""))</f>
        <v/>
      </c>
      <c r="T106" s="4" t="str">
        <f t="shared" si="11"/>
        <v/>
      </c>
      <c r="U106" s="4"/>
    </row>
    <row r="107" spans="1:21" x14ac:dyDescent="0.3">
      <c r="A107" s="4"/>
      <c r="B107" s="4"/>
      <c r="C107" s="4"/>
      <c r="D107" s="4"/>
      <c r="E107" s="4"/>
      <c r="F107" s="4"/>
      <c r="G107" s="4" t="str">
        <f>IF($C107="","",INDEX(MATERIAL_MASTER!$O:$O,MATCH($C107,MATERIAL_MASTER!$A:$A,0)))</f>
        <v/>
      </c>
      <c r="H107" s="22" t="str">
        <f>IF($C107="","",INDEX(MATERIAL_MASTER!$P:$P,MATCH($C107,MATERIAL_MASTER!$A:$A,0)))</f>
        <v/>
      </c>
      <c r="I107" s="22" t="str">
        <f>IF($C107="","",INDEX(MATERIAL_FACTOR_APPLICABILITY!$D:$D,MATCH($C107,MATERIAL_FACTOR_APPLICABILITY!$A:$A,0)))</f>
        <v/>
      </c>
      <c r="J107" s="22" t="str">
        <f>IF($C107="","",INDEX(MATERIAL_FACTOR_APPLICABILITY!$E:$E,MATCH($C107,MATERIAL_FACTOR_APPLICABILITY!$A:$A,0)))</f>
        <v/>
      </c>
      <c r="K107" s="22" t="str">
        <f>IF($C107="","",INDEX(MATERIAL_FACTOR_APPLICABILITY!$F:$F,MATCH($C107,MATERIAL_FACTOR_APPLICABILITY!$A:$A,0)))</f>
        <v/>
      </c>
      <c r="L107" s="22" t="str">
        <f>IF($C107="","",INDEX(MATERIAL_FACTOR_APPLICABILITY!$G:$G,MATCH($C107,MATERIAL_FACTOR_APPLICABILITY!$A:$A,0)))</f>
        <v/>
      </c>
      <c r="M107" s="22" t="str">
        <f>IF($C107="","",INDEX(MATERIAL_FACTOR_APPLICABILITY!$H:$H,MATCH($C107,MATERIAL_FACTOR_APPLICABILITY!$A:$A,0)))</f>
        <v/>
      </c>
      <c r="N107" s="22" t="str">
        <f>IF($B107="","",ROUND(1+($I107*(SUMIFS(OBJECT_CONDITIONS!$W:$W,OBJECT_CONDITIONS!$A:$A,$B107)-1))+($J107*(SUMIFS(OBJECT_CONDITIONS!$J:$J,OBJECT_CONDITIONS!$A:$A,$B107)-1))+($K107*(SUMIFS(OBJECT_CONDITIONS!$L:$L,OBJECT_CONDITIONS!$A:$A,$B107)-1))+($L107*(SUMIFS(OBJECT_CONDITIONS!$N:$N,OBJECT_CONDITIONS!$A:$A,$B107)-1))+($M107*(SUMIFS(OBJECT_CONDITIONS!$R:$R,OBJECT_CONDITIONS!$A:$A,$B107)-1)),3))</f>
        <v/>
      </c>
      <c r="O107" s="22"/>
      <c r="P107" s="22" t="str">
        <f t="shared" si="9"/>
        <v/>
      </c>
      <c r="Q107" s="22" t="str">
        <f t="shared" si="10"/>
        <v/>
      </c>
      <c r="R107" s="4" t="str">
        <f>IF($D107="","",IFERROR(INDEX(MATERIAL_VARIANTS!$O:$O,MATCH($D107,MATERIAL_VARIANTS!$A:$A,0)),""))</f>
        <v/>
      </c>
      <c r="S107" s="22" t="str">
        <f>IF($D107="","",IFERROR(INDEX(MATERIAL_VARIANTS!$P:$P,MATCH($D107,MATERIAL_VARIANTS!$A:$A,0)),""))</f>
        <v/>
      </c>
      <c r="T107" s="4" t="str">
        <f t="shared" si="11"/>
        <v/>
      </c>
      <c r="U107" s="4"/>
    </row>
    <row r="108" spans="1:21" x14ac:dyDescent="0.3">
      <c r="A108" s="4"/>
      <c r="B108" s="4"/>
      <c r="C108" s="4"/>
      <c r="D108" s="4"/>
      <c r="E108" s="4"/>
      <c r="F108" s="4"/>
      <c r="G108" s="4" t="str">
        <f>IF($C108="","",INDEX(MATERIAL_MASTER!$O:$O,MATCH($C108,MATERIAL_MASTER!$A:$A,0)))</f>
        <v/>
      </c>
      <c r="H108" s="22" t="str">
        <f>IF($C108="","",INDEX(MATERIAL_MASTER!$P:$P,MATCH($C108,MATERIAL_MASTER!$A:$A,0)))</f>
        <v/>
      </c>
      <c r="I108" s="22" t="str">
        <f>IF($C108="","",INDEX(MATERIAL_FACTOR_APPLICABILITY!$D:$D,MATCH($C108,MATERIAL_FACTOR_APPLICABILITY!$A:$A,0)))</f>
        <v/>
      </c>
      <c r="J108" s="22" t="str">
        <f>IF($C108="","",INDEX(MATERIAL_FACTOR_APPLICABILITY!$E:$E,MATCH($C108,MATERIAL_FACTOR_APPLICABILITY!$A:$A,0)))</f>
        <v/>
      </c>
      <c r="K108" s="22" t="str">
        <f>IF($C108="","",INDEX(MATERIAL_FACTOR_APPLICABILITY!$F:$F,MATCH($C108,MATERIAL_FACTOR_APPLICABILITY!$A:$A,0)))</f>
        <v/>
      </c>
      <c r="L108" s="22" t="str">
        <f>IF($C108="","",INDEX(MATERIAL_FACTOR_APPLICABILITY!$G:$G,MATCH($C108,MATERIAL_FACTOR_APPLICABILITY!$A:$A,0)))</f>
        <v/>
      </c>
      <c r="M108" s="22" t="str">
        <f>IF($C108="","",INDEX(MATERIAL_FACTOR_APPLICABILITY!$H:$H,MATCH($C108,MATERIAL_FACTOR_APPLICABILITY!$A:$A,0)))</f>
        <v/>
      </c>
      <c r="N108" s="22" t="str">
        <f>IF($B108="","",ROUND(1+($I108*(SUMIFS(OBJECT_CONDITIONS!$W:$W,OBJECT_CONDITIONS!$A:$A,$B108)-1))+($J108*(SUMIFS(OBJECT_CONDITIONS!$J:$J,OBJECT_CONDITIONS!$A:$A,$B108)-1))+($K108*(SUMIFS(OBJECT_CONDITIONS!$L:$L,OBJECT_CONDITIONS!$A:$A,$B108)-1))+($L108*(SUMIFS(OBJECT_CONDITIONS!$N:$N,OBJECT_CONDITIONS!$A:$A,$B108)-1))+($M108*(SUMIFS(OBJECT_CONDITIONS!$R:$R,OBJECT_CONDITIONS!$A:$A,$B108)-1)),3))</f>
        <v/>
      </c>
      <c r="O108" s="22"/>
      <c r="P108" s="22" t="str">
        <f t="shared" si="9"/>
        <v/>
      </c>
      <c r="Q108" s="22" t="str">
        <f t="shared" si="10"/>
        <v/>
      </c>
      <c r="R108" s="4" t="str">
        <f>IF($D108="","",IFERROR(INDEX(MATERIAL_VARIANTS!$O:$O,MATCH($D108,MATERIAL_VARIANTS!$A:$A,0)),""))</f>
        <v/>
      </c>
      <c r="S108" s="22" t="str">
        <f>IF($D108="","",IFERROR(INDEX(MATERIAL_VARIANTS!$P:$P,MATCH($D108,MATERIAL_VARIANTS!$A:$A,0)),""))</f>
        <v/>
      </c>
      <c r="T108" s="4" t="str">
        <f t="shared" si="11"/>
        <v/>
      </c>
      <c r="U108" s="4"/>
    </row>
    <row r="109" spans="1:21" x14ac:dyDescent="0.3">
      <c r="A109" s="4"/>
      <c r="B109" s="4"/>
      <c r="C109" s="4"/>
      <c r="D109" s="4"/>
      <c r="E109" s="4"/>
      <c r="F109" s="4"/>
      <c r="G109" s="4" t="str">
        <f>IF($C109="","",INDEX(MATERIAL_MASTER!$O:$O,MATCH($C109,MATERIAL_MASTER!$A:$A,0)))</f>
        <v/>
      </c>
      <c r="H109" s="22" t="str">
        <f>IF($C109="","",INDEX(MATERIAL_MASTER!$P:$P,MATCH($C109,MATERIAL_MASTER!$A:$A,0)))</f>
        <v/>
      </c>
      <c r="I109" s="22" t="str">
        <f>IF($C109="","",INDEX(MATERIAL_FACTOR_APPLICABILITY!$D:$D,MATCH($C109,MATERIAL_FACTOR_APPLICABILITY!$A:$A,0)))</f>
        <v/>
      </c>
      <c r="J109" s="22" t="str">
        <f>IF($C109="","",INDEX(MATERIAL_FACTOR_APPLICABILITY!$E:$E,MATCH($C109,MATERIAL_FACTOR_APPLICABILITY!$A:$A,0)))</f>
        <v/>
      </c>
      <c r="K109" s="22" t="str">
        <f>IF($C109="","",INDEX(MATERIAL_FACTOR_APPLICABILITY!$F:$F,MATCH($C109,MATERIAL_FACTOR_APPLICABILITY!$A:$A,0)))</f>
        <v/>
      </c>
      <c r="L109" s="22" t="str">
        <f>IF($C109="","",INDEX(MATERIAL_FACTOR_APPLICABILITY!$G:$G,MATCH($C109,MATERIAL_FACTOR_APPLICABILITY!$A:$A,0)))</f>
        <v/>
      </c>
      <c r="M109" s="22" t="str">
        <f>IF($C109="","",INDEX(MATERIAL_FACTOR_APPLICABILITY!$H:$H,MATCH($C109,MATERIAL_FACTOR_APPLICABILITY!$A:$A,0)))</f>
        <v/>
      </c>
      <c r="N109" s="22" t="str">
        <f>IF($B109="","",ROUND(1+($I109*(SUMIFS(OBJECT_CONDITIONS!$W:$W,OBJECT_CONDITIONS!$A:$A,$B109)-1))+($J109*(SUMIFS(OBJECT_CONDITIONS!$J:$J,OBJECT_CONDITIONS!$A:$A,$B109)-1))+($K109*(SUMIFS(OBJECT_CONDITIONS!$L:$L,OBJECT_CONDITIONS!$A:$A,$B109)-1))+($L109*(SUMIFS(OBJECT_CONDITIONS!$N:$N,OBJECT_CONDITIONS!$A:$A,$B109)-1))+($M109*(SUMIFS(OBJECT_CONDITIONS!$R:$R,OBJECT_CONDITIONS!$A:$A,$B109)-1)),3))</f>
        <v/>
      </c>
      <c r="O109" s="22"/>
      <c r="P109" s="22" t="str">
        <f t="shared" si="9"/>
        <v/>
      </c>
      <c r="Q109" s="22" t="str">
        <f t="shared" si="10"/>
        <v/>
      </c>
      <c r="R109" s="4" t="str">
        <f>IF($D109="","",IFERROR(INDEX(MATERIAL_VARIANTS!$O:$O,MATCH($D109,MATERIAL_VARIANTS!$A:$A,0)),""))</f>
        <v/>
      </c>
      <c r="S109" s="22" t="str">
        <f>IF($D109="","",IFERROR(INDEX(MATERIAL_VARIANTS!$P:$P,MATCH($D109,MATERIAL_VARIANTS!$A:$A,0)),""))</f>
        <v/>
      </c>
      <c r="T109" s="4" t="str">
        <f t="shared" si="11"/>
        <v/>
      </c>
      <c r="U109" s="4"/>
    </row>
    <row r="110" spans="1:21" x14ac:dyDescent="0.3">
      <c r="A110" s="4"/>
      <c r="B110" s="4"/>
      <c r="C110" s="4"/>
      <c r="D110" s="4"/>
      <c r="E110" s="4"/>
      <c r="F110" s="4"/>
      <c r="G110" s="4" t="str">
        <f>IF($C110="","",INDEX(MATERIAL_MASTER!$O:$O,MATCH($C110,MATERIAL_MASTER!$A:$A,0)))</f>
        <v/>
      </c>
      <c r="H110" s="22" t="str">
        <f>IF($C110="","",INDEX(MATERIAL_MASTER!$P:$P,MATCH($C110,MATERIAL_MASTER!$A:$A,0)))</f>
        <v/>
      </c>
      <c r="I110" s="22" t="str">
        <f>IF($C110="","",INDEX(MATERIAL_FACTOR_APPLICABILITY!$D:$D,MATCH($C110,MATERIAL_FACTOR_APPLICABILITY!$A:$A,0)))</f>
        <v/>
      </c>
      <c r="J110" s="22" t="str">
        <f>IF($C110="","",INDEX(MATERIAL_FACTOR_APPLICABILITY!$E:$E,MATCH($C110,MATERIAL_FACTOR_APPLICABILITY!$A:$A,0)))</f>
        <v/>
      </c>
      <c r="K110" s="22" t="str">
        <f>IF($C110="","",INDEX(MATERIAL_FACTOR_APPLICABILITY!$F:$F,MATCH($C110,MATERIAL_FACTOR_APPLICABILITY!$A:$A,0)))</f>
        <v/>
      </c>
      <c r="L110" s="22" t="str">
        <f>IF($C110="","",INDEX(MATERIAL_FACTOR_APPLICABILITY!$G:$G,MATCH($C110,MATERIAL_FACTOR_APPLICABILITY!$A:$A,0)))</f>
        <v/>
      </c>
      <c r="M110" s="22" t="str">
        <f>IF($C110="","",INDEX(MATERIAL_FACTOR_APPLICABILITY!$H:$H,MATCH($C110,MATERIAL_FACTOR_APPLICABILITY!$A:$A,0)))</f>
        <v/>
      </c>
      <c r="N110" s="22" t="str">
        <f>IF($B110="","",ROUND(1+($I110*(SUMIFS(OBJECT_CONDITIONS!$W:$W,OBJECT_CONDITIONS!$A:$A,$B110)-1))+($J110*(SUMIFS(OBJECT_CONDITIONS!$J:$J,OBJECT_CONDITIONS!$A:$A,$B110)-1))+($K110*(SUMIFS(OBJECT_CONDITIONS!$L:$L,OBJECT_CONDITIONS!$A:$A,$B110)-1))+($L110*(SUMIFS(OBJECT_CONDITIONS!$N:$N,OBJECT_CONDITIONS!$A:$A,$B110)-1))+($M110*(SUMIFS(OBJECT_CONDITIONS!$R:$R,OBJECT_CONDITIONS!$A:$A,$B110)-1)),3))</f>
        <v/>
      </c>
      <c r="O110" s="22"/>
      <c r="P110" s="22" t="str">
        <f t="shared" si="9"/>
        <v/>
      </c>
      <c r="Q110" s="22" t="str">
        <f t="shared" si="10"/>
        <v/>
      </c>
      <c r="R110" s="4" t="str">
        <f>IF($D110="","",IFERROR(INDEX(MATERIAL_VARIANTS!$O:$O,MATCH($D110,MATERIAL_VARIANTS!$A:$A,0)),""))</f>
        <v/>
      </c>
      <c r="S110" s="22" t="str">
        <f>IF($D110="","",IFERROR(INDEX(MATERIAL_VARIANTS!$P:$P,MATCH($D110,MATERIAL_VARIANTS!$A:$A,0)),""))</f>
        <v/>
      </c>
      <c r="T110" s="4" t="str">
        <f t="shared" si="11"/>
        <v/>
      </c>
      <c r="U110" s="4"/>
    </row>
    <row r="111" spans="1:21" x14ac:dyDescent="0.3">
      <c r="A111" s="4"/>
      <c r="B111" s="4"/>
      <c r="C111" s="4"/>
      <c r="D111" s="4"/>
      <c r="E111" s="4"/>
      <c r="F111" s="4"/>
      <c r="G111" s="4" t="str">
        <f>IF($C111="","",INDEX(MATERIAL_MASTER!$O:$O,MATCH($C111,MATERIAL_MASTER!$A:$A,0)))</f>
        <v/>
      </c>
      <c r="H111" s="22" t="str">
        <f>IF($C111="","",INDEX(MATERIAL_MASTER!$P:$P,MATCH($C111,MATERIAL_MASTER!$A:$A,0)))</f>
        <v/>
      </c>
      <c r="I111" s="22" t="str">
        <f>IF($C111="","",INDEX(MATERIAL_FACTOR_APPLICABILITY!$D:$D,MATCH($C111,MATERIAL_FACTOR_APPLICABILITY!$A:$A,0)))</f>
        <v/>
      </c>
      <c r="J111" s="22" t="str">
        <f>IF($C111="","",INDEX(MATERIAL_FACTOR_APPLICABILITY!$E:$E,MATCH($C111,MATERIAL_FACTOR_APPLICABILITY!$A:$A,0)))</f>
        <v/>
      </c>
      <c r="K111" s="22" t="str">
        <f>IF($C111="","",INDEX(MATERIAL_FACTOR_APPLICABILITY!$F:$F,MATCH($C111,MATERIAL_FACTOR_APPLICABILITY!$A:$A,0)))</f>
        <v/>
      </c>
      <c r="L111" s="22" t="str">
        <f>IF($C111="","",INDEX(MATERIAL_FACTOR_APPLICABILITY!$G:$G,MATCH($C111,MATERIAL_FACTOR_APPLICABILITY!$A:$A,0)))</f>
        <v/>
      </c>
      <c r="M111" s="22" t="str">
        <f>IF($C111="","",INDEX(MATERIAL_FACTOR_APPLICABILITY!$H:$H,MATCH($C111,MATERIAL_FACTOR_APPLICABILITY!$A:$A,0)))</f>
        <v/>
      </c>
      <c r="N111" s="22" t="str">
        <f>IF($B111="","",ROUND(1+($I111*(SUMIFS(OBJECT_CONDITIONS!$W:$W,OBJECT_CONDITIONS!$A:$A,$B111)-1))+($J111*(SUMIFS(OBJECT_CONDITIONS!$J:$J,OBJECT_CONDITIONS!$A:$A,$B111)-1))+($K111*(SUMIFS(OBJECT_CONDITIONS!$L:$L,OBJECT_CONDITIONS!$A:$A,$B111)-1))+($L111*(SUMIFS(OBJECT_CONDITIONS!$N:$N,OBJECT_CONDITIONS!$A:$A,$B111)-1))+($M111*(SUMIFS(OBJECT_CONDITIONS!$R:$R,OBJECT_CONDITIONS!$A:$A,$B111)-1)),3))</f>
        <v/>
      </c>
      <c r="O111" s="22"/>
      <c r="P111" s="22" t="str">
        <f t="shared" si="9"/>
        <v/>
      </c>
      <c r="Q111" s="22" t="str">
        <f t="shared" si="10"/>
        <v/>
      </c>
      <c r="R111" s="4" t="str">
        <f>IF($D111="","",IFERROR(INDEX(MATERIAL_VARIANTS!$O:$O,MATCH($D111,MATERIAL_VARIANTS!$A:$A,0)),""))</f>
        <v/>
      </c>
      <c r="S111" s="22" t="str">
        <f>IF($D111="","",IFERROR(INDEX(MATERIAL_VARIANTS!$P:$P,MATCH($D111,MATERIAL_VARIANTS!$A:$A,0)),""))</f>
        <v/>
      </c>
      <c r="T111" s="4" t="str">
        <f t="shared" si="11"/>
        <v/>
      </c>
      <c r="U111" s="4"/>
    </row>
    <row r="112" spans="1:21" x14ac:dyDescent="0.3">
      <c r="A112" s="4"/>
      <c r="B112" s="4"/>
      <c r="C112" s="4"/>
      <c r="D112" s="4"/>
      <c r="E112" s="4"/>
      <c r="F112" s="4"/>
      <c r="G112" s="4" t="str">
        <f>IF($C112="","",INDEX(MATERIAL_MASTER!$O:$O,MATCH($C112,MATERIAL_MASTER!$A:$A,0)))</f>
        <v/>
      </c>
      <c r="H112" s="22" t="str">
        <f>IF($C112="","",INDEX(MATERIAL_MASTER!$P:$P,MATCH($C112,MATERIAL_MASTER!$A:$A,0)))</f>
        <v/>
      </c>
      <c r="I112" s="22" t="str">
        <f>IF($C112="","",INDEX(MATERIAL_FACTOR_APPLICABILITY!$D:$D,MATCH($C112,MATERIAL_FACTOR_APPLICABILITY!$A:$A,0)))</f>
        <v/>
      </c>
      <c r="J112" s="22" t="str">
        <f>IF($C112="","",INDEX(MATERIAL_FACTOR_APPLICABILITY!$E:$E,MATCH($C112,MATERIAL_FACTOR_APPLICABILITY!$A:$A,0)))</f>
        <v/>
      </c>
      <c r="K112" s="22" t="str">
        <f>IF($C112="","",INDEX(MATERIAL_FACTOR_APPLICABILITY!$F:$F,MATCH($C112,MATERIAL_FACTOR_APPLICABILITY!$A:$A,0)))</f>
        <v/>
      </c>
      <c r="L112" s="22" t="str">
        <f>IF($C112="","",INDEX(MATERIAL_FACTOR_APPLICABILITY!$G:$G,MATCH($C112,MATERIAL_FACTOR_APPLICABILITY!$A:$A,0)))</f>
        <v/>
      </c>
      <c r="M112" s="22" t="str">
        <f>IF($C112="","",INDEX(MATERIAL_FACTOR_APPLICABILITY!$H:$H,MATCH($C112,MATERIAL_FACTOR_APPLICABILITY!$A:$A,0)))</f>
        <v/>
      </c>
      <c r="N112" s="22" t="str">
        <f>IF($B112="","",ROUND(1+($I112*(SUMIFS(OBJECT_CONDITIONS!$W:$W,OBJECT_CONDITIONS!$A:$A,$B112)-1))+($J112*(SUMIFS(OBJECT_CONDITIONS!$J:$J,OBJECT_CONDITIONS!$A:$A,$B112)-1))+($K112*(SUMIFS(OBJECT_CONDITIONS!$L:$L,OBJECT_CONDITIONS!$A:$A,$B112)-1))+($L112*(SUMIFS(OBJECT_CONDITIONS!$N:$N,OBJECT_CONDITIONS!$A:$A,$B112)-1))+($M112*(SUMIFS(OBJECT_CONDITIONS!$R:$R,OBJECT_CONDITIONS!$A:$A,$B112)-1)),3))</f>
        <v/>
      </c>
      <c r="O112" s="22"/>
      <c r="P112" s="22" t="str">
        <f t="shared" si="9"/>
        <v/>
      </c>
      <c r="Q112" s="22" t="str">
        <f t="shared" si="10"/>
        <v/>
      </c>
      <c r="R112" s="4" t="str">
        <f>IF($D112="","",IFERROR(INDEX(MATERIAL_VARIANTS!$O:$O,MATCH($D112,MATERIAL_VARIANTS!$A:$A,0)),""))</f>
        <v/>
      </c>
      <c r="S112" s="22" t="str">
        <f>IF($D112="","",IFERROR(INDEX(MATERIAL_VARIANTS!$P:$P,MATCH($D112,MATERIAL_VARIANTS!$A:$A,0)),""))</f>
        <v/>
      </c>
      <c r="T112" s="4" t="str">
        <f t="shared" si="11"/>
        <v/>
      </c>
      <c r="U112" s="4"/>
    </row>
    <row r="113" spans="1:21" x14ac:dyDescent="0.3">
      <c r="A113" s="4"/>
      <c r="B113" s="4"/>
      <c r="C113" s="4"/>
      <c r="D113" s="4"/>
      <c r="E113" s="4"/>
      <c r="F113" s="4"/>
      <c r="G113" s="4" t="str">
        <f>IF($C113="","",INDEX(MATERIAL_MASTER!$O:$O,MATCH($C113,MATERIAL_MASTER!$A:$A,0)))</f>
        <v/>
      </c>
      <c r="H113" s="22" t="str">
        <f>IF($C113="","",INDEX(MATERIAL_MASTER!$P:$P,MATCH($C113,MATERIAL_MASTER!$A:$A,0)))</f>
        <v/>
      </c>
      <c r="I113" s="22" t="str">
        <f>IF($C113="","",INDEX(MATERIAL_FACTOR_APPLICABILITY!$D:$D,MATCH($C113,MATERIAL_FACTOR_APPLICABILITY!$A:$A,0)))</f>
        <v/>
      </c>
      <c r="J113" s="22" t="str">
        <f>IF($C113="","",INDEX(MATERIAL_FACTOR_APPLICABILITY!$E:$E,MATCH($C113,MATERIAL_FACTOR_APPLICABILITY!$A:$A,0)))</f>
        <v/>
      </c>
      <c r="K113" s="22" t="str">
        <f>IF($C113="","",INDEX(MATERIAL_FACTOR_APPLICABILITY!$F:$F,MATCH($C113,MATERIAL_FACTOR_APPLICABILITY!$A:$A,0)))</f>
        <v/>
      </c>
      <c r="L113" s="22" t="str">
        <f>IF($C113="","",INDEX(MATERIAL_FACTOR_APPLICABILITY!$G:$G,MATCH($C113,MATERIAL_FACTOR_APPLICABILITY!$A:$A,0)))</f>
        <v/>
      </c>
      <c r="M113" s="22" t="str">
        <f>IF($C113="","",INDEX(MATERIAL_FACTOR_APPLICABILITY!$H:$H,MATCH($C113,MATERIAL_FACTOR_APPLICABILITY!$A:$A,0)))</f>
        <v/>
      </c>
      <c r="N113" s="22" t="str">
        <f>IF($B113="","",ROUND(1+($I113*(SUMIFS(OBJECT_CONDITIONS!$W:$W,OBJECT_CONDITIONS!$A:$A,$B113)-1))+($J113*(SUMIFS(OBJECT_CONDITIONS!$J:$J,OBJECT_CONDITIONS!$A:$A,$B113)-1))+($K113*(SUMIFS(OBJECT_CONDITIONS!$L:$L,OBJECT_CONDITIONS!$A:$A,$B113)-1))+($L113*(SUMIFS(OBJECT_CONDITIONS!$N:$N,OBJECT_CONDITIONS!$A:$A,$B113)-1))+($M113*(SUMIFS(OBJECT_CONDITIONS!$R:$R,OBJECT_CONDITIONS!$A:$A,$B113)-1)),3))</f>
        <v/>
      </c>
      <c r="O113" s="22"/>
      <c r="P113" s="22" t="str">
        <f t="shared" si="9"/>
        <v/>
      </c>
      <c r="Q113" s="22" t="str">
        <f t="shared" si="10"/>
        <v/>
      </c>
      <c r="R113" s="4" t="str">
        <f>IF($D113="","",IFERROR(INDEX(MATERIAL_VARIANTS!$O:$O,MATCH($D113,MATERIAL_VARIANTS!$A:$A,0)),""))</f>
        <v/>
      </c>
      <c r="S113" s="22" t="str">
        <f>IF($D113="","",IFERROR(INDEX(MATERIAL_VARIANTS!$P:$P,MATCH($D113,MATERIAL_VARIANTS!$A:$A,0)),""))</f>
        <v/>
      </c>
      <c r="T113" s="4" t="str">
        <f t="shared" si="11"/>
        <v/>
      </c>
      <c r="U113" s="4"/>
    </row>
    <row r="114" spans="1:21" x14ac:dyDescent="0.3">
      <c r="A114" s="4"/>
      <c r="B114" s="4"/>
      <c r="C114" s="4"/>
      <c r="D114" s="4"/>
      <c r="E114" s="4"/>
      <c r="F114" s="4"/>
      <c r="G114" s="4" t="str">
        <f>IF($C114="","",INDEX(MATERIAL_MASTER!$O:$O,MATCH($C114,MATERIAL_MASTER!$A:$A,0)))</f>
        <v/>
      </c>
      <c r="H114" s="22" t="str">
        <f>IF($C114="","",INDEX(MATERIAL_MASTER!$P:$P,MATCH($C114,MATERIAL_MASTER!$A:$A,0)))</f>
        <v/>
      </c>
      <c r="I114" s="22" t="str">
        <f>IF($C114="","",INDEX(MATERIAL_FACTOR_APPLICABILITY!$D:$D,MATCH($C114,MATERIAL_FACTOR_APPLICABILITY!$A:$A,0)))</f>
        <v/>
      </c>
      <c r="J114" s="22" t="str">
        <f>IF($C114="","",INDEX(MATERIAL_FACTOR_APPLICABILITY!$E:$E,MATCH($C114,MATERIAL_FACTOR_APPLICABILITY!$A:$A,0)))</f>
        <v/>
      </c>
      <c r="K114" s="22" t="str">
        <f>IF($C114="","",INDEX(MATERIAL_FACTOR_APPLICABILITY!$F:$F,MATCH($C114,MATERIAL_FACTOR_APPLICABILITY!$A:$A,0)))</f>
        <v/>
      </c>
      <c r="L114" s="22" t="str">
        <f>IF($C114="","",INDEX(MATERIAL_FACTOR_APPLICABILITY!$G:$G,MATCH($C114,MATERIAL_FACTOR_APPLICABILITY!$A:$A,0)))</f>
        <v/>
      </c>
      <c r="M114" s="22" t="str">
        <f>IF($C114="","",INDEX(MATERIAL_FACTOR_APPLICABILITY!$H:$H,MATCH($C114,MATERIAL_FACTOR_APPLICABILITY!$A:$A,0)))</f>
        <v/>
      </c>
      <c r="N114" s="22" t="str">
        <f>IF($B114="","",ROUND(1+($I114*(SUMIFS(OBJECT_CONDITIONS!$W:$W,OBJECT_CONDITIONS!$A:$A,$B114)-1))+($J114*(SUMIFS(OBJECT_CONDITIONS!$J:$J,OBJECT_CONDITIONS!$A:$A,$B114)-1))+($K114*(SUMIFS(OBJECT_CONDITIONS!$L:$L,OBJECT_CONDITIONS!$A:$A,$B114)-1))+($L114*(SUMIFS(OBJECT_CONDITIONS!$N:$N,OBJECT_CONDITIONS!$A:$A,$B114)-1))+($M114*(SUMIFS(OBJECT_CONDITIONS!$R:$R,OBJECT_CONDITIONS!$A:$A,$B114)-1)),3))</f>
        <v/>
      </c>
      <c r="O114" s="22"/>
      <c r="P114" s="22" t="str">
        <f t="shared" si="9"/>
        <v/>
      </c>
      <c r="Q114" s="22" t="str">
        <f t="shared" si="10"/>
        <v/>
      </c>
      <c r="R114" s="4" t="str">
        <f>IF($D114="","",IFERROR(INDEX(MATERIAL_VARIANTS!$O:$O,MATCH($D114,MATERIAL_VARIANTS!$A:$A,0)),""))</f>
        <v/>
      </c>
      <c r="S114" s="22" t="str">
        <f>IF($D114="","",IFERROR(INDEX(MATERIAL_VARIANTS!$P:$P,MATCH($D114,MATERIAL_VARIANTS!$A:$A,0)),""))</f>
        <v/>
      </c>
      <c r="T114" s="4" t="str">
        <f t="shared" si="11"/>
        <v/>
      </c>
      <c r="U114" s="4"/>
    </row>
    <row r="115" spans="1:21" x14ac:dyDescent="0.3">
      <c r="A115" s="4"/>
      <c r="B115" s="4"/>
      <c r="C115" s="4"/>
      <c r="D115" s="4"/>
      <c r="E115" s="4"/>
      <c r="F115" s="4"/>
      <c r="G115" s="4" t="str">
        <f>IF($C115="","",INDEX(MATERIAL_MASTER!$O:$O,MATCH($C115,MATERIAL_MASTER!$A:$A,0)))</f>
        <v/>
      </c>
      <c r="H115" s="22" t="str">
        <f>IF($C115="","",INDEX(MATERIAL_MASTER!$P:$P,MATCH($C115,MATERIAL_MASTER!$A:$A,0)))</f>
        <v/>
      </c>
      <c r="I115" s="22" t="str">
        <f>IF($C115="","",INDEX(MATERIAL_FACTOR_APPLICABILITY!$D:$D,MATCH($C115,MATERIAL_FACTOR_APPLICABILITY!$A:$A,0)))</f>
        <v/>
      </c>
      <c r="J115" s="22" t="str">
        <f>IF($C115="","",INDEX(MATERIAL_FACTOR_APPLICABILITY!$E:$E,MATCH($C115,MATERIAL_FACTOR_APPLICABILITY!$A:$A,0)))</f>
        <v/>
      </c>
      <c r="K115" s="22" t="str">
        <f>IF($C115="","",INDEX(MATERIAL_FACTOR_APPLICABILITY!$F:$F,MATCH($C115,MATERIAL_FACTOR_APPLICABILITY!$A:$A,0)))</f>
        <v/>
      </c>
      <c r="L115" s="22" t="str">
        <f>IF($C115="","",INDEX(MATERIAL_FACTOR_APPLICABILITY!$G:$G,MATCH($C115,MATERIAL_FACTOR_APPLICABILITY!$A:$A,0)))</f>
        <v/>
      </c>
      <c r="M115" s="22" t="str">
        <f>IF($C115="","",INDEX(MATERIAL_FACTOR_APPLICABILITY!$H:$H,MATCH($C115,MATERIAL_FACTOR_APPLICABILITY!$A:$A,0)))</f>
        <v/>
      </c>
      <c r="N115" s="22" t="str">
        <f>IF($B115="","",ROUND(1+($I115*(SUMIFS(OBJECT_CONDITIONS!$W:$W,OBJECT_CONDITIONS!$A:$A,$B115)-1))+($J115*(SUMIFS(OBJECT_CONDITIONS!$J:$J,OBJECT_CONDITIONS!$A:$A,$B115)-1))+($K115*(SUMIFS(OBJECT_CONDITIONS!$L:$L,OBJECT_CONDITIONS!$A:$A,$B115)-1))+($L115*(SUMIFS(OBJECT_CONDITIONS!$N:$N,OBJECT_CONDITIONS!$A:$A,$B115)-1))+($M115*(SUMIFS(OBJECT_CONDITIONS!$R:$R,OBJECT_CONDITIONS!$A:$A,$B115)-1)),3))</f>
        <v/>
      </c>
      <c r="O115" s="22"/>
      <c r="P115" s="22" t="str">
        <f t="shared" si="9"/>
        <v/>
      </c>
      <c r="Q115" s="22" t="str">
        <f t="shared" si="10"/>
        <v/>
      </c>
      <c r="R115" s="4" t="str">
        <f>IF($D115="","",IFERROR(INDEX(MATERIAL_VARIANTS!$O:$O,MATCH($D115,MATERIAL_VARIANTS!$A:$A,0)),""))</f>
        <v/>
      </c>
      <c r="S115" s="22" t="str">
        <f>IF($D115="","",IFERROR(INDEX(MATERIAL_VARIANTS!$P:$P,MATCH($D115,MATERIAL_VARIANTS!$A:$A,0)),""))</f>
        <v/>
      </c>
      <c r="T115" s="4" t="str">
        <f t="shared" si="11"/>
        <v/>
      </c>
      <c r="U115" s="4"/>
    </row>
    <row r="116" spans="1:21" x14ac:dyDescent="0.3">
      <c r="A116" s="4"/>
      <c r="B116" s="4"/>
      <c r="C116" s="4"/>
      <c r="D116" s="4"/>
      <c r="E116" s="4"/>
      <c r="F116" s="4"/>
      <c r="G116" s="4" t="str">
        <f>IF($C116="","",INDEX(MATERIAL_MASTER!$O:$O,MATCH($C116,MATERIAL_MASTER!$A:$A,0)))</f>
        <v/>
      </c>
      <c r="H116" s="22" t="str">
        <f>IF($C116="","",INDEX(MATERIAL_MASTER!$P:$P,MATCH($C116,MATERIAL_MASTER!$A:$A,0)))</f>
        <v/>
      </c>
      <c r="I116" s="22" t="str">
        <f>IF($C116="","",INDEX(MATERIAL_FACTOR_APPLICABILITY!$D:$D,MATCH($C116,MATERIAL_FACTOR_APPLICABILITY!$A:$A,0)))</f>
        <v/>
      </c>
      <c r="J116" s="22" t="str">
        <f>IF($C116="","",INDEX(MATERIAL_FACTOR_APPLICABILITY!$E:$E,MATCH($C116,MATERIAL_FACTOR_APPLICABILITY!$A:$A,0)))</f>
        <v/>
      </c>
      <c r="K116" s="22" t="str">
        <f>IF($C116="","",INDEX(MATERIAL_FACTOR_APPLICABILITY!$F:$F,MATCH($C116,MATERIAL_FACTOR_APPLICABILITY!$A:$A,0)))</f>
        <v/>
      </c>
      <c r="L116" s="22" t="str">
        <f>IF($C116="","",INDEX(MATERIAL_FACTOR_APPLICABILITY!$G:$G,MATCH($C116,MATERIAL_FACTOR_APPLICABILITY!$A:$A,0)))</f>
        <v/>
      </c>
      <c r="M116" s="22" t="str">
        <f>IF($C116="","",INDEX(MATERIAL_FACTOR_APPLICABILITY!$H:$H,MATCH($C116,MATERIAL_FACTOR_APPLICABILITY!$A:$A,0)))</f>
        <v/>
      </c>
      <c r="N116" s="22" t="str">
        <f>IF($B116="","",ROUND(1+($I116*(SUMIFS(OBJECT_CONDITIONS!$W:$W,OBJECT_CONDITIONS!$A:$A,$B116)-1))+($J116*(SUMIFS(OBJECT_CONDITIONS!$J:$J,OBJECT_CONDITIONS!$A:$A,$B116)-1))+($K116*(SUMIFS(OBJECT_CONDITIONS!$L:$L,OBJECT_CONDITIONS!$A:$A,$B116)-1))+($L116*(SUMIFS(OBJECT_CONDITIONS!$N:$N,OBJECT_CONDITIONS!$A:$A,$B116)-1))+($M116*(SUMIFS(OBJECT_CONDITIONS!$R:$R,OBJECT_CONDITIONS!$A:$A,$B116)-1)),3))</f>
        <v/>
      </c>
      <c r="O116" s="22"/>
      <c r="P116" s="22" t="str">
        <f t="shared" si="9"/>
        <v/>
      </c>
      <c r="Q116" s="22" t="str">
        <f t="shared" si="10"/>
        <v/>
      </c>
      <c r="R116" s="4" t="str">
        <f>IF($D116="","",IFERROR(INDEX(MATERIAL_VARIANTS!$O:$O,MATCH($D116,MATERIAL_VARIANTS!$A:$A,0)),""))</f>
        <v/>
      </c>
      <c r="S116" s="22" t="str">
        <f>IF($D116="","",IFERROR(INDEX(MATERIAL_VARIANTS!$P:$P,MATCH($D116,MATERIAL_VARIANTS!$A:$A,0)),""))</f>
        <v/>
      </c>
      <c r="T116" s="4" t="str">
        <f t="shared" si="11"/>
        <v/>
      </c>
      <c r="U116" s="4"/>
    </row>
    <row r="117" spans="1:21" x14ac:dyDescent="0.3">
      <c r="A117" s="4"/>
      <c r="B117" s="4"/>
      <c r="C117" s="4"/>
      <c r="D117" s="4"/>
      <c r="E117" s="4"/>
      <c r="F117" s="4"/>
      <c r="G117" s="4" t="str">
        <f>IF($C117="","",INDEX(MATERIAL_MASTER!$O:$O,MATCH($C117,MATERIAL_MASTER!$A:$A,0)))</f>
        <v/>
      </c>
      <c r="H117" s="22" t="str">
        <f>IF($C117="","",INDEX(MATERIAL_MASTER!$P:$P,MATCH($C117,MATERIAL_MASTER!$A:$A,0)))</f>
        <v/>
      </c>
      <c r="I117" s="22" t="str">
        <f>IF($C117="","",INDEX(MATERIAL_FACTOR_APPLICABILITY!$D:$D,MATCH($C117,MATERIAL_FACTOR_APPLICABILITY!$A:$A,0)))</f>
        <v/>
      </c>
      <c r="J117" s="22" t="str">
        <f>IF($C117="","",INDEX(MATERIAL_FACTOR_APPLICABILITY!$E:$E,MATCH($C117,MATERIAL_FACTOR_APPLICABILITY!$A:$A,0)))</f>
        <v/>
      </c>
      <c r="K117" s="22" t="str">
        <f>IF($C117="","",INDEX(MATERIAL_FACTOR_APPLICABILITY!$F:$F,MATCH($C117,MATERIAL_FACTOR_APPLICABILITY!$A:$A,0)))</f>
        <v/>
      </c>
      <c r="L117" s="22" t="str">
        <f>IF($C117="","",INDEX(MATERIAL_FACTOR_APPLICABILITY!$G:$G,MATCH($C117,MATERIAL_FACTOR_APPLICABILITY!$A:$A,0)))</f>
        <v/>
      </c>
      <c r="M117" s="22" t="str">
        <f>IF($C117="","",INDEX(MATERIAL_FACTOR_APPLICABILITY!$H:$H,MATCH($C117,MATERIAL_FACTOR_APPLICABILITY!$A:$A,0)))</f>
        <v/>
      </c>
      <c r="N117" s="22" t="str">
        <f>IF($B117="","",ROUND(1+($I117*(SUMIFS(OBJECT_CONDITIONS!$W:$W,OBJECT_CONDITIONS!$A:$A,$B117)-1))+($J117*(SUMIFS(OBJECT_CONDITIONS!$J:$J,OBJECT_CONDITIONS!$A:$A,$B117)-1))+($K117*(SUMIFS(OBJECT_CONDITIONS!$L:$L,OBJECT_CONDITIONS!$A:$A,$B117)-1))+($L117*(SUMIFS(OBJECT_CONDITIONS!$N:$N,OBJECT_CONDITIONS!$A:$A,$B117)-1))+($M117*(SUMIFS(OBJECT_CONDITIONS!$R:$R,OBJECT_CONDITIONS!$A:$A,$B117)-1)),3))</f>
        <v/>
      </c>
      <c r="O117" s="22"/>
      <c r="P117" s="22" t="str">
        <f t="shared" si="9"/>
        <v/>
      </c>
      <c r="Q117" s="22" t="str">
        <f t="shared" si="10"/>
        <v/>
      </c>
      <c r="R117" s="4" t="str">
        <f>IF($D117="","",IFERROR(INDEX(MATERIAL_VARIANTS!$O:$O,MATCH($D117,MATERIAL_VARIANTS!$A:$A,0)),""))</f>
        <v/>
      </c>
      <c r="S117" s="22" t="str">
        <f>IF($D117="","",IFERROR(INDEX(MATERIAL_VARIANTS!$P:$P,MATCH($D117,MATERIAL_VARIANTS!$A:$A,0)),""))</f>
        <v/>
      </c>
      <c r="T117" s="4" t="str">
        <f t="shared" si="11"/>
        <v/>
      </c>
      <c r="U117" s="4"/>
    </row>
    <row r="118" spans="1:21" x14ac:dyDescent="0.3">
      <c r="A118" s="4"/>
      <c r="B118" s="4"/>
      <c r="C118" s="4"/>
      <c r="D118" s="4"/>
      <c r="E118" s="4"/>
      <c r="F118" s="4"/>
      <c r="G118" s="4" t="str">
        <f>IF($C118="","",INDEX(MATERIAL_MASTER!$O:$O,MATCH($C118,MATERIAL_MASTER!$A:$A,0)))</f>
        <v/>
      </c>
      <c r="H118" s="22" t="str">
        <f>IF($C118="","",INDEX(MATERIAL_MASTER!$P:$P,MATCH($C118,MATERIAL_MASTER!$A:$A,0)))</f>
        <v/>
      </c>
      <c r="I118" s="22" t="str">
        <f>IF($C118="","",INDEX(MATERIAL_FACTOR_APPLICABILITY!$D:$D,MATCH($C118,MATERIAL_FACTOR_APPLICABILITY!$A:$A,0)))</f>
        <v/>
      </c>
      <c r="J118" s="22" t="str">
        <f>IF($C118="","",INDEX(MATERIAL_FACTOR_APPLICABILITY!$E:$E,MATCH($C118,MATERIAL_FACTOR_APPLICABILITY!$A:$A,0)))</f>
        <v/>
      </c>
      <c r="K118" s="22" t="str">
        <f>IF($C118="","",INDEX(MATERIAL_FACTOR_APPLICABILITY!$F:$F,MATCH($C118,MATERIAL_FACTOR_APPLICABILITY!$A:$A,0)))</f>
        <v/>
      </c>
      <c r="L118" s="22" t="str">
        <f>IF($C118="","",INDEX(MATERIAL_FACTOR_APPLICABILITY!$G:$G,MATCH($C118,MATERIAL_FACTOR_APPLICABILITY!$A:$A,0)))</f>
        <v/>
      </c>
      <c r="M118" s="22" t="str">
        <f>IF($C118="","",INDEX(MATERIAL_FACTOR_APPLICABILITY!$H:$H,MATCH($C118,MATERIAL_FACTOR_APPLICABILITY!$A:$A,0)))</f>
        <v/>
      </c>
      <c r="N118" s="22" t="str">
        <f>IF($B118="","",ROUND(1+($I118*(SUMIFS(OBJECT_CONDITIONS!$W:$W,OBJECT_CONDITIONS!$A:$A,$B118)-1))+($J118*(SUMIFS(OBJECT_CONDITIONS!$J:$J,OBJECT_CONDITIONS!$A:$A,$B118)-1))+($K118*(SUMIFS(OBJECT_CONDITIONS!$L:$L,OBJECT_CONDITIONS!$A:$A,$B118)-1))+($L118*(SUMIFS(OBJECT_CONDITIONS!$N:$N,OBJECT_CONDITIONS!$A:$A,$B118)-1))+($M118*(SUMIFS(OBJECT_CONDITIONS!$R:$R,OBJECT_CONDITIONS!$A:$A,$B118)-1)),3))</f>
        <v/>
      </c>
      <c r="O118" s="22"/>
      <c r="P118" s="22" t="str">
        <f t="shared" si="9"/>
        <v/>
      </c>
      <c r="Q118" s="22" t="str">
        <f t="shared" si="10"/>
        <v/>
      </c>
      <c r="R118" s="4" t="str">
        <f>IF($D118="","",IFERROR(INDEX(MATERIAL_VARIANTS!$O:$O,MATCH($D118,MATERIAL_VARIANTS!$A:$A,0)),""))</f>
        <v/>
      </c>
      <c r="S118" s="22" t="str">
        <f>IF($D118="","",IFERROR(INDEX(MATERIAL_VARIANTS!$P:$P,MATCH($D118,MATERIAL_VARIANTS!$A:$A,0)),""))</f>
        <v/>
      </c>
      <c r="T118" s="4" t="str">
        <f t="shared" si="11"/>
        <v/>
      </c>
      <c r="U118" s="4"/>
    </row>
    <row r="119" spans="1:21" x14ac:dyDescent="0.3">
      <c r="A119" s="4"/>
      <c r="B119" s="4"/>
      <c r="C119" s="4"/>
      <c r="D119" s="4"/>
      <c r="E119" s="4"/>
      <c r="F119" s="4"/>
      <c r="G119" s="4" t="str">
        <f>IF($C119="","",INDEX(MATERIAL_MASTER!$O:$O,MATCH($C119,MATERIAL_MASTER!$A:$A,0)))</f>
        <v/>
      </c>
      <c r="H119" s="22" t="str">
        <f>IF($C119="","",INDEX(MATERIAL_MASTER!$P:$P,MATCH($C119,MATERIAL_MASTER!$A:$A,0)))</f>
        <v/>
      </c>
      <c r="I119" s="22" t="str">
        <f>IF($C119="","",INDEX(MATERIAL_FACTOR_APPLICABILITY!$D:$D,MATCH($C119,MATERIAL_FACTOR_APPLICABILITY!$A:$A,0)))</f>
        <v/>
      </c>
      <c r="J119" s="22" t="str">
        <f>IF($C119="","",INDEX(MATERIAL_FACTOR_APPLICABILITY!$E:$E,MATCH($C119,MATERIAL_FACTOR_APPLICABILITY!$A:$A,0)))</f>
        <v/>
      </c>
      <c r="K119" s="22" t="str">
        <f>IF($C119="","",INDEX(MATERIAL_FACTOR_APPLICABILITY!$F:$F,MATCH($C119,MATERIAL_FACTOR_APPLICABILITY!$A:$A,0)))</f>
        <v/>
      </c>
      <c r="L119" s="22" t="str">
        <f>IF($C119="","",INDEX(MATERIAL_FACTOR_APPLICABILITY!$G:$G,MATCH($C119,MATERIAL_FACTOR_APPLICABILITY!$A:$A,0)))</f>
        <v/>
      </c>
      <c r="M119" s="22" t="str">
        <f>IF($C119="","",INDEX(MATERIAL_FACTOR_APPLICABILITY!$H:$H,MATCH($C119,MATERIAL_FACTOR_APPLICABILITY!$A:$A,0)))</f>
        <v/>
      </c>
      <c r="N119" s="22" t="str">
        <f>IF($B119="","",ROUND(1+($I119*(SUMIFS(OBJECT_CONDITIONS!$W:$W,OBJECT_CONDITIONS!$A:$A,$B119)-1))+($J119*(SUMIFS(OBJECT_CONDITIONS!$J:$J,OBJECT_CONDITIONS!$A:$A,$B119)-1))+($K119*(SUMIFS(OBJECT_CONDITIONS!$L:$L,OBJECT_CONDITIONS!$A:$A,$B119)-1))+($L119*(SUMIFS(OBJECT_CONDITIONS!$N:$N,OBJECT_CONDITIONS!$A:$A,$B119)-1))+($M119*(SUMIFS(OBJECT_CONDITIONS!$R:$R,OBJECT_CONDITIONS!$A:$A,$B119)-1)),3))</f>
        <v/>
      </c>
      <c r="O119" s="22"/>
      <c r="P119" s="22" t="str">
        <f t="shared" si="9"/>
        <v/>
      </c>
      <c r="Q119" s="22" t="str">
        <f t="shared" si="10"/>
        <v/>
      </c>
      <c r="R119" s="4" t="str">
        <f>IF($D119="","",IFERROR(INDEX(MATERIAL_VARIANTS!$O:$O,MATCH($D119,MATERIAL_VARIANTS!$A:$A,0)),""))</f>
        <v/>
      </c>
      <c r="S119" s="22" t="str">
        <f>IF($D119="","",IFERROR(INDEX(MATERIAL_VARIANTS!$P:$P,MATCH($D119,MATERIAL_VARIANTS!$A:$A,0)),""))</f>
        <v/>
      </c>
      <c r="T119" s="4" t="str">
        <f t="shared" si="11"/>
        <v/>
      </c>
      <c r="U119" s="4"/>
    </row>
    <row r="120" spans="1:21" x14ac:dyDescent="0.3">
      <c r="A120" s="4"/>
      <c r="B120" s="4"/>
      <c r="C120" s="4"/>
      <c r="D120" s="4"/>
      <c r="E120" s="4"/>
      <c r="F120" s="4"/>
      <c r="G120" s="4" t="str">
        <f>IF($C120="","",INDEX(MATERIAL_MASTER!$O:$O,MATCH($C120,MATERIAL_MASTER!$A:$A,0)))</f>
        <v/>
      </c>
      <c r="H120" s="22" t="str">
        <f>IF($C120="","",INDEX(MATERIAL_MASTER!$P:$P,MATCH($C120,MATERIAL_MASTER!$A:$A,0)))</f>
        <v/>
      </c>
      <c r="I120" s="22" t="str">
        <f>IF($C120="","",INDEX(MATERIAL_FACTOR_APPLICABILITY!$D:$D,MATCH($C120,MATERIAL_FACTOR_APPLICABILITY!$A:$A,0)))</f>
        <v/>
      </c>
      <c r="J120" s="22" t="str">
        <f>IF($C120="","",INDEX(MATERIAL_FACTOR_APPLICABILITY!$E:$E,MATCH($C120,MATERIAL_FACTOR_APPLICABILITY!$A:$A,0)))</f>
        <v/>
      </c>
      <c r="K120" s="22" t="str">
        <f>IF($C120="","",INDEX(MATERIAL_FACTOR_APPLICABILITY!$F:$F,MATCH($C120,MATERIAL_FACTOR_APPLICABILITY!$A:$A,0)))</f>
        <v/>
      </c>
      <c r="L120" s="22" t="str">
        <f>IF($C120="","",INDEX(MATERIAL_FACTOR_APPLICABILITY!$G:$G,MATCH($C120,MATERIAL_FACTOR_APPLICABILITY!$A:$A,0)))</f>
        <v/>
      </c>
      <c r="M120" s="22" t="str">
        <f>IF($C120="","",INDEX(MATERIAL_FACTOR_APPLICABILITY!$H:$H,MATCH($C120,MATERIAL_FACTOR_APPLICABILITY!$A:$A,0)))</f>
        <v/>
      </c>
      <c r="N120" s="22" t="str">
        <f>IF($B120="","",ROUND(1+($I120*(SUMIFS(OBJECT_CONDITIONS!$W:$W,OBJECT_CONDITIONS!$A:$A,$B120)-1))+($J120*(SUMIFS(OBJECT_CONDITIONS!$J:$J,OBJECT_CONDITIONS!$A:$A,$B120)-1))+($K120*(SUMIFS(OBJECT_CONDITIONS!$L:$L,OBJECT_CONDITIONS!$A:$A,$B120)-1))+($L120*(SUMIFS(OBJECT_CONDITIONS!$N:$N,OBJECT_CONDITIONS!$A:$A,$B120)-1))+($M120*(SUMIFS(OBJECT_CONDITIONS!$R:$R,OBJECT_CONDITIONS!$A:$A,$B120)-1)),3))</f>
        <v/>
      </c>
      <c r="O120" s="22"/>
      <c r="P120" s="22" t="str">
        <f t="shared" si="9"/>
        <v/>
      </c>
      <c r="Q120" s="22" t="str">
        <f t="shared" si="10"/>
        <v/>
      </c>
      <c r="R120" s="4" t="str">
        <f>IF($D120="","",IFERROR(INDEX(MATERIAL_VARIANTS!$O:$O,MATCH($D120,MATERIAL_VARIANTS!$A:$A,0)),""))</f>
        <v/>
      </c>
      <c r="S120" s="22" t="str">
        <f>IF($D120="","",IFERROR(INDEX(MATERIAL_VARIANTS!$P:$P,MATCH($D120,MATERIAL_VARIANTS!$A:$A,0)),""))</f>
        <v/>
      </c>
      <c r="T120" s="4" t="str">
        <f t="shared" si="11"/>
        <v/>
      </c>
      <c r="U120" s="4"/>
    </row>
    <row r="121" spans="1:21" x14ac:dyDescent="0.3">
      <c r="A121" s="4"/>
      <c r="B121" s="4"/>
      <c r="C121" s="4"/>
      <c r="D121" s="4"/>
      <c r="E121" s="4"/>
      <c r="F121" s="4"/>
      <c r="G121" s="4" t="str">
        <f>IF($C121="","",INDEX(MATERIAL_MASTER!$O:$O,MATCH($C121,MATERIAL_MASTER!$A:$A,0)))</f>
        <v/>
      </c>
      <c r="H121" s="22" t="str">
        <f>IF($C121="","",INDEX(MATERIAL_MASTER!$P:$P,MATCH($C121,MATERIAL_MASTER!$A:$A,0)))</f>
        <v/>
      </c>
      <c r="I121" s="22" t="str">
        <f>IF($C121="","",INDEX(MATERIAL_FACTOR_APPLICABILITY!$D:$D,MATCH($C121,MATERIAL_FACTOR_APPLICABILITY!$A:$A,0)))</f>
        <v/>
      </c>
      <c r="J121" s="22" t="str">
        <f>IF($C121="","",INDEX(MATERIAL_FACTOR_APPLICABILITY!$E:$E,MATCH($C121,MATERIAL_FACTOR_APPLICABILITY!$A:$A,0)))</f>
        <v/>
      </c>
      <c r="K121" s="22" t="str">
        <f>IF($C121="","",INDEX(MATERIAL_FACTOR_APPLICABILITY!$F:$F,MATCH($C121,MATERIAL_FACTOR_APPLICABILITY!$A:$A,0)))</f>
        <v/>
      </c>
      <c r="L121" s="22" t="str">
        <f>IF($C121="","",INDEX(MATERIAL_FACTOR_APPLICABILITY!$G:$G,MATCH($C121,MATERIAL_FACTOR_APPLICABILITY!$A:$A,0)))</f>
        <v/>
      </c>
      <c r="M121" s="22" t="str">
        <f>IF($C121="","",INDEX(MATERIAL_FACTOR_APPLICABILITY!$H:$H,MATCH($C121,MATERIAL_FACTOR_APPLICABILITY!$A:$A,0)))</f>
        <v/>
      </c>
      <c r="N121" s="22" t="str">
        <f>IF($B121="","",ROUND(1+($I121*(SUMIFS(OBJECT_CONDITIONS!$W:$W,OBJECT_CONDITIONS!$A:$A,$B121)-1))+($J121*(SUMIFS(OBJECT_CONDITIONS!$J:$J,OBJECT_CONDITIONS!$A:$A,$B121)-1))+($K121*(SUMIFS(OBJECT_CONDITIONS!$L:$L,OBJECT_CONDITIONS!$A:$A,$B121)-1))+($L121*(SUMIFS(OBJECT_CONDITIONS!$N:$N,OBJECT_CONDITIONS!$A:$A,$B121)-1))+($M121*(SUMIFS(OBJECT_CONDITIONS!$R:$R,OBJECT_CONDITIONS!$A:$A,$B121)-1)),3))</f>
        <v/>
      </c>
      <c r="O121" s="22"/>
      <c r="P121" s="22" t="str">
        <f t="shared" si="9"/>
        <v/>
      </c>
      <c r="Q121" s="22" t="str">
        <f t="shared" si="10"/>
        <v/>
      </c>
      <c r="R121" s="4" t="str">
        <f>IF($D121="","",IFERROR(INDEX(MATERIAL_VARIANTS!$O:$O,MATCH($D121,MATERIAL_VARIANTS!$A:$A,0)),""))</f>
        <v/>
      </c>
      <c r="S121" s="22" t="str">
        <f>IF($D121="","",IFERROR(INDEX(MATERIAL_VARIANTS!$P:$P,MATCH($D121,MATERIAL_VARIANTS!$A:$A,0)),""))</f>
        <v/>
      </c>
      <c r="T121" s="4" t="str">
        <f t="shared" si="11"/>
        <v/>
      </c>
      <c r="U121" s="4"/>
    </row>
    <row r="122" spans="1:21" x14ac:dyDescent="0.3">
      <c r="A122" s="4"/>
      <c r="B122" s="4"/>
      <c r="C122" s="4"/>
      <c r="D122" s="4"/>
      <c r="E122" s="4"/>
      <c r="F122" s="4"/>
      <c r="G122" s="4" t="str">
        <f>IF($C122="","",INDEX(MATERIAL_MASTER!$O:$O,MATCH($C122,MATERIAL_MASTER!$A:$A,0)))</f>
        <v/>
      </c>
      <c r="H122" s="22" t="str">
        <f>IF($C122="","",INDEX(MATERIAL_MASTER!$P:$P,MATCH($C122,MATERIAL_MASTER!$A:$A,0)))</f>
        <v/>
      </c>
      <c r="I122" s="22" t="str">
        <f>IF($C122="","",INDEX(MATERIAL_FACTOR_APPLICABILITY!$D:$D,MATCH($C122,MATERIAL_FACTOR_APPLICABILITY!$A:$A,0)))</f>
        <v/>
      </c>
      <c r="J122" s="22" t="str">
        <f>IF($C122="","",INDEX(MATERIAL_FACTOR_APPLICABILITY!$E:$E,MATCH($C122,MATERIAL_FACTOR_APPLICABILITY!$A:$A,0)))</f>
        <v/>
      </c>
      <c r="K122" s="22" t="str">
        <f>IF($C122="","",INDEX(MATERIAL_FACTOR_APPLICABILITY!$F:$F,MATCH($C122,MATERIAL_FACTOR_APPLICABILITY!$A:$A,0)))</f>
        <v/>
      </c>
      <c r="L122" s="22" t="str">
        <f>IF($C122="","",INDEX(MATERIAL_FACTOR_APPLICABILITY!$G:$G,MATCH($C122,MATERIAL_FACTOR_APPLICABILITY!$A:$A,0)))</f>
        <v/>
      </c>
      <c r="M122" s="22" t="str">
        <f>IF($C122="","",INDEX(MATERIAL_FACTOR_APPLICABILITY!$H:$H,MATCH($C122,MATERIAL_FACTOR_APPLICABILITY!$A:$A,0)))</f>
        <v/>
      </c>
      <c r="N122" s="22" t="str">
        <f>IF($B122="","",ROUND(1+($I122*(SUMIFS(OBJECT_CONDITIONS!$W:$W,OBJECT_CONDITIONS!$A:$A,$B122)-1))+($J122*(SUMIFS(OBJECT_CONDITIONS!$J:$J,OBJECT_CONDITIONS!$A:$A,$B122)-1))+($K122*(SUMIFS(OBJECT_CONDITIONS!$L:$L,OBJECT_CONDITIONS!$A:$A,$B122)-1))+($L122*(SUMIFS(OBJECT_CONDITIONS!$N:$N,OBJECT_CONDITIONS!$A:$A,$B122)-1))+($M122*(SUMIFS(OBJECT_CONDITIONS!$R:$R,OBJECT_CONDITIONS!$A:$A,$B122)-1)),3))</f>
        <v/>
      </c>
      <c r="O122" s="22"/>
      <c r="P122" s="22" t="str">
        <f t="shared" si="9"/>
        <v/>
      </c>
      <c r="Q122" s="22" t="str">
        <f t="shared" si="10"/>
        <v/>
      </c>
      <c r="R122" s="4" t="str">
        <f>IF($D122="","",IFERROR(INDEX(MATERIAL_VARIANTS!$O:$O,MATCH($D122,MATERIAL_VARIANTS!$A:$A,0)),""))</f>
        <v/>
      </c>
      <c r="S122" s="22" t="str">
        <f>IF($D122="","",IFERROR(INDEX(MATERIAL_VARIANTS!$P:$P,MATCH($D122,MATERIAL_VARIANTS!$A:$A,0)),""))</f>
        <v/>
      </c>
      <c r="T122" s="4" t="str">
        <f t="shared" si="11"/>
        <v/>
      </c>
      <c r="U122" s="4"/>
    </row>
    <row r="123" spans="1:21" x14ac:dyDescent="0.3">
      <c r="A123" s="4"/>
      <c r="B123" s="4"/>
      <c r="C123" s="4"/>
      <c r="D123" s="4"/>
      <c r="E123" s="4"/>
      <c r="F123" s="4"/>
      <c r="G123" s="4" t="str">
        <f>IF($C123="","",INDEX(MATERIAL_MASTER!$O:$O,MATCH($C123,MATERIAL_MASTER!$A:$A,0)))</f>
        <v/>
      </c>
      <c r="H123" s="22" t="str">
        <f>IF($C123="","",INDEX(MATERIAL_MASTER!$P:$P,MATCH($C123,MATERIAL_MASTER!$A:$A,0)))</f>
        <v/>
      </c>
      <c r="I123" s="22" t="str">
        <f>IF($C123="","",INDEX(MATERIAL_FACTOR_APPLICABILITY!$D:$D,MATCH($C123,MATERIAL_FACTOR_APPLICABILITY!$A:$A,0)))</f>
        <v/>
      </c>
      <c r="J123" s="22" t="str">
        <f>IF($C123="","",INDEX(MATERIAL_FACTOR_APPLICABILITY!$E:$E,MATCH($C123,MATERIAL_FACTOR_APPLICABILITY!$A:$A,0)))</f>
        <v/>
      </c>
      <c r="K123" s="22" t="str">
        <f>IF($C123="","",INDEX(MATERIAL_FACTOR_APPLICABILITY!$F:$F,MATCH($C123,MATERIAL_FACTOR_APPLICABILITY!$A:$A,0)))</f>
        <v/>
      </c>
      <c r="L123" s="22" t="str">
        <f>IF($C123="","",INDEX(MATERIAL_FACTOR_APPLICABILITY!$G:$G,MATCH($C123,MATERIAL_FACTOR_APPLICABILITY!$A:$A,0)))</f>
        <v/>
      </c>
      <c r="M123" s="22" t="str">
        <f>IF($C123="","",INDEX(MATERIAL_FACTOR_APPLICABILITY!$H:$H,MATCH($C123,MATERIAL_FACTOR_APPLICABILITY!$A:$A,0)))</f>
        <v/>
      </c>
      <c r="N123" s="22" t="str">
        <f>IF($B123="","",ROUND(1+($I123*(SUMIFS(OBJECT_CONDITIONS!$W:$W,OBJECT_CONDITIONS!$A:$A,$B123)-1))+($J123*(SUMIFS(OBJECT_CONDITIONS!$J:$J,OBJECT_CONDITIONS!$A:$A,$B123)-1))+($K123*(SUMIFS(OBJECT_CONDITIONS!$L:$L,OBJECT_CONDITIONS!$A:$A,$B123)-1))+($L123*(SUMIFS(OBJECT_CONDITIONS!$N:$N,OBJECT_CONDITIONS!$A:$A,$B123)-1))+($M123*(SUMIFS(OBJECT_CONDITIONS!$R:$R,OBJECT_CONDITIONS!$A:$A,$B123)-1)),3))</f>
        <v/>
      </c>
      <c r="O123" s="22"/>
      <c r="P123" s="22" t="str">
        <f t="shared" si="9"/>
        <v/>
      </c>
      <c r="Q123" s="22" t="str">
        <f t="shared" si="10"/>
        <v/>
      </c>
      <c r="R123" s="4" t="str">
        <f>IF($D123="","",IFERROR(INDEX(MATERIAL_VARIANTS!$O:$O,MATCH($D123,MATERIAL_VARIANTS!$A:$A,0)),""))</f>
        <v/>
      </c>
      <c r="S123" s="22" t="str">
        <f>IF($D123="","",IFERROR(INDEX(MATERIAL_VARIANTS!$P:$P,MATCH($D123,MATERIAL_VARIANTS!$A:$A,0)),""))</f>
        <v/>
      </c>
      <c r="T123" s="4" t="str">
        <f t="shared" si="11"/>
        <v/>
      </c>
      <c r="U123" s="4"/>
    </row>
    <row r="124" spans="1:21" x14ac:dyDescent="0.3">
      <c r="A124" s="4"/>
      <c r="B124" s="4"/>
      <c r="C124" s="4"/>
      <c r="D124" s="4"/>
      <c r="E124" s="4"/>
      <c r="F124" s="4"/>
      <c r="G124" s="4" t="str">
        <f>IF($C124="","",INDEX(MATERIAL_MASTER!$O:$O,MATCH($C124,MATERIAL_MASTER!$A:$A,0)))</f>
        <v/>
      </c>
      <c r="H124" s="22" t="str">
        <f>IF($C124="","",INDEX(MATERIAL_MASTER!$P:$P,MATCH($C124,MATERIAL_MASTER!$A:$A,0)))</f>
        <v/>
      </c>
      <c r="I124" s="22" t="str">
        <f>IF($C124="","",INDEX(MATERIAL_FACTOR_APPLICABILITY!$D:$D,MATCH($C124,MATERIAL_FACTOR_APPLICABILITY!$A:$A,0)))</f>
        <v/>
      </c>
      <c r="J124" s="22" t="str">
        <f>IF($C124="","",INDEX(MATERIAL_FACTOR_APPLICABILITY!$E:$E,MATCH($C124,MATERIAL_FACTOR_APPLICABILITY!$A:$A,0)))</f>
        <v/>
      </c>
      <c r="K124" s="22" t="str">
        <f>IF($C124="","",INDEX(MATERIAL_FACTOR_APPLICABILITY!$F:$F,MATCH($C124,MATERIAL_FACTOR_APPLICABILITY!$A:$A,0)))</f>
        <v/>
      </c>
      <c r="L124" s="22" t="str">
        <f>IF($C124="","",INDEX(MATERIAL_FACTOR_APPLICABILITY!$G:$G,MATCH($C124,MATERIAL_FACTOR_APPLICABILITY!$A:$A,0)))</f>
        <v/>
      </c>
      <c r="M124" s="22" t="str">
        <f>IF($C124="","",INDEX(MATERIAL_FACTOR_APPLICABILITY!$H:$H,MATCH($C124,MATERIAL_FACTOR_APPLICABILITY!$A:$A,0)))</f>
        <v/>
      </c>
      <c r="N124" s="22" t="str">
        <f>IF($B124="","",ROUND(1+($I124*(SUMIFS(OBJECT_CONDITIONS!$W:$W,OBJECT_CONDITIONS!$A:$A,$B124)-1))+($J124*(SUMIFS(OBJECT_CONDITIONS!$J:$J,OBJECT_CONDITIONS!$A:$A,$B124)-1))+($K124*(SUMIFS(OBJECT_CONDITIONS!$L:$L,OBJECT_CONDITIONS!$A:$A,$B124)-1))+($L124*(SUMIFS(OBJECT_CONDITIONS!$N:$N,OBJECT_CONDITIONS!$A:$A,$B124)-1))+($M124*(SUMIFS(OBJECT_CONDITIONS!$R:$R,OBJECT_CONDITIONS!$A:$A,$B124)-1)),3))</f>
        <v/>
      </c>
      <c r="O124" s="22"/>
      <c r="P124" s="22" t="str">
        <f t="shared" si="9"/>
        <v/>
      </c>
      <c r="Q124" s="22" t="str">
        <f t="shared" si="10"/>
        <v/>
      </c>
      <c r="R124" s="4" t="str">
        <f>IF($D124="","",IFERROR(INDEX(MATERIAL_VARIANTS!$O:$O,MATCH($D124,MATERIAL_VARIANTS!$A:$A,0)),""))</f>
        <v/>
      </c>
      <c r="S124" s="22" t="str">
        <f>IF($D124="","",IFERROR(INDEX(MATERIAL_VARIANTS!$P:$P,MATCH($D124,MATERIAL_VARIANTS!$A:$A,0)),""))</f>
        <v/>
      </c>
      <c r="T124" s="4" t="str">
        <f t="shared" si="11"/>
        <v/>
      </c>
      <c r="U124" s="4"/>
    </row>
    <row r="125" spans="1:21" x14ac:dyDescent="0.3">
      <c r="A125" s="4"/>
      <c r="B125" s="4"/>
      <c r="C125" s="4"/>
      <c r="D125" s="4"/>
      <c r="E125" s="4"/>
      <c r="F125" s="4"/>
      <c r="G125" s="4" t="str">
        <f>IF($C125="","",INDEX(MATERIAL_MASTER!$O:$O,MATCH($C125,MATERIAL_MASTER!$A:$A,0)))</f>
        <v/>
      </c>
      <c r="H125" s="22" t="str">
        <f>IF($C125="","",INDEX(MATERIAL_MASTER!$P:$P,MATCH($C125,MATERIAL_MASTER!$A:$A,0)))</f>
        <v/>
      </c>
      <c r="I125" s="22" t="str">
        <f>IF($C125="","",INDEX(MATERIAL_FACTOR_APPLICABILITY!$D:$D,MATCH($C125,MATERIAL_FACTOR_APPLICABILITY!$A:$A,0)))</f>
        <v/>
      </c>
      <c r="J125" s="22" t="str">
        <f>IF($C125="","",INDEX(MATERIAL_FACTOR_APPLICABILITY!$E:$E,MATCH($C125,MATERIAL_FACTOR_APPLICABILITY!$A:$A,0)))</f>
        <v/>
      </c>
      <c r="K125" s="22" t="str">
        <f>IF($C125="","",INDEX(MATERIAL_FACTOR_APPLICABILITY!$F:$F,MATCH($C125,MATERIAL_FACTOR_APPLICABILITY!$A:$A,0)))</f>
        <v/>
      </c>
      <c r="L125" s="22" t="str">
        <f>IF($C125="","",INDEX(MATERIAL_FACTOR_APPLICABILITY!$G:$G,MATCH($C125,MATERIAL_FACTOR_APPLICABILITY!$A:$A,0)))</f>
        <v/>
      </c>
      <c r="M125" s="22" t="str">
        <f>IF($C125="","",INDEX(MATERIAL_FACTOR_APPLICABILITY!$H:$H,MATCH($C125,MATERIAL_FACTOR_APPLICABILITY!$A:$A,0)))</f>
        <v/>
      </c>
      <c r="N125" s="22" t="str">
        <f>IF($B125="","",ROUND(1+($I125*(SUMIFS(OBJECT_CONDITIONS!$W:$W,OBJECT_CONDITIONS!$A:$A,$B125)-1))+($J125*(SUMIFS(OBJECT_CONDITIONS!$J:$J,OBJECT_CONDITIONS!$A:$A,$B125)-1))+($K125*(SUMIFS(OBJECT_CONDITIONS!$L:$L,OBJECT_CONDITIONS!$A:$A,$B125)-1))+($L125*(SUMIFS(OBJECT_CONDITIONS!$N:$N,OBJECT_CONDITIONS!$A:$A,$B125)-1))+($M125*(SUMIFS(OBJECT_CONDITIONS!$R:$R,OBJECT_CONDITIONS!$A:$A,$B125)-1)),3))</f>
        <v/>
      </c>
      <c r="O125" s="22"/>
      <c r="P125" s="22" t="str">
        <f t="shared" si="9"/>
        <v/>
      </c>
      <c r="Q125" s="22" t="str">
        <f t="shared" si="10"/>
        <v/>
      </c>
      <c r="R125" s="4" t="str">
        <f>IF($D125="","",IFERROR(INDEX(MATERIAL_VARIANTS!$O:$O,MATCH($D125,MATERIAL_VARIANTS!$A:$A,0)),""))</f>
        <v/>
      </c>
      <c r="S125" s="22" t="str">
        <f>IF($D125="","",IFERROR(INDEX(MATERIAL_VARIANTS!$P:$P,MATCH($D125,MATERIAL_VARIANTS!$A:$A,0)),""))</f>
        <v/>
      </c>
      <c r="T125" s="4" t="str">
        <f t="shared" si="11"/>
        <v/>
      </c>
      <c r="U125" s="4"/>
    </row>
    <row r="126" spans="1:21" x14ac:dyDescent="0.3">
      <c r="A126" s="4"/>
      <c r="B126" s="4"/>
      <c r="C126" s="4"/>
      <c r="D126" s="4"/>
      <c r="E126" s="4"/>
      <c r="F126" s="4"/>
      <c r="G126" s="4" t="str">
        <f>IF($C126="","",INDEX(MATERIAL_MASTER!$O:$O,MATCH($C126,MATERIAL_MASTER!$A:$A,0)))</f>
        <v/>
      </c>
      <c r="H126" s="22" t="str">
        <f>IF($C126="","",INDEX(MATERIAL_MASTER!$P:$P,MATCH($C126,MATERIAL_MASTER!$A:$A,0)))</f>
        <v/>
      </c>
      <c r="I126" s="22" t="str">
        <f>IF($C126="","",INDEX(MATERIAL_FACTOR_APPLICABILITY!$D:$D,MATCH($C126,MATERIAL_FACTOR_APPLICABILITY!$A:$A,0)))</f>
        <v/>
      </c>
      <c r="J126" s="22" t="str">
        <f>IF($C126="","",INDEX(MATERIAL_FACTOR_APPLICABILITY!$E:$E,MATCH($C126,MATERIAL_FACTOR_APPLICABILITY!$A:$A,0)))</f>
        <v/>
      </c>
      <c r="K126" s="22" t="str">
        <f>IF($C126="","",INDEX(MATERIAL_FACTOR_APPLICABILITY!$F:$F,MATCH($C126,MATERIAL_FACTOR_APPLICABILITY!$A:$A,0)))</f>
        <v/>
      </c>
      <c r="L126" s="22" t="str">
        <f>IF($C126="","",INDEX(MATERIAL_FACTOR_APPLICABILITY!$G:$G,MATCH($C126,MATERIAL_FACTOR_APPLICABILITY!$A:$A,0)))</f>
        <v/>
      </c>
      <c r="M126" s="22" t="str">
        <f>IF($C126="","",INDEX(MATERIAL_FACTOR_APPLICABILITY!$H:$H,MATCH($C126,MATERIAL_FACTOR_APPLICABILITY!$A:$A,0)))</f>
        <v/>
      </c>
      <c r="N126" s="22" t="str">
        <f>IF($B126="","",ROUND(1+($I126*(SUMIFS(OBJECT_CONDITIONS!$W:$W,OBJECT_CONDITIONS!$A:$A,$B126)-1))+($J126*(SUMIFS(OBJECT_CONDITIONS!$J:$J,OBJECT_CONDITIONS!$A:$A,$B126)-1))+($K126*(SUMIFS(OBJECT_CONDITIONS!$L:$L,OBJECT_CONDITIONS!$A:$A,$B126)-1))+($L126*(SUMIFS(OBJECT_CONDITIONS!$N:$N,OBJECT_CONDITIONS!$A:$A,$B126)-1))+($M126*(SUMIFS(OBJECT_CONDITIONS!$R:$R,OBJECT_CONDITIONS!$A:$A,$B126)-1)),3))</f>
        <v/>
      </c>
      <c r="O126" s="22"/>
      <c r="P126" s="22" t="str">
        <f t="shared" si="9"/>
        <v/>
      </c>
      <c r="Q126" s="22" t="str">
        <f t="shared" si="10"/>
        <v/>
      </c>
      <c r="R126" s="4" t="str">
        <f>IF($D126="","",IFERROR(INDEX(MATERIAL_VARIANTS!$O:$O,MATCH($D126,MATERIAL_VARIANTS!$A:$A,0)),""))</f>
        <v/>
      </c>
      <c r="S126" s="22" t="str">
        <f>IF($D126="","",IFERROR(INDEX(MATERIAL_VARIANTS!$P:$P,MATCH($D126,MATERIAL_VARIANTS!$A:$A,0)),""))</f>
        <v/>
      </c>
      <c r="T126" s="4" t="str">
        <f t="shared" si="11"/>
        <v/>
      </c>
      <c r="U126" s="4"/>
    </row>
    <row r="127" spans="1:21" x14ac:dyDescent="0.3">
      <c r="A127" s="4"/>
      <c r="B127" s="4"/>
      <c r="C127" s="4"/>
      <c r="D127" s="4"/>
      <c r="E127" s="4"/>
      <c r="F127" s="4"/>
      <c r="G127" s="4" t="str">
        <f>IF($C127="","",INDEX(MATERIAL_MASTER!$O:$O,MATCH($C127,MATERIAL_MASTER!$A:$A,0)))</f>
        <v/>
      </c>
      <c r="H127" s="22" t="str">
        <f>IF($C127="","",INDEX(MATERIAL_MASTER!$P:$P,MATCH($C127,MATERIAL_MASTER!$A:$A,0)))</f>
        <v/>
      </c>
      <c r="I127" s="22" t="str">
        <f>IF($C127="","",INDEX(MATERIAL_FACTOR_APPLICABILITY!$D:$D,MATCH($C127,MATERIAL_FACTOR_APPLICABILITY!$A:$A,0)))</f>
        <v/>
      </c>
      <c r="J127" s="22" t="str">
        <f>IF($C127="","",INDEX(MATERIAL_FACTOR_APPLICABILITY!$E:$E,MATCH($C127,MATERIAL_FACTOR_APPLICABILITY!$A:$A,0)))</f>
        <v/>
      </c>
      <c r="K127" s="22" t="str">
        <f>IF($C127="","",INDEX(MATERIAL_FACTOR_APPLICABILITY!$F:$F,MATCH($C127,MATERIAL_FACTOR_APPLICABILITY!$A:$A,0)))</f>
        <v/>
      </c>
      <c r="L127" s="22" t="str">
        <f>IF($C127="","",INDEX(MATERIAL_FACTOR_APPLICABILITY!$G:$G,MATCH($C127,MATERIAL_FACTOR_APPLICABILITY!$A:$A,0)))</f>
        <v/>
      </c>
      <c r="M127" s="22" t="str">
        <f>IF($C127="","",INDEX(MATERIAL_FACTOR_APPLICABILITY!$H:$H,MATCH($C127,MATERIAL_FACTOR_APPLICABILITY!$A:$A,0)))</f>
        <v/>
      </c>
      <c r="N127" s="22" t="str">
        <f>IF($B127="","",ROUND(1+($I127*(SUMIFS(OBJECT_CONDITIONS!$W:$W,OBJECT_CONDITIONS!$A:$A,$B127)-1))+($J127*(SUMIFS(OBJECT_CONDITIONS!$J:$J,OBJECT_CONDITIONS!$A:$A,$B127)-1))+($K127*(SUMIFS(OBJECT_CONDITIONS!$L:$L,OBJECT_CONDITIONS!$A:$A,$B127)-1))+($L127*(SUMIFS(OBJECT_CONDITIONS!$N:$N,OBJECT_CONDITIONS!$A:$A,$B127)-1))+($M127*(SUMIFS(OBJECT_CONDITIONS!$R:$R,OBJECT_CONDITIONS!$A:$A,$B127)-1)),3))</f>
        <v/>
      </c>
      <c r="O127" s="22"/>
      <c r="P127" s="22" t="str">
        <f t="shared" si="9"/>
        <v/>
      </c>
      <c r="Q127" s="22" t="str">
        <f t="shared" si="10"/>
        <v/>
      </c>
      <c r="R127" s="4" t="str">
        <f>IF($D127="","",IFERROR(INDEX(MATERIAL_VARIANTS!$O:$O,MATCH($D127,MATERIAL_VARIANTS!$A:$A,0)),""))</f>
        <v/>
      </c>
      <c r="S127" s="22" t="str">
        <f>IF($D127="","",IFERROR(INDEX(MATERIAL_VARIANTS!$P:$P,MATCH($D127,MATERIAL_VARIANTS!$A:$A,0)),""))</f>
        <v/>
      </c>
      <c r="T127" s="4" t="str">
        <f t="shared" si="11"/>
        <v/>
      </c>
      <c r="U127" s="4"/>
    </row>
    <row r="128" spans="1:21" x14ac:dyDescent="0.3">
      <c r="A128" s="4"/>
      <c r="B128" s="4"/>
      <c r="C128" s="4"/>
      <c r="D128" s="4"/>
      <c r="E128" s="4"/>
      <c r="F128" s="4"/>
      <c r="G128" s="4" t="str">
        <f>IF($C128="","",INDEX(MATERIAL_MASTER!$O:$O,MATCH($C128,MATERIAL_MASTER!$A:$A,0)))</f>
        <v/>
      </c>
      <c r="H128" s="22" t="str">
        <f>IF($C128="","",INDEX(MATERIAL_MASTER!$P:$P,MATCH($C128,MATERIAL_MASTER!$A:$A,0)))</f>
        <v/>
      </c>
      <c r="I128" s="22" t="str">
        <f>IF($C128="","",INDEX(MATERIAL_FACTOR_APPLICABILITY!$D:$D,MATCH($C128,MATERIAL_FACTOR_APPLICABILITY!$A:$A,0)))</f>
        <v/>
      </c>
      <c r="J128" s="22" t="str">
        <f>IF($C128="","",INDEX(MATERIAL_FACTOR_APPLICABILITY!$E:$E,MATCH($C128,MATERIAL_FACTOR_APPLICABILITY!$A:$A,0)))</f>
        <v/>
      </c>
      <c r="K128" s="22" t="str">
        <f>IF($C128="","",INDEX(MATERIAL_FACTOR_APPLICABILITY!$F:$F,MATCH($C128,MATERIAL_FACTOR_APPLICABILITY!$A:$A,0)))</f>
        <v/>
      </c>
      <c r="L128" s="22" t="str">
        <f>IF($C128="","",INDEX(MATERIAL_FACTOR_APPLICABILITY!$G:$G,MATCH($C128,MATERIAL_FACTOR_APPLICABILITY!$A:$A,0)))</f>
        <v/>
      </c>
      <c r="M128" s="22" t="str">
        <f>IF($C128="","",INDEX(MATERIAL_FACTOR_APPLICABILITY!$H:$H,MATCH($C128,MATERIAL_FACTOR_APPLICABILITY!$A:$A,0)))</f>
        <v/>
      </c>
      <c r="N128" s="22" t="str">
        <f>IF($B128="","",ROUND(1+($I128*(SUMIFS(OBJECT_CONDITIONS!$W:$W,OBJECT_CONDITIONS!$A:$A,$B128)-1))+($J128*(SUMIFS(OBJECT_CONDITIONS!$J:$J,OBJECT_CONDITIONS!$A:$A,$B128)-1))+($K128*(SUMIFS(OBJECT_CONDITIONS!$L:$L,OBJECT_CONDITIONS!$A:$A,$B128)-1))+($L128*(SUMIFS(OBJECT_CONDITIONS!$N:$N,OBJECT_CONDITIONS!$A:$A,$B128)-1))+($M128*(SUMIFS(OBJECT_CONDITIONS!$R:$R,OBJECT_CONDITIONS!$A:$A,$B128)-1)),3))</f>
        <v/>
      </c>
      <c r="O128" s="22"/>
      <c r="P128" s="22" t="str">
        <f t="shared" si="9"/>
        <v/>
      </c>
      <c r="Q128" s="22" t="str">
        <f t="shared" si="10"/>
        <v/>
      </c>
      <c r="R128" s="4" t="str">
        <f>IF($D128="","",IFERROR(INDEX(MATERIAL_VARIANTS!$O:$O,MATCH($D128,MATERIAL_VARIANTS!$A:$A,0)),""))</f>
        <v/>
      </c>
      <c r="S128" s="22" t="str">
        <f>IF($D128="","",IFERROR(INDEX(MATERIAL_VARIANTS!$P:$P,MATCH($D128,MATERIAL_VARIANTS!$A:$A,0)),""))</f>
        <v/>
      </c>
      <c r="T128" s="4" t="str">
        <f t="shared" si="11"/>
        <v/>
      </c>
      <c r="U128" s="4"/>
    </row>
    <row r="129" spans="1:21" x14ac:dyDescent="0.3">
      <c r="A129" s="4"/>
      <c r="B129" s="4"/>
      <c r="C129" s="4"/>
      <c r="D129" s="4"/>
      <c r="E129" s="4"/>
      <c r="F129" s="4"/>
      <c r="G129" s="4" t="str">
        <f>IF($C129="","",INDEX(MATERIAL_MASTER!$O:$O,MATCH($C129,MATERIAL_MASTER!$A:$A,0)))</f>
        <v/>
      </c>
      <c r="H129" s="22" t="str">
        <f>IF($C129="","",INDEX(MATERIAL_MASTER!$P:$P,MATCH($C129,MATERIAL_MASTER!$A:$A,0)))</f>
        <v/>
      </c>
      <c r="I129" s="22" t="str">
        <f>IF($C129="","",INDEX(MATERIAL_FACTOR_APPLICABILITY!$D:$D,MATCH($C129,MATERIAL_FACTOR_APPLICABILITY!$A:$A,0)))</f>
        <v/>
      </c>
      <c r="J129" s="22" t="str">
        <f>IF($C129="","",INDEX(MATERIAL_FACTOR_APPLICABILITY!$E:$E,MATCH($C129,MATERIAL_FACTOR_APPLICABILITY!$A:$A,0)))</f>
        <v/>
      </c>
      <c r="K129" s="22" t="str">
        <f>IF($C129="","",INDEX(MATERIAL_FACTOR_APPLICABILITY!$F:$F,MATCH($C129,MATERIAL_FACTOR_APPLICABILITY!$A:$A,0)))</f>
        <v/>
      </c>
      <c r="L129" s="22" t="str">
        <f>IF($C129="","",INDEX(MATERIAL_FACTOR_APPLICABILITY!$G:$G,MATCH($C129,MATERIAL_FACTOR_APPLICABILITY!$A:$A,0)))</f>
        <v/>
      </c>
      <c r="M129" s="22" t="str">
        <f>IF($C129="","",INDEX(MATERIAL_FACTOR_APPLICABILITY!$H:$H,MATCH($C129,MATERIAL_FACTOR_APPLICABILITY!$A:$A,0)))</f>
        <v/>
      </c>
      <c r="N129" s="22" t="str">
        <f>IF($B129="","",ROUND(1+($I129*(SUMIFS(OBJECT_CONDITIONS!$W:$W,OBJECT_CONDITIONS!$A:$A,$B129)-1))+($J129*(SUMIFS(OBJECT_CONDITIONS!$J:$J,OBJECT_CONDITIONS!$A:$A,$B129)-1))+($K129*(SUMIFS(OBJECT_CONDITIONS!$L:$L,OBJECT_CONDITIONS!$A:$A,$B129)-1))+($L129*(SUMIFS(OBJECT_CONDITIONS!$N:$N,OBJECT_CONDITIONS!$A:$A,$B129)-1))+($M129*(SUMIFS(OBJECT_CONDITIONS!$R:$R,OBJECT_CONDITIONS!$A:$A,$B129)-1)),3))</f>
        <v/>
      </c>
      <c r="O129" s="22"/>
      <c r="P129" s="22" t="str">
        <f t="shared" si="9"/>
        <v/>
      </c>
      <c r="Q129" s="22" t="str">
        <f t="shared" si="10"/>
        <v/>
      </c>
      <c r="R129" s="4" t="str">
        <f>IF($D129="","",IFERROR(INDEX(MATERIAL_VARIANTS!$O:$O,MATCH($D129,MATERIAL_VARIANTS!$A:$A,0)),""))</f>
        <v/>
      </c>
      <c r="S129" s="22" t="str">
        <f>IF($D129="","",IFERROR(INDEX(MATERIAL_VARIANTS!$P:$P,MATCH($D129,MATERIAL_VARIANTS!$A:$A,0)),""))</f>
        <v/>
      </c>
      <c r="T129" s="4" t="str">
        <f t="shared" si="11"/>
        <v/>
      </c>
      <c r="U129" s="4"/>
    </row>
    <row r="130" spans="1:21" x14ac:dyDescent="0.3">
      <c r="A130" s="4"/>
      <c r="B130" s="4"/>
      <c r="C130" s="4"/>
      <c r="D130" s="4"/>
      <c r="E130" s="4"/>
      <c r="F130" s="4"/>
      <c r="G130" s="4" t="str">
        <f>IF($C130="","",INDEX(MATERIAL_MASTER!$O:$O,MATCH($C130,MATERIAL_MASTER!$A:$A,0)))</f>
        <v/>
      </c>
      <c r="H130" s="22" t="str">
        <f>IF($C130="","",INDEX(MATERIAL_MASTER!$P:$P,MATCH($C130,MATERIAL_MASTER!$A:$A,0)))</f>
        <v/>
      </c>
      <c r="I130" s="22" t="str">
        <f>IF($C130="","",INDEX(MATERIAL_FACTOR_APPLICABILITY!$D:$D,MATCH($C130,MATERIAL_FACTOR_APPLICABILITY!$A:$A,0)))</f>
        <v/>
      </c>
      <c r="J130" s="22" t="str">
        <f>IF($C130="","",INDEX(MATERIAL_FACTOR_APPLICABILITY!$E:$E,MATCH($C130,MATERIAL_FACTOR_APPLICABILITY!$A:$A,0)))</f>
        <v/>
      </c>
      <c r="K130" s="22" t="str">
        <f>IF($C130="","",INDEX(MATERIAL_FACTOR_APPLICABILITY!$F:$F,MATCH($C130,MATERIAL_FACTOR_APPLICABILITY!$A:$A,0)))</f>
        <v/>
      </c>
      <c r="L130" s="22" t="str">
        <f>IF($C130="","",INDEX(MATERIAL_FACTOR_APPLICABILITY!$G:$G,MATCH($C130,MATERIAL_FACTOR_APPLICABILITY!$A:$A,0)))</f>
        <v/>
      </c>
      <c r="M130" s="22" t="str">
        <f>IF($C130="","",INDEX(MATERIAL_FACTOR_APPLICABILITY!$H:$H,MATCH($C130,MATERIAL_FACTOR_APPLICABILITY!$A:$A,0)))</f>
        <v/>
      </c>
      <c r="N130" s="22" t="str">
        <f>IF($B130="","",ROUND(1+($I130*(SUMIFS(OBJECT_CONDITIONS!$W:$W,OBJECT_CONDITIONS!$A:$A,$B130)-1))+($J130*(SUMIFS(OBJECT_CONDITIONS!$J:$J,OBJECT_CONDITIONS!$A:$A,$B130)-1))+($K130*(SUMIFS(OBJECT_CONDITIONS!$L:$L,OBJECT_CONDITIONS!$A:$A,$B130)-1))+($L130*(SUMIFS(OBJECT_CONDITIONS!$N:$N,OBJECT_CONDITIONS!$A:$A,$B130)-1))+($M130*(SUMIFS(OBJECT_CONDITIONS!$R:$R,OBJECT_CONDITIONS!$A:$A,$B130)-1)),3))</f>
        <v/>
      </c>
      <c r="O130" s="22"/>
      <c r="P130" s="22" t="str">
        <f t="shared" ref="P130:P150" si="12">IF(OR($H130="",$N130=""),"",ROUND($H130*$N130*IF($O130="",1,$O130),3))</f>
        <v/>
      </c>
      <c r="Q130" s="22" t="str">
        <f t="shared" ref="Q130:Q150" si="13">IF(OR($E130="",$P130=""),"",ROUND($E130*$P130,3))</f>
        <v/>
      </c>
      <c r="R130" s="4" t="str">
        <f>IF($D130="","",IFERROR(INDEX(MATERIAL_VARIANTS!$O:$O,MATCH($D130,MATERIAL_VARIANTS!$A:$A,0)),""))</f>
        <v/>
      </c>
      <c r="S130" s="22" t="str">
        <f>IF($D130="","",IFERROR(INDEX(MATERIAL_VARIANTS!$P:$P,MATCH($D130,MATERIAL_VARIANTS!$A:$A,0)),""))</f>
        <v/>
      </c>
      <c r="T130" s="4" t="str">
        <f t="shared" ref="T130:T150" si="14">IF(OR($Q130="",$S130="",$S130=0),"",ROUNDUP($Q130/$S130,0))</f>
        <v/>
      </c>
      <c r="U130" s="4"/>
    </row>
    <row r="131" spans="1:21" x14ac:dyDescent="0.3">
      <c r="A131" s="4"/>
      <c r="B131" s="4"/>
      <c r="C131" s="4"/>
      <c r="D131" s="4"/>
      <c r="E131" s="4"/>
      <c r="F131" s="4"/>
      <c r="G131" s="4" t="str">
        <f>IF($C131="","",INDEX(MATERIAL_MASTER!$O:$O,MATCH($C131,MATERIAL_MASTER!$A:$A,0)))</f>
        <v/>
      </c>
      <c r="H131" s="22" t="str">
        <f>IF($C131="","",INDEX(MATERIAL_MASTER!$P:$P,MATCH($C131,MATERIAL_MASTER!$A:$A,0)))</f>
        <v/>
      </c>
      <c r="I131" s="22" t="str">
        <f>IF($C131="","",INDEX(MATERIAL_FACTOR_APPLICABILITY!$D:$D,MATCH($C131,MATERIAL_FACTOR_APPLICABILITY!$A:$A,0)))</f>
        <v/>
      </c>
      <c r="J131" s="22" t="str">
        <f>IF($C131="","",INDEX(MATERIAL_FACTOR_APPLICABILITY!$E:$E,MATCH($C131,MATERIAL_FACTOR_APPLICABILITY!$A:$A,0)))</f>
        <v/>
      </c>
      <c r="K131" s="22" t="str">
        <f>IF($C131="","",INDEX(MATERIAL_FACTOR_APPLICABILITY!$F:$F,MATCH($C131,MATERIAL_FACTOR_APPLICABILITY!$A:$A,0)))</f>
        <v/>
      </c>
      <c r="L131" s="22" t="str">
        <f>IF($C131="","",INDEX(MATERIAL_FACTOR_APPLICABILITY!$G:$G,MATCH($C131,MATERIAL_FACTOR_APPLICABILITY!$A:$A,0)))</f>
        <v/>
      </c>
      <c r="M131" s="22" t="str">
        <f>IF($C131="","",INDEX(MATERIAL_FACTOR_APPLICABILITY!$H:$H,MATCH($C131,MATERIAL_FACTOR_APPLICABILITY!$A:$A,0)))</f>
        <v/>
      </c>
      <c r="N131" s="22" t="str">
        <f>IF($B131="","",ROUND(1+($I131*(SUMIFS(OBJECT_CONDITIONS!$W:$W,OBJECT_CONDITIONS!$A:$A,$B131)-1))+($J131*(SUMIFS(OBJECT_CONDITIONS!$J:$J,OBJECT_CONDITIONS!$A:$A,$B131)-1))+($K131*(SUMIFS(OBJECT_CONDITIONS!$L:$L,OBJECT_CONDITIONS!$A:$A,$B131)-1))+($L131*(SUMIFS(OBJECT_CONDITIONS!$N:$N,OBJECT_CONDITIONS!$A:$A,$B131)-1))+($M131*(SUMIFS(OBJECT_CONDITIONS!$R:$R,OBJECT_CONDITIONS!$A:$A,$B131)-1)),3))</f>
        <v/>
      </c>
      <c r="O131" s="22"/>
      <c r="P131" s="22" t="str">
        <f t="shared" si="12"/>
        <v/>
      </c>
      <c r="Q131" s="22" t="str">
        <f t="shared" si="13"/>
        <v/>
      </c>
      <c r="R131" s="4" t="str">
        <f>IF($D131="","",IFERROR(INDEX(MATERIAL_VARIANTS!$O:$O,MATCH($D131,MATERIAL_VARIANTS!$A:$A,0)),""))</f>
        <v/>
      </c>
      <c r="S131" s="22" t="str">
        <f>IF($D131="","",IFERROR(INDEX(MATERIAL_VARIANTS!$P:$P,MATCH($D131,MATERIAL_VARIANTS!$A:$A,0)),""))</f>
        <v/>
      </c>
      <c r="T131" s="4" t="str">
        <f t="shared" si="14"/>
        <v/>
      </c>
      <c r="U131" s="4"/>
    </row>
    <row r="132" spans="1:21" x14ac:dyDescent="0.3">
      <c r="A132" s="4"/>
      <c r="B132" s="4"/>
      <c r="C132" s="4"/>
      <c r="D132" s="4"/>
      <c r="E132" s="4"/>
      <c r="F132" s="4"/>
      <c r="G132" s="4" t="str">
        <f>IF($C132="","",INDEX(MATERIAL_MASTER!$O:$O,MATCH($C132,MATERIAL_MASTER!$A:$A,0)))</f>
        <v/>
      </c>
      <c r="H132" s="22" t="str">
        <f>IF($C132="","",INDEX(MATERIAL_MASTER!$P:$P,MATCH($C132,MATERIAL_MASTER!$A:$A,0)))</f>
        <v/>
      </c>
      <c r="I132" s="22" t="str">
        <f>IF($C132="","",INDEX(MATERIAL_FACTOR_APPLICABILITY!$D:$D,MATCH($C132,MATERIAL_FACTOR_APPLICABILITY!$A:$A,0)))</f>
        <v/>
      </c>
      <c r="J132" s="22" t="str">
        <f>IF($C132="","",INDEX(MATERIAL_FACTOR_APPLICABILITY!$E:$E,MATCH($C132,MATERIAL_FACTOR_APPLICABILITY!$A:$A,0)))</f>
        <v/>
      </c>
      <c r="K132" s="22" t="str">
        <f>IF($C132="","",INDEX(MATERIAL_FACTOR_APPLICABILITY!$F:$F,MATCH($C132,MATERIAL_FACTOR_APPLICABILITY!$A:$A,0)))</f>
        <v/>
      </c>
      <c r="L132" s="22" t="str">
        <f>IF($C132="","",INDEX(MATERIAL_FACTOR_APPLICABILITY!$G:$G,MATCH($C132,MATERIAL_FACTOR_APPLICABILITY!$A:$A,0)))</f>
        <v/>
      </c>
      <c r="M132" s="22" t="str">
        <f>IF($C132="","",INDEX(MATERIAL_FACTOR_APPLICABILITY!$H:$H,MATCH($C132,MATERIAL_FACTOR_APPLICABILITY!$A:$A,0)))</f>
        <v/>
      </c>
      <c r="N132" s="22" t="str">
        <f>IF($B132="","",ROUND(1+($I132*(SUMIFS(OBJECT_CONDITIONS!$W:$W,OBJECT_CONDITIONS!$A:$A,$B132)-1))+($J132*(SUMIFS(OBJECT_CONDITIONS!$J:$J,OBJECT_CONDITIONS!$A:$A,$B132)-1))+($K132*(SUMIFS(OBJECT_CONDITIONS!$L:$L,OBJECT_CONDITIONS!$A:$A,$B132)-1))+($L132*(SUMIFS(OBJECT_CONDITIONS!$N:$N,OBJECT_CONDITIONS!$A:$A,$B132)-1))+($M132*(SUMIFS(OBJECT_CONDITIONS!$R:$R,OBJECT_CONDITIONS!$A:$A,$B132)-1)),3))</f>
        <v/>
      </c>
      <c r="O132" s="22"/>
      <c r="P132" s="22" t="str">
        <f t="shared" si="12"/>
        <v/>
      </c>
      <c r="Q132" s="22" t="str">
        <f t="shared" si="13"/>
        <v/>
      </c>
      <c r="R132" s="4" t="str">
        <f>IF($D132="","",IFERROR(INDEX(MATERIAL_VARIANTS!$O:$O,MATCH($D132,MATERIAL_VARIANTS!$A:$A,0)),""))</f>
        <v/>
      </c>
      <c r="S132" s="22" t="str">
        <f>IF($D132="","",IFERROR(INDEX(MATERIAL_VARIANTS!$P:$P,MATCH($D132,MATERIAL_VARIANTS!$A:$A,0)),""))</f>
        <v/>
      </c>
      <c r="T132" s="4" t="str">
        <f t="shared" si="14"/>
        <v/>
      </c>
      <c r="U132" s="4"/>
    </row>
    <row r="133" spans="1:21" x14ac:dyDescent="0.3">
      <c r="A133" s="4"/>
      <c r="B133" s="4"/>
      <c r="C133" s="4"/>
      <c r="D133" s="4"/>
      <c r="E133" s="4"/>
      <c r="F133" s="4"/>
      <c r="G133" s="4" t="str">
        <f>IF($C133="","",INDEX(MATERIAL_MASTER!$O:$O,MATCH($C133,MATERIAL_MASTER!$A:$A,0)))</f>
        <v/>
      </c>
      <c r="H133" s="22" t="str">
        <f>IF($C133="","",INDEX(MATERIAL_MASTER!$P:$P,MATCH($C133,MATERIAL_MASTER!$A:$A,0)))</f>
        <v/>
      </c>
      <c r="I133" s="22" t="str">
        <f>IF($C133="","",INDEX(MATERIAL_FACTOR_APPLICABILITY!$D:$D,MATCH($C133,MATERIAL_FACTOR_APPLICABILITY!$A:$A,0)))</f>
        <v/>
      </c>
      <c r="J133" s="22" t="str">
        <f>IF($C133="","",INDEX(MATERIAL_FACTOR_APPLICABILITY!$E:$E,MATCH($C133,MATERIAL_FACTOR_APPLICABILITY!$A:$A,0)))</f>
        <v/>
      </c>
      <c r="K133" s="22" t="str">
        <f>IF($C133="","",INDEX(MATERIAL_FACTOR_APPLICABILITY!$F:$F,MATCH($C133,MATERIAL_FACTOR_APPLICABILITY!$A:$A,0)))</f>
        <v/>
      </c>
      <c r="L133" s="22" t="str">
        <f>IF($C133="","",INDEX(MATERIAL_FACTOR_APPLICABILITY!$G:$G,MATCH($C133,MATERIAL_FACTOR_APPLICABILITY!$A:$A,0)))</f>
        <v/>
      </c>
      <c r="M133" s="22" t="str">
        <f>IF($C133="","",INDEX(MATERIAL_FACTOR_APPLICABILITY!$H:$H,MATCH($C133,MATERIAL_FACTOR_APPLICABILITY!$A:$A,0)))</f>
        <v/>
      </c>
      <c r="N133" s="22" t="str">
        <f>IF($B133="","",ROUND(1+($I133*(SUMIFS(OBJECT_CONDITIONS!$W:$W,OBJECT_CONDITIONS!$A:$A,$B133)-1))+($J133*(SUMIFS(OBJECT_CONDITIONS!$J:$J,OBJECT_CONDITIONS!$A:$A,$B133)-1))+($K133*(SUMIFS(OBJECT_CONDITIONS!$L:$L,OBJECT_CONDITIONS!$A:$A,$B133)-1))+($L133*(SUMIFS(OBJECT_CONDITIONS!$N:$N,OBJECT_CONDITIONS!$A:$A,$B133)-1))+($M133*(SUMIFS(OBJECT_CONDITIONS!$R:$R,OBJECT_CONDITIONS!$A:$A,$B133)-1)),3))</f>
        <v/>
      </c>
      <c r="O133" s="22"/>
      <c r="P133" s="22" t="str">
        <f t="shared" si="12"/>
        <v/>
      </c>
      <c r="Q133" s="22" t="str">
        <f t="shared" si="13"/>
        <v/>
      </c>
      <c r="R133" s="4" t="str">
        <f>IF($D133="","",IFERROR(INDEX(MATERIAL_VARIANTS!$O:$O,MATCH($D133,MATERIAL_VARIANTS!$A:$A,0)),""))</f>
        <v/>
      </c>
      <c r="S133" s="22" t="str">
        <f>IF($D133="","",IFERROR(INDEX(MATERIAL_VARIANTS!$P:$P,MATCH($D133,MATERIAL_VARIANTS!$A:$A,0)),""))</f>
        <v/>
      </c>
      <c r="T133" s="4" t="str">
        <f t="shared" si="14"/>
        <v/>
      </c>
      <c r="U133" s="4"/>
    </row>
    <row r="134" spans="1:21" x14ac:dyDescent="0.3">
      <c r="A134" s="4"/>
      <c r="B134" s="4"/>
      <c r="C134" s="4"/>
      <c r="D134" s="4"/>
      <c r="E134" s="4"/>
      <c r="F134" s="4"/>
      <c r="G134" s="4" t="str">
        <f>IF($C134="","",INDEX(MATERIAL_MASTER!$O:$O,MATCH($C134,MATERIAL_MASTER!$A:$A,0)))</f>
        <v/>
      </c>
      <c r="H134" s="22" t="str">
        <f>IF($C134="","",INDEX(MATERIAL_MASTER!$P:$P,MATCH($C134,MATERIAL_MASTER!$A:$A,0)))</f>
        <v/>
      </c>
      <c r="I134" s="22" t="str">
        <f>IF($C134="","",INDEX(MATERIAL_FACTOR_APPLICABILITY!$D:$D,MATCH($C134,MATERIAL_FACTOR_APPLICABILITY!$A:$A,0)))</f>
        <v/>
      </c>
      <c r="J134" s="22" t="str">
        <f>IF($C134="","",INDEX(MATERIAL_FACTOR_APPLICABILITY!$E:$E,MATCH($C134,MATERIAL_FACTOR_APPLICABILITY!$A:$A,0)))</f>
        <v/>
      </c>
      <c r="K134" s="22" t="str">
        <f>IF($C134="","",INDEX(MATERIAL_FACTOR_APPLICABILITY!$F:$F,MATCH($C134,MATERIAL_FACTOR_APPLICABILITY!$A:$A,0)))</f>
        <v/>
      </c>
      <c r="L134" s="22" t="str">
        <f>IF($C134="","",INDEX(MATERIAL_FACTOR_APPLICABILITY!$G:$G,MATCH($C134,MATERIAL_FACTOR_APPLICABILITY!$A:$A,0)))</f>
        <v/>
      </c>
      <c r="M134" s="22" t="str">
        <f>IF($C134="","",INDEX(MATERIAL_FACTOR_APPLICABILITY!$H:$H,MATCH($C134,MATERIAL_FACTOR_APPLICABILITY!$A:$A,0)))</f>
        <v/>
      </c>
      <c r="N134" s="22" t="str">
        <f>IF($B134="","",ROUND(1+($I134*(SUMIFS(OBJECT_CONDITIONS!$W:$W,OBJECT_CONDITIONS!$A:$A,$B134)-1))+($J134*(SUMIFS(OBJECT_CONDITIONS!$J:$J,OBJECT_CONDITIONS!$A:$A,$B134)-1))+($K134*(SUMIFS(OBJECT_CONDITIONS!$L:$L,OBJECT_CONDITIONS!$A:$A,$B134)-1))+($L134*(SUMIFS(OBJECT_CONDITIONS!$N:$N,OBJECT_CONDITIONS!$A:$A,$B134)-1))+($M134*(SUMIFS(OBJECT_CONDITIONS!$R:$R,OBJECT_CONDITIONS!$A:$A,$B134)-1)),3))</f>
        <v/>
      </c>
      <c r="O134" s="22"/>
      <c r="P134" s="22" t="str">
        <f t="shared" si="12"/>
        <v/>
      </c>
      <c r="Q134" s="22" t="str">
        <f t="shared" si="13"/>
        <v/>
      </c>
      <c r="R134" s="4" t="str">
        <f>IF($D134="","",IFERROR(INDEX(MATERIAL_VARIANTS!$O:$O,MATCH($D134,MATERIAL_VARIANTS!$A:$A,0)),""))</f>
        <v/>
      </c>
      <c r="S134" s="22" t="str">
        <f>IF($D134="","",IFERROR(INDEX(MATERIAL_VARIANTS!$P:$P,MATCH($D134,MATERIAL_VARIANTS!$A:$A,0)),""))</f>
        <v/>
      </c>
      <c r="T134" s="4" t="str">
        <f t="shared" si="14"/>
        <v/>
      </c>
      <c r="U134" s="4"/>
    </row>
    <row r="135" spans="1:21" x14ac:dyDescent="0.3">
      <c r="A135" s="4"/>
      <c r="B135" s="4"/>
      <c r="C135" s="4"/>
      <c r="D135" s="4"/>
      <c r="E135" s="4"/>
      <c r="F135" s="4"/>
      <c r="G135" s="4" t="str">
        <f>IF($C135="","",INDEX(MATERIAL_MASTER!$O:$O,MATCH($C135,MATERIAL_MASTER!$A:$A,0)))</f>
        <v/>
      </c>
      <c r="H135" s="22" t="str">
        <f>IF($C135="","",INDEX(MATERIAL_MASTER!$P:$P,MATCH($C135,MATERIAL_MASTER!$A:$A,0)))</f>
        <v/>
      </c>
      <c r="I135" s="22" t="str">
        <f>IF($C135="","",INDEX(MATERIAL_FACTOR_APPLICABILITY!$D:$D,MATCH($C135,MATERIAL_FACTOR_APPLICABILITY!$A:$A,0)))</f>
        <v/>
      </c>
      <c r="J135" s="22" t="str">
        <f>IF($C135="","",INDEX(MATERIAL_FACTOR_APPLICABILITY!$E:$E,MATCH($C135,MATERIAL_FACTOR_APPLICABILITY!$A:$A,0)))</f>
        <v/>
      </c>
      <c r="K135" s="22" t="str">
        <f>IF($C135="","",INDEX(MATERIAL_FACTOR_APPLICABILITY!$F:$F,MATCH($C135,MATERIAL_FACTOR_APPLICABILITY!$A:$A,0)))</f>
        <v/>
      </c>
      <c r="L135" s="22" t="str">
        <f>IF($C135="","",INDEX(MATERIAL_FACTOR_APPLICABILITY!$G:$G,MATCH($C135,MATERIAL_FACTOR_APPLICABILITY!$A:$A,0)))</f>
        <v/>
      </c>
      <c r="M135" s="22" t="str">
        <f>IF($C135="","",INDEX(MATERIAL_FACTOR_APPLICABILITY!$H:$H,MATCH($C135,MATERIAL_FACTOR_APPLICABILITY!$A:$A,0)))</f>
        <v/>
      </c>
      <c r="N135" s="22" t="str">
        <f>IF($B135="","",ROUND(1+($I135*(SUMIFS(OBJECT_CONDITIONS!$W:$W,OBJECT_CONDITIONS!$A:$A,$B135)-1))+($J135*(SUMIFS(OBJECT_CONDITIONS!$J:$J,OBJECT_CONDITIONS!$A:$A,$B135)-1))+($K135*(SUMIFS(OBJECT_CONDITIONS!$L:$L,OBJECT_CONDITIONS!$A:$A,$B135)-1))+($L135*(SUMIFS(OBJECT_CONDITIONS!$N:$N,OBJECT_CONDITIONS!$A:$A,$B135)-1))+($M135*(SUMIFS(OBJECT_CONDITIONS!$R:$R,OBJECT_CONDITIONS!$A:$A,$B135)-1)),3))</f>
        <v/>
      </c>
      <c r="O135" s="22"/>
      <c r="P135" s="22" t="str">
        <f t="shared" si="12"/>
        <v/>
      </c>
      <c r="Q135" s="22" t="str">
        <f t="shared" si="13"/>
        <v/>
      </c>
      <c r="R135" s="4" t="str">
        <f>IF($D135="","",IFERROR(INDEX(MATERIAL_VARIANTS!$O:$O,MATCH($D135,MATERIAL_VARIANTS!$A:$A,0)),""))</f>
        <v/>
      </c>
      <c r="S135" s="22" t="str">
        <f>IF($D135="","",IFERROR(INDEX(MATERIAL_VARIANTS!$P:$P,MATCH($D135,MATERIAL_VARIANTS!$A:$A,0)),""))</f>
        <v/>
      </c>
      <c r="T135" s="4" t="str">
        <f t="shared" si="14"/>
        <v/>
      </c>
      <c r="U135" s="4"/>
    </row>
    <row r="136" spans="1:21" x14ac:dyDescent="0.3">
      <c r="A136" s="4"/>
      <c r="B136" s="4"/>
      <c r="C136" s="4"/>
      <c r="D136" s="4"/>
      <c r="E136" s="4"/>
      <c r="F136" s="4"/>
      <c r="G136" s="4" t="str">
        <f>IF($C136="","",INDEX(MATERIAL_MASTER!$O:$O,MATCH($C136,MATERIAL_MASTER!$A:$A,0)))</f>
        <v/>
      </c>
      <c r="H136" s="22" t="str">
        <f>IF($C136="","",INDEX(MATERIAL_MASTER!$P:$P,MATCH($C136,MATERIAL_MASTER!$A:$A,0)))</f>
        <v/>
      </c>
      <c r="I136" s="22" t="str">
        <f>IF($C136="","",INDEX(MATERIAL_FACTOR_APPLICABILITY!$D:$D,MATCH($C136,MATERIAL_FACTOR_APPLICABILITY!$A:$A,0)))</f>
        <v/>
      </c>
      <c r="J136" s="22" t="str">
        <f>IF($C136="","",INDEX(MATERIAL_FACTOR_APPLICABILITY!$E:$E,MATCH($C136,MATERIAL_FACTOR_APPLICABILITY!$A:$A,0)))</f>
        <v/>
      </c>
      <c r="K136" s="22" t="str">
        <f>IF($C136="","",INDEX(MATERIAL_FACTOR_APPLICABILITY!$F:$F,MATCH($C136,MATERIAL_FACTOR_APPLICABILITY!$A:$A,0)))</f>
        <v/>
      </c>
      <c r="L136" s="22" t="str">
        <f>IF($C136="","",INDEX(MATERIAL_FACTOR_APPLICABILITY!$G:$G,MATCH($C136,MATERIAL_FACTOR_APPLICABILITY!$A:$A,0)))</f>
        <v/>
      </c>
      <c r="M136" s="22" t="str">
        <f>IF($C136="","",INDEX(MATERIAL_FACTOR_APPLICABILITY!$H:$H,MATCH($C136,MATERIAL_FACTOR_APPLICABILITY!$A:$A,0)))</f>
        <v/>
      </c>
      <c r="N136" s="22" t="str">
        <f>IF($B136="","",ROUND(1+($I136*(SUMIFS(OBJECT_CONDITIONS!$W:$W,OBJECT_CONDITIONS!$A:$A,$B136)-1))+($J136*(SUMIFS(OBJECT_CONDITIONS!$J:$J,OBJECT_CONDITIONS!$A:$A,$B136)-1))+($K136*(SUMIFS(OBJECT_CONDITIONS!$L:$L,OBJECT_CONDITIONS!$A:$A,$B136)-1))+($L136*(SUMIFS(OBJECT_CONDITIONS!$N:$N,OBJECT_CONDITIONS!$A:$A,$B136)-1))+($M136*(SUMIFS(OBJECT_CONDITIONS!$R:$R,OBJECT_CONDITIONS!$A:$A,$B136)-1)),3))</f>
        <v/>
      </c>
      <c r="O136" s="22"/>
      <c r="P136" s="22" t="str">
        <f t="shared" si="12"/>
        <v/>
      </c>
      <c r="Q136" s="22" t="str">
        <f t="shared" si="13"/>
        <v/>
      </c>
      <c r="R136" s="4" t="str">
        <f>IF($D136="","",IFERROR(INDEX(MATERIAL_VARIANTS!$O:$O,MATCH($D136,MATERIAL_VARIANTS!$A:$A,0)),""))</f>
        <v/>
      </c>
      <c r="S136" s="22" t="str">
        <f>IF($D136="","",IFERROR(INDEX(MATERIAL_VARIANTS!$P:$P,MATCH($D136,MATERIAL_VARIANTS!$A:$A,0)),""))</f>
        <v/>
      </c>
      <c r="T136" s="4" t="str">
        <f t="shared" si="14"/>
        <v/>
      </c>
      <c r="U136" s="4"/>
    </row>
    <row r="137" spans="1:21" x14ac:dyDescent="0.3">
      <c r="A137" s="4"/>
      <c r="B137" s="4"/>
      <c r="C137" s="4"/>
      <c r="D137" s="4"/>
      <c r="E137" s="4"/>
      <c r="F137" s="4"/>
      <c r="G137" s="4" t="str">
        <f>IF($C137="","",INDEX(MATERIAL_MASTER!$O:$O,MATCH($C137,MATERIAL_MASTER!$A:$A,0)))</f>
        <v/>
      </c>
      <c r="H137" s="22" t="str">
        <f>IF($C137="","",INDEX(MATERIAL_MASTER!$P:$P,MATCH($C137,MATERIAL_MASTER!$A:$A,0)))</f>
        <v/>
      </c>
      <c r="I137" s="22" t="str">
        <f>IF($C137="","",INDEX(MATERIAL_FACTOR_APPLICABILITY!$D:$D,MATCH($C137,MATERIAL_FACTOR_APPLICABILITY!$A:$A,0)))</f>
        <v/>
      </c>
      <c r="J137" s="22" t="str">
        <f>IF($C137="","",INDEX(MATERIAL_FACTOR_APPLICABILITY!$E:$E,MATCH($C137,MATERIAL_FACTOR_APPLICABILITY!$A:$A,0)))</f>
        <v/>
      </c>
      <c r="K137" s="22" t="str">
        <f>IF($C137="","",INDEX(MATERIAL_FACTOR_APPLICABILITY!$F:$F,MATCH($C137,MATERIAL_FACTOR_APPLICABILITY!$A:$A,0)))</f>
        <v/>
      </c>
      <c r="L137" s="22" t="str">
        <f>IF($C137="","",INDEX(MATERIAL_FACTOR_APPLICABILITY!$G:$G,MATCH($C137,MATERIAL_FACTOR_APPLICABILITY!$A:$A,0)))</f>
        <v/>
      </c>
      <c r="M137" s="22" t="str">
        <f>IF($C137="","",INDEX(MATERIAL_FACTOR_APPLICABILITY!$H:$H,MATCH($C137,MATERIAL_FACTOR_APPLICABILITY!$A:$A,0)))</f>
        <v/>
      </c>
      <c r="N137" s="22" t="str">
        <f>IF($B137="","",ROUND(1+($I137*(SUMIFS(OBJECT_CONDITIONS!$W:$W,OBJECT_CONDITIONS!$A:$A,$B137)-1))+($J137*(SUMIFS(OBJECT_CONDITIONS!$J:$J,OBJECT_CONDITIONS!$A:$A,$B137)-1))+($K137*(SUMIFS(OBJECT_CONDITIONS!$L:$L,OBJECT_CONDITIONS!$A:$A,$B137)-1))+($L137*(SUMIFS(OBJECT_CONDITIONS!$N:$N,OBJECT_CONDITIONS!$A:$A,$B137)-1))+($M137*(SUMIFS(OBJECT_CONDITIONS!$R:$R,OBJECT_CONDITIONS!$A:$A,$B137)-1)),3))</f>
        <v/>
      </c>
      <c r="O137" s="22"/>
      <c r="P137" s="22" t="str">
        <f t="shared" si="12"/>
        <v/>
      </c>
      <c r="Q137" s="22" t="str">
        <f t="shared" si="13"/>
        <v/>
      </c>
      <c r="R137" s="4" t="str">
        <f>IF($D137="","",IFERROR(INDEX(MATERIAL_VARIANTS!$O:$O,MATCH($D137,MATERIAL_VARIANTS!$A:$A,0)),""))</f>
        <v/>
      </c>
      <c r="S137" s="22" t="str">
        <f>IF($D137="","",IFERROR(INDEX(MATERIAL_VARIANTS!$P:$P,MATCH($D137,MATERIAL_VARIANTS!$A:$A,0)),""))</f>
        <v/>
      </c>
      <c r="T137" s="4" t="str">
        <f t="shared" si="14"/>
        <v/>
      </c>
      <c r="U137" s="4"/>
    </row>
    <row r="138" spans="1:21" x14ac:dyDescent="0.3">
      <c r="A138" s="4"/>
      <c r="B138" s="4"/>
      <c r="C138" s="4"/>
      <c r="D138" s="4"/>
      <c r="E138" s="4"/>
      <c r="F138" s="4"/>
      <c r="G138" s="4" t="str">
        <f>IF($C138="","",INDEX(MATERIAL_MASTER!$O:$O,MATCH($C138,MATERIAL_MASTER!$A:$A,0)))</f>
        <v/>
      </c>
      <c r="H138" s="22" t="str">
        <f>IF($C138="","",INDEX(MATERIAL_MASTER!$P:$P,MATCH($C138,MATERIAL_MASTER!$A:$A,0)))</f>
        <v/>
      </c>
      <c r="I138" s="22" t="str">
        <f>IF($C138="","",INDEX(MATERIAL_FACTOR_APPLICABILITY!$D:$D,MATCH($C138,MATERIAL_FACTOR_APPLICABILITY!$A:$A,0)))</f>
        <v/>
      </c>
      <c r="J138" s="22" t="str">
        <f>IF($C138="","",INDEX(MATERIAL_FACTOR_APPLICABILITY!$E:$E,MATCH($C138,MATERIAL_FACTOR_APPLICABILITY!$A:$A,0)))</f>
        <v/>
      </c>
      <c r="K138" s="22" t="str">
        <f>IF($C138="","",INDEX(MATERIAL_FACTOR_APPLICABILITY!$F:$F,MATCH($C138,MATERIAL_FACTOR_APPLICABILITY!$A:$A,0)))</f>
        <v/>
      </c>
      <c r="L138" s="22" t="str">
        <f>IF($C138="","",INDEX(MATERIAL_FACTOR_APPLICABILITY!$G:$G,MATCH($C138,MATERIAL_FACTOR_APPLICABILITY!$A:$A,0)))</f>
        <v/>
      </c>
      <c r="M138" s="22" t="str">
        <f>IF($C138="","",INDEX(MATERIAL_FACTOR_APPLICABILITY!$H:$H,MATCH($C138,MATERIAL_FACTOR_APPLICABILITY!$A:$A,0)))</f>
        <v/>
      </c>
      <c r="N138" s="22" t="str">
        <f>IF($B138="","",ROUND(1+($I138*(SUMIFS(OBJECT_CONDITIONS!$W:$W,OBJECT_CONDITIONS!$A:$A,$B138)-1))+($J138*(SUMIFS(OBJECT_CONDITIONS!$J:$J,OBJECT_CONDITIONS!$A:$A,$B138)-1))+($K138*(SUMIFS(OBJECT_CONDITIONS!$L:$L,OBJECT_CONDITIONS!$A:$A,$B138)-1))+($L138*(SUMIFS(OBJECT_CONDITIONS!$N:$N,OBJECT_CONDITIONS!$A:$A,$B138)-1))+($M138*(SUMIFS(OBJECT_CONDITIONS!$R:$R,OBJECT_CONDITIONS!$A:$A,$B138)-1)),3))</f>
        <v/>
      </c>
      <c r="O138" s="22"/>
      <c r="P138" s="22" t="str">
        <f t="shared" si="12"/>
        <v/>
      </c>
      <c r="Q138" s="22" t="str">
        <f t="shared" si="13"/>
        <v/>
      </c>
      <c r="R138" s="4" t="str">
        <f>IF($D138="","",IFERROR(INDEX(MATERIAL_VARIANTS!$O:$O,MATCH($D138,MATERIAL_VARIANTS!$A:$A,0)),""))</f>
        <v/>
      </c>
      <c r="S138" s="22" t="str">
        <f>IF($D138="","",IFERROR(INDEX(MATERIAL_VARIANTS!$P:$P,MATCH($D138,MATERIAL_VARIANTS!$A:$A,0)),""))</f>
        <v/>
      </c>
      <c r="T138" s="4" t="str">
        <f t="shared" si="14"/>
        <v/>
      </c>
      <c r="U138" s="4"/>
    </row>
    <row r="139" spans="1:21" x14ac:dyDescent="0.3">
      <c r="A139" s="4"/>
      <c r="B139" s="4"/>
      <c r="C139" s="4"/>
      <c r="D139" s="4"/>
      <c r="E139" s="4"/>
      <c r="F139" s="4"/>
      <c r="G139" s="4" t="str">
        <f>IF($C139="","",INDEX(MATERIAL_MASTER!$O:$O,MATCH($C139,MATERIAL_MASTER!$A:$A,0)))</f>
        <v/>
      </c>
      <c r="H139" s="22" t="str">
        <f>IF($C139="","",INDEX(MATERIAL_MASTER!$P:$P,MATCH($C139,MATERIAL_MASTER!$A:$A,0)))</f>
        <v/>
      </c>
      <c r="I139" s="22" t="str">
        <f>IF($C139="","",INDEX(MATERIAL_FACTOR_APPLICABILITY!$D:$D,MATCH($C139,MATERIAL_FACTOR_APPLICABILITY!$A:$A,0)))</f>
        <v/>
      </c>
      <c r="J139" s="22" t="str">
        <f>IF($C139="","",INDEX(MATERIAL_FACTOR_APPLICABILITY!$E:$E,MATCH($C139,MATERIAL_FACTOR_APPLICABILITY!$A:$A,0)))</f>
        <v/>
      </c>
      <c r="K139" s="22" t="str">
        <f>IF($C139="","",INDEX(MATERIAL_FACTOR_APPLICABILITY!$F:$F,MATCH($C139,MATERIAL_FACTOR_APPLICABILITY!$A:$A,0)))</f>
        <v/>
      </c>
      <c r="L139" s="22" t="str">
        <f>IF($C139="","",INDEX(MATERIAL_FACTOR_APPLICABILITY!$G:$G,MATCH($C139,MATERIAL_FACTOR_APPLICABILITY!$A:$A,0)))</f>
        <v/>
      </c>
      <c r="M139" s="22" t="str">
        <f>IF($C139="","",INDEX(MATERIAL_FACTOR_APPLICABILITY!$H:$H,MATCH($C139,MATERIAL_FACTOR_APPLICABILITY!$A:$A,0)))</f>
        <v/>
      </c>
      <c r="N139" s="22" t="str">
        <f>IF($B139="","",ROUND(1+($I139*(SUMIFS(OBJECT_CONDITIONS!$W:$W,OBJECT_CONDITIONS!$A:$A,$B139)-1))+($J139*(SUMIFS(OBJECT_CONDITIONS!$J:$J,OBJECT_CONDITIONS!$A:$A,$B139)-1))+($K139*(SUMIFS(OBJECT_CONDITIONS!$L:$L,OBJECT_CONDITIONS!$A:$A,$B139)-1))+($L139*(SUMIFS(OBJECT_CONDITIONS!$N:$N,OBJECT_CONDITIONS!$A:$A,$B139)-1))+($M139*(SUMIFS(OBJECT_CONDITIONS!$R:$R,OBJECT_CONDITIONS!$A:$A,$B139)-1)),3))</f>
        <v/>
      </c>
      <c r="O139" s="22"/>
      <c r="P139" s="22" t="str">
        <f t="shared" si="12"/>
        <v/>
      </c>
      <c r="Q139" s="22" t="str">
        <f t="shared" si="13"/>
        <v/>
      </c>
      <c r="R139" s="4" t="str">
        <f>IF($D139="","",IFERROR(INDEX(MATERIAL_VARIANTS!$O:$O,MATCH($D139,MATERIAL_VARIANTS!$A:$A,0)),""))</f>
        <v/>
      </c>
      <c r="S139" s="22" t="str">
        <f>IF($D139="","",IFERROR(INDEX(MATERIAL_VARIANTS!$P:$P,MATCH($D139,MATERIAL_VARIANTS!$A:$A,0)),""))</f>
        <v/>
      </c>
      <c r="T139" s="4" t="str">
        <f t="shared" si="14"/>
        <v/>
      </c>
      <c r="U139" s="4"/>
    </row>
    <row r="140" spans="1:21" x14ac:dyDescent="0.3">
      <c r="A140" s="4"/>
      <c r="B140" s="4"/>
      <c r="C140" s="4"/>
      <c r="D140" s="4"/>
      <c r="E140" s="4"/>
      <c r="F140" s="4"/>
      <c r="G140" s="4" t="str">
        <f>IF($C140="","",INDEX(MATERIAL_MASTER!$O:$O,MATCH($C140,MATERIAL_MASTER!$A:$A,0)))</f>
        <v/>
      </c>
      <c r="H140" s="22" t="str">
        <f>IF($C140="","",INDEX(MATERIAL_MASTER!$P:$P,MATCH($C140,MATERIAL_MASTER!$A:$A,0)))</f>
        <v/>
      </c>
      <c r="I140" s="22" t="str">
        <f>IF($C140="","",INDEX(MATERIAL_FACTOR_APPLICABILITY!$D:$D,MATCH($C140,MATERIAL_FACTOR_APPLICABILITY!$A:$A,0)))</f>
        <v/>
      </c>
      <c r="J140" s="22" t="str">
        <f>IF($C140="","",INDEX(MATERIAL_FACTOR_APPLICABILITY!$E:$E,MATCH($C140,MATERIAL_FACTOR_APPLICABILITY!$A:$A,0)))</f>
        <v/>
      </c>
      <c r="K140" s="22" t="str">
        <f>IF($C140="","",INDEX(MATERIAL_FACTOR_APPLICABILITY!$F:$F,MATCH($C140,MATERIAL_FACTOR_APPLICABILITY!$A:$A,0)))</f>
        <v/>
      </c>
      <c r="L140" s="22" t="str">
        <f>IF($C140="","",INDEX(MATERIAL_FACTOR_APPLICABILITY!$G:$G,MATCH($C140,MATERIAL_FACTOR_APPLICABILITY!$A:$A,0)))</f>
        <v/>
      </c>
      <c r="M140" s="22" t="str">
        <f>IF($C140="","",INDEX(MATERIAL_FACTOR_APPLICABILITY!$H:$H,MATCH($C140,MATERIAL_FACTOR_APPLICABILITY!$A:$A,0)))</f>
        <v/>
      </c>
      <c r="N140" s="22" t="str">
        <f>IF($B140="","",ROUND(1+($I140*(SUMIFS(OBJECT_CONDITIONS!$W:$W,OBJECT_CONDITIONS!$A:$A,$B140)-1))+($J140*(SUMIFS(OBJECT_CONDITIONS!$J:$J,OBJECT_CONDITIONS!$A:$A,$B140)-1))+($K140*(SUMIFS(OBJECT_CONDITIONS!$L:$L,OBJECT_CONDITIONS!$A:$A,$B140)-1))+($L140*(SUMIFS(OBJECT_CONDITIONS!$N:$N,OBJECT_CONDITIONS!$A:$A,$B140)-1))+($M140*(SUMIFS(OBJECT_CONDITIONS!$R:$R,OBJECT_CONDITIONS!$A:$A,$B140)-1)),3))</f>
        <v/>
      </c>
      <c r="O140" s="22"/>
      <c r="P140" s="22" t="str">
        <f t="shared" si="12"/>
        <v/>
      </c>
      <c r="Q140" s="22" t="str">
        <f t="shared" si="13"/>
        <v/>
      </c>
      <c r="R140" s="4" t="str">
        <f>IF($D140="","",IFERROR(INDEX(MATERIAL_VARIANTS!$O:$O,MATCH($D140,MATERIAL_VARIANTS!$A:$A,0)),""))</f>
        <v/>
      </c>
      <c r="S140" s="22" t="str">
        <f>IF($D140="","",IFERROR(INDEX(MATERIAL_VARIANTS!$P:$P,MATCH($D140,MATERIAL_VARIANTS!$A:$A,0)),""))</f>
        <v/>
      </c>
      <c r="T140" s="4" t="str">
        <f t="shared" si="14"/>
        <v/>
      </c>
      <c r="U140" s="4"/>
    </row>
    <row r="141" spans="1:21" x14ac:dyDescent="0.3">
      <c r="A141" s="4"/>
      <c r="B141" s="4"/>
      <c r="C141" s="4"/>
      <c r="D141" s="4"/>
      <c r="E141" s="4"/>
      <c r="F141" s="4"/>
      <c r="G141" s="4" t="str">
        <f>IF($C141="","",INDEX(MATERIAL_MASTER!$O:$O,MATCH($C141,MATERIAL_MASTER!$A:$A,0)))</f>
        <v/>
      </c>
      <c r="H141" s="22" t="str">
        <f>IF($C141="","",INDEX(MATERIAL_MASTER!$P:$P,MATCH($C141,MATERIAL_MASTER!$A:$A,0)))</f>
        <v/>
      </c>
      <c r="I141" s="22" t="str">
        <f>IF($C141="","",INDEX(MATERIAL_FACTOR_APPLICABILITY!$D:$D,MATCH($C141,MATERIAL_FACTOR_APPLICABILITY!$A:$A,0)))</f>
        <v/>
      </c>
      <c r="J141" s="22" t="str">
        <f>IF($C141="","",INDEX(MATERIAL_FACTOR_APPLICABILITY!$E:$E,MATCH($C141,MATERIAL_FACTOR_APPLICABILITY!$A:$A,0)))</f>
        <v/>
      </c>
      <c r="K141" s="22" t="str">
        <f>IF($C141="","",INDEX(MATERIAL_FACTOR_APPLICABILITY!$F:$F,MATCH($C141,MATERIAL_FACTOR_APPLICABILITY!$A:$A,0)))</f>
        <v/>
      </c>
      <c r="L141" s="22" t="str">
        <f>IF($C141="","",INDEX(MATERIAL_FACTOR_APPLICABILITY!$G:$G,MATCH($C141,MATERIAL_FACTOR_APPLICABILITY!$A:$A,0)))</f>
        <v/>
      </c>
      <c r="M141" s="22" t="str">
        <f>IF($C141="","",INDEX(MATERIAL_FACTOR_APPLICABILITY!$H:$H,MATCH($C141,MATERIAL_FACTOR_APPLICABILITY!$A:$A,0)))</f>
        <v/>
      </c>
      <c r="N141" s="22" t="str">
        <f>IF($B141="","",ROUND(1+($I141*(SUMIFS(OBJECT_CONDITIONS!$W:$W,OBJECT_CONDITIONS!$A:$A,$B141)-1))+($J141*(SUMIFS(OBJECT_CONDITIONS!$J:$J,OBJECT_CONDITIONS!$A:$A,$B141)-1))+($K141*(SUMIFS(OBJECT_CONDITIONS!$L:$L,OBJECT_CONDITIONS!$A:$A,$B141)-1))+($L141*(SUMIFS(OBJECT_CONDITIONS!$N:$N,OBJECT_CONDITIONS!$A:$A,$B141)-1))+($M141*(SUMIFS(OBJECT_CONDITIONS!$R:$R,OBJECT_CONDITIONS!$A:$A,$B141)-1)),3))</f>
        <v/>
      </c>
      <c r="O141" s="22"/>
      <c r="P141" s="22" t="str">
        <f t="shared" si="12"/>
        <v/>
      </c>
      <c r="Q141" s="22" t="str">
        <f t="shared" si="13"/>
        <v/>
      </c>
      <c r="R141" s="4" t="str">
        <f>IF($D141="","",IFERROR(INDEX(MATERIAL_VARIANTS!$O:$O,MATCH($D141,MATERIAL_VARIANTS!$A:$A,0)),""))</f>
        <v/>
      </c>
      <c r="S141" s="22" t="str">
        <f>IF($D141="","",IFERROR(INDEX(MATERIAL_VARIANTS!$P:$P,MATCH($D141,MATERIAL_VARIANTS!$A:$A,0)),""))</f>
        <v/>
      </c>
      <c r="T141" s="4" t="str">
        <f t="shared" si="14"/>
        <v/>
      </c>
      <c r="U141" s="4"/>
    </row>
    <row r="142" spans="1:21" x14ac:dyDescent="0.3">
      <c r="A142" s="4"/>
      <c r="B142" s="4"/>
      <c r="C142" s="4"/>
      <c r="D142" s="4"/>
      <c r="E142" s="4"/>
      <c r="F142" s="4"/>
      <c r="G142" s="4" t="str">
        <f>IF($C142="","",INDEX(MATERIAL_MASTER!$O:$O,MATCH($C142,MATERIAL_MASTER!$A:$A,0)))</f>
        <v/>
      </c>
      <c r="H142" s="22" t="str">
        <f>IF($C142="","",INDEX(MATERIAL_MASTER!$P:$P,MATCH($C142,MATERIAL_MASTER!$A:$A,0)))</f>
        <v/>
      </c>
      <c r="I142" s="22" t="str">
        <f>IF($C142="","",INDEX(MATERIAL_FACTOR_APPLICABILITY!$D:$D,MATCH($C142,MATERIAL_FACTOR_APPLICABILITY!$A:$A,0)))</f>
        <v/>
      </c>
      <c r="J142" s="22" t="str">
        <f>IF($C142="","",INDEX(MATERIAL_FACTOR_APPLICABILITY!$E:$E,MATCH($C142,MATERIAL_FACTOR_APPLICABILITY!$A:$A,0)))</f>
        <v/>
      </c>
      <c r="K142" s="22" t="str">
        <f>IF($C142="","",INDEX(MATERIAL_FACTOR_APPLICABILITY!$F:$F,MATCH($C142,MATERIAL_FACTOR_APPLICABILITY!$A:$A,0)))</f>
        <v/>
      </c>
      <c r="L142" s="22" t="str">
        <f>IF($C142="","",INDEX(MATERIAL_FACTOR_APPLICABILITY!$G:$G,MATCH($C142,MATERIAL_FACTOR_APPLICABILITY!$A:$A,0)))</f>
        <v/>
      </c>
      <c r="M142" s="22" t="str">
        <f>IF($C142="","",INDEX(MATERIAL_FACTOR_APPLICABILITY!$H:$H,MATCH($C142,MATERIAL_FACTOR_APPLICABILITY!$A:$A,0)))</f>
        <v/>
      </c>
      <c r="N142" s="22" t="str">
        <f>IF($B142="","",ROUND(1+($I142*(SUMIFS(OBJECT_CONDITIONS!$W:$W,OBJECT_CONDITIONS!$A:$A,$B142)-1))+($J142*(SUMIFS(OBJECT_CONDITIONS!$J:$J,OBJECT_CONDITIONS!$A:$A,$B142)-1))+($K142*(SUMIFS(OBJECT_CONDITIONS!$L:$L,OBJECT_CONDITIONS!$A:$A,$B142)-1))+($L142*(SUMIFS(OBJECT_CONDITIONS!$N:$N,OBJECT_CONDITIONS!$A:$A,$B142)-1))+($M142*(SUMIFS(OBJECT_CONDITIONS!$R:$R,OBJECT_CONDITIONS!$A:$A,$B142)-1)),3))</f>
        <v/>
      </c>
      <c r="O142" s="22"/>
      <c r="P142" s="22" t="str">
        <f t="shared" si="12"/>
        <v/>
      </c>
      <c r="Q142" s="22" t="str">
        <f t="shared" si="13"/>
        <v/>
      </c>
      <c r="R142" s="4" t="str">
        <f>IF($D142="","",IFERROR(INDEX(MATERIAL_VARIANTS!$O:$O,MATCH($D142,MATERIAL_VARIANTS!$A:$A,0)),""))</f>
        <v/>
      </c>
      <c r="S142" s="22" t="str">
        <f>IF($D142="","",IFERROR(INDEX(MATERIAL_VARIANTS!$P:$P,MATCH($D142,MATERIAL_VARIANTS!$A:$A,0)),""))</f>
        <v/>
      </c>
      <c r="T142" s="4" t="str">
        <f t="shared" si="14"/>
        <v/>
      </c>
      <c r="U142" s="4"/>
    </row>
    <row r="143" spans="1:21" x14ac:dyDescent="0.3">
      <c r="A143" s="4"/>
      <c r="B143" s="4"/>
      <c r="C143" s="4"/>
      <c r="D143" s="4"/>
      <c r="E143" s="4"/>
      <c r="F143" s="4"/>
      <c r="G143" s="4" t="str">
        <f>IF($C143="","",INDEX(MATERIAL_MASTER!$O:$O,MATCH($C143,MATERIAL_MASTER!$A:$A,0)))</f>
        <v/>
      </c>
      <c r="H143" s="22" t="str">
        <f>IF($C143="","",INDEX(MATERIAL_MASTER!$P:$P,MATCH($C143,MATERIAL_MASTER!$A:$A,0)))</f>
        <v/>
      </c>
      <c r="I143" s="22" t="str">
        <f>IF($C143="","",INDEX(MATERIAL_FACTOR_APPLICABILITY!$D:$D,MATCH($C143,MATERIAL_FACTOR_APPLICABILITY!$A:$A,0)))</f>
        <v/>
      </c>
      <c r="J143" s="22" t="str">
        <f>IF($C143="","",INDEX(MATERIAL_FACTOR_APPLICABILITY!$E:$E,MATCH($C143,MATERIAL_FACTOR_APPLICABILITY!$A:$A,0)))</f>
        <v/>
      </c>
      <c r="K143" s="22" t="str">
        <f>IF($C143="","",INDEX(MATERIAL_FACTOR_APPLICABILITY!$F:$F,MATCH($C143,MATERIAL_FACTOR_APPLICABILITY!$A:$A,0)))</f>
        <v/>
      </c>
      <c r="L143" s="22" t="str">
        <f>IF($C143="","",INDEX(MATERIAL_FACTOR_APPLICABILITY!$G:$G,MATCH($C143,MATERIAL_FACTOR_APPLICABILITY!$A:$A,0)))</f>
        <v/>
      </c>
      <c r="M143" s="22" t="str">
        <f>IF($C143="","",INDEX(MATERIAL_FACTOR_APPLICABILITY!$H:$H,MATCH($C143,MATERIAL_FACTOR_APPLICABILITY!$A:$A,0)))</f>
        <v/>
      </c>
      <c r="N143" s="22" t="str">
        <f>IF($B143="","",ROUND(1+($I143*(SUMIFS(OBJECT_CONDITIONS!$W:$W,OBJECT_CONDITIONS!$A:$A,$B143)-1))+($J143*(SUMIFS(OBJECT_CONDITIONS!$J:$J,OBJECT_CONDITIONS!$A:$A,$B143)-1))+($K143*(SUMIFS(OBJECT_CONDITIONS!$L:$L,OBJECT_CONDITIONS!$A:$A,$B143)-1))+($L143*(SUMIFS(OBJECT_CONDITIONS!$N:$N,OBJECT_CONDITIONS!$A:$A,$B143)-1))+($M143*(SUMIFS(OBJECT_CONDITIONS!$R:$R,OBJECT_CONDITIONS!$A:$A,$B143)-1)),3))</f>
        <v/>
      </c>
      <c r="O143" s="22"/>
      <c r="P143" s="22" t="str">
        <f t="shared" si="12"/>
        <v/>
      </c>
      <c r="Q143" s="22" t="str">
        <f t="shared" si="13"/>
        <v/>
      </c>
      <c r="R143" s="4" t="str">
        <f>IF($D143="","",IFERROR(INDEX(MATERIAL_VARIANTS!$O:$O,MATCH($D143,MATERIAL_VARIANTS!$A:$A,0)),""))</f>
        <v/>
      </c>
      <c r="S143" s="22" t="str">
        <f>IF($D143="","",IFERROR(INDEX(MATERIAL_VARIANTS!$P:$P,MATCH($D143,MATERIAL_VARIANTS!$A:$A,0)),""))</f>
        <v/>
      </c>
      <c r="T143" s="4" t="str">
        <f t="shared" si="14"/>
        <v/>
      </c>
      <c r="U143" s="4"/>
    </row>
    <row r="144" spans="1:21" x14ac:dyDescent="0.3">
      <c r="A144" s="4"/>
      <c r="B144" s="4"/>
      <c r="C144" s="4"/>
      <c r="D144" s="4"/>
      <c r="E144" s="4"/>
      <c r="F144" s="4"/>
      <c r="G144" s="4" t="str">
        <f>IF($C144="","",INDEX(MATERIAL_MASTER!$O:$O,MATCH($C144,MATERIAL_MASTER!$A:$A,0)))</f>
        <v/>
      </c>
      <c r="H144" s="22" t="str">
        <f>IF($C144="","",INDEX(MATERIAL_MASTER!$P:$P,MATCH($C144,MATERIAL_MASTER!$A:$A,0)))</f>
        <v/>
      </c>
      <c r="I144" s="22" t="str">
        <f>IF($C144="","",INDEX(MATERIAL_FACTOR_APPLICABILITY!$D:$D,MATCH($C144,MATERIAL_FACTOR_APPLICABILITY!$A:$A,0)))</f>
        <v/>
      </c>
      <c r="J144" s="22" t="str">
        <f>IF($C144="","",INDEX(MATERIAL_FACTOR_APPLICABILITY!$E:$E,MATCH($C144,MATERIAL_FACTOR_APPLICABILITY!$A:$A,0)))</f>
        <v/>
      </c>
      <c r="K144" s="22" t="str">
        <f>IF($C144="","",INDEX(MATERIAL_FACTOR_APPLICABILITY!$F:$F,MATCH($C144,MATERIAL_FACTOR_APPLICABILITY!$A:$A,0)))</f>
        <v/>
      </c>
      <c r="L144" s="22" t="str">
        <f>IF($C144="","",INDEX(MATERIAL_FACTOR_APPLICABILITY!$G:$G,MATCH($C144,MATERIAL_FACTOR_APPLICABILITY!$A:$A,0)))</f>
        <v/>
      </c>
      <c r="M144" s="22" t="str">
        <f>IF($C144="","",INDEX(MATERIAL_FACTOR_APPLICABILITY!$H:$H,MATCH($C144,MATERIAL_FACTOR_APPLICABILITY!$A:$A,0)))</f>
        <v/>
      </c>
      <c r="N144" s="22" t="str">
        <f>IF($B144="","",ROUND(1+($I144*(SUMIFS(OBJECT_CONDITIONS!$W:$W,OBJECT_CONDITIONS!$A:$A,$B144)-1))+($J144*(SUMIFS(OBJECT_CONDITIONS!$J:$J,OBJECT_CONDITIONS!$A:$A,$B144)-1))+($K144*(SUMIFS(OBJECT_CONDITIONS!$L:$L,OBJECT_CONDITIONS!$A:$A,$B144)-1))+($L144*(SUMIFS(OBJECT_CONDITIONS!$N:$N,OBJECT_CONDITIONS!$A:$A,$B144)-1))+($M144*(SUMIFS(OBJECT_CONDITIONS!$R:$R,OBJECT_CONDITIONS!$A:$A,$B144)-1)),3))</f>
        <v/>
      </c>
      <c r="O144" s="22"/>
      <c r="P144" s="22" t="str">
        <f t="shared" si="12"/>
        <v/>
      </c>
      <c r="Q144" s="22" t="str">
        <f t="shared" si="13"/>
        <v/>
      </c>
      <c r="R144" s="4" t="str">
        <f>IF($D144="","",IFERROR(INDEX(MATERIAL_VARIANTS!$O:$O,MATCH($D144,MATERIAL_VARIANTS!$A:$A,0)),""))</f>
        <v/>
      </c>
      <c r="S144" s="22" t="str">
        <f>IF($D144="","",IFERROR(INDEX(MATERIAL_VARIANTS!$P:$P,MATCH($D144,MATERIAL_VARIANTS!$A:$A,0)),""))</f>
        <v/>
      </c>
      <c r="T144" s="4" t="str">
        <f t="shared" si="14"/>
        <v/>
      </c>
      <c r="U144" s="4"/>
    </row>
    <row r="145" spans="1:21" x14ac:dyDescent="0.3">
      <c r="A145" s="4"/>
      <c r="B145" s="4"/>
      <c r="C145" s="4"/>
      <c r="D145" s="4"/>
      <c r="E145" s="4"/>
      <c r="F145" s="4"/>
      <c r="G145" s="4" t="str">
        <f>IF($C145="","",INDEX(MATERIAL_MASTER!$O:$O,MATCH($C145,MATERIAL_MASTER!$A:$A,0)))</f>
        <v/>
      </c>
      <c r="H145" s="22" t="str">
        <f>IF($C145="","",INDEX(MATERIAL_MASTER!$P:$P,MATCH($C145,MATERIAL_MASTER!$A:$A,0)))</f>
        <v/>
      </c>
      <c r="I145" s="22" t="str">
        <f>IF($C145="","",INDEX(MATERIAL_FACTOR_APPLICABILITY!$D:$D,MATCH($C145,MATERIAL_FACTOR_APPLICABILITY!$A:$A,0)))</f>
        <v/>
      </c>
      <c r="J145" s="22" t="str">
        <f>IF($C145="","",INDEX(MATERIAL_FACTOR_APPLICABILITY!$E:$E,MATCH($C145,MATERIAL_FACTOR_APPLICABILITY!$A:$A,0)))</f>
        <v/>
      </c>
      <c r="K145" s="22" t="str">
        <f>IF($C145="","",INDEX(MATERIAL_FACTOR_APPLICABILITY!$F:$F,MATCH($C145,MATERIAL_FACTOR_APPLICABILITY!$A:$A,0)))</f>
        <v/>
      </c>
      <c r="L145" s="22" t="str">
        <f>IF($C145="","",INDEX(MATERIAL_FACTOR_APPLICABILITY!$G:$G,MATCH($C145,MATERIAL_FACTOR_APPLICABILITY!$A:$A,0)))</f>
        <v/>
      </c>
      <c r="M145" s="22" t="str">
        <f>IF($C145="","",INDEX(MATERIAL_FACTOR_APPLICABILITY!$H:$H,MATCH($C145,MATERIAL_FACTOR_APPLICABILITY!$A:$A,0)))</f>
        <v/>
      </c>
      <c r="N145" s="22" t="str">
        <f>IF($B145="","",ROUND(1+($I145*(SUMIFS(OBJECT_CONDITIONS!$W:$W,OBJECT_CONDITIONS!$A:$A,$B145)-1))+($J145*(SUMIFS(OBJECT_CONDITIONS!$J:$J,OBJECT_CONDITIONS!$A:$A,$B145)-1))+($K145*(SUMIFS(OBJECT_CONDITIONS!$L:$L,OBJECT_CONDITIONS!$A:$A,$B145)-1))+($L145*(SUMIFS(OBJECT_CONDITIONS!$N:$N,OBJECT_CONDITIONS!$A:$A,$B145)-1))+($M145*(SUMIFS(OBJECT_CONDITIONS!$R:$R,OBJECT_CONDITIONS!$A:$A,$B145)-1)),3))</f>
        <v/>
      </c>
      <c r="O145" s="22"/>
      <c r="P145" s="22" t="str">
        <f t="shared" si="12"/>
        <v/>
      </c>
      <c r="Q145" s="22" t="str">
        <f t="shared" si="13"/>
        <v/>
      </c>
      <c r="R145" s="4" t="str">
        <f>IF($D145="","",IFERROR(INDEX(MATERIAL_VARIANTS!$O:$O,MATCH($D145,MATERIAL_VARIANTS!$A:$A,0)),""))</f>
        <v/>
      </c>
      <c r="S145" s="22" t="str">
        <f>IF($D145="","",IFERROR(INDEX(MATERIAL_VARIANTS!$P:$P,MATCH($D145,MATERIAL_VARIANTS!$A:$A,0)),""))</f>
        <v/>
      </c>
      <c r="T145" s="4" t="str">
        <f t="shared" si="14"/>
        <v/>
      </c>
      <c r="U145" s="4"/>
    </row>
    <row r="146" spans="1:21" x14ac:dyDescent="0.3">
      <c r="A146" s="4"/>
      <c r="B146" s="4"/>
      <c r="C146" s="4"/>
      <c r="D146" s="4"/>
      <c r="E146" s="4"/>
      <c r="F146" s="4"/>
      <c r="G146" s="4" t="str">
        <f>IF($C146="","",INDEX(MATERIAL_MASTER!$O:$O,MATCH($C146,MATERIAL_MASTER!$A:$A,0)))</f>
        <v/>
      </c>
      <c r="H146" s="22" t="str">
        <f>IF($C146="","",INDEX(MATERIAL_MASTER!$P:$P,MATCH($C146,MATERIAL_MASTER!$A:$A,0)))</f>
        <v/>
      </c>
      <c r="I146" s="22" t="str">
        <f>IF($C146="","",INDEX(MATERIAL_FACTOR_APPLICABILITY!$D:$D,MATCH($C146,MATERIAL_FACTOR_APPLICABILITY!$A:$A,0)))</f>
        <v/>
      </c>
      <c r="J146" s="22" t="str">
        <f>IF($C146="","",INDEX(MATERIAL_FACTOR_APPLICABILITY!$E:$E,MATCH($C146,MATERIAL_FACTOR_APPLICABILITY!$A:$A,0)))</f>
        <v/>
      </c>
      <c r="K146" s="22" t="str">
        <f>IF($C146="","",INDEX(MATERIAL_FACTOR_APPLICABILITY!$F:$F,MATCH($C146,MATERIAL_FACTOR_APPLICABILITY!$A:$A,0)))</f>
        <v/>
      </c>
      <c r="L146" s="22" t="str">
        <f>IF($C146="","",INDEX(MATERIAL_FACTOR_APPLICABILITY!$G:$G,MATCH($C146,MATERIAL_FACTOR_APPLICABILITY!$A:$A,0)))</f>
        <v/>
      </c>
      <c r="M146" s="22" t="str">
        <f>IF($C146="","",INDEX(MATERIAL_FACTOR_APPLICABILITY!$H:$H,MATCH($C146,MATERIAL_FACTOR_APPLICABILITY!$A:$A,0)))</f>
        <v/>
      </c>
      <c r="N146" s="22" t="str">
        <f>IF($B146="","",ROUND(1+($I146*(SUMIFS(OBJECT_CONDITIONS!$W:$W,OBJECT_CONDITIONS!$A:$A,$B146)-1))+($J146*(SUMIFS(OBJECT_CONDITIONS!$J:$J,OBJECT_CONDITIONS!$A:$A,$B146)-1))+($K146*(SUMIFS(OBJECT_CONDITIONS!$L:$L,OBJECT_CONDITIONS!$A:$A,$B146)-1))+($L146*(SUMIFS(OBJECT_CONDITIONS!$N:$N,OBJECT_CONDITIONS!$A:$A,$B146)-1))+($M146*(SUMIFS(OBJECT_CONDITIONS!$R:$R,OBJECT_CONDITIONS!$A:$A,$B146)-1)),3))</f>
        <v/>
      </c>
      <c r="O146" s="22"/>
      <c r="P146" s="22" t="str">
        <f t="shared" si="12"/>
        <v/>
      </c>
      <c r="Q146" s="22" t="str">
        <f t="shared" si="13"/>
        <v/>
      </c>
      <c r="R146" s="4" t="str">
        <f>IF($D146="","",IFERROR(INDEX(MATERIAL_VARIANTS!$O:$O,MATCH($D146,MATERIAL_VARIANTS!$A:$A,0)),""))</f>
        <v/>
      </c>
      <c r="S146" s="22" t="str">
        <f>IF($D146="","",IFERROR(INDEX(MATERIAL_VARIANTS!$P:$P,MATCH($D146,MATERIAL_VARIANTS!$A:$A,0)),""))</f>
        <v/>
      </c>
      <c r="T146" s="4" t="str">
        <f t="shared" si="14"/>
        <v/>
      </c>
      <c r="U146" s="4"/>
    </row>
    <row r="147" spans="1:21" x14ac:dyDescent="0.3">
      <c r="A147" s="4"/>
      <c r="B147" s="4"/>
      <c r="C147" s="4"/>
      <c r="D147" s="4"/>
      <c r="E147" s="4"/>
      <c r="F147" s="4"/>
      <c r="G147" s="4" t="str">
        <f>IF($C147="","",INDEX(MATERIAL_MASTER!$O:$O,MATCH($C147,MATERIAL_MASTER!$A:$A,0)))</f>
        <v/>
      </c>
      <c r="H147" s="22" t="str">
        <f>IF($C147="","",INDEX(MATERIAL_MASTER!$P:$P,MATCH($C147,MATERIAL_MASTER!$A:$A,0)))</f>
        <v/>
      </c>
      <c r="I147" s="22" t="str">
        <f>IF($C147="","",INDEX(MATERIAL_FACTOR_APPLICABILITY!$D:$D,MATCH($C147,MATERIAL_FACTOR_APPLICABILITY!$A:$A,0)))</f>
        <v/>
      </c>
      <c r="J147" s="22" t="str">
        <f>IF($C147="","",INDEX(MATERIAL_FACTOR_APPLICABILITY!$E:$E,MATCH($C147,MATERIAL_FACTOR_APPLICABILITY!$A:$A,0)))</f>
        <v/>
      </c>
      <c r="K147" s="22" t="str">
        <f>IF($C147="","",INDEX(MATERIAL_FACTOR_APPLICABILITY!$F:$F,MATCH($C147,MATERIAL_FACTOR_APPLICABILITY!$A:$A,0)))</f>
        <v/>
      </c>
      <c r="L147" s="22" t="str">
        <f>IF($C147="","",INDEX(MATERIAL_FACTOR_APPLICABILITY!$G:$G,MATCH($C147,MATERIAL_FACTOR_APPLICABILITY!$A:$A,0)))</f>
        <v/>
      </c>
      <c r="M147" s="22" t="str">
        <f>IF($C147="","",INDEX(MATERIAL_FACTOR_APPLICABILITY!$H:$H,MATCH($C147,MATERIAL_FACTOR_APPLICABILITY!$A:$A,0)))</f>
        <v/>
      </c>
      <c r="N147" s="22" t="str">
        <f>IF($B147="","",ROUND(1+($I147*(SUMIFS(OBJECT_CONDITIONS!$W:$W,OBJECT_CONDITIONS!$A:$A,$B147)-1))+($J147*(SUMIFS(OBJECT_CONDITIONS!$J:$J,OBJECT_CONDITIONS!$A:$A,$B147)-1))+($K147*(SUMIFS(OBJECT_CONDITIONS!$L:$L,OBJECT_CONDITIONS!$A:$A,$B147)-1))+($L147*(SUMIFS(OBJECT_CONDITIONS!$N:$N,OBJECT_CONDITIONS!$A:$A,$B147)-1))+($M147*(SUMIFS(OBJECT_CONDITIONS!$R:$R,OBJECT_CONDITIONS!$A:$A,$B147)-1)),3))</f>
        <v/>
      </c>
      <c r="O147" s="22"/>
      <c r="P147" s="22" t="str">
        <f t="shared" si="12"/>
        <v/>
      </c>
      <c r="Q147" s="22" t="str">
        <f t="shared" si="13"/>
        <v/>
      </c>
      <c r="R147" s="4" t="str">
        <f>IF($D147="","",IFERROR(INDEX(MATERIAL_VARIANTS!$O:$O,MATCH($D147,MATERIAL_VARIANTS!$A:$A,0)),""))</f>
        <v/>
      </c>
      <c r="S147" s="22" t="str">
        <f>IF($D147="","",IFERROR(INDEX(MATERIAL_VARIANTS!$P:$P,MATCH($D147,MATERIAL_VARIANTS!$A:$A,0)),""))</f>
        <v/>
      </c>
      <c r="T147" s="4" t="str">
        <f t="shared" si="14"/>
        <v/>
      </c>
      <c r="U147" s="4"/>
    </row>
    <row r="148" spans="1:21" x14ac:dyDescent="0.3">
      <c r="A148" s="4"/>
      <c r="B148" s="4"/>
      <c r="C148" s="4"/>
      <c r="D148" s="4"/>
      <c r="E148" s="4"/>
      <c r="F148" s="4"/>
      <c r="G148" s="4" t="str">
        <f>IF($C148="","",INDEX(MATERIAL_MASTER!$O:$O,MATCH($C148,MATERIAL_MASTER!$A:$A,0)))</f>
        <v/>
      </c>
      <c r="H148" s="22" t="str">
        <f>IF($C148="","",INDEX(MATERIAL_MASTER!$P:$P,MATCH($C148,MATERIAL_MASTER!$A:$A,0)))</f>
        <v/>
      </c>
      <c r="I148" s="22" t="str">
        <f>IF($C148="","",INDEX(MATERIAL_FACTOR_APPLICABILITY!$D:$D,MATCH($C148,MATERIAL_FACTOR_APPLICABILITY!$A:$A,0)))</f>
        <v/>
      </c>
      <c r="J148" s="22" t="str">
        <f>IF($C148="","",INDEX(MATERIAL_FACTOR_APPLICABILITY!$E:$E,MATCH($C148,MATERIAL_FACTOR_APPLICABILITY!$A:$A,0)))</f>
        <v/>
      </c>
      <c r="K148" s="22" t="str">
        <f>IF($C148="","",INDEX(MATERIAL_FACTOR_APPLICABILITY!$F:$F,MATCH($C148,MATERIAL_FACTOR_APPLICABILITY!$A:$A,0)))</f>
        <v/>
      </c>
      <c r="L148" s="22" t="str">
        <f>IF($C148="","",INDEX(MATERIAL_FACTOR_APPLICABILITY!$G:$G,MATCH($C148,MATERIAL_FACTOR_APPLICABILITY!$A:$A,0)))</f>
        <v/>
      </c>
      <c r="M148" s="22" t="str">
        <f>IF($C148="","",INDEX(MATERIAL_FACTOR_APPLICABILITY!$H:$H,MATCH($C148,MATERIAL_FACTOR_APPLICABILITY!$A:$A,0)))</f>
        <v/>
      </c>
      <c r="N148" s="22" t="str">
        <f>IF($B148="","",ROUND(1+($I148*(SUMIFS(OBJECT_CONDITIONS!$W:$W,OBJECT_CONDITIONS!$A:$A,$B148)-1))+($J148*(SUMIFS(OBJECT_CONDITIONS!$J:$J,OBJECT_CONDITIONS!$A:$A,$B148)-1))+($K148*(SUMIFS(OBJECT_CONDITIONS!$L:$L,OBJECT_CONDITIONS!$A:$A,$B148)-1))+($L148*(SUMIFS(OBJECT_CONDITIONS!$N:$N,OBJECT_CONDITIONS!$A:$A,$B148)-1))+($M148*(SUMIFS(OBJECT_CONDITIONS!$R:$R,OBJECT_CONDITIONS!$A:$A,$B148)-1)),3))</f>
        <v/>
      </c>
      <c r="O148" s="22"/>
      <c r="P148" s="22" t="str">
        <f t="shared" si="12"/>
        <v/>
      </c>
      <c r="Q148" s="22" t="str">
        <f t="shared" si="13"/>
        <v/>
      </c>
      <c r="R148" s="4" t="str">
        <f>IF($D148="","",IFERROR(INDEX(MATERIAL_VARIANTS!$O:$O,MATCH($D148,MATERIAL_VARIANTS!$A:$A,0)),""))</f>
        <v/>
      </c>
      <c r="S148" s="22" t="str">
        <f>IF($D148="","",IFERROR(INDEX(MATERIAL_VARIANTS!$P:$P,MATCH($D148,MATERIAL_VARIANTS!$A:$A,0)),""))</f>
        <v/>
      </c>
      <c r="T148" s="4" t="str">
        <f t="shared" si="14"/>
        <v/>
      </c>
      <c r="U148" s="4"/>
    </row>
    <row r="149" spans="1:21" x14ac:dyDescent="0.3">
      <c r="A149" s="4"/>
      <c r="B149" s="4"/>
      <c r="C149" s="4"/>
      <c r="D149" s="4"/>
      <c r="E149" s="4"/>
      <c r="F149" s="4"/>
      <c r="G149" s="4" t="str">
        <f>IF($C149="","",INDEX(MATERIAL_MASTER!$O:$O,MATCH($C149,MATERIAL_MASTER!$A:$A,0)))</f>
        <v/>
      </c>
      <c r="H149" s="22" t="str">
        <f>IF($C149="","",INDEX(MATERIAL_MASTER!$P:$P,MATCH($C149,MATERIAL_MASTER!$A:$A,0)))</f>
        <v/>
      </c>
      <c r="I149" s="22" t="str">
        <f>IF($C149="","",INDEX(MATERIAL_FACTOR_APPLICABILITY!$D:$D,MATCH($C149,MATERIAL_FACTOR_APPLICABILITY!$A:$A,0)))</f>
        <v/>
      </c>
      <c r="J149" s="22" t="str">
        <f>IF($C149="","",INDEX(MATERIAL_FACTOR_APPLICABILITY!$E:$E,MATCH($C149,MATERIAL_FACTOR_APPLICABILITY!$A:$A,0)))</f>
        <v/>
      </c>
      <c r="K149" s="22" t="str">
        <f>IF($C149="","",INDEX(MATERIAL_FACTOR_APPLICABILITY!$F:$F,MATCH($C149,MATERIAL_FACTOR_APPLICABILITY!$A:$A,0)))</f>
        <v/>
      </c>
      <c r="L149" s="22" t="str">
        <f>IF($C149="","",INDEX(MATERIAL_FACTOR_APPLICABILITY!$G:$G,MATCH($C149,MATERIAL_FACTOR_APPLICABILITY!$A:$A,0)))</f>
        <v/>
      </c>
      <c r="M149" s="22" t="str">
        <f>IF($C149="","",INDEX(MATERIAL_FACTOR_APPLICABILITY!$H:$H,MATCH($C149,MATERIAL_FACTOR_APPLICABILITY!$A:$A,0)))</f>
        <v/>
      </c>
      <c r="N149" s="22" t="str">
        <f>IF($B149="","",ROUND(1+($I149*(SUMIFS(OBJECT_CONDITIONS!$W:$W,OBJECT_CONDITIONS!$A:$A,$B149)-1))+($J149*(SUMIFS(OBJECT_CONDITIONS!$J:$J,OBJECT_CONDITIONS!$A:$A,$B149)-1))+($K149*(SUMIFS(OBJECT_CONDITIONS!$L:$L,OBJECT_CONDITIONS!$A:$A,$B149)-1))+($L149*(SUMIFS(OBJECT_CONDITIONS!$N:$N,OBJECT_CONDITIONS!$A:$A,$B149)-1))+($M149*(SUMIFS(OBJECT_CONDITIONS!$R:$R,OBJECT_CONDITIONS!$A:$A,$B149)-1)),3))</f>
        <v/>
      </c>
      <c r="O149" s="22"/>
      <c r="P149" s="22" t="str">
        <f t="shared" si="12"/>
        <v/>
      </c>
      <c r="Q149" s="22" t="str">
        <f t="shared" si="13"/>
        <v/>
      </c>
      <c r="R149" s="4" t="str">
        <f>IF($D149="","",IFERROR(INDEX(MATERIAL_VARIANTS!$O:$O,MATCH($D149,MATERIAL_VARIANTS!$A:$A,0)),""))</f>
        <v/>
      </c>
      <c r="S149" s="22" t="str">
        <f>IF($D149="","",IFERROR(INDEX(MATERIAL_VARIANTS!$P:$P,MATCH($D149,MATERIAL_VARIANTS!$A:$A,0)),""))</f>
        <v/>
      </c>
      <c r="T149" s="4" t="str">
        <f t="shared" si="14"/>
        <v/>
      </c>
      <c r="U149" s="4"/>
    </row>
    <row r="150" spans="1:21" x14ac:dyDescent="0.3">
      <c r="A150" s="4"/>
      <c r="B150" s="4"/>
      <c r="C150" s="4"/>
      <c r="D150" s="4"/>
      <c r="E150" s="4"/>
      <c r="F150" s="4"/>
      <c r="G150" s="4" t="str">
        <f>IF($C150="","",INDEX(MATERIAL_MASTER!$O:$O,MATCH($C150,MATERIAL_MASTER!$A:$A,0)))</f>
        <v/>
      </c>
      <c r="H150" s="22" t="str">
        <f>IF($C150="","",INDEX(MATERIAL_MASTER!$P:$P,MATCH($C150,MATERIAL_MASTER!$A:$A,0)))</f>
        <v/>
      </c>
      <c r="I150" s="22" t="str">
        <f>IF($C150="","",INDEX(MATERIAL_FACTOR_APPLICABILITY!$D:$D,MATCH($C150,MATERIAL_FACTOR_APPLICABILITY!$A:$A,0)))</f>
        <v/>
      </c>
      <c r="J150" s="22" t="str">
        <f>IF($C150="","",INDEX(MATERIAL_FACTOR_APPLICABILITY!$E:$E,MATCH($C150,MATERIAL_FACTOR_APPLICABILITY!$A:$A,0)))</f>
        <v/>
      </c>
      <c r="K150" s="22" t="str">
        <f>IF($C150="","",INDEX(MATERIAL_FACTOR_APPLICABILITY!$F:$F,MATCH($C150,MATERIAL_FACTOR_APPLICABILITY!$A:$A,0)))</f>
        <v/>
      </c>
      <c r="L150" s="22" t="str">
        <f>IF($C150="","",INDEX(MATERIAL_FACTOR_APPLICABILITY!$G:$G,MATCH($C150,MATERIAL_FACTOR_APPLICABILITY!$A:$A,0)))</f>
        <v/>
      </c>
      <c r="M150" s="22" t="str">
        <f>IF($C150="","",INDEX(MATERIAL_FACTOR_APPLICABILITY!$H:$H,MATCH($C150,MATERIAL_FACTOR_APPLICABILITY!$A:$A,0)))</f>
        <v/>
      </c>
      <c r="N150" s="22" t="str">
        <f>IF($B150="","",ROUND(1+($I150*(SUMIFS(OBJECT_CONDITIONS!$W:$W,OBJECT_CONDITIONS!$A:$A,$B150)-1))+($J150*(SUMIFS(OBJECT_CONDITIONS!$J:$J,OBJECT_CONDITIONS!$A:$A,$B150)-1))+($K150*(SUMIFS(OBJECT_CONDITIONS!$L:$L,OBJECT_CONDITIONS!$A:$A,$B150)-1))+($L150*(SUMIFS(OBJECT_CONDITIONS!$N:$N,OBJECT_CONDITIONS!$A:$A,$B150)-1))+($M150*(SUMIFS(OBJECT_CONDITIONS!$R:$R,OBJECT_CONDITIONS!$A:$A,$B150)-1)),3))</f>
        <v/>
      </c>
      <c r="O150" s="22"/>
      <c r="P150" s="22" t="str">
        <f t="shared" si="12"/>
        <v/>
      </c>
      <c r="Q150" s="22" t="str">
        <f t="shared" si="13"/>
        <v/>
      </c>
      <c r="R150" s="4" t="str">
        <f>IF($D150="","",IFERROR(INDEX(MATERIAL_VARIANTS!$O:$O,MATCH($D150,MATERIAL_VARIANTS!$A:$A,0)),""))</f>
        <v/>
      </c>
      <c r="S150" s="22" t="str">
        <f>IF($D150="","",IFERROR(INDEX(MATERIAL_VARIANTS!$P:$P,MATCH($D150,MATERIAL_VARIANTS!$A:$A,0)),""))</f>
        <v/>
      </c>
      <c r="T150" s="4" t="str">
        <f t="shared" si="14"/>
        <v/>
      </c>
      <c r="U150" s="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1500-000000000000}">
          <x14:formula1>
            <xm:f>OBJECT_CONDITIONS!$A$2:$A$1000</xm:f>
          </x14:formula1>
          <xm:sqref>B2:B1000</xm:sqref>
        </x14:dataValidation>
        <x14:dataValidation type="list" allowBlank="1" xr:uid="{00000000-0002-0000-1500-000001000000}">
          <x14:formula1>
            <xm:f>MATERIAL_MASTER!$A$2:$A$1000</xm:f>
          </x14:formula1>
          <xm:sqref>C2:C1000</xm:sqref>
        </x14:dataValidation>
        <x14:dataValidation type="list" allowBlank="1" xr:uid="{00000000-0002-0000-1500-000002000000}">
          <x14:formula1>
            <xm:f>MATERIAL_VARIANTS!$A$2:$A$1000</xm:f>
          </x14:formula1>
          <xm:sqref>D2:D1000</xm:sqref>
        </x14:dataValidation>
        <x14:dataValidation type="list" allowBlank="1" xr:uid="{00000000-0002-0000-1500-000003000000}">
          <x14:formula1>
            <xm:f>DICTIONARIES!$C$2:$C$15</xm:f>
          </x14:formula1>
          <xm:sqref>F2:F1000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K15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4" customWidth="1"/>
    <col min="3" max="3" width="60" customWidth="1"/>
    <col min="4" max="4" width="14" customWidth="1"/>
    <col min="5" max="6" width="16" customWidth="1"/>
    <col min="7" max="7" width="14" customWidth="1"/>
    <col min="8" max="8" width="17" customWidth="1"/>
    <col min="9" max="10" width="20" customWidth="1"/>
    <col min="11" max="11" width="55" customWidth="1"/>
  </cols>
  <sheetData>
    <row r="1" spans="1:11" ht="28.8" x14ac:dyDescent="0.3">
      <c r="A1" s="3" t="s">
        <v>883</v>
      </c>
      <c r="B1" s="3" t="s">
        <v>884</v>
      </c>
      <c r="C1" s="3" t="s">
        <v>885</v>
      </c>
      <c r="D1" s="3" t="s">
        <v>886</v>
      </c>
      <c r="E1" s="3" t="s">
        <v>887</v>
      </c>
      <c r="F1" s="3" t="s">
        <v>888</v>
      </c>
      <c r="G1" s="3" t="s">
        <v>889</v>
      </c>
      <c r="H1" s="3" t="s">
        <v>890</v>
      </c>
      <c r="I1" s="3" t="s">
        <v>891</v>
      </c>
      <c r="J1" s="3" t="s">
        <v>892</v>
      </c>
      <c r="K1" s="3" t="s">
        <v>116</v>
      </c>
    </row>
    <row r="2" spans="1:11" ht="28.8" x14ac:dyDescent="0.3">
      <c r="A2" s="4" t="s">
        <v>267</v>
      </c>
      <c r="B2" s="4" t="s">
        <v>267</v>
      </c>
      <c r="C2" s="4" t="s">
        <v>893</v>
      </c>
      <c r="D2" s="4">
        <v>1</v>
      </c>
      <c r="E2" s="4">
        <v>0.95</v>
      </c>
      <c r="F2" s="4">
        <v>1</v>
      </c>
      <c r="G2" s="4">
        <v>1</v>
      </c>
      <c r="H2" s="4">
        <v>0.99</v>
      </c>
      <c r="I2" s="4" t="s">
        <v>267</v>
      </c>
      <c r="J2" s="4" t="s">
        <v>268</v>
      </c>
      <c r="K2" s="4" t="s">
        <v>894</v>
      </c>
    </row>
    <row r="3" spans="1:11" ht="28.8" x14ac:dyDescent="0.3">
      <c r="A3" s="4" t="s">
        <v>243</v>
      </c>
      <c r="B3" s="4" t="s">
        <v>243</v>
      </c>
      <c r="C3" s="4" t="s">
        <v>895</v>
      </c>
      <c r="D3" s="4">
        <v>1</v>
      </c>
      <c r="E3" s="4">
        <v>1</v>
      </c>
      <c r="F3" s="4">
        <v>1</v>
      </c>
      <c r="G3" s="4">
        <v>1</v>
      </c>
      <c r="H3" s="4">
        <v>1</v>
      </c>
      <c r="I3" s="4" t="s">
        <v>243</v>
      </c>
      <c r="J3" s="4" t="s">
        <v>242</v>
      </c>
      <c r="K3" s="4" t="s">
        <v>896</v>
      </c>
    </row>
    <row r="4" spans="1:11" ht="28.8" x14ac:dyDescent="0.3">
      <c r="A4" s="4" t="s">
        <v>346</v>
      </c>
      <c r="B4" s="4" t="s">
        <v>346</v>
      </c>
      <c r="C4" s="4" t="s">
        <v>897</v>
      </c>
      <c r="D4" s="4">
        <v>1.08</v>
      </c>
      <c r="E4" s="4">
        <v>1.1200000000000001</v>
      </c>
      <c r="F4" s="4">
        <v>1.03</v>
      </c>
      <c r="G4" s="4">
        <v>1</v>
      </c>
      <c r="H4" s="4">
        <v>1.02</v>
      </c>
      <c r="I4" s="4" t="s">
        <v>346</v>
      </c>
      <c r="J4" s="4" t="s">
        <v>242</v>
      </c>
      <c r="K4" s="4" t="s">
        <v>898</v>
      </c>
    </row>
    <row r="5" spans="1:11" x14ac:dyDescent="0.3">
      <c r="A5" s="4"/>
      <c r="B5" s="4"/>
      <c r="C5" s="4"/>
      <c r="D5" s="4"/>
      <c r="E5" s="4"/>
      <c r="F5" s="4"/>
      <c r="G5" s="4"/>
      <c r="H5" s="4"/>
      <c r="I5" s="4"/>
      <c r="J5" s="4"/>
      <c r="K5" s="4"/>
    </row>
    <row r="6" spans="1:1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x14ac:dyDescent="0.3">
      <c r="A7" s="4"/>
      <c r="B7" s="4"/>
      <c r="C7" s="4"/>
      <c r="D7" s="4"/>
      <c r="E7" s="4"/>
      <c r="F7" s="4"/>
      <c r="G7" s="4"/>
      <c r="H7" s="4"/>
      <c r="I7" s="4"/>
      <c r="J7" s="4"/>
      <c r="K7" s="4"/>
    </row>
    <row r="8" spans="1:11" x14ac:dyDescent="0.3">
      <c r="A8" s="4"/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 x14ac:dyDescent="0.3">
      <c r="A9" s="4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3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spans="1:11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1" x14ac:dyDescent="0.3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1" x14ac:dyDescent="0.3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spans="1:11" x14ac:dyDescent="0.3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1:11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1:11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</sheetData>
  <autoFilter ref="A1:K150" xr:uid="{00000000-0009-0000-0000-000016000000}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8" customWidth="1"/>
    <col min="3" max="3" width="22" customWidth="1"/>
    <col min="4" max="4" width="20" customWidth="1"/>
    <col min="5" max="5" width="18" customWidth="1"/>
    <col min="6" max="8" width="16" customWidth="1"/>
    <col min="9" max="9" width="18" customWidth="1"/>
    <col min="10" max="10" width="30" customWidth="1"/>
    <col min="11" max="11" width="14" customWidth="1"/>
    <col min="12" max="12" width="36" customWidth="1"/>
  </cols>
  <sheetData>
    <row r="1" spans="1:12" ht="28.8" x14ac:dyDescent="0.3">
      <c r="A1" s="3" t="s">
        <v>883</v>
      </c>
      <c r="B1" s="3" t="s">
        <v>899</v>
      </c>
      <c r="C1" s="3" t="s">
        <v>900</v>
      </c>
      <c r="D1" s="3" t="s">
        <v>901</v>
      </c>
      <c r="E1" s="3" t="s">
        <v>902</v>
      </c>
      <c r="F1" s="3" t="s">
        <v>903</v>
      </c>
      <c r="G1" s="3" t="s">
        <v>904</v>
      </c>
      <c r="H1" s="3" t="s">
        <v>905</v>
      </c>
      <c r="I1" s="3" t="s">
        <v>906</v>
      </c>
      <c r="J1" s="3" t="s">
        <v>907</v>
      </c>
      <c r="K1" s="3" t="s">
        <v>236</v>
      </c>
      <c r="L1" s="3" t="s">
        <v>116</v>
      </c>
    </row>
    <row r="2" spans="1:12" ht="28.8" x14ac:dyDescent="0.3">
      <c r="A2" s="17" t="s">
        <v>267</v>
      </c>
      <c r="B2" s="33">
        <v>150000</v>
      </c>
      <c r="C2" s="33">
        <v>30000</v>
      </c>
      <c r="D2" s="33">
        <v>12000</v>
      </c>
      <c r="E2" s="33">
        <v>8000</v>
      </c>
      <c r="F2" s="32">
        <v>1.05</v>
      </c>
      <c r="G2" s="32">
        <v>0.03</v>
      </c>
      <c r="H2" s="17">
        <v>7</v>
      </c>
      <c r="I2" s="17">
        <v>6</v>
      </c>
      <c r="J2" s="17" t="s">
        <v>908</v>
      </c>
      <c r="K2" s="17" t="s">
        <v>279</v>
      </c>
      <c r="L2" s="17" t="s">
        <v>909</v>
      </c>
    </row>
    <row r="3" spans="1:12" ht="28.8" x14ac:dyDescent="0.3">
      <c r="A3" s="17" t="s">
        <v>243</v>
      </c>
      <c r="B3" s="33">
        <v>250000</v>
      </c>
      <c r="C3" s="33">
        <v>40000</v>
      </c>
      <c r="D3" s="33">
        <v>15000</v>
      </c>
      <c r="E3" s="33">
        <v>10000</v>
      </c>
      <c r="F3" s="32">
        <v>1</v>
      </c>
      <c r="G3" s="32">
        <v>0.05</v>
      </c>
      <c r="H3" s="17">
        <v>10</v>
      </c>
      <c r="I3" s="17">
        <v>12</v>
      </c>
      <c r="J3" s="17" t="s">
        <v>910</v>
      </c>
      <c r="K3" s="17" t="s">
        <v>318</v>
      </c>
      <c r="L3" s="17" t="s">
        <v>911</v>
      </c>
    </row>
    <row r="4" spans="1:12" x14ac:dyDescent="0.3">
      <c r="A4" s="17" t="s">
        <v>346</v>
      </c>
      <c r="B4" s="33">
        <v>400000</v>
      </c>
      <c r="C4" s="33">
        <v>55000</v>
      </c>
      <c r="D4" s="33">
        <v>18000</v>
      </c>
      <c r="E4" s="33">
        <v>12000</v>
      </c>
      <c r="F4" s="32">
        <v>1</v>
      </c>
      <c r="G4" s="32">
        <v>7.0000000000000007E-2</v>
      </c>
      <c r="H4" s="17">
        <v>14</v>
      </c>
      <c r="I4" s="17">
        <v>24</v>
      </c>
      <c r="J4" s="17" t="s">
        <v>912</v>
      </c>
      <c r="K4" s="17" t="s">
        <v>358</v>
      </c>
      <c r="L4" s="17" t="s">
        <v>913</v>
      </c>
    </row>
  </sheetData>
  <autoFilter ref="A1:L4" xr:uid="{00000000-0009-0000-0000-000017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J15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" customWidth="1"/>
    <col min="2" max="2" width="28" customWidth="1"/>
    <col min="3" max="4" width="12" customWidth="1"/>
    <col min="5" max="6" width="20" customWidth="1"/>
    <col min="7" max="7" width="28" customWidth="1"/>
    <col min="8" max="8" width="20" customWidth="1"/>
    <col min="9" max="9" width="14" customWidth="1"/>
    <col min="10" max="10" width="45" customWidth="1"/>
  </cols>
  <sheetData>
    <row r="1" spans="1:10" ht="28.8" x14ac:dyDescent="0.3">
      <c r="A1" s="3" t="s">
        <v>424</v>
      </c>
      <c r="B1" s="3" t="s">
        <v>425</v>
      </c>
      <c r="C1" s="3" t="s">
        <v>883</v>
      </c>
      <c r="D1" s="3" t="s">
        <v>914</v>
      </c>
      <c r="E1" s="3" t="s">
        <v>915</v>
      </c>
      <c r="F1" s="3" t="s">
        <v>916</v>
      </c>
      <c r="G1" s="3" t="s">
        <v>917</v>
      </c>
      <c r="H1" s="3" t="s">
        <v>918</v>
      </c>
      <c r="I1" s="3" t="s">
        <v>919</v>
      </c>
      <c r="J1" s="3" t="s">
        <v>116</v>
      </c>
    </row>
    <row r="2" spans="1:10" ht="28.8" x14ac:dyDescent="0.3">
      <c r="A2" s="4" t="s">
        <v>444</v>
      </c>
      <c r="B2" s="4" t="s">
        <v>445</v>
      </c>
      <c r="C2" s="4" t="s">
        <v>267</v>
      </c>
      <c r="D2" s="4" t="s">
        <v>245</v>
      </c>
      <c r="E2" s="4" t="s">
        <v>323</v>
      </c>
      <c r="F2" s="4"/>
      <c r="G2" s="4" t="s">
        <v>446</v>
      </c>
      <c r="H2" s="4" t="s">
        <v>268</v>
      </c>
      <c r="I2" s="4" t="s">
        <v>277</v>
      </c>
      <c r="J2" s="4" t="s">
        <v>920</v>
      </c>
    </row>
    <row r="3" spans="1:10" x14ac:dyDescent="0.3">
      <c r="A3" s="4" t="s">
        <v>444</v>
      </c>
      <c r="B3" s="4" t="s">
        <v>445</v>
      </c>
      <c r="C3" s="4" t="s">
        <v>243</v>
      </c>
      <c r="D3" s="4" t="s">
        <v>245</v>
      </c>
      <c r="E3" s="4" t="s">
        <v>243</v>
      </c>
      <c r="F3" s="4"/>
      <c r="G3" s="4" t="s">
        <v>446</v>
      </c>
      <c r="H3" s="4" t="s">
        <v>242</v>
      </c>
      <c r="I3" s="4" t="s">
        <v>316</v>
      </c>
      <c r="J3" s="4"/>
    </row>
    <row r="4" spans="1:10" ht="28.8" x14ac:dyDescent="0.3">
      <c r="A4" s="4" t="s">
        <v>444</v>
      </c>
      <c r="B4" s="4" t="s">
        <v>445</v>
      </c>
      <c r="C4" s="4" t="s">
        <v>346</v>
      </c>
      <c r="D4" s="4" t="s">
        <v>245</v>
      </c>
      <c r="E4" s="4" t="s">
        <v>284</v>
      </c>
      <c r="F4" s="4" t="s">
        <v>921</v>
      </c>
      <c r="G4" s="4" t="s">
        <v>922</v>
      </c>
      <c r="H4" s="4" t="s">
        <v>242</v>
      </c>
      <c r="I4" s="4" t="s">
        <v>356</v>
      </c>
      <c r="J4" s="4" t="s">
        <v>923</v>
      </c>
    </row>
    <row r="5" spans="1:10" ht="28.8" x14ac:dyDescent="0.3">
      <c r="A5" s="4" t="s">
        <v>451</v>
      </c>
      <c r="B5" s="4" t="s">
        <v>452</v>
      </c>
      <c r="C5" s="4" t="s">
        <v>267</v>
      </c>
      <c r="D5" s="4" t="s">
        <v>245</v>
      </c>
      <c r="E5" s="4" t="s">
        <v>243</v>
      </c>
      <c r="F5" s="4"/>
      <c r="G5" s="4" t="s">
        <v>453</v>
      </c>
      <c r="H5" s="4" t="s">
        <v>268</v>
      </c>
      <c r="I5" s="4" t="s">
        <v>277</v>
      </c>
      <c r="J5" s="4"/>
    </row>
    <row r="6" spans="1:10" ht="28.8" x14ac:dyDescent="0.3">
      <c r="A6" s="4" t="s">
        <v>451</v>
      </c>
      <c r="B6" s="4" t="s">
        <v>452</v>
      </c>
      <c r="C6" s="4" t="s">
        <v>243</v>
      </c>
      <c r="D6" s="4" t="s">
        <v>245</v>
      </c>
      <c r="E6" s="4" t="s">
        <v>243</v>
      </c>
      <c r="F6" s="4"/>
      <c r="G6" s="4" t="s">
        <v>453</v>
      </c>
      <c r="H6" s="4" t="s">
        <v>242</v>
      </c>
      <c r="I6" s="4" t="s">
        <v>316</v>
      </c>
      <c r="J6" s="4"/>
    </row>
    <row r="7" spans="1:10" ht="28.8" x14ac:dyDescent="0.3">
      <c r="A7" s="4" t="s">
        <v>451</v>
      </c>
      <c r="B7" s="4" t="s">
        <v>452</v>
      </c>
      <c r="C7" s="4" t="s">
        <v>346</v>
      </c>
      <c r="D7" s="4" t="s">
        <v>245</v>
      </c>
      <c r="E7" s="4" t="s">
        <v>284</v>
      </c>
      <c r="F7" s="4" t="s">
        <v>924</v>
      </c>
      <c r="G7" s="4" t="s">
        <v>925</v>
      </c>
      <c r="H7" s="4" t="s">
        <v>242</v>
      </c>
      <c r="I7" s="4" t="s">
        <v>356</v>
      </c>
      <c r="J7" s="4"/>
    </row>
    <row r="8" spans="1:10" x14ac:dyDescent="0.3">
      <c r="A8" s="4" t="s">
        <v>462</v>
      </c>
      <c r="B8" s="4" t="s">
        <v>463</v>
      </c>
      <c r="C8" s="4" t="s">
        <v>267</v>
      </c>
      <c r="D8" s="4" t="s">
        <v>245</v>
      </c>
      <c r="E8" s="4" t="s">
        <v>243</v>
      </c>
      <c r="F8" s="4"/>
      <c r="G8" s="4" t="s">
        <v>464</v>
      </c>
      <c r="H8" s="4" t="s">
        <v>268</v>
      </c>
      <c r="I8" s="4" t="s">
        <v>277</v>
      </c>
      <c r="J8" s="4"/>
    </row>
    <row r="9" spans="1:10" x14ac:dyDescent="0.3">
      <c r="A9" s="4" t="s">
        <v>462</v>
      </c>
      <c r="B9" s="4" t="s">
        <v>463</v>
      </c>
      <c r="C9" s="4" t="s">
        <v>243</v>
      </c>
      <c r="D9" s="4" t="s">
        <v>245</v>
      </c>
      <c r="E9" s="4" t="s">
        <v>243</v>
      </c>
      <c r="F9" s="4"/>
      <c r="G9" s="4" t="s">
        <v>464</v>
      </c>
      <c r="H9" s="4" t="s">
        <v>242</v>
      </c>
      <c r="I9" s="4" t="s">
        <v>316</v>
      </c>
      <c r="J9" s="4"/>
    </row>
    <row r="10" spans="1:10" x14ac:dyDescent="0.3">
      <c r="A10" s="4" t="s">
        <v>462</v>
      </c>
      <c r="B10" s="4" t="s">
        <v>463</v>
      </c>
      <c r="C10" s="4" t="s">
        <v>346</v>
      </c>
      <c r="D10" s="4" t="s">
        <v>245</v>
      </c>
      <c r="E10" s="4" t="s">
        <v>243</v>
      </c>
      <c r="F10" s="4" t="s">
        <v>926</v>
      </c>
      <c r="G10" s="4" t="s">
        <v>927</v>
      </c>
      <c r="H10" s="4" t="s">
        <v>242</v>
      </c>
      <c r="I10" s="4" t="s">
        <v>356</v>
      </c>
      <c r="J10" s="4" t="s">
        <v>928</v>
      </c>
    </row>
    <row r="11" spans="1:10" x14ac:dyDescent="0.3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3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3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3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3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3">
      <c r="A16" s="4"/>
      <c r="B16" s="4"/>
      <c r="C16" s="4"/>
      <c r="D16" s="4"/>
      <c r="E16" s="4"/>
      <c r="F16" s="4"/>
      <c r="G16" s="4"/>
      <c r="H16" s="4"/>
      <c r="I16" s="4"/>
      <c r="J16" s="4"/>
    </row>
    <row r="17" spans="1:10" x14ac:dyDescent="0.3">
      <c r="A17" s="4"/>
      <c r="B17" s="4"/>
      <c r="C17" s="4"/>
      <c r="D17" s="4"/>
      <c r="E17" s="4"/>
      <c r="F17" s="4"/>
      <c r="G17" s="4"/>
      <c r="H17" s="4"/>
      <c r="I17" s="4"/>
      <c r="J17" s="4"/>
    </row>
    <row r="18" spans="1:10" x14ac:dyDescent="0.3">
      <c r="A18" s="4"/>
      <c r="B18" s="4"/>
      <c r="C18" s="4"/>
      <c r="D18" s="4"/>
      <c r="E18" s="4"/>
      <c r="F18" s="4"/>
      <c r="G18" s="4"/>
      <c r="H18" s="4"/>
      <c r="I18" s="4"/>
      <c r="J18" s="4"/>
    </row>
    <row r="19" spans="1:10" x14ac:dyDescent="0.3">
      <c r="A19" s="4"/>
      <c r="B19" s="4"/>
      <c r="C19" s="4"/>
      <c r="D19" s="4"/>
      <c r="E19" s="4"/>
      <c r="F19" s="4"/>
      <c r="G19" s="4"/>
      <c r="H19" s="4"/>
      <c r="I19" s="4"/>
      <c r="J19" s="4"/>
    </row>
    <row r="20" spans="1:10" x14ac:dyDescent="0.3">
      <c r="A20" s="4"/>
      <c r="B20" s="4"/>
      <c r="C20" s="4"/>
      <c r="D20" s="4"/>
      <c r="E20" s="4"/>
      <c r="F20" s="4"/>
      <c r="G20" s="4"/>
      <c r="H20" s="4"/>
      <c r="I20" s="4"/>
      <c r="J20" s="4"/>
    </row>
    <row r="21" spans="1:10" x14ac:dyDescent="0.3">
      <c r="A21" s="4"/>
      <c r="B21" s="4"/>
      <c r="C21" s="4"/>
      <c r="D21" s="4"/>
      <c r="E21" s="4"/>
      <c r="F21" s="4"/>
      <c r="G21" s="4"/>
      <c r="H21" s="4"/>
      <c r="I21" s="4"/>
      <c r="J21" s="4"/>
    </row>
    <row r="22" spans="1:10" x14ac:dyDescent="0.3">
      <c r="A22" s="4"/>
      <c r="B22" s="4"/>
      <c r="C22" s="4"/>
      <c r="D22" s="4"/>
      <c r="E22" s="4"/>
      <c r="F22" s="4"/>
      <c r="G22" s="4"/>
      <c r="H22" s="4"/>
      <c r="I22" s="4"/>
      <c r="J22" s="4"/>
    </row>
    <row r="23" spans="1:10" x14ac:dyDescent="0.3">
      <c r="A23" s="4"/>
      <c r="B23" s="4"/>
      <c r="C23" s="4"/>
      <c r="D23" s="4"/>
      <c r="E23" s="4"/>
      <c r="F23" s="4"/>
      <c r="G23" s="4"/>
      <c r="H23" s="4"/>
      <c r="I23" s="4"/>
      <c r="J23" s="4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  <c r="J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  <c r="J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  <c r="J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  <c r="J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  <c r="J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  <c r="J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  <c r="J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  <c r="J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  <c r="J32" s="4"/>
    </row>
    <row r="33" spans="1:10" x14ac:dyDescent="0.3">
      <c r="A33" s="4"/>
      <c r="B33" s="4"/>
      <c r="C33" s="4"/>
      <c r="D33" s="4"/>
      <c r="E33" s="4"/>
      <c r="F33" s="4"/>
      <c r="G33" s="4"/>
      <c r="H33" s="4"/>
      <c r="I33" s="4"/>
      <c r="J33" s="4"/>
    </row>
    <row r="34" spans="1:10" x14ac:dyDescent="0.3">
      <c r="A34" s="4"/>
      <c r="B34" s="4"/>
      <c r="C34" s="4"/>
      <c r="D34" s="4"/>
      <c r="E34" s="4"/>
      <c r="F34" s="4"/>
      <c r="G34" s="4"/>
      <c r="H34" s="4"/>
      <c r="I34" s="4"/>
      <c r="J34" s="4"/>
    </row>
    <row r="35" spans="1:10" x14ac:dyDescent="0.3">
      <c r="A35" s="4"/>
      <c r="B35" s="4"/>
      <c r="C35" s="4"/>
      <c r="D35" s="4"/>
      <c r="E35" s="4"/>
      <c r="F35" s="4"/>
      <c r="G35" s="4"/>
      <c r="H35" s="4"/>
      <c r="I35" s="4"/>
      <c r="J35" s="4"/>
    </row>
    <row r="36" spans="1:10" x14ac:dyDescent="0.3">
      <c r="A36" s="4"/>
      <c r="B36" s="4"/>
      <c r="C36" s="4"/>
      <c r="D36" s="4"/>
      <c r="E36" s="4"/>
      <c r="F36" s="4"/>
      <c r="G36" s="4"/>
      <c r="H36" s="4"/>
      <c r="I36" s="4"/>
      <c r="J36" s="4"/>
    </row>
    <row r="37" spans="1:10" x14ac:dyDescent="0.3">
      <c r="A37" s="4"/>
      <c r="B37" s="4"/>
      <c r="C37" s="4"/>
      <c r="D37" s="4"/>
      <c r="E37" s="4"/>
      <c r="F37" s="4"/>
      <c r="G37" s="4"/>
      <c r="H37" s="4"/>
      <c r="I37" s="4"/>
      <c r="J37" s="4"/>
    </row>
    <row r="38" spans="1:10" x14ac:dyDescent="0.3">
      <c r="A38" s="4"/>
      <c r="B38" s="4"/>
      <c r="C38" s="4"/>
      <c r="D38" s="4"/>
      <c r="E38" s="4"/>
      <c r="F38" s="4"/>
      <c r="G38" s="4"/>
      <c r="H38" s="4"/>
      <c r="I38" s="4"/>
      <c r="J38" s="4"/>
    </row>
    <row r="39" spans="1:10" x14ac:dyDescent="0.3">
      <c r="A39" s="4"/>
      <c r="B39" s="4"/>
      <c r="C39" s="4"/>
      <c r="D39" s="4"/>
      <c r="E39" s="4"/>
      <c r="F39" s="4"/>
      <c r="G39" s="4"/>
      <c r="H39" s="4"/>
      <c r="I39" s="4"/>
      <c r="J39" s="4"/>
    </row>
    <row r="40" spans="1:10" x14ac:dyDescent="0.3">
      <c r="A40" s="4"/>
      <c r="B40" s="4"/>
      <c r="C40" s="4"/>
      <c r="D40" s="4"/>
      <c r="E40" s="4"/>
      <c r="F40" s="4"/>
      <c r="G40" s="4"/>
      <c r="H40" s="4"/>
      <c r="I40" s="4"/>
      <c r="J40" s="4"/>
    </row>
    <row r="41" spans="1:10" x14ac:dyDescent="0.3">
      <c r="A41" s="4"/>
      <c r="B41" s="4"/>
      <c r="C41" s="4"/>
      <c r="D41" s="4"/>
      <c r="E41" s="4"/>
      <c r="F41" s="4"/>
      <c r="G41" s="4"/>
      <c r="H41" s="4"/>
      <c r="I41" s="4"/>
      <c r="J41" s="4"/>
    </row>
    <row r="42" spans="1:10" x14ac:dyDescent="0.3">
      <c r="A42" s="4"/>
      <c r="B42" s="4"/>
      <c r="C42" s="4"/>
      <c r="D42" s="4"/>
      <c r="E42" s="4"/>
      <c r="F42" s="4"/>
      <c r="G42" s="4"/>
      <c r="H42" s="4"/>
      <c r="I42" s="4"/>
      <c r="J42" s="4"/>
    </row>
    <row r="43" spans="1:10" x14ac:dyDescent="0.3">
      <c r="A43" s="4"/>
      <c r="B43" s="4"/>
      <c r="C43" s="4"/>
      <c r="D43" s="4"/>
      <c r="E43" s="4"/>
      <c r="F43" s="4"/>
      <c r="G43" s="4"/>
      <c r="H43" s="4"/>
      <c r="I43" s="4"/>
      <c r="J43" s="4"/>
    </row>
    <row r="44" spans="1:10" x14ac:dyDescent="0.3">
      <c r="A44" s="4"/>
      <c r="B44" s="4"/>
      <c r="C44" s="4"/>
      <c r="D44" s="4"/>
      <c r="E44" s="4"/>
      <c r="F44" s="4"/>
      <c r="G44" s="4"/>
      <c r="H44" s="4"/>
      <c r="I44" s="4"/>
      <c r="J44" s="4"/>
    </row>
    <row r="45" spans="1:10" x14ac:dyDescent="0.3">
      <c r="A45" s="4"/>
      <c r="B45" s="4"/>
      <c r="C45" s="4"/>
      <c r="D45" s="4"/>
      <c r="E45" s="4"/>
      <c r="F45" s="4"/>
      <c r="G45" s="4"/>
      <c r="H45" s="4"/>
      <c r="I45" s="4"/>
      <c r="J45" s="4"/>
    </row>
    <row r="46" spans="1:10" x14ac:dyDescent="0.3">
      <c r="A46" s="4"/>
      <c r="B46" s="4"/>
      <c r="C46" s="4"/>
      <c r="D46" s="4"/>
      <c r="E46" s="4"/>
      <c r="F46" s="4"/>
      <c r="G46" s="4"/>
      <c r="H46" s="4"/>
      <c r="I46" s="4"/>
      <c r="J46" s="4"/>
    </row>
    <row r="47" spans="1:10" x14ac:dyDescent="0.3">
      <c r="A47" s="4"/>
      <c r="B47" s="4"/>
      <c r="C47" s="4"/>
      <c r="D47" s="4"/>
      <c r="E47" s="4"/>
      <c r="F47" s="4"/>
      <c r="G47" s="4"/>
      <c r="H47" s="4"/>
      <c r="I47" s="4"/>
      <c r="J47" s="4"/>
    </row>
    <row r="48" spans="1:10" x14ac:dyDescent="0.3">
      <c r="A48" s="4"/>
      <c r="B48" s="4"/>
      <c r="C48" s="4"/>
      <c r="D48" s="4"/>
      <c r="E48" s="4"/>
      <c r="F48" s="4"/>
      <c r="G48" s="4"/>
      <c r="H48" s="4"/>
      <c r="I48" s="4"/>
      <c r="J48" s="4"/>
    </row>
    <row r="49" spans="1:10" x14ac:dyDescent="0.3">
      <c r="A49" s="4"/>
      <c r="B49" s="4"/>
      <c r="C49" s="4"/>
      <c r="D49" s="4"/>
      <c r="E49" s="4"/>
      <c r="F49" s="4"/>
      <c r="G49" s="4"/>
      <c r="H49" s="4"/>
      <c r="I49" s="4"/>
      <c r="J49" s="4"/>
    </row>
    <row r="50" spans="1:10" x14ac:dyDescent="0.3">
      <c r="A50" s="4"/>
      <c r="B50" s="4"/>
      <c r="C50" s="4"/>
      <c r="D50" s="4"/>
      <c r="E50" s="4"/>
      <c r="F50" s="4"/>
      <c r="G50" s="4"/>
      <c r="H50" s="4"/>
      <c r="I50" s="4"/>
      <c r="J50" s="4"/>
    </row>
    <row r="51" spans="1:10" x14ac:dyDescent="0.3">
      <c r="A51" s="4"/>
      <c r="B51" s="4"/>
      <c r="C51" s="4"/>
      <c r="D51" s="4"/>
      <c r="E51" s="4"/>
      <c r="F51" s="4"/>
      <c r="G51" s="4"/>
      <c r="H51" s="4"/>
      <c r="I51" s="4"/>
      <c r="J51" s="4"/>
    </row>
    <row r="52" spans="1:10" x14ac:dyDescent="0.3">
      <c r="A52" s="4"/>
      <c r="B52" s="4"/>
      <c r="C52" s="4"/>
      <c r="D52" s="4"/>
      <c r="E52" s="4"/>
      <c r="F52" s="4"/>
      <c r="G52" s="4"/>
      <c r="H52" s="4"/>
      <c r="I52" s="4"/>
      <c r="J52" s="4"/>
    </row>
    <row r="53" spans="1:10" x14ac:dyDescent="0.3">
      <c r="A53" s="4"/>
      <c r="B53" s="4"/>
      <c r="C53" s="4"/>
      <c r="D53" s="4"/>
      <c r="E53" s="4"/>
      <c r="F53" s="4"/>
      <c r="G53" s="4"/>
      <c r="H53" s="4"/>
      <c r="I53" s="4"/>
      <c r="J53" s="4"/>
    </row>
    <row r="54" spans="1:10" x14ac:dyDescent="0.3">
      <c r="A54" s="4"/>
      <c r="B54" s="4"/>
      <c r="C54" s="4"/>
      <c r="D54" s="4"/>
      <c r="E54" s="4"/>
      <c r="F54" s="4"/>
      <c r="G54" s="4"/>
      <c r="H54" s="4"/>
      <c r="I54" s="4"/>
      <c r="J54" s="4"/>
    </row>
    <row r="55" spans="1:10" x14ac:dyDescent="0.3">
      <c r="A55" s="4"/>
      <c r="B55" s="4"/>
      <c r="C55" s="4"/>
      <c r="D55" s="4"/>
      <c r="E55" s="4"/>
      <c r="F55" s="4"/>
      <c r="G55" s="4"/>
      <c r="H55" s="4"/>
      <c r="I55" s="4"/>
      <c r="J55" s="4"/>
    </row>
    <row r="56" spans="1:10" x14ac:dyDescent="0.3">
      <c r="A56" s="4"/>
      <c r="B56" s="4"/>
      <c r="C56" s="4"/>
      <c r="D56" s="4"/>
      <c r="E56" s="4"/>
      <c r="F56" s="4"/>
      <c r="G56" s="4"/>
      <c r="H56" s="4"/>
      <c r="I56" s="4"/>
      <c r="J56" s="4"/>
    </row>
    <row r="57" spans="1:10" x14ac:dyDescent="0.3">
      <c r="A57" s="4"/>
      <c r="B57" s="4"/>
      <c r="C57" s="4"/>
      <c r="D57" s="4"/>
      <c r="E57" s="4"/>
      <c r="F57" s="4"/>
      <c r="G57" s="4"/>
      <c r="H57" s="4"/>
      <c r="I57" s="4"/>
      <c r="J57" s="4"/>
    </row>
    <row r="58" spans="1:10" x14ac:dyDescent="0.3">
      <c r="A58" s="4"/>
      <c r="B58" s="4"/>
      <c r="C58" s="4"/>
      <c r="D58" s="4"/>
      <c r="E58" s="4"/>
      <c r="F58" s="4"/>
      <c r="G58" s="4"/>
      <c r="H58" s="4"/>
      <c r="I58" s="4"/>
      <c r="J58" s="4"/>
    </row>
    <row r="59" spans="1:10" x14ac:dyDescent="0.3">
      <c r="A59" s="4"/>
      <c r="B59" s="4"/>
      <c r="C59" s="4"/>
      <c r="D59" s="4"/>
      <c r="E59" s="4"/>
      <c r="F59" s="4"/>
      <c r="G59" s="4"/>
      <c r="H59" s="4"/>
      <c r="I59" s="4"/>
      <c r="J59" s="4"/>
    </row>
    <row r="60" spans="1:10" x14ac:dyDescent="0.3">
      <c r="A60" s="4"/>
      <c r="B60" s="4"/>
      <c r="C60" s="4"/>
      <c r="D60" s="4"/>
      <c r="E60" s="4"/>
      <c r="F60" s="4"/>
      <c r="G60" s="4"/>
      <c r="H60" s="4"/>
      <c r="I60" s="4"/>
      <c r="J60" s="4"/>
    </row>
    <row r="61" spans="1:10" x14ac:dyDescent="0.3">
      <c r="A61" s="4"/>
      <c r="B61" s="4"/>
      <c r="C61" s="4"/>
      <c r="D61" s="4"/>
      <c r="E61" s="4"/>
      <c r="F61" s="4"/>
      <c r="G61" s="4"/>
      <c r="H61" s="4"/>
      <c r="I61" s="4"/>
      <c r="J61" s="4"/>
    </row>
    <row r="62" spans="1:10" x14ac:dyDescent="0.3">
      <c r="A62" s="4"/>
      <c r="B62" s="4"/>
      <c r="C62" s="4"/>
      <c r="D62" s="4"/>
      <c r="E62" s="4"/>
      <c r="F62" s="4"/>
      <c r="G62" s="4"/>
      <c r="H62" s="4"/>
      <c r="I62" s="4"/>
      <c r="J62" s="4"/>
    </row>
    <row r="63" spans="1:10" x14ac:dyDescent="0.3">
      <c r="A63" s="4"/>
      <c r="B63" s="4"/>
      <c r="C63" s="4"/>
      <c r="D63" s="4"/>
      <c r="E63" s="4"/>
      <c r="F63" s="4"/>
      <c r="G63" s="4"/>
      <c r="H63" s="4"/>
      <c r="I63" s="4"/>
      <c r="J63" s="4"/>
    </row>
    <row r="64" spans="1:10" x14ac:dyDescent="0.3">
      <c r="A64" s="4"/>
      <c r="B64" s="4"/>
      <c r="C64" s="4"/>
      <c r="D64" s="4"/>
      <c r="E64" s="4"/>
      <c r="F64" s="4"/>
      <c r="G64" s="4"/>
      <c r="H64" s="4"/>
      <c r="I64" s="4"/>
      <c r="J64" s="4"/>
    </row>
    <row r="65" spans="1:10" x14ac:dyDescent="0.3">
      <c r="A65" s="4"/>
      <c r="B65" s="4"/>
      <c r="C65" s="4"/>
      <c r="D65" s="4"/>
      <c r="E65" s="4"/>
      <c r="F65" s="4"/>
      <c r="G65" s="4"/>
      <c r="H65" s="4"/>
      <c r="I65" s="4"/>
      <c r="J65" s="4"/>
    </row>
    <row r="66" spans="1:10" x14ac:dyDescent="0.3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spans="1:10" x14ac:dyDescent="0.3">
      <c r="A67" s="4"/>
      <c r="B67" s="4"/>
      <c r="C67" s="4"/>
      <c r="D67" s="4"/>
      <c r="E67" s="4"/>
      <c r="F67" s="4"/>
      <c r="G67" s="4"/>
      <c r="H67" s="4"/>
      <c r="I67" s="4"/>
      <c r="J67" s="4"/>
    </row>
    <row r="68" spans="1:10" x14ac:dyDescent="0.3">
      <c r="A68" s="4"/>
      <c r="B68" s="4"/>
      <c r="C68" s="4"/>
      <c r="D68" s="4"/>
      <c r="E68" s="4"/>
      <c r="F68" s="4"/>
      <c r="G68" s="4"/>
      <c r="H68" s="4"/>
      <c r="I68" s="4"/>
      <c r="J68" s="4"/>
    </row>
    <row r="69" spans="1:10" x14ac:dyDescent="0.3">
      <c r="A69" s="4"/>
      <c r="B69" s="4"/>
      <c r="C69" s="4"/>
      <c r="D69" s="4"/>
      <c r="E69" s="4"/>
      <c r="F69" s="4"/>
      <c r="G69" s="4"/>
      <c r="H69" s="4"/>
      <c r="I69" s="4"/>
      <c r="J69" s="4"/>
    </row>
    <row r="70" spans="1:10" x14ac:dyDescent="0.3">
      <c r="A70" s="4"/>
      <c r="B70" s="4"/>
      <c r="C70" s="4"/>
      <c r="D70" s="4"/>
      <c r="E70" s="4"/>
      <c r="F70" s="4"/>
      <c r="G70" s="4"/>
      <c r="H70" s="4"/>
      <c r="I70" s="4"/>
      <c r="J70" s="4"/>
    </row>
    <row r="71" spans="1:10" x14ac:dyDescent="0.3">
      <c r="A71" s="4"/>
      <c r="B71" s="4"/>
      <c r="C71" s="4"/>
      <c r="D71" s="4"/>
      <c r="E71" s="4"/>
      <c r="F71" s="4"/>
      <c r="G71" s="4"/>
      <c r="H71" s="4"/>
      <c r="I71" s="4"/>
      <c r="J71" s="4"/>
    </row>
    <row r="72" spans="1:10" x14ac:dyDescent="0.3">
      <c r="A72" s="4"/>
      <c r="B72" s="4"/>
      <c r="C72" s="4"/>
      <c r="D72" s="4"/>
      <c r="E72" s="4"/>
      <c r="F72" s="4"/>
      <c r="G72" s="4"/>
      <c r="H72" s="4"/>
      <c r="I72" s="4"/>
      <c r="J72" s="4"/>
    </row>
    <row r="73" spans="1:10" x14ac:dyDescent="0.3">
      <c r="A73" s="4"/>
      <c r="B73" s="4"/>
      <c r="C73" s="4"/>
      <c r="D73" s="4"/>
      <c r="E73" s="4"/>
      <c r="F73" s="4"/>
      <c r="G73" s="4"/>
      <c r="H73" s="4"/>
      <c r="I73" s="4"/>
      <c r="J73" s="4"/>
    </row>
    <row r="74" spans="1:10" x14ac:dyDescent="0.3">
      <c r="A74" s="4"/>
      <c r="B74" s="4"/>
      <c r="C74" s="4"/>
      <c r="D74" s="4"/>
      <c r="E74" s="4"/>
      <c r="F74" s="4"/>
      <c r="G74" s="4"/>
      <c r="H74" s="4"/>
      <c r="I74" s="4"/>
      <c r="J74" s="4"/>
    </row>
    <row r="75" spans="1:10" x14ac:dyDescent="0.3">
      <c r="A75" s="4"/>
      <c r="B75" s="4"/>
      <c r="C75" s="4"/>
      <c r="D75" s="4"/>
      <c r="E75" s="4"/>
      <c r="F75" s="4"/>
      <c r="G75" s="4"/>
      <c r="H75" s="4"/>
      <c r="I75" s="4"/>
      <c r="J75" s="4"/>
    </row>
    <row r="76" spans="1:10" x14ac:dyDescent="0.3">
      <c r="A76" s="4"/>
      <c r="B76" s="4"/>
      <c r="C76" s="4"/>
      <c r="D76" s="4"/>
      <c r="E76" s="4"/>
      <c r="F76" s="4"/>
      <c r="G76" s="4"/>
      <c r="H76" s="4"/>
      <c r="I76" s="4"/>
      <c r="J76" s="4"/>
    </row>
    <row r="77" spans="1:10" x14ac:dyDescent="0.3">
      <c r="A77" s="4"/>
      <c r="B77" s="4"/>
      <c r="C77" s="4"/>
      <c r="D77" s="4"/>
      <c r="E77" s="4"/>
      <c r="F77" s="4"/>
      <c r="G77" s="4"/>
      <c r="H77" s="4"/>
      <c r="I77" s="4"/>
      <c r="J77" s="4"/>
    </row>
    <row r="78" spans="1:10" x14ac:dyDescent="0.3">
      <c r="A78" s="4"/>
      <c r="B78" s="4"/>
      <c r="C78" s="4"/>
      <c r="D78" s="4"/>
      <c r="E78" s="4"/>
      <c r="F78" s="4"/>
      <c r="G78" s="4"/>
      <c r="H78" s="4"/>
      <c r="I78" s="4"/>
      <c r="J78" s="4"/>
    </row>
    <row r="79" spans="1:10" x14ac:dyDescent="0.3">
      <c r="A79" s="4"/>
      <c r="B79" s="4"/>
      <c r="C79" s="4"/>
      <c r="D79" s="4"/>
      <c r="E79" s="4"/>
      <c r="F79" s="4"/>
      <c r="G79" s="4"/>
      <c r="H79" s="4"/>
      <c r="I79" s="4"/>
      <c r="J79" s="4"/>
    </row>
    <row r="80" spans="1:10" x14ac:dyDescent="0.3">
      <c r="A80" s="4"/>
      <c r="B80" s="4"/>
      <c r="C80" s="4"/>
      <c r="D80" s="4"/>
      <c r="E80" s="4"/>
      <c r="F80" s="4"/>
      <c r="G80" s="4"/>
      <c r="H80" s="4"/>
      <c r="I80" s="4"/>
      <c r="J80" s="4"/>
    </row>
    <row r="81" spans="1:10" x14ac:dyDescent="0.3">
      <c r="A81" s="4"/>
      <c r="B81" s="4"/>
      <c r="C81" s="4"/>
      <c r="D81" s="4"/>
      <c r="E81" s="4"/>
      <c r="F81" s="4"/>
      <c r="G81" s="4"/>
      <c r="H81" s="4"/>
      <c r="I81" s="4"/>
      <c r="J81" s="4"/>
    </row>
    <row r="82" spans="1:10" x14ac:dyDescent="0.3">
      <c r="A82" s="4"/>
      <c r="B82" s="4"/>
      <c r="C82" s="4"/>
      <c r="D82" s="4"/>
      <c r="E82" s="4"/>
      <c r="F82" s="4"/>
      <c r="G82" s="4"/>
      <c r="H82" s="4"/>
      <c r="I82" s="4"/>
      <c r="J82" s="4"/>
    </row>
    <row r="83" spans="1:10" x14ac:dyDescent="0.3">
      <c r="A83" s="4"/>
      <c r="B83" s="4"/>
      <c r="C83" s="4"/>
      <c r="D83" s="4"/>
      <c r="E83" s="4"/>
      <c r="F83" s="4"/>
      <c r="G83" s="4"/>
      <c r="H83" s="4"/>
      <c r="I83" s="4"/>
      <c r="J83" s="4"/>
    </row>
    <row r="84" spans="1:10" x14ac:dyDescent="0.3">
      <c r="A84" s="4"/>
      <c r="B84" s="4"/>
      <c r="C84" s="4"/>
      <c r="D84" s="4"/>
      <c r="E84" s="4"/>
      <c r="F84" s="4"/>
      <c r="G84" s="4"/>
      <c r="H84" s="4"/>
      <c r="I84" s="4"/>
      <c r="J84" s="4"/>
    </row>
    <row r="85" spans="1:10" x14ac:dyDescent="0.3">
      <c r="A85" s="4"/>
      <c r="B85" s="4"/>
      <c r="C85" s="4"/>
      <c r="D85" s="4"/>
      <c r="E85" s="4"/>
      <c r="F85" s="4"/>
      <c r="G85" s="4"/>
      <c r="H85" s="4"/>
      <c r="I85" s="4"/>
      <c r="J85" s="4"/>
    </row>
    <row r="86" spans="1:10" x14ac:dyDescent="0.3">
      <c r="A86" s="4"/>
      <c r="B86" s="4"/>
      <c r="C86" s="4"/>
      <c r="D86" s="4"/>
      <c r="E86" s="4"/>
      <c r="F86" s="4"/>
      <c r="G86" s="4"/>
      <c r="H86" s="4"/>
      <c r="I86" s="4"/>
      <c r="J86" s="4"/>
    </row>
    <row r="87" spans="1:10" x14ac:dyDescent="0.3">
      <c r="A87" s="4"/>
      <c r="B87" s="4"/>
      <c r="C87" s="4"/>
      <c r="D87" s="4"/>
      <c r="E87" s="4"/>
      <c r="F87" s="4"/>
      <c r="G87" s="4"/>
      <c r="H87" s="4"/>
      <c r="I87" s="4"/>
      <c r="J87" s="4"/>
    </row>
    <row r="88" spans="1:10" x14ac:dyDescent="0.3">
      <c r="A88" s="4"/>
      <c r="B88" s="4"/>
      <c r="C88" s="4"/>
      <c r="D88" s="4"/>
      <c r="E88" s="4"/>
      <c r="F88" s="4"/>
      <c r="G88" s="4"/>
      <c r="H88" s="4"/>
      <c r="I88" s="4"/>
      <c r="J88" s="4"/>
    </row>
    <row r="89" spans="1:10" x14ac:dyDescent="0.3">
      <c r="A89" s="4"/>
      <c r="B89" s="4"/>
      <c r="C89" s="4"/>
      <c r="D89" s="4"/>
      <c r="E89" s="4"/>
      <c r="F89" s="4"/>
      <c r="G89" s="4"/>
      <c r="H89" s="4"/>
      <c r="I89" s="4"/>
      <c r="J89" s="4"/>
    </row>
    <row r="90" spans="1:10" x14ac:dyDescent="0.3">
      <c r="A90" s="4"/>
      <c r="B90" s="4"/>
      <c r="C90" s="4"/>
      <c r="D90" s="4"/>
      <c r="E90" s="4"/>
      <c r="F90" s="4"/>
      <c r="G90" s="4"/>
      <c r="H90" s="4"/>
      <c r="I90" s="4"/>
      <c r="J90" s="4"/>
    </row>
    <row r="91" spans="1:10" x14ac:dyDescent="0.3">
      <c r="A91" s="4"/>
      <c r="B91" s="4"/>
      <c r="C91" s="4"/>
      <c r="D91" s="4"/>
      <c r="E91" s="4"/>
      <c r="F91" s="4"/>
      <c r="G91" s="4"/>
      <c r="H91" s="4"/>
      <c r="I91" s="4"/>
      <c r="J91" s="4"/>
    </row>
    <row r="92" spans="1:10" x14ac:dyDescent="0.3">
      <c r="A92" s="4"/>
      <c r="B92" s="4"/>
      <c r="C92" s="4"/>
      <c r="D92" s="4"/>
      <c r="E92" s="4"/>
      <c r="F92" s="4"/>
      <c r="G92" s="4"/>
      <c r="H92" s="4"/>
      <c r="I92" s="4"/>
      <c r="J92" s="4"/>
    </row>
    <row r="93" spans="1:10" x14ac:dyDescent="0.3">
      <c r="A93" s="4"/>
      <c r="B93" s="4"/>
      <c r="C93" s="4"/>
      <c r="D93" s="4"/>
      <c r="E93" s="4"/>
      <c r="F93" s="4"/>
      <c r="G93" s="4"/>
      <c r="H93" s="4"/>
      <c r="I93" s="4"/>
      <c r="J93" s="4"/>
    </row>
    <row r="94" spans="1:10" x14ac:dyDescent="0.3">
      <c r="A94" s="4"/>
      <c r="B94" s="4"/>
      <c r="C94" s="4"/>
      <c r="D94" s="4"/>
      <c r="E94" s="4"/>
      <c r="F94" s="4"/>
      <c r="G94" s="4"/>
      <c r="H94" s="4"/>
      <c r="I94" s="4"/>
      <c r="J94" s="4"/>
    </row>
    <row r="95" spans="1:10" x14ac:dyDescent="0.3">
      <c r="A95" s="4"/>
      <c r="B95" s="4"/>
      <c r="C95" s="4"/>
      <c r="D95" s="4"/>
      <c r="E95" s="4"/>
      <c r="F95" s="4"/>
      <c r="G95" s="4"/>
      <c r="H95" s="4"/>
      <c r="I95" s="4"/>
      <c r="J95" s="4"/>
    </row>
    <row r="96" spans="1:10" x14ac:dyDescent="0.3">
      <c r="A96" s="4"/>
      <c r="B96" s="4"/>
      <c r="C96" s="4"/>
      <c r="D96" s="4"/>
      <c r="E96" s="4"/>
      <c r="F96" s="4"/>
      <c r="G96" s="4"/>
      <c r="H96" s="4"/>
      <c r="I96" s="4"/>
      <c r="J96" s="4"/>
    </row>
    <row r="97" spans="1:10" x14ac:dyDescent="0.3">
      <c r="A97" s="4"/>
      <c r="B97" s="4"/>
      <c r="C97" s="4"/>
      <c r="D97" s="4"/>
      <c r="E97" s="4"/>
      <c r="F97" s="4"/>
      <c r="G97" s="4"/>
      <c r="H97" s="4"/>
      <c r="I97" s="4"/>
      <c r="J97" s="4"/>
    </row>
    <row r="98" spans="1:10" x14ac:dyDescent="0.3">
      <c r="A98" s="4"/>
      <c r="B98" s="4"/>
      <c r="C98" s="4"/>
      <c r="D98" s="4"/>
      <c r="E98" s="4"/>
      <c r="F98" s="4"/>
      <c r="G98" s="4"/>
      <c r="H98" s="4"/>
      <c r="I98" s="4"/>
      <c r="J98" s="4"/>
    </row>
    <row r="99" spans="1:10" x14ac:dyDescent="0.3">
      <c r="A99" s="4"/>
      <c r="B99" s="4"/>
      <c r="C99" s="4"/>
      <c r="D99" s="4"/>
      <c r="E99" s="4"/>
      <c r="F99" s="4"/>
      <c r="G99" s="4"/>
      <c r="H99" s="4"/>
      <c r="I99" s="4"/>
      <c r="J99" s="4"/>
    </row>
    <row r="100" spans="1:10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</row>
    <row r="101" spans="1:10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</row>
    <row r="102" spans="1:10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</row>
    <row r="103" spans="1:10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</row>
    <row r="104" spans="1:10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</row>
    <row r="105" spans="1:10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</row>
    <row r="106" spans="1:10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</row>
    <row r="107" spans="1:10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</row>
    <row r="108" spans="1:10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</row>
    <row r="109" spans="1:10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</row>
    <row r="110" spans="1:10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</row>
    <row r="111" spans="1:10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</row>
    <row r="112" spans="1:10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</row>
    <row r="113" spans="1:10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</row>
    <row r="114" spans="1:10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</row>
    <row r="115" spans="1:10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</row>
    <row r="116" spans="1:10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</row>
    <row r="117" spans="1:10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</row>
    <row r="118" spans="1:10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</row>
    <row r="119" spans="1:10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</row>
    <row r="120" spans="1:10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</row>
    <row r="121" spans="1:10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</row>
    <row r="122" spans="1:10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</row>
    <row r="123" spans="1:10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</row>
    <row r="124" spans="1:10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</row>
    <row r="125" spans="1:10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</row>
    <row r="126" spans="1:10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</row>
    <row r="127" spans="1:10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</row>
    <row r="128" spans="1:10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</row>
    <row r="129" spans="1:10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</row>
    <row r="130" spans="1:10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</row>
    <row r="131" spans="1:10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</row>
    <row r="132" spans="1:10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</row>
    <row r="133" spans="1:10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</row>
    <row r="134" spans="1:10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</row>
    <row r="135" spans="1:10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</row>
    <row r="136" spans="1:10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</row>
    <row r="137" spans="1:10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</row>
    <row r="138" spans="1:10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</row>
    <row r="139" spans="1:10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</row>
    <row r="140" spans="1:10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</row>
    <row r="141" spans="1:10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</row>
    <row r="142" spans="1:10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</row>
    <row r="143" spans="1:10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</row>
    <row r="144" spans="1:10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</row>
    <row r="145" spans="1:10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</row>
    <row r="146" spans="1:10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</row>
    <row r="147" spans="1:10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</row>
    <row r="148" spans="1:10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</row>
    <row r="149" spans="1:10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</row>
    <row r="150" spans="1:10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</row>
  </sheetData>
  <autoFilter ref="A1:J150" xr:uid="{00000000-0009-0000-0000-000018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1800-000000000000}">
          <x14:formula1>
            <xm:f>DICTIONARIES!$AJ$2:$AJ$4</xm:f>
          </x14:formula1>
          <xm:sqref>C2:C1000</xm:sqref>
        </x14:dataValidation>
        <x14:dataValidation type="list" allowBlank="1" xr:uid="{00000000-0002-0000-1800-000001000000}">
          <x14:formula1>
            <xm:f>DICTIONARIES!$G$2:$G$3</xm:f>
          </x14:formula1>
          <xm:sqref>D2:D1000</xm:sqref>
        </x14:dataValidation>
        <x14:dataValidation type="list" allowBlank="1" xr:uid="{00000000-0002-0000-1800-000002000000}">
          <x14:formula1>
            <xm:f>DICTIONARIES!$E$2:$E$5</xm:f>
          </x14:formula1>
          <xm:sqref>E2:E1000</xm:sqref>
        </x14:dataValidation>
        <x14:dataValidation type="list" allowBlank="1" xr:uid="{00000000-0002-0000-1800-000003000000}">
          <x14:formula1>
            <xm:f>DICTIONARIES!$D$2:$D$4</xm:f>
          </x14:formula1>
          <xm:sqref>H2:H1000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J15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" customWidth="1"/>
    <col min="2" max="2" width="28" customWidth="1"/>
    <col min="3" max="3" width="12" customWidth="1"/>
    <col min="4" max="4" width="16" customWidth="1"/>
    <col min="5" max="5" width="20" customWidth="1"/>
    <col min="6" max="6" width="18" customWidth="1"/>
    <col min="7" max="7" width="30" customWidth="1"/>
    <col min="8" max="8" width="20" customWidth="1"/>
    <col min="9" max="9" width="14" customWidth="1"/>
    <col min="10" max="10" width="45" customWidth="1"/>
  </cols>
  <sheetData>
    <row r="1" spans="1:10" ht="28.8" x14ac:dyDescent="0.3">
      <c r="A1" s="3" t="s">
        <v>344</v>
      </c>
      <c r="B1" s="3" t="s">
        <v>485</v>
      </c>
      <c r="C1" s="3" t="s">
        <v>883</v>
      </c>
      <c r="D1" s="3" t="s">
        <v>929</v>
      </c>
      <c r="E1" s="3" t="s">
        <v>930</v>
      </c>
      <c r="F1" s="3" t="s">
        <v>931</v>
      </c>
      <c r="G1" s="3" t="s">
        <v>932</v>
      </c>
      <c r="H1" s="3" t="s">
        <v>918</v>
      </c>
      <c r="I1" s="3" t="s">
        <v>933</v>
      </c>
      <c r="J1" s="3" t="s">
        <v>116</v>
      </c>
    </row>
    <row r="2" spans="1:10" ht="28.8" x14ac:dyDescent="0.3">
      <c r="A2" s="5" t="s">
        <v>493</v>
      </c>
      <c r="B2" s="5" t="s">
        <v>495</v>
      </c>
      <c r="C2" s="5" t="s">
        <v>267</v>
      </c>
      <c r="D2" s="5" t="s">
        <v>536</v>
      </c>
      <c r="E2" s="5"/>
      <c r="F2" s="5" t="s">
        <v>934</v>
      </c>
      <c r="G2" s="5" t="s">
        <v>537</v>
      </c>
      <c r="H2" s="5" t="s">
        <v>242</v>
      </c>
      <c r="I2" s="5" t="s">
        <v>267</v>
      </c>
      <c r="J2" s="5" t="s">
        <v>935</v>
      </c>
    </row>
    <row r="3" spans="1:10" ht="28.8" x14ac:dyDescent="0.3">
      <c r="A3" s="5" t="s">
        <v>493</v>
      </c>
      <c r="B3" s="5" t="s">
        <v>495</v>
      </c>
      <c r="C3" s="5" t="s">
        <v>243</v>
      </c>
      <c r="D3" s="5" t="s">
        <v>540</v>
      </c>
      <c r="E3" s="5"/>
      <c r="F3" s="5" t="s">
        <v>936</v>
      </c>
      <c r="G3" s="5" t="s">
        <v>541</v>
      </c>
      <c r="H3" s="5" t="s">
        <v>242</v>
      </c>
      <c r="I3" s="5" t="s">
        <v>243</v>
      </c>
      <c r="J3" s="5" t="s">
        <v>937</v>
      </c>
    </row>
    <row r="4" spans="1:10" ht="28.8" x14ac:dyDescent="0.3">
      <c r="A4" s="5" t="s">
        <v>493</v>
      </c>
      <c r="B4" s="5" t="s">
        <v>495</v>
      </c>
      <c r="C4" s="5" t="s">
        <v>346</v>
      </c>
      <c r="D4" s="5" t="s">
        <v>543</v>
      </c>
      <c r="E4" s="5" t="s">
        <v>921</v>
      </c>
      <c r="F4" s="5" t="s">
        <v>938</v>
      </c>
      <c r="G4" s="5" t="s">
        <v>544</v>
      </c>
      <c r="H4" s="5" t="s">
        <v>242</v>
      </c>
      <c r="I4" s="5" t="s">
        <v>346</v>
      </c>
      <c r="J4" s="5" t="s">
        <v>939</v>
      </c>
    </row>
    <row r="5" spans="1:10" x14ac:dyDescent="0.3">
      <c r="A5" s="5" t="s">
        <v>506</v>
      </c>
      <c r="B5" s="5" t="s">
        <v>508</v>
      </c>
      <c r="C5" s="5" t="s">
        <v>267</v>
      </c>
      <c r="D5" s="5" t="s">
        <v>547</v>
      </c>
      <c r="E5" s="5" t="s">
        <v>940</v>
      </c>
      <c r="F5" s="5" t="s">
        <v>941</v>
      </c>
      <c r="G5" s="5" t="s">
        <v>508</v>
      </c>
      <c r="H5" s="5" t="s">
        <v>242</v>
      </c>
      <c r="I5" s="5" t="s">
        <v>267</v>
      </c>
      <c r="J5" s="5" t="s">
        <v>942</v>
      </c>
    </row>
    <row r="6" spans="1:10" x14ac:dyDescent="0.3">
      <c r="A6" s="5" t="s">
        <v>506</v>
      </c>
      <c r="B6" s="5" t="s">
        <v>508</v>
      </c>
      <c r="C6" s="5" t="s">
        <v>243</v>
      </c>
      <c r="D6" s="5" t="s">
        <v>547</v>
      </c>
      <c r="E6" s="5"/>
      <c r="F6" s="5" t="s">
        <v>936</v>
      </c>
      <c r="G6" s="5" t="s">
        <v>508</v>
      </c>
      <c r="H6" s="5" t="s">
        <v>242</v>
      </c>
      <c r="I6" s="5" t="s">
        <v>243</v>
      </c>
      <c r="J6" s="5"/>
    </row>
    <row r="7" spans="1:10" ht="28.8" x14ac:dyDescent="0.3">
      <c r="A7" s="5" t="s">
        <v>506</v>
      </c>
      <c r="B7" s="5" t="s">
        <v>508</v>
      </c>
      <c r="C7" s="5" t="s">
        <v>346</v>
      </c>
      <c r="D7" s="5" t="s">
        <v>547</v>
      </c>
      <c r="E7" s="5" t="s">
        <v>921</v>
      </c>
      <c r="F7" s="5" t="s">
        <v>938</v>
      </c>
      <c r="G7" s="5" t="s">
        <v>943</v>
      </c>
      <c r="H7" s="5" t="s">
        <v>242</v>
      </c>
      <c r="I7" s="5" t="s">
        <v>346</v>
      </c>
      <c r="J7" s="5" t="s">
        <v>944</v>
      </c>
    </row>
    <row r="8" spans="1:10" x14ac:dyDescent="0.3">
      <c r="A8" s="5" t="s">
        <v>501</v>
      </c>
      <c r="B8" s="5" t="s">
        <v>503</v>
      </c>
      <c r="C8" s="5" t="s">
        <v>267</v>
      </c>
      <c r="D8" s="5" t="s">
        <v>545</v>
      </c>
      <c r="E8" s="5"/>
      <c r="F8" s="5" t="s">
        <v>941</v>
      </c>
      <c r="G8" s="5" t="s">
        <v>503</v>
      </c>
      <c r="H8" s="5" t="s">
        <v>268</v>
      </c>
      <c r="I8" s="5" t="s">
        <v>267</v>
      </c>
      <c r="J8" s="5"/>
    </row>
    <row r="9" spans="1:10" x14ac:dyDescent="0.3">
      <c r="A9" s="5" t="s">
        <v>501</v>
      </c>
      <c r="B9" s="5" t="s">
        <v>503</v>
      </c>
      <c r="C9" s="5" t="s">
        <v>243</v>
      </c>
      <c r="D9" s="5" t="s">
        <v>545</v>
      </c>
      <c r="E9" s="5"/>
      <c r="F9" s="5" t="s">
        <v>936</v>
      </c>
      <c r="G9" s="5" t="s">
        <v>503</v>
      </c>
      <c r="H9" s="5" t="s">
        <v>268</v>
      </c>
      <c r="I9" s="5" t="s">
        <v>243</v>
      </c>
      <c r="J9" s="5"/>
    </row>
    <row r="10" spans="1:10" ht="28.8" x14ac:dyDescent="0.3">
      <c r="A10" s="5" t="s">
        <v>501</v>
      </c>
      <c r="B10" s="5" t="s">
        <v>503</v>
      </c>
      <c r="C10" s="5" t="s">
        <v>346</v>
      </c>
      <c r="D10" s="5" t="s">
        <v>545</v>
      </c>
      <c r="E10" s="5" t="s">
        <v>945</v>
      </c>
      <c r="F10" s="5" t="s">
        <v>946</v>
      </c>
      <c r="G10" s="5" t="s">
        <v>503</v>
      </c>
      <c r="H10" s="5" t="s">
        <v>242</v>
      </c>
      <c r="I10" s="5" t="s">
        <v>346</v>
      </c>
      <c r="J10" s="5" t="s">
        <v>947</v>
      </c>
    </row>
    <row r="11" spans="1:10" x14ac:dyDescent="0.3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3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3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3">
      <c r="A15" s="5"/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3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0" x14ac:dyDescent="0.3">
      <c r="A17" s="5"/>
      <c r="B17" s="5"/>
      <c r="C17" s="5"/>
      <c r="D17" s="5"/>
      <c r="E17" s="5"/>
      <c r="F17" s="5"/>
      <c r="G17" s="5"/>
      <c r="H17" s="5"/>
      <c r="I17" s="5"/>
      <c r="J17" s="5"/>
    </row>
    <row r="18" spans="1:10" x14ac:dyDescent="0.3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0" x14ac:dyDescent="0.3">
      <c r="A19" s="5"/>
      <c r="B19" s="5"/>
      <c r="C19" s="5"/>
      <c r="D19" s="5"/>
      <c r="E19" s="5"/>
      <c r="F19" s="5"/>
      <c r="G19" s="5"/>
      <c r="H19" s="5"/>
      <c r="I19" s="5"/>
      <c r="J19" s="5"/>
    </row>
    <row r="20" spans="1:10" x14ac:dyDescent="0.3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0" x14ac:dyDescent="0.3">
      <c r="A21" s="5"/>
      <c r="B21" s="5"/>
      <c r="C21" s="5"/>
      <c r="D21" s="5"/>
      <c r="E21" s="5"/>
      <c r="F21" s="5"/>
      <c r="G21" s="5"/>
      <c r="H21" s="5"/>
      <c r="I21" s="5"/>
      <c r="J21" s="5"/>
    </row>
    <row r="22" spans="1:10" x14ac:dyDescent="0.3">
      <c r="A22" s="5"/>
      <c r="B22" s="5"/>
      <c r="C22" s="5"/>
      <c r="D22" s="5"/>
      <c r="E22" s="5"/>
      <c r="F22" s="5"/>
      <c r="G22" s="5"/>
      <c r="H22" s="5"/>
      <c r="I22" s="5"/>
      <c r="J22" s="5"/>
    </row>
    <row r="23" spans="1:10" x14ac:dyDescent="0.3">
      <c r="A23" s="5"/>
      <c r="B23" s="5"/>
      <c r="C23" s="5"/>
      <c r="D23" s="5"/>
      <c r="E23" s="5"/>
      <c r="F23" s="5"/>
      <c r="G23" s="5"/>
      <c r="H23" s="5"/>
      <c r="I23" s="5"/>
      <c r="J23" s="5"/>
    </row>
    <row r="24" spans="1:10" x14ac:dyDescent="0.3">
      <c r="A24" s="5"/>
      <c r="B24" s="5"/>
      <c r="C24" s="5"/>
      <c r="D24" s="5"/>
      <c r="E24" s="5"/>
      <c r="F24" s="5"/>
      <c r="G24" s="5"/>
      <c r="H24" s="5"/>
      <c r="I24" s="5"/>
      <c r="J24" s="5"/>
    </row>
    <row r="25" spans="1:10" x14ac:dyDescent="0.3">
      <c r="A25" s="5"/>
      <c r="B25" s="5"/>
      <c r="C25" s="5"/>
      <c r="D25" s="5"/>
      <c r="E25" s="5"/>
      <c r="F25" s="5"/>
      <c r="G25" s="5"/>
      <c r="H25" s="5"/>
      <c r="I25" s="5"/>
      <c r="J25" s="5"/>
    </row>
    <row r="26" spans="1:10" x14ac:dyDescent="0.3">
      <c r="A26" s="5"/>
      <c r="B26" s="5"/>
      <c r="C26" s="5"/>
      <c r="D26" s="5"/>
      <c r="E26" s="5"/>
      <c r="F26" s="5"/>
      <c r="G26" s="5"/>
      <c r="H26" s="5"/>
      <c r="I26" s="5"/>
      <c r="J26" s="5"/>
    </row>
    <row r="27" spans="1:10" x14ac:dyDescent="0.3">
      <c r="A27" s="5"/>
      <c r="B27" s="5"/>
      <c r="C27" s="5"/>
      <c r="D27" s="5"/>
      <c r="E27" s="5"/>
      <c r="F27" s="5"/>
      <c r="G27" s="5"/>
      <c r="H27" s="5"/>
      <c r="I27" s="5"/>
      <c r="J27" s="5"/>
    </row>
    <row r="28" spans="1:10" x14ac:dyDescent="0.3">
      <c r="A28" s="5"/>
      <c r="B28" s="5"/>
      <c r="C28" s="5"/>
      <c r="D28" s="5"/>
      <c r="E28" s="5"/>
      <c r="F28" s="5"/>
      <c r="G28" s="5"/>
      <c r="H28" s="5"/>
      <c r="I28" s="5"/>
      <c r="J28" s="5"/>
    </row>
    <row r="29" spans="1:10" x14ac:dyDescent="0.3">
      <c r="A29" s="5"/>
      <c r="B29" s="5"/>
      <c r="C29" s="5"/>
      <c r="D29" s="5"/>
      <c r="E29" s="5"/>
      <c r="F29" s="5"/>
      <c r="G29" s="5"/>
      <c r="H29" s="5"/>
      <c r="I29" s="5"/>
      <c r="J29" s="5"/>
    </row>
    <row r="30" spans="1:10" x14ac:dyDescent="0.3">
      <c r="A30" s="5"/>
      <c r="B30" s="5"/>
      <c r="C30" s="5"/>
      <c r="D30" s="5"/>
      <c r="E30" s="5"/>
      <c r="F30" s="5"/>
      <c r="G30" s="5"/>
      <c r="H30" s="5"/>
      <c r="I30" s="5"/>
      <c r="J30" s="5"/>
    </row>
    <row r="31" spans="1:10" x14ac:dyDescent="0.3">
      <c r="A31" s="5"/>
      <c r="B31" s="5"/>
      <c r="C31" s="5"/>
      <c r="D31" s="5"/>
      <c r="E31" s="5"/>
      <c r="F31" s="5"/>
      <c r="G31" s="5"/>
      <c r="H31" s="5"/>
      <c r="I31" s="5"/>
      <c r="J31" s="5"/>
    </row>
    <row r="32" spans="1:10" x14ac:dyDescent="0.3">
      <c r="A32" s="5"/>
      <c r="B32" s="5"/>
      <c r="C32" s="5"/>
      <c r="D32" s="5"/>
      <c r="E32" s="5"/>
      <c r="F32" s="5"/>
      <c r="G32" s="5"/>
      <c r="H32" s="5"/>
      <c r="I32" s="5"/>
      <c r="J32" s="5"/>
    </row>
    <row r="33" spans="1:10" x14ac:dyDescent="0.3">
      <c r="A33" s="5"/>
      <c r="B33" s="5"/>
      <c r="C33" s="5"/>
      <c r="D33" s="5"/>
      <c r="E33" s="5"/>
      <c r="F33" s="5"/>
      <c r="G33" s="5"/>
      <c r="H33" s="5"/>
      <c r="I33" s="5"/>
      <c r="J33" s="5"/>
    </row>
    <row r="34" spans="1:10" x14ac:dyDescent="0.3">
      <c r="A34" s="5"/>
      <c r="B34" s="5"/>
      <c r="C34" s="5"/>
      <c r="D34" s="5"/>
      <c r="E34" s="5"/>
      <c r="F34" s="5"/>
      <c r="G34" s="5"/>
      <c r="H34" s="5"/>
      <c r="I34" s="5"/>
      <c r="J34" s="5"/>
    </row>
    <row r="35" spans="1:10" x14ac:dyDescent="0.3">
      <c r="A35" s="5"/>
      <c r="B35" s="5"/>
      <c r="C35" s="5"/>
      <c r="D35" s="5"/>
      <c r="E35" s="5"/>
      <c r="F35" s="5"/>
      <c r="G35" s="5"/>
      <c r="H35" s="5"/>
      <c r="I35" s="5"/>
      <c r="J35" s="5"/>
    </row>
    <row r="36" spans="1:10" x14ac:dyDescent="0.3">
      <c r="A36" s="5"/>
      <c r="B36" s="5"/>
      <c r="C36" s="5"/>
      <c r="D36" s="5"/>
      <c r="E36" s="5"/>
      <c r="F36" s="5"/>
      <c r="G36" s="5"/>
      <c r="H36" s="5"/>
      <c r="I36" s="5"/>
      <c r="J36" s="5"/>
    </row>
    <row r="37" spans="1:10" x14ac:dyDescent="0.3">
      <c r="A37" s="5"/>
      <c r="B37" s="5"/>
      <c r="C37" s="5"/>
      <c r="D37" s="5"/>
      <c r="E37" s="5"/>
      <c r="F37" s="5"/>
      <c r="G37" s="5"/>
      <c r="H37" s="5"/>
      <c r="I37" s="5"/>
      <c r="J37" s="5"/>
    </row>
    <row r="38" spans="1:10" x14ac:dyDescent="0.3">
      <c r="A38" s="5"/>
      <c r="B38" s="5"/>
      <c r="C38" s="5"/>
      <c r="D38" s="5"/>
      <c r="E38" s="5"/>
      <c r="F38" s="5"/>
      <c r="G38" s="5"/>
      <c r="H38" s="5"/>
      <c r="I38" s="5"/>
      <c r="J38" s="5"/>
    </row>
    <row r="39" spans="1:10" x14ac:dyDescent="0.3">
      <c r="A39" s="5"/>
      <c r="B39" s="5"/>
      <c r="C39" s="5"/>
      <c r="D39" s="5"/>
      <c r="E39" s="5"/>
      <c r="F39" s="5"/>
      <c r="G39" s="5"/>
      <c r="H39" s="5"/>
      <c r="I39" s="5"/>
      <c r="J39" s="5"/>
    </row>
    <row r="40" spans="1:10" x14ac:dyDescent="0.3">
      <c r="A40" s="5"/>
      <c r="B40" s="5"/>
      <c r="C40" s="5"/>
      <c r="D40" s="5"/>
      <c r="E40" s="5"/>
      <c r="F40" s="5"/>
      <c r="G40" s="5"/>
      <c r="H40" s="5"/>
      <c r="I40" s="5"/>
      <c r="J40" s="5"/>
    </row>
    <row r="41" spans="1:10" x14ac:dyDescent="0.3">
      <c r="A41" s="5"/>
      <c r="B41" s="5"/>
      <c r="C41" s="5"/>
      <c r="D41" s="5"/>
      <c r="E41" s="5"/>
      <c r="F41" s="5"/>
      <c r="G41" s="5"/>
      <c r="H41" s="5"/>
      <c r="I41" s="5"/>
      <c r="J41" s="5"/>
    </row>
    <row r="42" spans="1:10" x14ac:dyDescent="0.3">
      <c r="A42" s="5"/>
      <c r="B42" s="5"/>
      <c r="C42" s="5"/>
      <c r="D42" s="5"/>
      <c r="E42" s="5"/>
      <c r="F42" s="5"/>
      <c r="G42" s="5"/>
      <c r="H42" s="5"/>
      <c r="I42" s="5"/>
      <c r="J42" s="5"/>
    </row>
    <row r="43" spans="1:10" x14ac:dyDescent="0.3">
      <c r="A43" s="5"/>
      <c r="B43" s="5"/>
      <c r="C43" s="5"/>
      <c r="D43" s="5"/>
      <c r="E43" s="5"/>
      <c r="F43" s="5"/>
      <c r="G43" s="5"/>
      <c r="H43" s="5"/>
      <c r="I43" s="5"/>
      <c r="J43" s="5"/>
    </row>
    <row r="44" spans="1:10" x14ac:dyDescent="0.3">
      <c r="A44" s="5"/>
      <c r="B44" s="5"/>
      <c r="C44" s="5"/>
      <c r="D44" s="5"/>
      <c r="E44" s="5"/>
      <c r="F44" s="5"/>
      <c r="G44" s="5"/>
      <c r="H44" s="5"/>
      <c r="I44" s="5"/>
      <c r="J44" s="5"/>
    </row>
    <row r="45" spans="1:10" x14ac:dyDescent="0.3">
      <c r="A45" s="5"/>
      <c r="B45" s="5"/>
      <c r="C45" s="5"/>
      <c r="D45" s="5"/>
      <c r="E45" s="5"/>
      <c r="F45" s="5"/>
      <c r="G45" s="5"/>
      <c r="H45" s="5"/>
      <c r="I45" s="5"/>
      <c r="J45" s="5"/>
    </row>
    <row r="46" spans="1:10" x14ac:dyDescent="0.3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0" x14ac:dyDescent="0.3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0" x14ac:dyDescent="0.3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0" x14ac:dyDescent="0.3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0" x14ac:dyDescent="0.3">
      <c r="A50" s="5"/>
      <c r="B50" s="5"/>
      <c r="C50" s="5"/>
      <c r="D50" s="5"/>
      <c r="E50" s="5"/>
      <c r="F50" s="5"/>
      <c r="G50" s="5"/>
      <c r="H50" s="5"/>
      <c r="I50" s="5"/>
      <c r="J50" s="5"/>
    </row>
    <row r="51" spans="1:10" x14ac:dyDescent="0.3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0" x14ac:dyDescent="0.3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0" x14ac:dyDescent="0.3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0" x14ac:dyDescent="0.3">
      <c r="A54" s="5"/>
      <c r="B54" s="5"/>
      <c r="C54" s="5"/>
      <c r="D54" s="5"/>
      <c r="E54" s="5"/>
      <c r="F54" s="5"/>
      <c r="G54" s="5"/>
      <c r="H54" s="5"/>
      <c r="I54" s="5"/>
      <c r="J54" s="5"/>
    </row>
    <row r="55" spans="1:10" x14ac:dyDescent="0.3">
      <c r="A55" s="5"/>
      <c r="B55" s="5"/>
      <c r="C55" s="5"/>
      <c r="D55" s="5"/>
      <c r="E55" s="5"/>
      <c r="F55" s="5"/>
      <c r="G55" s="5"/>
      <c r="H55" s="5"/>
      <c r="I55" s="5"/>
      <c r="J55" s="5"/>
    </row>
    <row r="56" spans="1:10" x14ac:dyDescent="0.3">
      <c r="A56" s="5"/>
      <c r="B56" s="5"/>
      <c r="C56" s="5"/>
      <c r="D56" s="5"/>
      <c r="E56" s="5"/>
      <c r="F56" s="5"/>
      <c r="G56" s="5"/>
      <c r="H56" s="5"/>
      <c r="I56" s="5"/>
      <c r="J56" s="5"/>
    </row>
    <row r="57" spans="1:10" x14ac:dyDescent="0.3">
      <c r="A57" s="5"/>
      <c r="B57" s="5"/>
      <c r="C57" s="5"/>
      <c r="D57" s="5"/>
      <c r="E57" s="5"/>
      <c r="F57" s="5"/>
      <c r="G57" s="5"/>
      <c r="H57" s="5"/>
      <c r="I57" s="5"/>
      <c r="J57" s="5"/>
    </row>
    <row r="58" spans="1:10" x14ac:dyDescent="0.3">
      <c r="A58" s="5"/>
      <c r="B58" s="5"/>
      <c r="C58" s="5"/>
      <c r="D58" s="5"/>
      <c r="E58" s="5"/>
      <c r="F58" s="5"/>
      <c r="G58" s="5"/>
      <c r="H58" s="5"/>
      <c r="I58" s="5"/>
      <c r="J58" s="5"/>
    </row>
    <row r="59" spans="1:10" x14ac:dyDescent="0.3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0" x14ac:dyDescent="0.3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0" x14ac:dyDescent="0.3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0" x14ac:dyDescent="0.3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0" x14ac:dyDescent="0.3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0" x14ac:dyDescent="0.3">
      <c r="A64" s="5"/>
      <c r="B64" s="5"/>
      <c r="C64" s="5"/>
      <c r="D64" s="5"/>
      <c r="E64" s="5"/>
      <c r="F64" s="5"/>
      <c r="G64" s="5"/>
      <c r="H64" s="5"/>
      <c r="I64" s="5"/>
      <c r="J64" s="5"/>
    </row>
    <row r="65" spans="1:10" x14ac:dyDescent="0.3">
      <c r="A65" s="5"/>
      <c r="B65" s="5"/>
      <c r="C65" s="5"/>
      <c r="D65" s="5"/>
      <c r="E65" s="5"/>
      <c r="F65" s="5"/>
      <c r="G65" s="5"/>
      <c r="H65" s="5"/>
      <c r="I65" s="5"/>
      <c r="J65" s="5"/>
    </row>
    <row r="66" spans="1:10" x14ac:dyDescent="0.3">
      <c r="A66" s="5"/>
      <c r="B66" s="5"/>
      <c r="C66" s="5"/>
      <c r="D66" s="5"/>
      <c r="E66" s="5"/>
      <c r="F66" s="5"/>
      <c r="G66" s="5"/>
      <c r="H66" s="5"/>
      <c r="I66" s="5"/>
      <c r="J66" s="5"/>
    </row>
    <row r="67" spans="1:10" x14ac:dyDescent="0.3">
      <c r="A67" s="5"/>
      <c r="B67" s="5"/>
      <c r="C67" s="5"/>
      <c r="D67" s="5"/>
      <c r="E67" s="5"/>
      <c r="F67" s="5"/>
      <c r="G67" s="5"/>
      <c r="H67" s="5"/>
      <c r="I67" s="5"/>
      <c r="J67" s="5"/>
    </row>
    <row r="68" spans="1:10" x14ac:dyDescent="0.3">
      <c r="A68" s="5"/>
      <c r="B68" s="5"/>
      <c r="C68" s="5"/>
      <c r="D68" s="5"/>
      <c r="E68" s="5"/>
      <c r="F68" s="5"/>
      <c r="G68" s="5"/>
      <c r="H68" s="5"/>
      <c r="I68" s="5"/>
      <c r="J68" s="5"/>
    </row>
    <row r="69" spans="1:10" x14ac:dyDescent="0.3">
      <c r="A69" s="5"/>
      <c r="B69" s="5"/>
      <c r="C69" s="5"/>
      <c r="D69" s="5"/>
      <c r="E69" s="5"/>
      <c r="F69" s="5"/>
      <c r="G69" s="5"/>
      <c r="H69" s="5"/>
      <c r="I69" s="5"/>
      <c r="J69" s="5"/>
    </row>
    <row r="70" spans="1:10" x14ac:dyDescent="0.3">
      <c r="A70" s="5"/>
      <c r="B70" s="5"/>
      <c r="C70" s="5"/>
      <c r="D70" s="5"/>
      <c r="E70" s="5"/>
      <c r="F70" s="5"/>
      <c r="G70" s="5"/>
      <c r="H70" s="5"/>
      <c r="I70" s="5"/>
      <c r="J70" s="5"/>
    </row>
    <row r="71" spans="1:10" x14ac:dyDescent="0.3">
      <c r="A71" s="5"/>
      <c r="B71" s="5"/>
      <c r="C71" s="5"/>
      <c r="D71" s="5"/>
      <c r="E71" s="5"/>
      <c r="F71" s="5"/>
      <c r="G71" s="5"/>
      <c r="H71" s="5"/>
      <c r="I71" s="5"/>
      <c r="J71" s="5"/>
    </row>
    <row r="72" spans="1:10" x14ac:dyDescent="0.3">
      <c r="A72" s="5"/>
      <c r="B72" s="5"/>
      <c r="C72" s="5"/>
      <c r="D72" s="5"/>
      <c r="E72" s="5"/>
      <c r="F72" s="5"/>
      <c r="G72" s="5"/>
      <c r="H72" s="5"/>
      <c r="I72" s="5"/>
      <c r="J72" s="5"/>
    </row>
    <row r="73" spans="1:10" x14ac:dyDescent="0.3">
      <c r="A73" s="5"/>
      <c r="B73" s="5"/>
      <c r="C73" s="5"/>
      <c r="D73" s="5"/>
      <c r="E73" s="5"/>
      <c r="F73" s="5"/>
      <c r="G73" s="5"/>
      <c r="H73" s="5"/>
      <c r="I73" s="5"/>
      <c r="J73" s="5"/>
    </row>
    <row r="74" spans="1:10" x14ac:dyDescent="0.3">
      <c r="A74" s="5"/>
      <c r="B74" s="5"/>
      <c r="C74" s="5"/>
      <c r="D74" s="5"/>
      <c r="E74" s="5"/>
      <c r="F74" s="5"/>
      <c r="G74" s="5"/>
      <c r="H74" s="5"/>
      <c r="I74" s="5"/>
      <c r="J74" s="5"/>
    </row>
    <row r="75" spans="1:10" x14ac:dyDescent="0.3">
      <c r="A75" s="5"/>
      <c r="B75" s="5"/>
      <c r="C75" s="5"/>
      <c r="D75" s="5"/>
      <c r="E75" s="5"/>
      <c r="F75" s="5"/>
      <c r="G75" s="5"/>
      <c r="H75" s="5"/>
      <c r="I75" s="5"/>
      <c r="J75" s="5"/>
    </row>
    <row r="76" spans="1:10" x14ac:dyDescent="0.3">
      <c r="A76" s="5"/>
      <c r="B76" s="5"/>
      <c r="C76" s="5"/>
      <c r="D76" s="5"/>
      <c r="E76" s="5"/>
      <c r="F76" s="5"/>
      <c r="G76" s="5"/>
      <c r="H76" s="5"/>
      <c r="I76" s="5"/>
      <c r="J76" s="5"/>
    </row>
    <row r="77" spans="1:10" x14ac:dyDescent="0.3">
      <c r="A77" s="5"/>
      <c r="B77" s="5"/>
      <c r="C77" s="5"/>
      <c r="D77" s="5"/>
      <c r="E77" s="5"/>
      <c r="F77" s="5"/>
      <c r="G77" s="5"/>
      <c r="H77" s="5"/>
      <c r="I77" s="5"/>
      <c r="J77" s="5"/>
    </row>
    <row r="78" spans="1:10" x14ac:dyDescent="0.3">
      <c r="A78" s="5"/>
      <c r="B78" s="5"/>
      <c r="C78" s="5"/>
      <c r="D78" s="5"/>
      <c r="E78" s="5"/>
      <c r="F78" s="5"/>
      <c r="G78" s="5"/>
      <c r="H78" s="5"/>
      <c r="I78" s="5"/>
      <c r="J78" s="5"/>
    </row>
    <row r="79" spans="1:10" x14ac:dyDescent="0.3">
      <c r="A79" s="5"/>
      <c r="B79" s="5"/>
      <c r="C79" s="5"/>
      <c r="D79" s="5"/>
      <c r="E79" s="5"/>
      <c r="F79" s="5"/>
      <c r="G79" s="5"/>
      <c r="H79" s="5"/>
      <c r="I79" s="5"/>
      <c r="J79" s="5"/>
    </row>
    <row r="80" spans="1:10" x14ac:dyDescent="0.3">
      <c r="A80" s="5"/>
      <c r="B80" s="5"/>
      <c r="C80" s="5"/>
      <c r="D80" s="5"/>
      <c r="E80" s="5"/>
      <c r="F80" s="5"/>
      <c r="G80" s="5"/>
      <c r="H80" s="5"/>
      <c r="I80" s="5"/>
      <c r="J80" s="5"/>
    </row>
    <row r="81" spans="1:10" x14ac:dyDescent="0.3">
      <c r="A81" s="5"/>
      <c r="B81" s="5"/>
      <c r="C81" s="5"/>
      <c r="D81" s="5"/>
      <c r="E81" s="5"/>
      <c r="F81" s="5"/>
      <c r="G81" s="5"/>
      <c r="H81" s="5"/>
      <c r="I81" s="5"/>
      <c r="J81" s="5"/>
    </row>
    <row r="82" spans="1:10" x14ac:dyDescent="0.3">
      <c r="A82" s="5"/>
      <c r="B82" s="5"/>
      <c r="C82" s="5"/>
      <c r="D82" s="5"/>
      <c r="E82" s="5"/>
      <c r="F82" s="5"/>
      <c r="G82" s="5"/>
      <c r="H82" s="5"/>
      <c r="I82" s="5"/>
      <c r="J82" s="5"/>
    </row>
    <row r="83" spans="1:10" x14ac:dyDescent="0.3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x14ac:dyDescent="0.3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x14ac:dyDescent="0.3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x14ac:dyDescent="0.3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x14ac:dyDescent="0.3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x14ac:dyDescent="0.3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x14ac:dyDescent="0.3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x14ac:dyDescent="0.3">
      <c r="A90" s="5"/>
      <c r="B90" s="5"/>
      <c r="C90" s="5"/>
      <c r="D90" s="5"/>
      <c r="E90" s="5"/>
      <c r="F90" s="5"/>
      <c r="G90" s="5"/>
      <c r="H90" s="5"/>
      <c r="I90" s="5"/>
      <c r="J90" s="5"/>
    </row>
    <row r="91" spans="1:10" x14ac:dyDescent="0.3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x14ac:dyDescent="0.3">
      <c r="A92" s="5"/>
      <c r="B92" s="5"/>
      <c r="C92" s="5"/>
      <c r="D92" s="5"/>
      <c r="E92" s="5"/>
      <c r="F92" s="5"/>
      <c r="G92" s="5"/>
      <c r="H92" s="5"/>
      <c r="I92" s="5"/>
      <c r="J92" s="5"/>
    </row>
    <row r="93" spans="1:10" x14ac:dyDescent="0.3">
      <c r="A93" s="5"/>
      <c r="B93" s="5"/>
      <c r="C93" s="5"/>
      <c r="D93" s="5"/>
      <c r="E93" s="5"/>
      <c r="F93" s="5"/>
      <c r="G93" s="5"/>
      <c r="H93" s="5"/>
      <c r="I93" s="5"/>
      <c r="J93" s="5"/>
    </row>
    <row r="94" spans="1:10" x14ac:dyDescent="0.3">
      <c r="A94" s="5"/>
      <c r="B94" s="5"/>
      <c r="C94" s="5"/>
      <c r="D94" s="5"/>
      <c r="E94" s="5"/>
      <c r="F94" s="5"/>
      <c r="G94" s="5"/>
      <c r="H94" s="5"/>
      <c r="I94" s="5"/>
      <c r="J94" s="5"/>
    </row>
    <row r="95" spans="1:10" x14ac:dyDescent="0.3">
      <c r="A95" s="5"/>
      <c r="B95" s="5"/>
      <c r="C95" s="5"/>
      <c r="D95" s="5"/>
      <c r="E95" s="5"/>
      <c r="F95" s="5"/>
      <c r="G95" s="5"/>
      <c r="H95" s="5"/>
      <c r="I95" s="5"/>
      <c r="J95" s="5"/>
    </row>
    <row r="96" spans="1:10" x14ac:dyDescent="0.3">
      <c r="A96" s="5"/>
      <c r="B96" s="5"/>
      <c r="C96" s="5"/>
      <c r="D96" s="5"/>
      <c r="E96" s="5"/>
      <c r="F96" s="5"/>
      <c r="G96" s="5"/>
      <c r="H96" s="5"/>
      <c r="I96" s="5"/>
      <c r="J96" s="5"/>
    </row>
    <row r="97" spans="1:10" x14ac:dyDescent="0.3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0" x14ac:dyDescent="0.3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0" x14ac:dyDescent="0.3">
      <c r="A99" s="5"/>
      <c r="B99" s="5"/>
      <c r="C99" s="5"/>
      <c r="D99" s="5"/>
      <c r="E99" s="5"/>
      <c r="F99" s="5"/>
      <c r="G99" s="5"/>
      <c r="H99" s="5"/>
      <c r="I99" s="5"/>
      <c r="J99" s="5"/>
    </row>
    <row r="100" spans="1:10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0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</row>
    <row r="102" spans="1:10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</row>
    <row r="103" spans="1:10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</row>
    <row r="104" spans="1:10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 spans="1:10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</row>
    <row r="106" spans="1:10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 spans="1:10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 spans="1:10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 spans="1:10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 spans="1:10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0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</row>
    <row r="112" spans="1:10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</row>
    <row r="113" spans="1:10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</row>
    <row r="114" spans="1:10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</row>
    <row r="115" spans="1:10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</row>
    <row r="116" spans="1:10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</row>
    <row r="117" spans="1:10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</row>
    <row r="118" spans="1:10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</row>
    <row r="126" spans="1:10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</row>
    <row r="127" spans="1:10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</row>
    <row r="128" spans="1:10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</row>
    <row r="129" spans="1:10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</row>
    <row r="134" spans="1:10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</row>
    <row r="135" spans="1:10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</row>
    <row r="136" spans="1:10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</row>
    <row r="137" spans="1:10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</row>
    <row r="138" spans="1:10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</row>
    <row r="139" spans="1:10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</row>
    <row r="140" spans="1:10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</row>
    <row r="142" spans="1:10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</row>
    <row r="143" spans="1:10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</row>
    <row r="144" spans="1:10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</row>
    <row r="145" spans="1:10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</row>
    <row r="146" spans="1:10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</row>
    <row r="147" spans="1:10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</row>
    <row r="148" spans="1:10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</row>
    <row r="149" spans="1:10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</row>
    <row r="150" spans="1:10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</row>
  </sheetData>
  <autoFilter ref="A1:J150" xr:uid="{00000000-0009-0000-0000-000019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1900-000000000000}">
          <x14:formula1>
            <xm:f>DICTIONARIES!$AJ$2:$AJ$4</xm:f>
          </x14:formula1>
          <xm:sqref>C2:C1000</xm:sqref>
        </x14:dataValidation>
        <x14:dataValidation type="list" allowBlank="1" xr:uid="{00000000-0002-0000-1900-000001000000}">
          <x14:formula1>
            <xm:f>DICTIONARIES!$D$2:$D$4</xm:f>
          </x14:formula1>
          <xm:sqref>H2:H1000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15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4" customWidth="1"/>
    <col min="3" max="3" width="22" customWidth="1"/>
    <col min="4" max="6" width="16" customWidth="1"/>
    <col min="7" max="7" width="28" customWidth="1"/>
    <col min="8" max="8" width="45" customWidth="1"/>
  </cols>
  <sheetData>
    <row r="1" spans="1:8" x14ac:dyDescent="0.3">
      <c r="A1" s="3" t="s">
        <v>883</v>
      </c>
      <c r="B1" s="3" t="s">
        <v>762</v>
      </c>
      <c r="C1" s="3" t="s">
        <v>763</v>
      </c>
      <c r="D1" s="3" t="s">
        <v>948</v>
      </c>
      <c r="E1" s="3" t="s">
        <v>771</v>
      </c>
      <c r="F1" s="3" t="s">
        <v>949</v>
      </c>
      <c r="G1" s="3" t="s">
        <v>950</v>
      </c>
      <c r="H1" s="3" t="s">
        <v>116</v>
      </c>
    </row>
    <row r="2" spans="1:8" ht="43.2" x14ac:dyDescent="0.3">
      <c r="A2" s="4" t="s">
        <v>267</v>
      </c>
      <c r="B2" s="4" t="s">
        <v>302</v>
      </c>
      <c r="C2" s="4" t="s">
        <v>239</v>
      </c>
      <c r="D2" s="4" t="s">
        <v>795</v>
      </c>
      <c r="E2" s="4" t="s">
        <v>536</v>
      </c>
      <c r="F2" s="4" t="s">
        <v>540</v>
      </c>
      <c r="G2" s="4" t="s">
        <v>951</v>
      </c>
      <c r="H2" s="4" t="s">
        <v>952</v>
      </c>
    </row>
    <row r="3" spans="1:8" x14ac:dyDescent="0.3">
      <c r="A3" s="4" t="s">
        <v>243</v>
      </c>
      <c r="B3" s="4" t="s">
        <v>302</v>
      </c>
      <c r="C3" s="4" t="s">
        <v>239</v>
      </c>
      <c r="D3" s="4" t="s">
        <v>795</v>
      </c>
      <c r="E3" s="4" t="s">
        <v>540</v>
      </c>
      <c r="F3" s="4"/>
      <c r="G3" s="4" t="s">
        <v>953</v>
      </c>
      <c r="H3" s="4"/>
    </row>
    <row r="4" spans="1:8" ht="28.8" x14ac:dyDescent="0.3">
      <c r="A4" s="4" t="s">
        <v>346</v>
      </c>
      <c r="B4" s="4" t="s">
        <v>302</v>
      </c>
      <c r="C4" s="4" t="s">
        <v>239</v>
      </c>
      <c r="D4" s="4" t="s">
        <v>795</v>
      </c>
      <c r="E4" s="4" t="s">
        <v>543</v>
      </c>
      <c r="F4" s="4" t="s">
        <v>540</v>
      </c>
      <c r="G4" s="4" t="s">
        <v>954</v>
      </c>
      <c r="H4" s="4" t="s">
        <v>955</v>
      </c>
    </row>
    <row r="5" spans="1:8" ht="28.8" x14ac:dyDescent="0.3">
      <c r="A5" s="4" t="s">
        <v>267</v>
      </c>
      <c r="B5" s="4" t="s">
        <v>246</v>
      </c>
      <c r="C5" s="4" t="s">
        <v>444</v>
      </c>
      <c r="D5" s="4" t="s">
        <v>301</v>
      </c>
      <c r="E5" s="4" t="s">
        <v>323</v>
      </c>
      <c r="F5" s="4"/>
      <c r="G5" s="4" t="s">
        <v>956</v>
      </c>
      <c r="H5" s="4"/>
    </row>
    <row r="6" spans="1:8" ht="28.8" x14ac:dyDescent="0.3">
      <c r="A6" s="4" t="s">
        <v>346</v>
      </c>
      <c r="B6" s="4" t="s">
        <v>246</v>
      </c>
      <c r="C6" s="4" t="s">
        <v>444</v>
      </c>
      <c r="D6" s="4" t="s">
        <v>301</v>
      </c>
      <c r="E6" s="4" t="s">
        <v>284</v>
      </c>
      <c r="F6" s="4"/>
      <c r="G6" s="4" t="s">
        <v>957</v>
      </c>
      <c r="H6" s="4"/>
    </row>
    <row r="7" spans="1:8" ht="28.8" x14ac:dyDescent="0.3">
      <c r="A7" s="4" t="s">
        <v>267</v>
      </c>
      <c r="B7" s="4" t="s">
        <v>286</v>
      </c>
      <c r="C7" s="4" t="s">
        <v>501</v>
      </c>
      <c r="D7" s="4" t="s">
        <v>958</v>
      </c>
      <c r="E7" s="4" t="s">
        <v>268</v>
      </c>
      <c r="F7" s="4"/>
      <c r="G7" s="4" t="s">
        <v>959</v>
      </c>
      <c r="H7" s="4"/>
    </row>
    <row r="8" spans="1:8" ht="28.8" x14ac:dyDescent="0.3">
      <c r="A8" s="4" t="s">
        <v>346</v>
      </c>
      <c r="B8" s="4" t="s">
        <v>286</v>
      </c>
      <c r="C8" s="4" t="s">
        <v>501</v>
      </c>
      <c r="D8" s="4" t="s">
        <v>958</v>
      </c>
      <c r="E8" s="4" t="s">
        <v>242</v>
      </c>
      <c r="F8" s="4"/>
      <c r="G8" s="4" t="s">
        <v>960</v>
      </c>
      <c r="H8" s="4"/>
    </row>
    <row r="9" spans="1:8" x14ac:dyDescent="0.3">
      <c r="A9" s="4"/>
      <c r="B9" s="4"/>
      <c r="C9" s="4"/>
      <c r="D9" s="4"/>
      <c r="E9" s="4"/>
      <c r="F9" s="4"/>
      <c r="G9" s="4"/>
      <c r="H9" s="4"/>
    </row>
    <row r="10" spans="1:8" x14ac:dyDescent="0.3">
      <c r="A10" s="4"/>
      <c r="B10" s="4"/>
      <c r="C10" s="4"/>
      <c r="D10" s="4"/>
      <c r="E10" s="4"/>
      <c r="F10" s="4"/>
      <c r="G10" s="4"/>
      <c r="H10" s="4"/>
    </row>
    <row r="11" spans="1:8" x14ac:dyDescent="0.3">
      <c r="A11" s="4"/>
      <c r="B11" s="4"/>
      <c r="C11" s="4"/>
      <c r="D11" s="4"/>
      <c r="E11" s="4"/>
      <c r="F11" s="4"/>
      <c r="G11" s="4"/>
      <c r="H11" s="4"/>
    </row>
    <row r="12" spans="1:8" x14ac:dyDescent="0.3">
      <c r="A12" s="4"/>
      <c r="B12" s="4"/>
      <c r="C12" s="4"/>
      <c r="D12" s="4"/>
      <c r="E12" s="4"/>
      <c r="F12" s="4"/>
      <c r="G12" s="4"/>
      <c r="H12" s="4"/>
    </row>
    <row r="13" spans="1:8" x14ac:dyDescent="0.3">
      <c r="A13" s="4"/>
      <c r="B13" s="4"/>
      <c r="C13" s="4"/>
      <c r="D13" s="4"/>
      <c r="E13" s="4"/>
      <c r="F13" s="4"/>
      <c r="G13" s="4"/>
      <c r="H13" s="4"/>
    </row>
    <row r="14" spans="1:8" x14ac:dyDescent="0.3">
      <c r="A14" s="4"/>
      <c r="B14" s="4"/>
      <c r="C14" s="4"/>
      <c r="D14" s="4"/>
      <c r="E14" s="4"/>
      <c r="F14" s="4"/>
      <c r="G14" s="4"/>
      <c r="H14" s="4"/>
    </row>
    <row r="15" spans="1:8" x14ac:dyDescent="0.3">
      <c r="A15" s="4"/>
      <c r="B15" s="4"/>
      <c r="C15" s="4"/>
      <c r="D15" s="4"/>
      <c r="E15" s="4"/>
      <c r="F15" s="4"/>
      <c r="G15" s="4"/>
      <c r="H15" s="4"/>
    </row>
    <row r="16" spans="1:8" x14ac:dyDescent="0.3">
      <c r="A16" s="4"/>
      <c r="B16" s="4"/>
      <c r="C16" s="4"/>
      <c r="D16" s="4"/>
      <c r="E16" s="4"/>
      <c r="F16" s="4"/>
      <c r="G16" s="4"/>
      <c r="H16" s="4"/>
    </row>
    <row r="17" spans="1:8" x14ac:dyDescent="0.3">
      <c r="A17" s="4"/>
      <c r="B17" s="4"/>
      <c r="C17" s="4"/>
      <c r="D17" s="4"/>
      <c r="E17" s="4"/>
      <c r="F17" s="4"/>
      <c r="G17" s="4"/>
      <c r="H17" s="4"/>
    </row>
    <row r="18" spans="1:8" x14ac:dyDescent="0.3">
      <c r="A18" s="4"/>
      <c r="B18" s="4"/>
      <c r="C18" s="4"/>
      <c r="D18" s="4"/>
      <c r="E18" s="4"/>
      <c r="F18" s="4"/>
      <c r="G18" s="4"/>
      <c r="H18" s="4"/>
    </row>
    <row r="19" spans="1:8" x14ac:dyDescent="0.3">
      <c r="A19" s="4"/>
      <c r="B19" s="4"/>
      <c r="C19" s="4"/>
      <c r="D19" s="4"/>
      <c r="E19" s="4"/>
      <c r="F19" s="4"/>
      <c r="G19" s="4"/>
      <c r="H19" s="4"/>
    </row>
    <row r="20" spans="1:8" x14ac:dyDescent="0.3">
      <c r="A20" s="4"/>
      <c r="B20" s="4"/>
      <c r="C20" s="4"/>
      <c r="D20" s="4"/>
      <c r="E20" s="4"/>
      <c r="F20" s="4"/>
      <c r="G20" s="4"/>
      <c r="H20" s="4"/>
    </row>
    <row r="21" spans="1:8" x14ac:dyDescent="0.3">
      <c r="A21" s="4"/>
      <c r="B21" s="4"/>
      <c r="C21" s="4"/>
      <c r="D21" s="4"/>
      <c r="E21" s="4"/>
      <c r="F21" s="4"/>
      <c r="G21" s="4"/>
      <c r="H21" s="4"/>
    </row>
    <row r="22" spans="1:8" x14ac:dyDescent="0.3">
      <c r="A22" s="4"/>
      <c r="B22" s="4"/>
      <c r="C22" s="4"/>
      <c r="D22" s="4"/>
      <c r="E22" s="4"/>
      <c r="F22" s="4"/>
      <c r="G22" s="4"/>
      <c r="H22" s="4"/>
    </row>
    <row r="23" spans="1:8" x14ac:dyDescent="0.3">
      <c r="A23" s="4"/>
      <c r="B23" s="4"/>
      <c r="C23" s="4"/>
      <c r="D23" s="4"/>
      <c r="E23" s="4"/>
      <c r="F23" s="4"/>
      <c r="G23" s="4"/>
      <c r="H23" s="4"/>
    </row>
    <row r="24" spans="1:8" x14ac:dyDescent="0.3">
      <c r="A24" s="4"/>
      <c r="B24" s="4"/>
      <c r="C24" s="4"/>
      <c r="D24" s="4"/>
      <c r="E24" s="4"/>
      <c r="F24" s="4"/>
      <c r="G24" s="4"/>
      <c r="H24" s="4"/>
    </row>
    <row r="25" spans="1:8" x14ac:dyDescent="0.3">
      <c r="A25" s="4"/>
      <c r="B25" s="4"/>
      <c r="C25" s="4"/>
      <c r="D25" s="4"/>
      <c r="E25" s="4"/>
      <c r="F25" s="4"/>
      <c r="G25" s="4"/>
      <c r="H25" s="4"/>
    </row>
    <row r="26" spans="1:8" x14ac:dyDescent="0.3">
      <c r="A26" s="4"/>
      <c r="B26" s="4"/>
      <c r="C26" s="4"/>
      <c r="D26" s="4"/>
      <c r="E26" s="4"/>
      <c r="F26" s="4"/>
      <c r="G26" s="4"/>
      <c r="H26" s="4"/>
    </row>
    <row r="27" spans="1:8" x14ac:dyDescent="0.3">
      <c r="A27" s="4"/>
      <c r="B27" s="4"/>
      <c r="C27" s="4"/>
      <c r="D27" s="4"/>
      <c r="E27" s="4"/>
      <c r="F27" s="4"/>
      <c r="G27" s="4"/>
      <c r="H27" s="4"/>
    </row>
    <row r="28" spans="1:8" x14ac:dyDescent="0.3">
      <c r="A28" s="4"/>
      <c r="B28" s="4"/>
      <c r="C28" s="4"/>
      <c r="D28" s="4"/>
      <c r="E28" s="4"/>
      <c r="F28" s="4"/>
      <c r="G28" s="4"/>
      <c r="H28" s="4"/>
    </row>
    <row r="29" spans="1:8" x14ac:dyDescent="0.3">
      <c r="A29" s="4"/>
      <c r="B29" s="4"/>
      <c r="C29" s="4"/>
      <c r="D29" s="4"/>
      <c r="E29" s="4"/>
      <c r="F29" s="4"/>
      <c r="G29" s="4"/>
      <c r="H29" s="4"/>
    </row>
    <row r="30" spans="1:8" x14ac:dyDescent="0.3">
      <c r="A30" s="4"/>
      <c r="B30" s="4"/>
      <c r="C30" s="4"/>
      <c r="D30" s="4"/>
      <c r="E30" s="4"/>
      <c r="F30" s="4"/>
      <c r="G30" s="4"/>
      <c r="H30" s="4"/>
    </row>
    <row r="31" spans="1:8" x14ac:dyDescent="0.3">
      <c r="A31" s="4"/>
      <c r="B31" s="4"/>
      <c r="C31" s="4"/>
      <c r="D31" s="4"/>
      <c r="E31" s="4"/>
      <c r="F31" s="4"/>
      <c r="G31" s="4"/>
      <c r="H31" s="4"/>
    </row>
    <row r="32" spans="1:8" x14ac:dyDescent="0.3">
      <c r="A32" s="4"/>
      <c r="B32" s="4"/>
      <c r="C32" s="4"/>
      <c r="D32" s="4"/>
      <c r="E32" s="4"/>
      <c r="F32" s="4"/>
      <c r="G32" s="4"/>
      <c r="H32" s="4"/>
    </row>
    <row r="33" spans="1:8" x14ac:dyDescent="0.3">
      <c r="A33" s="4"/>
      <c r="B33" s="4"/>
      <c r="C33" s="4"/>
      <c r="D33" s="4"/>
      <c r="E33" s="4"/>
      <c r="F33" s="4"/>
      <c r="G33" s="4"/>
      <c r="H33" s="4"/>
    </row>
    <row r="34" spans="1:8" x14ac:dyDescent="0.3">
      <c r="A34" s="4"/>
      <c r="B34" s="4"/>
      <c r="C34" s="4"/>
      <c r="D34" s="4"/>
      <c r="E34" s="4"/>
      <c r="F34" s="4"/>
      <c r="G34" s="4"/>
      <c r="H34" s="4"/>
    </row>
    <row r="35" spans="1:8" x14ac:dyDescent="0.3">
      <c r="A35" s="4"/>
      <c r="B35" s="4"/>
      <c r="C35" s="4"/>
      <c r="D35" s="4"/>
      <c r="E35" s="4"/>
      <c r="F35" s="4"/>
      <c r="G35" s="4"/>
      <c r="H35" s="4"/>
    </row>
    <row r="36" spans="1:8" x14ac:dyDescent="0.3">
      <c r="A36" s="4"/>
      <c r="B36" s="4"/>
      <c r="C36" s="4"/>
      <c r="D36" s="4"/>
      <c r="E36" s="4"/>
      <c r="F36" s="4"/>
      <c r="G36" s="4"/>
      <c r="H36" s="4"/>
    </row>
    <row r="37" spans="1:8" x14ac:dyDescent="0.3">
      <c r="A37" s="4"/>
      <c r="B37" s="4"/>
      <c r="C37" s="4"/>
      <c r="D37" s="4"/>
      <c r="E37" s="4"/>
      <c r="F37" s="4"/>
      <c r="G37" s="4"/>
      <c r="H37" s="4"/>
    </row>
    <row r="38" spans="1:8" x14ac:dyDescent="0.3">
      <c r="A38" s="4"/>
      <c r="B38" s="4"/>
      <c r="C38" s="4"/>
      <c r="D38" s="4"/>
      <c r="E38" s="4"/>
      <c r="F38" s="4"/>
      <c r="G38" s="4"/>
      <c r="H38" s="4"/>
    </row>
    <row r="39" spans="1:8" x14ac:dyDescent="0.3">
      <c r="A39" s="4"/>
      <c r="B39" s="4"/>
      <c r="C39" s="4"/>
      <c r="D39" s="4"/>
      <c r="E39" s="4"/>
      <c r="F39" s="4"/>
      <c r="G39" s="4"/>
      <c r="H39" s="4"/>
    </row>
    <row r="40" spans="1:8" x14ac:dyDescent="0.3">
      <c r="A40" s="4"/>
      <c r="B40" s="4"/>
      <c r="C40" s="4"/>
      <c r="D40" s="4"/>
      <c r="E40" s="4"/>
      <c r="F40" s="4"/>
      <c r="G40" s="4"/>
      <c r="H40" s="4"/>
    </row>
    <row r="41" spans="1:8" x14ac:dyDescent="0.3">
      <c r="A41" s="4"/>
      <c r="B41" s="4"/>
      <c r="C41" s="4"/>
      <c r="D41" s="4"/>
      <c r="E41" s="4"/>
      <c r="F41" s="4"/>
      <c r="G41" s="4"/>
      <c r="H41" s="4"/>
    </row>
    <row r="42" spans="1:8" x14ac:dyDescent="0.3">
      <c r="A42" s="4"/>
      <c r="B42" s="4"/>
      <c r="C42" s="4"/>
      <c r="D42" s="4"/>
      <c r="E42" s="4"/>
      <c r="F42" s="4"/>
      <c r="G42" s="4"/>
      <c r="H42" s="4"/>
    </row>
    <row r="43" spans="1:8" x14ac:dyDescent="0.3">
      <c r="A43" s="4"/>
      <c r="B43" s="4"/>
      <c r="C43" s="4"/>
      <c r="D43" s="4"/>
      <c r="E43" s="4"/>
      <c r="F43" s="4"/>
      <c r="G43" s="4"/>
      <c r="H43" s="4"/>
    </row>
    <row r="44" spans="1:8" x14ac:dyDescent="0.3">
      <c r="A44" s="4"/>
      <c r="B44" s="4"/>
      <c r="C44" s="4"/>
      <c r="D44" s="4"/>
      <c r="E44" s="4"/>
      <c r="F44" s="4"/>
      <c r="G44" s="4"/>
      <c r="H44" s="4"/>
    </row>
    <row r="45" spans="1:8" x14ac:dyDescent="0.3">
      <c r="A45" s="4"/>
      <c r="B45" s="4"/>
      <c r="C45" s="4"/>
      <c r="D45" s="4"/>
      <c r="E45" s="4"/>
      <c r="F45" s="4"/>
      <c r="G45" s="4"/>
      <c r="H45" s="4"/>
    </row>
    <row r="46" spans="1:8" x14ac:dyDescent="0.3">
      <c r="A46" s="4"/>
      <c r="B46" s="4"/>
      <c r="C46" s="4"/>
      <c r="D46" s="4"/>
      <c r="E46" s="4"/>
      <c r="F46" s="4"/>
      <c r="G46" s="4"/>
      <c r="H46" s="4"/>
    </row>
    <row r="47" spans="1:8" x14ac:dyDescent="0.3">
      <c r="A47" s="4"/>
      <c r="B47" s="4"/>
      <c r="C47" s="4"/>
      <c r="D47" s="4"/>
      <c r="E47" s="4"/>
      <c r="F47" s="4"/>
      <c r="G47" s="4"/>
      <c r="H47" s="4"/>
    </row>
    <row r="48" spans="1:8" x14ac:dyDescent="0.3">
      <c r="A48" s="4"/>
      <c r="B48" s="4"/>
      <c r="C48" s="4"/>
      <c r="D48" s="4"/>
      <c r="E48" s="4"/>
      <c r="F48" s="4"/>
      <c r="G48" s="4"/>
      <c r="H48" s="4"/>
    </row>
    <row r="49" spans="1:8" x14ac:dyDescent="0.3">
      <c r="A49" s="4"/>
      <c r="B49" s="4"/>
      <c r="C49" s="4"/>
      <c r="D49" s="4"/>
      <c r="E49" s="4"/>
      <c r="F49" s="4"/>
      <c r="G49" s="4"/>
      <c r="H49" s="4"/>
    </row>
    <row r="50" spans="1:8" x14ac:dyDescent="0.3">
      <c r="A50" s="4"/>
      <c r="B50" s="4"/>
      <c r="C50" s="4"/>
      <c r="D50" s="4"/>
      <c r="E50" s="4"/>
      <c r="F50" s="4"/>
      <c r="G50" s="4"/>
      <c r="H50" s="4"/>
    </row>
    <row r="51" spans="1:8" x14ac:dyDescent="0.3">
      <c r="A51" s="4"/>
      <c r="B51" s="4"/>
      <c r="C51" s="4"/>
      <c r="D51" s="4"/>
      <c r="E51" s="4"/>
      <c r="F51" s="4"/>
      <c r="G51" s="4"/>
      <c r="H51" s="4"/>
    </row>
    <row r="52" spans="1:8" x14ac:dyDescent="0.3">
      <c r="A52" s="4"/>
      <c r="B52" s="4"/>
      <c r="C52" s="4"/>
      <c r="D52" s="4"/>
      <c r="E52" s="4"/>
      <c r="F52" s="4"/>
      <c r="G52" s="4"/>
      <c r="H52" s="4"/>
    </row>
    <row r="53" spans="1:8" x14ac:dyDescent="0.3">
      <c r="A53" s="4"/>
      <c r="B53" s="4"/>
      <c r="C53" s="4"/>
      <c r="D53" s="4"/>
      <c r="E53" s="4"/>
      <c r="F53" s="4"/>
      <c r="G53" s="4"/>
      <c r="H53" s="4"/>
    </row>
    <row r="54" spans="1:8" x14ac:dyDescent="0.3">
      <c r="A54" s="4"/>
      <c r="B54" s="4"/>
      <c r="C54" s="4"/>
      <c r="D54" s="4"/>
      <c r="E54" s="4"/>
      <c r="F54" s="4"/>
      <c r="G54" s="4"/>
      <c r="H54" s="4"/>
    </row>
    <row r="55" spans="1:8" x14ac:dyDescent="0.3">
      <c r="A55" s="4"/>
      <c r="B55" s="4"/>
      <c r="C55" s="4"/>
      <c r="D55" s="4"/>
      <c r="E55" s="4"/>
      <c r="F55" s="4"/>
      <c r="G55" s="4"/>
      <c r="H55" s="4"/>
    </row>
    <row r="56" spans="1:8" x14ac:dyDescent="0.3">
      <c r="A56" s="4"/>
      <c r="B56" s="4"/>
      <c r="C56" s="4"/>
      <c r="D56" s="4"/>
      <c r="E56" s="4"/>
      <c r="F56" s="4"/>
      <c r="G56" s="4"/>
      <c r="H56" s="4"/>
    </row>
    <row r="57" spans="1:8" x14ac:dyDescent="0.3">
      <c r="A57" s="4"/>
      <c r="B57" s="4"/>
      <c r="C57" s="4"/>
      <c r="D57" s="4"/>
      <c r="E57" s="4"/>
      <c r="F57" s="4"/>
      <c r="G57" s="4"/>
      <c r="H57" s="4"/>
    </row>
    <row r="58" spans="1:8" x14ac:dyDescent="0.3">
      <c r="A58" s="4"/>
      <c r="B58" s="4"/>
      <c r="C58" s="4"/>
      <c r="D58" s="4"/>
      <c r="E58" s="4"/>
      <c r="F58" s="4"/>
      <c r="G58" s="4"/>
      <c r="H58" s="4"/>
    </row>
    <row r="59" spans="1:8" x14ac:dyDescent="0.3">
      <c r="A59" s="4"/>
      <c r="B59" s="4"/>
      <c r="C59" s="4"/>
      <c r="D59" s="4"/>
      <c r="E59" s="4"/>
      <c r="F59" s="4"/>
      <c r="G59" s="4"/>
      <c r="H59" s="4"/>
    </row>
    <row r="60" spans="1:8" x14ac:dyDescent="0.3">
      <c r="A60" s="4"/>
      <c r="B60" s="4"/>
      <c r="C60" s="4"/>
      <c r="D60" s="4"/>
      <c r="E60" s="4"/>
      <c r="F60" s="4"/>
      <c r="G60" s="4"/>
      <c r="H60" s="4"/>
    </row>
    <row r="61" spans="1:8" x14ac:dyDescent="0.3">
      <c r="A61" s="4"/>
      <c r="B61" s="4"/>
      <c r="C61" s="4"/>
      <c r="D61" s="4"/>
      <c r="E61" s="4"/>
      <c r="F61" s="4"/>
      <c r="G61" s="4"/>
      <c r="H61" s="4"/>
    </row>
    <row r="62" spans="1:8" x14ac:dyDescent="0.3">
      <c r="A62" s="4"/>
      <c r="B62" s="4"/>
      <c r="C62" s="4"/>
      <c r="D62" s="4"/>
      <c r="E62" s="4"/>
      <c r="F62" s="4"/>
      <c r="G62" s="4"/>
      <c r="H62" s="4"/>
    </row>
    <row r="63" spans="1:8" x14ac:dyDescent="0.3">
      <c r="A63" s="4"/>
      <c r="B63" s="4"/>
      <c r="C63" s="4"/>
      <c r="D63" s="4"/>
      <c r="E63" s="4"/>
      <c r="F63" s="4"/>
      <c r="G63" s="4"/>
      <c r="H63" s="4"/>
    </row>
    <row r="64" spans="1:8" x14ac:dyDescent="0.3">
      <c r="A64" s="4"/>
      <c r="B64" s="4"/>
      <c r="C64" s="4"/>
      <c r="D64" s="4"/>
      <c r="E64" s="4"/>
      <c r="F64" s="4"/>
      <c r="G64" s="4"/>
      <c r="H64" s="4"/>
    </row>
    <row r="65" spans="1:8" x14ac:dyDescent="0.3">
      <c r="A65" s="4"/>
      <c r="B65" s="4"/>
      <c r="C65" s="4"/>
      <c r="D65" s="4"/>
      <c r="E65" s="4"/>
      <c r="F65" s="4"/>
      <c r="G65" s="4"/>
      <c r="H65" s="4"/>
    </row>
    <row r="66" spans="1:8" x14ac:dyDescent="0.3">
      <c r="A66" s="4"/>
      <c r="B66" s="4"/>
      <c r="C66" s="4"/>
      <c r="D66" s="4"/>
      <c r="E66" s="4"/>
      <c r="F66" s="4"/>
      <c r="G66" s="4"/>
      <c r="H66" s="4"/>
    </row>
    <row r="67" spans="1:8" x14ac:dyDescent="0.3">
      <c r="A67" s="4"/>
      <c r="B67" s="4"/>
      <c r="C67" s="4"/>
      <c r="D67" s="4"/>
      <c r="E67" s="4"/>
      <c r="F67" s="4"/>
      <c r="G67" s="4"/>
      <c r="H67" s="4"/>
    </row>
    <row r="68" spans="1:8" x14ac:dyDescent="0.3">
      <c r="A68" s="4"/>
      <c r="B68" s="4"/>
      <c r="C68" s="4"/>
      <c r="D68" s="4"/>
      <c r="E68" s="4"/>
      <c r="F68" s="4"/>
      <c r="G68" s="4"/>
      <c r="H68" s="4"/>
    </row>
    <row r="69" spans="1:8" x14ac:dyDescent="0.3">
      <c r="A69" s="4"/>
      <c r="B69" s="4"/>
      <c r="C69" s="4"/>
      <c r="D69" s="4"/>
      <c r="E69" s="4"/>
      <c r="F69" s="4"/>
      <c r="G69" s="4"/>
      <c r="H69" s="4"/>
    </row>
    <row r="70" spans="1:8" x14ac:dyDescent="0.3">
      <c r="A70" s="4"/>
      <c r="B70" s="4"/>
      <c r="C70" s="4"/>
      <c r="D70" s="4"/>
      <c r="E70" s="4"/>
      <c r="F70" s="4"/>
      <c r="G70" s="4"/>
      <c r="H70" s="4"/>
    </row>
    <row r="71" spans="1:8" x14ac:dyDescent="0.3">
      <c r="A71" s="4"/>
      <c r="B71" s="4"/>
      <c r="C71" s="4"/>
      <c r="D71" s="4"/>
      <c r="E71" s="4"/>
      <c r="F71" s="4"/>
      <c r="G71" s="4"/>
      <c r="H71" s="4"/>
    </row>
    <row r="72" spans="1:8" x14ac:dyDescent="0.3">
      <c r="A72" s="4"/>
      <c r="B72" s="4"/>
      <c r="C72" s="4"/>
      <c r="D72" s="4"/>
      <c r="E72" s="4"/>
      <c r="F72" s="4"/>
      <c r="G72" s="4"/>
      <c r="H72" s="4"/>
    </row>
    <row r="73" spans="1:8" x14ac:dyDescent="0.3">
      <c r="A73" s="4"/>
      <c r="B73" s="4"/>
      <c r="C73" s="4"/>
      <c r="D73" s="4"/>
      <c r="E73" s="4"/>
      <c r="F73" s="4"/>
      <c r="G73" s="4"/>
      <c r="H73" s="4"/>
    </row>
    <row r="74" spans="1:8" x14ac:dyDescent="0.3">
      <c r="A74" s="4"/>
      <c r="B74" s="4"/>
      <c r="C74" s="4"/>
      <c r="D74" s="4"/>
      <c r="E74" s="4"/>
      <c r="F74" s="4"/>
      <c r="G74" s="4"/>
      <c r="H74" s="4"/>
    </row>
    <row r="75" spans="1:8" x14ac:dyDescent="0.3">
      <c r="A75" s="4"/>
      <c r="B75" s="4"/>
      <c r="C75" s="4"/>
      <c r="D75" s="4"/>
      <c r="E75" s="4"/>
      <c r="F75" s="4"/>
      <c r="G75" s="4"/>
      <c r="H75" s="4"/>
    </row>
    <row r="76" spans="1:8" x14ac:dyDescent="0.3">
      <c r="A76" s="4"/>
      <c r="B76" s="4"/>
      <c r="C76" s="4"/>
      <c r="D76" s="4"/>
      <c r="E76" s="4"/>
      <c r="F76" s="4"/>
      <c r="G76" s="4"/>
      <c r="H76" s="4"/>
    </row>
    <row r="77" spans="1:8" x14ac:dyDescent="0.3">
      <c r="A77" s="4"/>
      <c r="B77" s="4"/>
      <c r="C77" s="4"/>
      <c r="D77" s="4"/>
      <c r="E77" s="4"/>
      <c r="F77" s="4"/>
      <c r="G77" s="4"/>
      <c r="H77" s="4"/>
    </row>
    <row r="78" spans="1:8" x14ac:dyDescent="0.3">
      <c r="A78" s="4"/>
      <c r="B78" s="4"/>
      <c r="C78" s="4"/>
      <c r="D78" s="4"/>
      <c r="E78" s="4"/>
      <c r="F78" s="4"/>
      <c r="G78" s="4"/>
      <c r="H78" s="4"/>
    </row>
    <row r="79" spans="1:8" x14ac:dyDescent="0.3">
      <c r="A79" s="4"/>
      <c r="B79" s="4"/>
      <c r="C79" s="4"/>
      <c r="D79" s="4"/>
      <c r="E79" s="4"/>
      <c r="F79" s="4"/>
      <c r="G79" s="4"/>
      <c r="H79" s="4"/>
    </row>
    <row r="80" spans="1:8" x14ac:dyDescent="0.3">
      <c r="A80" s="4"/>
      <c r="B80" s="4"/>
      <c r="C80" s="4"/>
      <c r="D80" s="4"/>
      <c r="E80" s="4"/>
      <c r="F80" s="4"/>
      <c r="G80" s="4"/>
      <c r="H80" s="4"/>
    </row>
    <row r="81" spans="1:8" x14ac:dyDescent="0.3">
      <c r="A81" s="4"/>
      <c r="B81" s="4"/>
      <c r="C81" s="4"/>
      <c r="D81" s="4"/>
      <c r="E81" s="4"/>
      <c r="F81" s="4"/>
      <c r="G81" s="4"/>
      <c r="H81" s="4"/>
    </row>
    <row r="82" spans="1:8" x14ac:dyDescent="0.3">
      <c r="A82" s="4"/>
      <c r="B82" s="4"/>
      <c r="C82" s="4"/>
      <c r="D82" s="4"/>
      <c r="E82" s="4"/>
      <c r="F82" s="4"/>
      <c r="G82" s="4"/>
      <c r="H82" s="4"/>
    </row>
    <row r="83" spans="1:8" x14ac:dyDescent="0.3">
      <c r="A83" s="4"/>
      <c r="B83" s="4"/>
      <c r="C83" s="4"/>
      <c r="D83" s="4"/>
      <c r="E83" s="4"/>
      <c r="F83" s="4"/>
      <c r="G83" s="4"/>
      <c r="H83" s="4"/>
    </row>
    <row r="84" spans="1:8" x14ac:dyDescent="0.3">
      <c r="A84" s="4"/>
      <c r="B84" s="4"/>
      <c r="C84" s="4"/>
      <c r="D84" s="4"/>
      <c r="E84" s="4"/>
      <c r="F84" s="4"/>
      <c r="G84" s="4"/>
      <c r="H84" s="4"/>
    </row>
    <row r="85" spans="1:8" x14ac:dyDescent="0.3">
      <c r="A85" s="4"/>
      <c r="B85" s="4"/>
      <c r="C85" s="4"/>
      <c r="D85" s="4"/>
      <c r="E85" s="4"/>
      <c r="F85" s="4"/>
      <c r="G85" s="4"/>
      <c r="H85" s="4"/>
    </row>
    <row r="86" spans="1:8" x14ac:dyDescent="0.3">
      <c r="A86" s="4"/>
      <c r="B86" s="4"/>
      <c r="C86" s="4"/>
      <c r="D86" s="4"/>
      <c r="E86" s="4"/>
      <c r="F86" s="4"/>
      <c r="G86" s="4"/>
      <c r="H86" s="4"/>
    </row>
    <row r="87" spans="1:8" x14ac:dyDescent="0.3">
      <c r="A87" s="4"/>
      <c r="B87" s="4"/>
      <c r="C87" s="4"/>
      <c r="D87" s="4"/>
      <c r="E87" s="4"/>
      <c r="F87" s="4"/>
      <c r="G87" s="4"/>
      <c r="H87" s="4"/>
    </row>
    <row r="88" spans="1:8" x14ac:dyDescent="0.3">
      <c r="A88" s="4"/>
      <c r="B88" s="4"/>
      <c r="C88" s="4"/>
      <c r="D88" s="4"/>
      <c r="E88" s="4"/>
      <c r="F88" s="4"/>
      <c r="G88" s="4"/>
      <c r="H88" s="4"/>
    </row>
    <row r="89" spans="1:8" x14ac:dyDescent="0.3">
      <c r="A89" s="4"/>
      <c r="B89" s="4"/>
      <c r="C89" s="4"/>
      <c r="D89" s="4"/>
      <c r="E89" s="4"/>
      <c r="F89" s="4"/>
      <c r="G89" s="4"/>
      <c r="H89" s="4"/>
    </row>
    <row r="90" spans="1:8" x14ac:dyDescent="0.3">
      <c r="A90" s="4"/>
      <c r="B90" s="4"/>
      <c r="C90" s="4"/>
      <c r="D90" s="4"/>
      <c r="E90" s="4"/>
      <c r="F90" s="4"/>
      <c r="G90" s="4"/>
      <c r="H90" s="4"/>
    </row>
    <row r="91" spans="1:8" x14ac:dyDescent="0.3">
      <c r="A91" s="4"/>
      <c r="B91" s="4"/>
      <c r="C91" s="4"/>
      <c r="D91" s="4"/>
      <c r="E91" s="4"/>
      <c r="F91" s="4"/>
      <c r="G91" s="4"/>
      <c r="H91" s="4"/>
    </row>
    <row r="92" spans="1:8" x14ac:dyDescent="0.3">
      <c r="A92" s="4"/>
      <c r="B92" s="4"/>
      <c r="C92" s="4"/>
      <c r="D92" s="4"/>
      <c r="E92" s="4"/>
      <c r="F92" s="4"/>
      <c r="G92" s="4"/>
      <c r="H92" s="4"/>
    </row>
    <row r="93" spans="1:8" x14ac:dyDescent="0.3">
      <c r="A93" s="4"/>
      <c r="B93" s="4"/>
      <c r="C93" s="4"/>
      <c r="D93" s="4"/>
      <c r="E93" s="4"/>
      <c r="F93" s="4"/>
      <c r="G93" s="4"/>
      <c r="H93" s="4"/>
    </row>
    <row r="94" spans="1:8" x14ac:dyDescent="0.3">
      <c r="A94" s="4"/>
      <c r="B94" s="4"/>
      <c r="C94" s="4"/>
      <c r="D94" s="4"/>
      <c r="E94" s="4"/>
      <c r="F94" s="4"/>
      <c r="G94" s="4"/>
      <c r="H94" s="4"/>
    </row>
    <row r="95" spans="1:8" x14ac:dyDescent="0.3">
      <c r="A95" s="4"/>
      <c r="B95" s="4"/>
      <c r="C95" s="4"/>
      <c r="D95" s="4"/>
      <c r="E95" s="4"/>
      <c r="F95" s="4"/>
      <c r="G95" s="4"/>
      <c r="H95" s="4"/>
    </row>
    <row r="96" spans="1:8" x14ac:dyDescent="0.3">
      <c r="A96" s="4"/>
      <c r="B96" s="4"/>
      <c r="C96" s="4"/>
      <c r="D96" s="4"/>
      <c r="E96" s="4"/>
      <c r="F96" s="4"/>
      <c r="G96" s="4"/>
      <c r="H96" s="4"/>
    </row>
    <row r="97" spans="1:8" x14ac:dyDescent="0.3">
      <c r="A97" s="4"/>
      <c r="B97" s="4"/>
      <c r="C97" s="4"/>
      <c r="D97" s="4"/>
      <c r="E97" s="4"/>
      <c r="F97" s="4"/>
      <c r="G97" s="4"/>
      <c r="H97" s="4"/>
    </row>
    <row r="98" spans="1:8" x14ac:dyDescent="0.3">
      <c r="A98" s="4"/>
      <c r="B98" s="4"/>
      <c r="C98" s="4"/>
      <c r="D98" s="4"/>
      <c r="E98" s="4"/>
      <c r="F98" s="4"/>
      <c r="G98" s="4"/>
      <c r="H98" s="4"/>
    </row>
    <row r="99" spans="1:8" x14ac:dyDescent="0.3">
      <c r="A99" s="4"/>
      <c r="B99" s="4"/>
      <c r="C99" s="4"/>
      <c r="D99" s="4"/>
      <c r="E99" s="4"/>
      <c r="F99" s="4"/>
      <c r="G99" s="4"/>
      <c r="H99" s="4"/>
    </row>
    <row r="100" spans="1:8" x14ac:dyDescent="0.3">
      <c r="A100" s="4"/>
      <c r="B100" s="4"/>
      <c r="C100" s="4"/>
      <c r="D100" s="4"/>
      <c r="E100" s="4"/>
      <c r="F100" s="4"/>
      <c r="G100" s="4"/>
      <c r="H100" s="4"/>
    </row>
    <row r="101" spans="1:8" x14ac:dyDescent="0.3">
      <c r="A101" s="4"/>
      <c r="B101" s="4"/>
      <c r="C101" s="4"/>
      <c r="D101" s="4"/>
      <c r="E101" s="4"/>
      <c r="F101" s="4"/>
      <c r="G101" s="4"/>
      <c r="H101" s="4"/>
    </row>
    <row r="102" spans="1:8" x14ac:dyDescent="0.3">
      <c r="A102" s="4"/>
      <c r="B102" s="4"/>
      <c r="C102" s="4"/>
      <c r="D102" s="4"/>
      <c r="E102" s="4"/>
      <c r="F102" s="4"/>
      <c r="G102" s="4"/>
      <c r="H102" s="4"/>
    </row>
    <row r="103" spans="1:8" x14ac:dyDescent="0.3">
      <c r="A103" s="4"/>
      <c r="B103" s="4"/>
      <c r="C103" s="4"/>
      <c r="D103" s="4"/>
      <c r="E103" s="4"/>
      <c r="F103" s="4"/>
      <c r="G103" s="4"/>
      <c r="H103" s="4"/>
    </row>
    <row r="104" spans="1:8" x14ac:dyDescent="0.3">
      <c r="A104" s="4"/>
      <c r="B104" s="4"/>
      <c r="C104" s="4"/>
      <c r="D104" s="4"/>
      <c r="E104" s="4"/>
      <c r="F104" s="4"/>
      <c r="G104" s="4"/>
      <c r="H104" s="4"/>
    </row>
    <row r="105" spans="1:8" x14ac:dyDescent="0.3">
      <c r="A105" s="4"/>
      <c r="B105" s="4"/>
      <c r="C105" s="4"/>
      <c r="D105" s="4"/>
      <c r="E105" s="4"/>
      <c r="F105" s="4"/>
      <c r="G105" s="4"/>
      <c r="H105" s="4"/>
    </row>
    <row r="106" spans="1:8" x14ac:dyDescent="0.3">
      <c r="A106" s="4"/>
      <c r="B106" s="4"/>
      <c r="C106" s="4"/>
      <c r="D106" s="4"/>
      <c r="E106" s="4"/>
      <c r="F106" s="4"/>
      <c r="G106" s="4"/>
      <c r="H106" s="4"/>
    </row>
    <row r="107" spans="1:8" x14ac:dyDescent="0.3">
      <c r="A107" s="4"/>
      <c r="B107" s="4"/>
      <c r="C107" s="4"/>
      <c r="D107" s="4"/>
      <c r="E107" s="4"/>
      <c r="F107" s="4"/>
      <c r="G107" s="4"/>
      <c r="H107" s="4"/>
    </row>
    <row r="108" spans="1:8" x14ac:dyDescent="0.3">
      <c r="A108" s="4"/>
      <c r="B108" s="4"/>
      <c r="C108" s="4"/>
      <c r="D108" s="4"/>
      <c r="E108" s="4"/>
      <c r="F108" s="4"/>
      <c r="G108" s="4"/>
      <c r="H108" s="4"/>
    </row>
    <row r="109" spans="1:8" x14ac:dyDescent="0.3">
      <c r="A109" s="4"/>
      <c r="B109" s="4"/>
      <c r="C109" s="4"/>
      <c r="D109" s="4"/>
      <c r="E109" s="4"/>
      <c r="F109" s="4"/>
      <c r="G109" s="4"/>
      <c r="H109" s="4"/>
    </row>
    <row r="110" spans="1:8" x14ac:dyDescent="0.3">
      <c r="A110" s="4"/>
      <c r="B110" s="4"/>
      <c r="C110" s="4"/>
      <c r="D110" s="4"/>
      <c r="E110" s="4"/>
      <c r="F110" s="4"/>
      <c r="G110" s="4"/>
      <c r="H110" s="4"/>
    </row>
    <row r="111" spans="1:8" x14ac:dyDescent="0.3">
      <c r="A111" s="4"/>
      <c r="B111" s="4"/>
      <c r="C111" s="4"/>
      <c r="D111" s="4"/>
      <c r="E111" s="4"/>
      <c r="F111" s="4"/>
      <c r="G111" s="4"/>
      <c r="H111" s="4"/>
    </row>
    <row r="112" spans="1:8" x14ac:dyDescent="0.3">
      <c r="A112" s="4"/>
      <c r="B112" s="4"/>
      <c r="C112" s="4"/>
      <c r="D112" s="4"/>
      <c r="E112" s="4"/>
      <c r="F112" s="4"/>
      <c r="G112" s="4"/>
      <c r="H112" s="4"/>
    </row>
    <row r="113" spans="1:8" x14ac:dyDescent="0.3">
      <c r="A113" s="4"/>
      <c r="B113" s="4"/>
      <c r="C113" s="4"/>
      <c r="D113" s="4"/>
      <c r="E113" s="4"/>
      <c r="F113" s="4"/>
      <c r="G113" s="4"/>
      <c r="H113" s="4"/>
    </row>
    <row r="114" spans="1:8" x14ac:dyDescent="0.3">
      <c r="A114" s="4"/>
      <c r="B114" s="4"/>
      <c r="C114" s="4"/>
      <c r="D114" s="4"/>
      <c r="E114" s="4"/>
      <c r="F114" s="4"/>
      <c r="G114" s="4"/>
      <c r="H114" s="4"/>
    </row>
    <row r="115" spans="1:8" x14ac:dyDescent="0.3">
      <c r="A115" s="4"/>
      <c r="B115" s="4"/>
      <c r="C115" s="4"/>
      <c r="D115" s="4"/>
      <c r="E115" s="4"/>
      <c r="F115" s="4"/>
      <c r="G115" s="4"/>
      <c r="H115" s="4"/>
    </row>
    <row r="116" spans="1:8" x14ac:dyDescent="0.3">
      <c r="A116" s="4"/>
      <c r="B116" s="4"/>
      <c r="C116" s="4"/>
      <c r="D116" s="4"/>
      <c r="E116" s="4"/>
      <c r="F116" s="4"/>
      <c r="G116" s="4"/>
      <c r="H116" s="4"/>
    </row>
    <row r="117" spans="1:8" x14ac:dyDescent="0.3">
      <c r="A117" s="4"/>
      <c r="B117" s="4"/>
      <c r="C117" s="4"/>
      <c r="D117" s="4"/>
      <c r="E117" s="4"/>
      <c r="F117" s="4"/>
      <c r="G117" s="4"/>
      <c r="H117" s="4"/>
    </row>
    <row r="118" spans="1:8" x14ac:dyDescent="0.3">
      <c r="A118" s="4"/>
      <c r="B118" s="4"/>
      <c r="C118" s="4"/>
      <c r="D118" s="4"/>
      <c r="E118" s="4"/>
      <c r="F118" s="4"/>
      <c r="G118" s="4"/>
      <c r="H118" s="4"/>
    </row>
    <row r="119" spans="1:8" x14ac:dyDescent="0.3">
      <c r="A119" s="4"/>
      <c r="B119" s="4"/>
      <c r="C119" s="4"/>
      <c r="D119" s="4"/>
      <c r="E119" s="4"/>
      <c r="F119" s="4"/>
      <c r="G119" s="4"/>
      <c r="H119" s="4"/>
    </row>
    <row r="120" spans="1:8" x14ac:dyDescent="0.3">
      <c r="A120" s="4"/>
      <c r="B120" s="4"/>
      <c r="C120" s="4"/>
      <c r="D120" s="4"/>
      <c r="E120" s="4"/>
      <c r="F120" s="4"/>
      <c r="G120" s="4"/>
      <c r="H120" s="4"/>
    </row>
    <row r="121" spans="1:8" x14ac:dyDescent="0.3">
      <c r="A121" s="4"/>
      <c r="B121" s="4"/>
      <c r="C121" s="4"/>
      <c r="D121" s="4"/>
      <c r="E121" s="4"/>
      <c r="F121" s="4"/>
      <c r="G121" s="4"/>
      <c r="H121" s="4"/>
    </row>
    <row r="122" spans="1:8" x14ac:dyDescent="0.3">
      <c r="A122" s="4"/>
      <c r="B122" s="4"/>
      <c r="C122" s="4"/>
      <c r="D122" s="4"/>
      <c r="E122" s="4"/>
      <c r="F122" s="4"/>
      <c r="G122" s="4"/>
      <c r="H122" s="4"/>
    </row>
    <row r="123" spans="1:8" x14ac:dyDescent="0.3">
      <c r="A123" s="4"/>
      <c r="B123" s="4"/>
      <c r="C123" s="4"/>
      <c r="D123" s="4"/>
      <c r="E123" s="4"/>
      <c r="F123" s="4"/>
      <c r="G123" s="4"/>
      <c r="H123" s="4"/>
    </row>
    <row r="124" spans="1:8" x14ac:dyDescent="0.3">
      <c r="A124" s="4"/>
      <c r="B124" s="4"/>
      <c r="C124" s="4"/>
      <c r="D124" s="4"/>
      <c r="E124" s="4"/>
      <c r="F124" s="4"/>
      <c r="G124" s="4"/>
      <c r="H124" s="4"/>
    </row>
    <row r="125" spans="1:8" x14ac:dyDescent="0.3">
      <c r="A125" s="4"/>
      <c r="B125" s="4"/>
      <c r="C125" s="4"/>
      <c r="D125" s="4"/>
      <c r="E125" s="4"/>
      <c r="F125" s="4"/>
      <c r="G125" s="4"/>
      <c r="H125" s="4"/>
    </row>
    <row r="126" spans="1:8" x14ac:dyDescent="0.3">
      <c r="A126" s="4"/>
      <c r="B126" s="4"/>
      <c r="C126" s="4"/>
      <c r="D126" s="4"/>
      <c r="E126" s="4"/>
      <c r="F126" s="4"/>
      <c r="G126" s="4"/>
      <c r="H126" s="4"/>
    </row>
    <row r="127" spans="1:8" x14ac:dyDescent="0.3">
      <c r="A127" s="4"/>
      <c r="B127" s="4"/>
      <c r="C127" s="4"/>
      <c r="D127" s="4"/>
      <c r="E127" s="4"/>
      <c r="F127" s="4"/>
      <c r="G127" s="4"/>
      <c r="H127" s="4"/>
    </row>
    <row r="128" spans="1:8" x14ac:dyDescent="0.3">
      <c r="A128" s="4"/>
      <c r="B128" s="4"/>
      <c r="C128" s="4"/>
      <c r="D128" s="4"/>
      <c r="E128" s="4"/>
      <c r="F128" s="4"/>
      <c r="G128" s="4"/>
      <c r="H128" s="4"/>
    </row>
    <row r="129" spans="1:8" x14ac:dyDescent="0.3">
      <c r="A129" s="4"/>
      <c r="B129" s="4"/>
      <c r="C129" s="4"/>
      <c r="D129" s="4"/>
      <c r="E129" s="4"/>
      <c r="F129" s="4"/>
      <c r="G129" s="4"/>
      <c r="H129" s="4"/>
    </row>
    <row r="130" spans="1:8" x14ac:dyDescent="0.3">
      <c r="A130" s="4"/>
      <c r="B130" s="4"/>
      <c r="C130" s="4"/>
      <c r="D130" s="4"/>
      <c r="E130" s="4"/>
      <c r="F130" s="4"/>
      <c r="G130" s="4"/>
      <c r="H130" s="4"/>
    </row>
    <row r="131" spans="1:8" x14ac:dyDescent="0.3">
      <c r="A131" s="4"/>
      <c r="B131" s="4"/>
      <c r="C131" s="4"/>
      <c r="D131" s="4"/>
      <c r="E131" s="4"/>
      <c r="F131" s="4"/>
      <c r="G131" s="4"/>
      <c r="H131" s="4"/>
    </row>
    <row r="132" spans="1:8" x14ac:dyDescent="0.3">
      <c r="A132" s="4"/>
      <c r="B132" s="4"/>
      <c r="C132" s="4"/>
      <c r="D132" s="4"/>
      <c r="E132" s="4"/>
      <c r="F132" s="4"/>
      <c r="G132" s="4"/>
      <c r="H132" s="4"/>
    </row>
    <row r="133" spans="1:8" x14ac:dyDescent="0.3">
      <c r="A133" s="4"/>
      <c r="B133" s="4"/>
      <c r="C133" s="4"/>
      <c r="D133" s="4"/>
      <c r="E133" s="4"/>
      <c r="F133" s="4"/>
      <c r="G133" s="4"/>
      <c r="H133" s="4"/>
    </row>
    <row r="134" spans="1:8" x14ac:dyDescent="0.3">
      <c r="A134" s="4"/>
      <c r="B134" s="4"/>
      <c r="C134" s="4"/>
      <c r="D134" s="4"/>
      <c r="E134" s="4"/>
      <c r="F134" s="4"/>
      <c r="G134" s="4"/>
      <c r="H134" s="4"/>
    </row>
    <row r="135" spans="1:8" x14ac:dyDescent="0.3">
      <c r="A135" s="4"/>
      <c r="B135" s="4"/>
      <c r="C135" s="4"/>
      <c r="D135" s="4"/>
      <c r="E135" s="4"/>
      <c r="F135" s="4"/>
      <c r="G135" s="4"/>
      <c r="H135" s="4"/>
    </row>
    <row r="136" spans="1:8" x14ac:dyDescent="0.3">
      <c r="A136" s="4"/>
      <c r="B136" s="4"/>
      <c r="C136" s="4"/>
      <c r="D136" s="4"/>
      <c r="E136" s="4"/>
      <c r="F136" s="4"/>
      <c r="G136" s="4"/>
      <c r="H136" s="4"/>
    </row>
    <row r="137" spans="1:8" x14ac:dyDescent="0.3">
      <c r="A137" s="4"/>
      <c r="B137" s="4"/>
      <c r="C137" s="4"/>
      <c r="D137" s="4"/>
      <c r="E137" s="4"/>
      <c r="F137" s="4"/>
      <c r="G137" s="4"/>
      <c r="H137" s="4"/>
    </row>
    <row r="138" spans="1:8" x14ac:dyDescent="0.3">
      <c r="A138" s="4"/>
      <c r="B138" s="4"/>
      <c r="C138" s="4"/>
      <c r="D138" s="4"/>
      <c r="E138" s="4"/>
      <c r="F138" s="4"/>
      <c r="G138" s="4"/>
      <c r="H138" s="4"/>
    </row>
    <row r="139" spans="1:8" x14ac:dyDescent="0.3">
      <c r="A139" s="4"/>
      <c r="B139" s="4"/>
      <c r="C139" s="4"/>
      <c r="D139" s="4"/>
      <c r="E139" s="4"/>
      <c r="F139" s="4"/>
      <c r="G139" s="4"/>
      <c r="H139" s="4"/>
    </row>
    <row r="140" spans="1:8" x14ac:dyDescent="0.3">
      <c r="A140" s="4"/>
      <c r="B140" s="4"/>
      <c r="C140" s="4"/>
      <c r="D140" s="4"/>
      <c r="E140" s="4"/>
      <c r="F140" s="4"/>
      <c r="G140" s="4"/>
      <c r="H140" s="4"/>
    </row>
    <row r="141" spans="1:8" x14ac:dyDescent="0.3">
      <c r="A141" s="4"/>
      <c r="B141" s="4"/>
      <c r="C141" s="4"/>
      <c r="D141" s="4"/>
      <c r="E141" s="4"/>
      <c r="F141" s="4"/>
      <c r="G141" s="4"/>
      <c r="H141" s="4"/>
    </row>
    <row r="142" spans="1:8" x14ac:dyDescent="0.3">
      <c r="A142" s="4"/>
      <c r="B142" s="4"/>
      <c r="C142" s="4"/>
      <c r="D142" s="4"/>
      <c r="E142" s="4"/>
      <c r="F142" s="4"/>
      <c r="G142" s="4"/>
      <c r="H142" s="4"/>
    </row>
    <row r="143" spans="1:8" x14ac:dyDescent="0.3">
      <c r="A143" s="4"/>
      <c r="B143" s="4"/>
      <c r="C143" s="4"/>
      <c r="D143" s="4"/>
      <c r="E143" s="4"/>
      <c r="F143" s="4"/>
      <c r="G143" s="4"/>
      <c r="H143" s="4"/>
    </row>
    <row r="144" spans="1:8" x14ac:dyDescent="0.3">
      <c r="A144" s="4"/>
      <c r="B144" s="4"/>
      <c r="C144" s="4"/>
      <c r="D144" s="4"/>
      <c r="E144" s="4"/>
      <c r="F144" s="4"/>
      <c r="G144" s="4"/>
      <c r="H144" s="4"/>
    </row>
    <row r="145" spans="1:8" x14ac:dyDescent="0.3">
      <c r="A145" s="4"/>
      <c r="B145" s="4"/>
      <c r="C145" s="4"/>
      <c r="D145" s="4"/>
      <c r="E145" s="4"/>
      <c r="F145" s="4"/>
      <c r="G145" s="4"/>
      <c r="H145" s="4"/>
    </row>
    <row r="146" spans="1:8" x14ac:dyDescent="0.3">
      <c r="A146" s="4"/>
      <c r="B146" s="4"/>
      <c r="C146" s="4"/>
      <c r="D146" s="4"/>
      <c r="E146" s="4"/>
      <c r="F146" s="4"/>
      <c r="G146" s="4"/>
      <c r="H146" s="4"/>
    </row>
    <row r="147" spans="1:8" x14ac:dyDescent="0.3">
      <c r="A147" s="4"/>
      <c r="B147" s="4"/>
      <c r="C147" s="4"/>
      <c r="D147" s="4"/>
      <c r="E147" s="4"/>
      <c r="F147" s="4"/>
      <c r="G147" s="4"/>
      <c r="H147" s="4"/>
    </row>
    <row r="148" spans="1:8" x14ac:dyDescent="0.3">
      <c r="A148" s="4"/>
      <c r="B148" s="4"/>
      <c r="C148" s="4"/>
      <c r="D148" s="4"/>
      <c r="E148" s="4"/>
      <c r="F148" s="4"/>
      <c r="G148" s="4"/>
      <c r="H148" s="4"/>
    </row>
    <row r="149" spans="1:8" x14ac:dyDescent="0.3">
      <c r="A149" s="4"/>
      <c r="B149" s="4"/>
      <c r="C149" s="4"/>
      <c r="D149" s="4"/>
      <c r="E149" s="4"/>
      <c r="F149" s="4"/>
      <c r="G149" s="4"/>
      <c r="H149" s="4"/>
    </row>
    <row r="150" spans="1:8" x14ac:dyDescent="0.3">
      <c r="A150" s="4"/>
      <c r="B150" s="4"/>
      <c r="C150" s="4"/>
      <c r="D150" s="4"/>
      <c r="E150" s="4"/>
      <c r="F150" s="4"/>
      <c r="G150" s="4"/>
      <c r="H150" s="4"/>
    </row>
  </sheetData>
  <autoFilter ref="A1:H150" xr:uid="{00000000-0009-0000-0000-00001A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1A00-000000000000}">
          <x14:formula1>
            <xm:f>DICTIONARIES!$AJ$2:$AJ$4</xm:f>
          </x14:formula1>
          <xm:sqref>A2:A1000</xm:sqref>
        </x14:dataValidation>
        <x14:dataValidation type="list" allowBlank="1" xr:uid="{00000000-0002-0000-1A00-000001000000}">
          <x14:formula1>
            <xm:f>DICTIONARIES!$AK$2:$AK$4</xm:f>
          </x14:formula1>
          <xm:sqref>B2:B1000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8" customWidth="1"/>
    <col min="3" max="3" width="10" customWidth="1"/>
    <col min="4" max="4" width="24" customWidth="1"/>
    <col min="5" max="5" width="18" customWidth="1"/>
    <col min="6" max="9" width="14" customWidth="1"/>
    <col min="10" max="11" width="18" customWidth="1"/>
    <col min="12" max="12" width="24" customWidth="1"/>
  </cols>
  <sheetData>
    <row r="1" spans="1:12" ht="28.8" x14ac:dyDescent="0.3">
      <c r="A1" s="3" t="s">
        <v>238</v>
      </c>
      <c r="B1" s="3" t="s">
        <v>302</v>
      </c>
      <c r="C1" s="3" t="s">
        <v>961</v>
      </c>
      <c r="D1" s="3" t="s">
        <v>962</v>
      </c>
      <c r="E1" s="3" t="s">
        <v>963</v>
      </c>
      <c r="F1" s="3" t="s">
        <v>964</v>
      </c>
      <c r="G1" s="3" t="s">
        <v>965</v>
      </c>
      <c r="H1" s="3" t="s">
        <v>966</v>
      </c>
      <c r="I1" s="3" t="s">
        <v>967</v>
      </c>
      <c r="J1" s="3" t="s">
        <v>968</v>
      </c>
      <c r="K1" s="3" t="s">
        <v>969</v>
      </c>
      <c r="L1" s="3" t="s">
        <v>116</v>
      </c>
    </row>
    <row r="2" spans="1:12" ht="43.2" x14ac:dyDescent="0.3">
      <c r="A2" s="17" t="s">
        <v>267</v>
      </c>
      <c r="B2" s="17" t="s">
        <v>239</v>
      </c>
      <c r="C2" s="17">
        <v>10</v>
      </c>
      <c r="D2" s="17" t="s">
        <v>239</v>
      </c>
      <c r="E2" s="17" t="s">
        <v>245</v>
      </c>
      <c r="F2" s="17" t="s">
        <v>277</v>
      </c>
      <c r="G2" s="17" t="s">
        <v>245</v>
      </c>
      <c r="H2" s="17" t="s">
        <v>970</v>
      </c>
      <c r="I2" s="17" t="s">
        <v>971</v>
      </c>
      <c r="J2" s="17" t="s">
        <v>245</v>
      </c>
      <c r="K2" s="17" t="s">
        <v>245</v>
      </c>
      <c r="L2" s="17" t="s">
        <v>972</v>
      </c>
    </row>
    <row r="3" spans="1:12" ht="28.8" x14ac:dyDescent="0.3">
      <c r="A3" s="17" t="s">
        <v>243</v>
      </c>
      <c r="B3" s="17" t="s">
        <v>239</v>
      </c>
      <c r="C3" s="17">
        <v>10</v>
      </c>
      <c r="D3" s="17" t="s">
        <v>239</v>
      </c>
      <c r="E3" s="17" t="s">
        <v>245</v>
      </c>
      <c r="F3" s="17" t="s">
        <v>316</v>
      </c>
      <c r="G3" s="17" t="s">
        <v>245</v>
      </c>
      <c r="H3" s="17" t="s">
        <v>973</v>
      </c>
      <c r="I3" s="17" t="s">
        <v>971</v>
      </c>
      <c r="J3" s="17" t="s">
        <v>245</v>
      </c>
      <c r="K3" s="17" t="s">
        <v>245</v>
      </c>
      <c r="L3" s="17" t="s">
        <v>974</v>
      </c>
    </row>
    <row r="4" spans="1:12" ht="28.8" x14ac:dyDescent="0.3">
      <c r="A4" s="17" t="s">
        <v>346</v>
      </c>
      <c r="B4" s="17" t="s">
        <v>239</v>
      </c>
      <c r="C4" s="17">
        <v>10</v>
      </c>
      <c r="D4" s="17" t="s">
        <v>975</v>
      </c>
      <c r="E4" s="17" t="s">
        <v>245</v>
      </c>
      <c r="F4" s="17" t="s">
        <v>356</v>
      </c>
      <c r="G4" s="17" t="s">
        <v>245</v>
      </c>
      <c r="H4" s="17" t="s">
        <v>973</v>
      </c>
      <c r="I4" s="17" t="s">
        <v>971</v>
      </c>
      <c r="J4" s="17" t="s">
        <v>245</v>
      </c>
      <c r="K4" s="17" t="s">
        <v>245</v>
      </c>
      <c r="L4" s="17" t="s">
        <v>976</v>
      </c>
    </row>
    <row r="5" spans="1:12" x14ac:dyDescent="0.3">
      <c r="A5" s="17" t="s">
        <v>385</v>
      </c>
      <c r="B5" s="17" t="s">
        <v>239</v>
      </c>
      <c r="C5" s="17">
        <v>10</v>
      </c>
      <c r="D5" s="17" t="s">
        <v>239</v>
      </c>
      <c r="E5" s="17" t="s">
        <v>245</v>
      </c>
      <c r="F5" s="17" t="s">
        <v>356</v>
      </c>
      <c r="G5" s="17" t="s">
        <v>245</v>
      </c>
      <c r="H5" s="17" t="s">
        <v>973</v>
      </c>
      <c r="I5" s="17" t="s">
        <v>973</v>
      </c>
      <c r="J5" s="17" t="s">
        <v>245</v>
      </c>
      <c r="K5" s="17" t="s">
        <v>245</v>
      </c>
      <c r="L5" s="17" t="s">
        <v>977</v>
      </c>
    </row>
    <row r="6" spans="1:12" x14ac:dyDescent="0.3">
      <c r="A6" s="17" t="s">
        <v>243</v>
      </c>
      <c r="B6" s="17" t="s">
        <v>281</v>
      </c>
      <c r="C6" s="17">
        <v>20</v>
      </c>
      <c r="D6" s="17" t="s">
        <v>281</v>
      </c>
      <c r="E6" s="17" t="s">
        <v>245</v>
      </c>
      <c r="F6" s="17" t="s">
        <v>316</v>
      </c>
      <c r="G6" s="17" t="s">
        <v>245</v>
      </c>
      <c r="H6" s="17" t="s">
        <v>970</v>
      </c>
      <c r="I6" s="17" t="s">
        <v>971</v>
      </c>
      <c r="J6" s="17" t="s">
        <v>245</v>
      </c>
      <c r="K6" s="17" t="s">
        <v>245</v>
      </c>
      <c r="L6" s="17"/>
    </row>
    <row r="7" spans="1:12" x14ac:dyDescent="0.3">
      <c r="A7" s="17" t="s">
        <v>243</v>
      </c>
      <c r="B7" s="17" t="s">
        <v>320</v>
      </c>
      <c r="C7" s="17">
        <v>30</v>
      </c>
      <c r="D7" s="17" t="s">
        <v>320</v>
      </c>
      <c r="E7" s="17" t="s">
        <v>245</v>
      </c>
      <c r="F7" s="17" t="s">
        <v>316</v>
      </c>
      <c r="G7" s="17" t="s">
        <v>245</v>
      </c>
      <c r="H7" s="17" t="s">
        <v>973</v>
      </c>
      <c r="I7" s="17" t="s">
        <v>971</v>
      </c>
      <c r="J7" s="17" t="s">
        <v>245</v>
      </c>
      <c r="K7" s="17" t="s">
        <v>245</v>
      </c>
      <c r="L7" s="17"/>
    </row>
  </sheetData>
  <autoFilter ref="A1:L7" xr:uid="{00000000-0009-0000-0000-00001B000000}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6" customWidth="1"/>
    <col min="3" max="3" width="12" customWidth="1"/>
    <col min="4" max="4" width="70" customWidth="1"/>
    <col min="5" max="5" width="16" customWidth="1"/>
    <col min="6" max="6" width="10" customWidth="1"/>
    <col min="7" max="7" width="24" customWidth="1"/>
  </cols>
  <sheetData>
    <row r="1" spans="1:7" ht="28.8" x14ac:dyDescent="0.3">
      <c r="A1" s="3" t="s">
        <v>883</v>
      </c>
      <c r="B1" s="3" t="s">
        <v>302</v>
      </c>
      <c r="C1" s="3" t="s">
        <v>235</v>
      </c>
      <c r="D1" s="3" t="s">
        <v>978</v>
      </c>
      <c r="E1" s="3" t="s">
        <v>979</v>
      </c>
      <c r="F1" s="3" t="s">
        <v>55</v>
      </c>
      <c r="G1" s="3" t="s">
        <v>116</v>
      </c>
    </row>
    <row r="2" spans="1:7" ht="28.8" x14ac:dyDescent="0.3">
      <c r="A2" s="17" t="s">
        <v>267</v>
      </c>
      <c r="B2" s="17" t="s">
        <v>980</v>
      </c>
      <c r="C2" s="17" t="s">
        <v>317</v>
      </c>
      <c r="D2" s="17" t="s">
        <v>981</v>
      </c>
      <c r="E2" s="17" t="s">
        <v>245</v>
      </c>
      <c r="F2" s="17">
        <v>10</v>
      </c>
      <c r="G2" s="17" t="s">
        <v>982</v>
      </c>
    </row>
    <row r="3" spans="1:7" ht="28.8" x14ac:dyDescent="0.3">
      <c r="A3" s="17" t="s">
        <v>243</v>
      </c>
      <c r="B3" s="17" t="s">
        <v>980</v>
      </c>
      <c r="C3" s="17" t="s">
        <v>357</v>
      </c>
      <c r="D3" s="17" t="s">
        <v>983</v>
      </c>
      <c r="E3" s="17" t="s">
        <v>245</v>
      </c>
      <c r="F3" s="17">
        <v>10</v>
      </c>
      <c r="G3" s="17" t="s">
        <v>984</v>
      </c>
    </row>
    <row r="4" spans="1:7" ht="28.8" x14ac:dyDescent="0.3">
      <c r="A4" s="17" t="s">
        <v>346</v>
      </c>
      <c r="B4" s="17" t="s">
        <v>980</v>
      </c>
      <c r="C4" s="17" t="s">
        <v>278</v>
      </c>
      <c r="D4" s="17" t="s">
        <v>985</v>
      </c>
      <c r="E4" s="17" t="s">
        <v>245</v>
      </c>
      <c r="F4" s="17">
        <v>10</v>
      </c>
      <c r="G4" s="17" t="s">
        <v>986</v>
      </c>
    </row>
    <row r="5" spans="1:7" ht="28.8" x14ac:dyDescent="0.3">
      <c r="A5" s="17" t="s">
        <v>243</v>
      </c>
      <c r="B5" s="17" t="s">
        <v>281</v>
      </c>
      <c r="C5" s="17" t="s">
        <v>317</v>
      </c>
      <c r="D5" s="17" t="s">
        <v>987</v>
      </c>
      <c r="E5" s="17" t="s">
        <v>245</v>
      </c>
      <c r="F5" s="17">
        <v>20</v>
      </c>
      <c r="G5" s="17" t="s">
        <v>988</v>
      </c>
    </row>
    <row r="6" spans="1:7" ht="28.8" x14ac:dyDescent="0.3">
      <c r="A6" s="17" t="s">
        <v>243</v>
      </c>
      <c r="B6" s="17" t="s">
        <v>239</v>
      </c>
      <c r="C6" s="17" t="s">
        <v>357</v>
      </c>
      <c r="D6" s="17" t="s">
        <v>989</v>
      </c>
      <c r="E6" s="17" t="s">
        <v>245</v>
      </c>
      <c r="F6" s="17">
        <v>20</v>
      </c>
      <c r="G6" s="17"/>
    </row>
  </sheetData>
  <autoFilter ref="A1:G6" xr:uid="{00000000-0009-0000-0000-00001C000000}"/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O15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  <col min="3" max="3" width="10" customWidth="1"/>
    <col min="4" max="5" width="14" customWidth="1"/>
    <col min="6" max="6" width="32" customWidth="1"/>
    <col min="7" max="7" width="10" customWidth="1"/>
    <col min="8" max="8" width="14" customWidth="1"/>
    <col min="9" max="11" width="12" customWidth="1"/>
    <col min="12" max="12" width="14" customWidth="1"/>
    <col min="13" max="13" width="12" customWidth="1"/>
    <col min="14" max="14" width="14" customWidth="1"/>
    <col min="15" max="15" width="44" customWidth="1"/>
  </cols>
  <sheetData>
    <row r="1" spans="1:15" ht="28.8" x14ac:dyDescent="0.3">
      <c r="A1" s="3" t="s">
        <v>610</v>
      </c>
      <c r="B1" s="3" t="s">
        <v>883</v>
      </c>
      <c r="C1" s="3" t="s">
        <v>990</v>
      </c>
      <c r="D1" s="3" t="s">
        <v>991</v>
      </c>
      <c r="E1" s="3" t="s">
        <v>467</v>
      </c>
      <c r="F1" s="3" t="s">
        <v>885</v>
      </c>
      <c r="G1" s="3" t="s">
        <v>869</v>
      </c>
      <c r="H1" s="3" t="s">
        <v>992</v>
      </c>
      <c r="I1" s="3" t="s">
        <v>135</v>
      </c>
      <c r="J1" s="3" t="s">
        <v>993</v>
      </c>
      <c r="K1" s="3" t="s">
        <v>156</v>
      </c>
      <c r="L1" s="3" t="s">
        <v>994</v>
      </c>
      <c r="M1" s="3" t="s">
        <v>163</v>
      </c>
      <c r="N1" s="3" t="s">
        <v>995</v>
      </c>
      <c r="O1" s="3" t="s">
        <v>996</v>
      </c>
    </row>
    <row r="2" spans="1:15" ht="28.8" x14ac:dyDescent="0.3">
      <c r="A2" s="4" t="s">
        <v>617</v>
      </c>
      <c r="B2" s="4" t="s">
        <v>346</v>
      </c>
      <c r="C2" s="4" t="s">
        <v>246</v>
      </c>
      <c r="D2" s="4" t="s">
        <v>451</v>
      </c>
      <c r="E2" s="4"/>
      <c r="F2" s="4">
        <f>IF($C2="","",IF($C2="Work",IFERROR(IF(SUMIFS(WORK_TARIFF_RULES!$G:$G,WORK_TARIFF_RULES!$A:$A,$D2,WORK_TARIFF_RULES!$C:$C,$B2)&lt;&gt;"",SUMIFS(WORK_TARIFF_RULES!$G:$G,WORK_TARIFF_RULES!$A:$A,$D2,WORK_TARIFF_RULES!$C:$C,$B2),SUMIFS(WORK_MASTER!$C:$C,WORK_MASTER!$A:$A,$D2)),""),IF($C2="Material",IFERROR(IF(SUMIFS(MATERIAL_TARIFF_RULES!$G:$G,MATERIAL_TARIFF_RULES!$A:$A,$D2,MATERIAL_TARIFF_RULES!$C:$C,$B2)&lt;&gt;"",SUMIFS(MATERIAL_TARIFF_RULES!$G:$G,MATERIAL_TARIFF_RULES!$A:$A,$D2,MATERIAL_TARIFF_RULES!$C:$C,$B2),SUMIFS(MATERIAL_VARIANTS!$J:$J,MATERIAL_VARIANTS!$A:$A,$E2)),""),"")))</f>
        <v>0</v>
      </c>
      <c r="G2" s="22">
        <v>120</v>
      </c>
      <c r="H2" s="22">
        <f>IF($C2="","",IF($C2="Work",IFERROR(SUMIFS(WORK_MASTER!$I:$I,WORK_MASTER!$A:$A,$D2),""),IF($C2="Material",IFERROR(SUMIFS(MATERIAL_VARIANTS!$I:$I,MATERIAL_VARIANTS!$A:$A,$E2),""),"")))</f>
        <v>320</v>
      </c>
      <c r="I2" s="22">
        <f>IF($C2="","",IF($C2="Work",IFERROR(SUMIFS(WORK_FACTOR_APPLICABILITY!$O:$O,WORK_FACTOR_APPLICABILITY!$A:$A,$D2,WORK_FACTOR_APPLICABILITY!$N:$N,$A2),1),IF($C2="Material",IFERROR(ROUND(1+SUMIFS(MATERIAL_FACTOR_APPLICABILITY!$D:$D,MATERIAL_FACTOR_APPLICABILITY!$A:$A,SUMIFS(MATERIAL_MASTER!$O:$O,MATERIAL_MASTER!$A:$A,$D2),MATERIAL_FACTOR_APPLICABILITY!$B:$B,"GeometryComplexity")*(SUMIFS(OBJECT_CONDITIONS!$W:$W,OBJECT_CONDITIONS!$A:$A,$A2)-1),3),1),"")))</f>
        <v>1.278</v>
      </c>
      <c r="J2" s="22">
        <f>IF($C2="","",IF($C2="Work",IFERROR(IF(SUMIFS(WORK_TARIFF_RULES!$F:$F,WORK_TARIFF_RULES!$A:$A,$D2,WORK_TARIFF_RULES!$C:$C,$B2)&lt;&gt;"",SUMIFS(WORK_TARIFF_RULES!$F:$F,WORK_TARIFF_RULES!$A:$A,$D2,WORK_TARIFF_RULES!$C:$C,$B2),SUMIFS(TARIFF_PROFILES!$D:$D,TARIFF_PROFILES!$A:$A,$B2)),1),IF($C2="Material",IFERROR(IF(SUMIFS(MATERIAL_TARIFF_RULES!$E:$E,MATERIAL_TARIFF_RULES!$A:$A,$D2,MATERIAL_TARIFF_RULES!$C:$C,$B2)&lt;&gt;"",SUMIFS(MATERIAL_TARIFF_RULES!$E:$E,MATERIAL_TARIFF_RULES!$A:$A,$D2,MATERIAL_TARIFF_RULES!$C:$C,$B2),SUMIFS(TARIFF_PROFILES!$E:$E,TARIFF_PROFILES!$A:$A,$B2)),1),"")))</f>
        <v>0</v>
      </c>
      <c r="K2" s="22">
        <f>IF($C2="","",IF($C2="Material",IFERROR(SUMIFS(MATERIAL_MASTER!$P:$P,MATERIAL_MASTER!$A:$A,$D2)*IF(SUMIFS(MATERIAL_TARIFF_RULES!$F:$F,MATERIAL_TARIFF_RULES!$A:$A,$D2,MATERIAL_TARIFF_RULES!$C:$C,$B2)="",SUMIFS(TARIFF_PROFILES!$H:$H,TARIFF_PROFILES!$A:$A,$B2),SUMIFS(MATERIAL_TARIFF_RULES!$F:$F,MATERIAL_TARIFF_RULES!$A:$A,$D2,MATERIAL_TARIFF_RULES!$C:$C,$B2)),1),1))</f>
        <v>1</v>
      </c>
      <c r="L2" s="22">
        <f t="shared" ref="L2:L33" si="0">IF($C2="","",IF($C2="Work",N($H2)*N($I2)*N($J2),IF($C2="Material",N($H2)*N($I2)*N($J2),"")))</f>
        <v>0</v>
      </c>
      <c r="M2" s="22">
        <f t="shared" ref="M2:M33" si="1">IF($C2="","",IF($C2="Material",N($G2)*N($K2),N($G2)))</f>
        <v>120</v>
      </c>
      <c r="N2" s="22">
        <f t="shared" ref="N2:N33" si="2">IF($C2="","",N($L2)*N($M2))</f>
        <v>0</v>
      </c>
      <c r="O2" s="4" t="str">
        <f t="shared" ref="O2:O33" si="3">IF($C2="","",IF($C2="Work","Тариф влияет на способ/детализацию и коэффициент работ",IF($C2="Material","Тариф влияет на вариант, качество, запас и показ материала","")))</f>
        <v>Тариф влияет на способ/детализацию и коэффициент работ</v>
      </c>
    </row>
    <row r="3" spans="1:15" ht="28.8" x14ac:dyDescent="0.3">
      <c r="A3" s="4" t="s">
        <v>617</v>
      </c>
      <c r="B3" s="4" t="s">
        <v>346</v>
      </c>
      <c r="C3" s="4" t="s">
        <v>286</v>
      </c>
      <c r="D3" s="4" t="s">
        <v>493</v>
      </c>
      <c r="E3" s="4" t="s">
        <v>543</v>
      </c>
      <c r="F3" s="4">
        <f>IF($C3="","",IF($C3="Work",IFERROR(IF(SUMIFS(WORK_TARIFF_RULES!$G:$G,WORK_TARIFF_RULES!$A:$A,$D3,WORK_TARIFF_RULES!$C:$C,$B3)&lt;&gt;"",SUMIFS(WORK_TARIFF_RULES!$G:$G,WORK_TARIFF_RULES!$A:$A,$D3,WORK_TARIFF_RULES!$C:$C,$B3),SUMIFS(WORK_MASTER!$C:$C,WORK_MASTER!$A:$A,$D3)),""),IF($C3="Material",IFERROR(IF(SUMIFS(MATERIAL_TARIFF_RULES!$G:$G,MATERIAL_TARIFF_RULES!$A:$A,$D3,MATERIAL_TARIFF_RULES!$C:$C,$B3)&lt;&gt;"",SUMIFS(MATERIAL_TARIFF_RULES!$G:$G,MATERIAL_TARIFF_RULES!$A:$A,$D3,MATERIAL_TARIFF_RULES!$C:$C,$B3),SUMIFS(MATERIAL_VARIANTS!$J:$J,MATERIAL_VARIANTS!$A:$A,$E3)),""),"")))</f>
        <v>0</v>
      </c>
      <c r="G3" s="22">
        <v>120</v>
      </c>
      <c r="H3" s="22">
        <f>IF($C3="","",IF($C3="Work",IFERROR(SUMIFS(WORK_MASTER!$I:$I,WORK_MASTER!$A:$A,$D3),""),IF($C3="Material",IFERROR(SUMIFS(MATERIAL_VARIANTS!$I:$I,MATERIAL_VARIANTS!$A:$A,$E3),""),"")))</f>
        <v>0</v>
      </c>
      <c r="I3" s="22">
        <f>IF($C3="","",IF($C3="Work",IFERROR(SUMIFS(WORK_FACTOR_APPLICABILITY!$O:$O,WORK_FACTOR_APPLICABILITY!$A:$A,$D3,WORK_FACTOR_APPLICABILITY!$N:$N,$A3),1),IF($C3="Material",IFERROR(ROUND(1+SUMIFS(MATERIAL_FACTOR_APPLICABILITY!$D:$D,MATERIAL_FACTOR_APPLICABILITY!$A:$A,SUMIFS(MATERIAL_MASTER!$O:$O,MATERIAL_MASTER!$A:$A,$D3),MATERIAL_FACTOR_APPLICABILITY!$B:$B,"GeometryComplexity")*(SUMIFS(OBJECT_CONDITIONS!$W:$W,OBJECT_CONDITIONS!$A:$A,$A3)-1),3),1),"")))</f>
        <v>1</v>
      </c>
      <c r="J3" s="22">
        <f>IF($C3="","",IF($C3="Work",IFERROR(IF(SUMIFS(WORK_TARIFF_RULES!$F:$F,WORK_TARIFF_RULES!$A:$A,$D3,WORK_TARIFF_RULES!$C:$C,$B3)&lt;&gt;"",SUMIFS(WORK_TARIFF_RULES!$F:$F,WORK_TARIFF_RULES!$A:$A,$D3,WORK_TARIFF_RULES!$C:$C,$B3),SUMIFS(TARIFF_PROFILES!$D:$D,TARIFF_PROFILES!$A:$A,$B3)),1),IF($C3="Material",IFERROR(IF(SUMIFS(MATERIAL_TARIFF_RULES!$E:$E,MATERIAL_TARIFF_RULES!$A:$A,$D3,MATERIAL_TARIFF_RULES!$C:$C,$B3)&lt;&gt;"",SUMIFS(MATERIAL_TARIFF_RULES!$E:$E,MATERIAL_TARIFF_RULES!$A:$A,$D3,MATERIAL_TARIFF_RULES!$C:$C,$B3),SUMIFS(TARIFF_PROFILES!$E:$E,TARIFF_PROFILES!$A:$A,$B3)),1),"")))</f>
        <v>0</v>
      </c>
      <c r="K3" s="22">
        <f>IF($C3="","",IF($C3="Material",IFERROR(SUMIFS(MATERIAL_MASTER!$P:$P,MATERIAL_MASTER!$A:$A,$D3)*IF(SUMIFS(MATERIAL_TARIFF_RULES!$F:$F,MATERIAL_TARIFF_RULES!$A:$A,$D3,MATERIAL_TARIFF_RULES!$C:$C,$B3)="",SUMIFS(TARIFF_PROFILES!$H:$H,TARIFF_PROFILES!$A:$A,$B3),SUMIFS(MATERIAL_TARIFF_RULES!$F:$F,MATERIAL_TARIFF_RULES!$A:$A,$D3,MATERIAL_TARIFF_RULES!$C:$C,$B3)),1),1))</f>
        <v>0</v>
      </c>
      <c r="L3" s="22">
        <f t="shared" si="0"/>
        <v>0</v>
      </c>
      <c r="M3" s="22">
        <f t="shared" si="1"/>
        <v>0</v>
      </c>
      <c r="N3" s="22">
        <f t="shared" si="2"/>
        <v>0</v>
      </c>
      <c r="O3" s="4" t="str">
        <f t="shared" si="3"/>
        <v>Тариф влияет на вариант, качество, запас и показ материала</v>
      </c>
    </row>
    <row r="4" spans="1:15" ht="28.8" x14ac:dyDescent="0.3">
      <c r="A4" s="4" t="s">
        <v>655</v>
      </c>
      <c r="B4" s="4" t="s">
        <v>267</v>
      </c>
      <c r="C4" s="4" t="s">
        <v>246</v>
      </c>
      <c r="D4" s="4" t="s">
        <v>444</v>
      </c>
      <c r="E4" s="4"/>
      <c r="F4" s="4">
        <f>IF($C4="","",IF($C4="Work",IFERROR(IF(SUMIFS(WORK_TARIFF_RULES!$G:$G,WORK_TARIFF_RULES!$A:$A,$D4,WORK_TARIFF_RULES!$C:$C,$B4)&lt;&gt;"",SUMIFS(WORK_TARIFF_RULES!$G:$G,WORK_TARIFF_RULES!$A:$A,$D4,WORK_TARIFF_RULES!$C:$C,$B4),SUMIFS(WORK_MASTER!$C:$C,WORK_MASTER!$A:$A,$D4)),""),IF($C4="Material",IFERROR(IF(SUMIFS(MATERIAL_TARIFF_RULES!$G:$G,MATERIAL_TARIFF_RULES!$A:$A,$D4,MATERIAL_TARIFF_RULES!$C:$C,$B4)&lt;&gt;"",SUMIFS(MATERIAL_TARIFF_RULES!$G:$G,MATERIAL_TARIFF_RULES!$A:$A,$D4,MATERIAL_TARIFF_RULES!$C:$C,$B4),SUMIFS(MATERIAL_VARIANTS!$J:$J,MATERIAL_VARIANTS!$A:$A,$E4)),""),"")))</f>
        <v>0</v>
      </c>
      <c r="G4" s="22">
        <v>200</v>
      </c>
      <c r="H4" s="22">
        <f>IF($C4="","",IF($C4="Work",IFERROR(SUMIFS(WORK_MASTER!$I:$I,WORK_MASTER!$A:$A,$D4),""),IF($C4="Material",IFERROR(SUMIFS(MATERIAL_VARIANTS!$I:$I,MATERIAL_VARIANTS!$A:$A,$E4),""),"")))</f>
        <v>350</v>
      </c>
      <c r="I4" s="22">
        <f>IF($C4="","",IF($C4="Work",IFERROR(SUMIFS(WORK_FACTOR_APPLICABILITY!$O:$O,WORK_FACTOR_APPLICABILITY!$A:$A,$D4,WORK_FACTOR_APPLICABILITY!$N:$N,$A4),1),IF($C4="Material",IFERROR(ROUND(1+SUMIFS(MATERIAL_FACTOR_APPLICABILITY!$D:$D,MATERIAL_FACTOR_APPLICABILITY!$A:$A,SUMIFS(MATERIAL_MASTER!$O:$O,MATERIAL_MASTER!$A:$A,$D4),MATERIAL_FACTOR_APPLICABILITY!$B:$B,"GeometryComplexity")*(SUMIFS(OBJECT_CONDITIONS!$W:$W,OBJECT_CONDITIONS!$A:$A,$A4)-1),3),1),"")))</f>
        <v>0</v>
      </c>
      <c r="J4" s="22">
        <f>IF($C4="","",IF($C4="Work",IFERROR(IF(SUMIFS(WORK_TARIFF_RULES!$F:$F,WORK_TARIFF_RULES!$A:$A,$D4,WORK_TARIFF_RULES!$C:$C,$B4)&lt;&gt;"",SUMIFS(WORK_TARIFF_RULES!$F:$F,WORK_TARIFF_RULES!$A:$A,$D4,WORK_TARIFF_RULES!$C:$C,$B4),SUMIFS(TARIFF_PROFILES!$D:$D,TARIFF_PROFILES!$A:$A,$B4)),1),IF($C4="Material",IFERROR(IF(SUMIFS(MATERIAL_TARIFF_RULES!$E:$E,MATERIAL_TARIFF_RULES!$A:$A,$D4,MATERIAL_TARIFF_RULES!$C:$C,$B4)&lt;&gt;"",SUMIFS(MATERIAL_TARIFF_RULES!$E:$E,MATERIAL_TARIFF_RULES!$A:$A,$D4,MATERIAL_TARIFF_RULES!$C:$C,$B4),SUMIFS(TARIFF_PROFILES!$E:$E,TARIFF_PROFILES!$A:$A,$B4)),1),"")))</f>
        <v>0</v>
      </c>
      <c r="K4" s="22">
        <f>IF($C4="","",IF($C4="Material",IFERROR(SUMIFS(MATERIAL_MASTER!$P:$P,MATERIAL_MASTER!$A:$A,$D4)*IF(SUMIFS(MATERIAL_TARIFF_RULES!$F:$F,MATERIAL_TARIFF_RULES!$A:$A,$D4,MATERIAL_TARIFF_RULES!$C:$C,$B4)="",SUMIFS(TARIFF_PROFILES!$H:$H,TARIFF_PROFILES!$A:$A,$B4),SUMIFS(MATERIAL_TARIFF_RULES!$F:$F,MATERIAL_TARIFF_RULES!$A:$A,$D4,MATERIAL_TARIFF_RULES!$C:$C,$B4)),1),1))</f>
        <v>1</v>
      </c>
      <c r="L4" s="22">
        <f t="shared" si="0"/>
        <v>0</v>
      </c>
      <c r="M4" s="22">
        <f t="shared" si="1"/>
        <v>200</v>
      </c>
      <c r="N4" s="22">
        <f t="shared" si="2"/>
        <v>0</v>
      </c>
      <c r="O4" s="4" t="str">
        <f t="shared" si="3"/>
        <v>Тариф влияет на способ/детализацию и коэффициент работ</v>
      </c>
    </row>
    <row r="5" spans="1:15" ht="28.8" x14ac:dyDescent="0.3">
      <c r="A5" s="4" t="s">
        <v>655</v>
      </c>
      <c r="B5" s="4" t="s">
        <v>267</v>
      </c>
      <c r="C5" s="4" t="s">
        <v>286</v>
      </c>
      <c r="D5" s="4" t="s">
        <v>501</v>
      </c>
      <c r="E5" s="4" t="s">
        <v>545</v>
      </c>
      <c r="F5" s="4">
        <f>IF($C5="","",IF($C5="Work",IFERROR(IF(SUMIFS(WORK_TARIFF_RULES!$G:$G,WORK_TARIFF_RULES!$A:$A,$D5,WORK_TARIFF_RULES!$C:$C,$B5)&lt;&gt;"",SUMIFS(WORK_TARIFF_RULES!$G:$G,WORK_TARIFF_RULES!$A:$A,$D5,WORK_TARIFF_RULES!$C:$C,$B5),SUMIFS(WORK_MASTER!$C:$C,WORK_MASTER!$A:$A,$D5)),""),IF($C5="Material",IFERROR(IF(SUMIFS(MATERIAL_TARIFF_RULES!$G:$G,MATERIAL_TARIFF_RULES!$A:$A,$D5,MATERIAL_TARIFF_RULES!$C:$C,$B5)&lt;&gt;"",SUMIFS(MATERIAL_TARIFF_RULES!$G:$G,MATERIAL_TARIFF_RULES!$A:$A,$D5,MATERIAL_TARIFF_RULES!$C:$C,$B5),SUMIFS(MATERIAL_VARIANTS!$J:$J,MATERIAL_VARIANTS!$A:$A,$E5)),""),"")))</f>
        <v>0</v>
      </c>
      <c r="G5" s="22">
        <v>200</v>
      </c>
      <c r="H5" s="22">
        <f>IF($C5="","",IF($C5="Work",IFERROR(SUMIFS(WORK_MASTER!$I:$I,WORK_MASTER!$A:$A,$D5),""),IF($C5="Material",IFERROR(SUMIFS(MATERIAL_VARIANTS!$I:$I,MATERIAL_VARIANTS!$A:$A,$E5),""),"")))</f>
        <v>0</v>
      </c>
      <c r="I5" s="22">
        <f>IF($C5="","",IF($C5="Work",IFERROR(SUMIFS(WORK_FACTOR_APPLICABILITY!$O:$O,WORK_FACTOR_APPLICABILITY!$A:$A,$D5,WORK_FACTOR_APPLICABILITY!$N:$N,$A5),1),IF($C5="Material",IFERROR(ROUND(1+SUMIFS(MATERIAL_FACTOR_APPLICABILITY!$D:$D,MATERIAL_FACTOR_APPLICABILITY!$A:$A,SUMIFS(MATERIAL_MASTER!$O:$O,MATERIAL_MASTER!$A:$A,$D5),MATERIAL_FACTOR_APPLICABILITY!$B:$B,"GeometryComplexity")*(SUMIFS(OBJECT_CONDITIONS!$W:$W,OBJECT_CONDITIONS!$A:$A,$A5)-1),3),1),"")))</f>
        <v>1</v>
      </c>
      <c r="J5" s="22">
        <f>IF($C5="","",IF($C5="Work",IFERROR(IF(SUMIFS(WORK_TARIFF_RULES!$F:$F,WORK_TARIFF_RULES!$A:$A,$D5,WORK_TARIFF_RULES!$C:$C,$B5)&lt;&gt;"",SUMIFS(WORK_TARIFF_RULES!$F:$F,WORK_TARIFF_RULES!$A:$A,$D5,WORK_TARIFF_RULES!$C:$C,$B5),SUMIFS(TARIFF_PROFILES!$D:$D,TARIFF_PROFILES!$A:$A,$B5)),1),IF($C5="Material",IFERROR(IF(SUMIFS(MATERIAL_TARIFF_RULES!$E:$E,MATERIAL_TARIFF_RULES!$A:$A,$D5,MATERIAL_TARIFF_RULES!$C:$C,$B5)&lt;&gt;"",SUMIFS(MATERIAL_TARIFF_RULES!$E:$E,MATERIAL_TARIFF_RULES!$A:$A,$D5,MATERIAL_TARIFF_RULES!$C:$C,$B5),SUMIFS(TARIFF_PROFILES!$E:$E,TARIFF_PROFILES!$A:$A,$B5)),1),"")))</f>
        <v>0</v>
      </c>
      <c r="K5" s="22">
        <f>IF($C5="","",IF($C5="Material",IFERROR(SUMIFS(MATERIAL_MASTER!$P:$P,MATERIAL_MASTER!$A:$A,$D5)*IF(SUMIFS(MATERIAL_TARIFF_RULES!$F:$F,MATERIAL_TARIFF_RULES!$A:$A,$D5,MATERIAL_TARIFF_RULES!$C:$C,$B5)="",SUMIFS(TARIFF_PROFILES!$H:$H,TARIFF_PROFILES!$A:$A,$B5),SUMIFS(MATERIAL_TARIFF_RULES!$F:$F,MATERIAL_TARIFF_RULES!$A:$A,$D5,MATERIAL_TARIFF_RULES!$C:$C,$B5)),1),1))</f>
        <v>0</v>
      </c>
      <c r="L5" s="22">
        <f t="shared" si="0"/>
        <v>0</v>
      </c>
      <c r="M5" s="22">
        <f t="shared" si="1"/>
        <v>0</v>
      </c>
      <c r="N5" s="22">
        <f t="shared" si="2"/>
        <v>0</v>
      </c>
      <c r="O5" s="4" t="str">
        <f t="shared" si="3"/>
        <v>Тариф влияет на вариант, качество, запас и показ материала</v>
      </c>
    </row>
    <row r="6" spans="1:15" x14ac:dyDescent="0.3">
      <c r="A6" s="4"/>
      <c r="B6" s="4"/>
      <c r="C6" s="4"/>
      <c r="D6" s="4"/>
      <c r="E6" s="4"/>
      <c r="F6" s="4" t="str">
        <f>IF($C6="","",IF($C6="Work",IFERROR(IF(SUMIFS(WORK_TARIFF_RULES!$G:$G,WORK_TARIFF_RULES!$A:$A,$D6,WORK_TARIFF_RULES!$C:$C,$B6)&lt;&gt;"",SUMIFS(WORK_TARIFF_RULES!$G:$G,WORK_TARIFF_RULES!$A:$A,$D6,WORK_TARIFF_RULES!$C:$C,$B6),SUMIFS(WORK_MASTER!$C:$C,WORK_MASTER!$A:$A,$D6)),""),IF($C6="Material",IFERROR(IF(SUMIFS(MATERIAL_TARIFF_RULES!$G:$G,MATERIAL_TARIFF_RULES!$A:$A,$D6,MATERIAL_TARIFF_RULES!$C:$C,$B6)&lt;&gt;"",SUMIFS(MATERIAL_TARIFF_RULES!$G:$G,MATERIAL_TARIFF_RULES!$A:$A,$D6,MATERIAL_TARIFF_RULES!$C:$C,$B6),SUMIFS(MATERIAL_VARIANTS!$J:$J,MATERIAL_VARIANTS!$A:$A,$E6)),""),"")))</f>
        <v/>
      </c>
      <c r="G6" s="22"/>
      <c r="H6" s="22" t="str">
        <f>IF($C6="","",IF($C6="Work",IFERROR(SUMIFS(WORK_MASTER!$I:$I,WORK_MASTER!$A:$A,$D6),""),IF($C6="Material",IFERROR(SUMIFS(MATERIAL_VARIANTS!$I:$I,MATERIAL_VARIANTS!$A:$A,$E6),""),"")))</f>
        <v/>
      </c>
      <c r="I6" s="22" t="str">
        <f>IF($C6="","",IF($C6="Work",IFERROR(SUMIFS(WORK_FACTOR_APPLICABILITY!$O:$O,WORK_FACTOR_APPLICABILITY!$A:$A,$D6,WORK_FACTOR_APPLICABILITY!$N:$N,$A6),1),IF($C6="Material",IFERROR(ROUND(1+SUMIFS(MATERIAL_FACTOR_APPLICABILITY!$D:$D,MATERIAL_FACTOR_APPLICABILITY!$A:$A,SUMIFS(MATERIAL_MASTER!$O:$O,MATERIAL_MASTER!$A:$A,$D6),MATERIAL_FACTOR_APPLICABILITY!$B:$B,"GeometryComplexity")*(SUMIFS(OBJECT_CONDITIONS!$W:$W,OBJECT_CONDITIONS!$A:$A,$A6)-1),3),1),"")))</f>
        <v/>
      </c>
      <c r="J6" s="22" t="str">
        <f>IF($C6="","",IF($C6="Work",IFERROR(IF(SUMIFS(WORK_TARIFF_RULES!$F:$F,WORK_TARIFF_RULES!$A:$A,$D6,WORK_TARIFF_RULES!$C:$C,$B6)&lt;&gt;"",SUMIFS(WORK_TARIFF_RULES!$F:$F,WORK_TARIFF_RULES!$A:$A,$D6,WORK_TARIFF_RULES!$C:$C,$B6),SUMIFS(TARIFF_PROFILES!$D:$D,TARIFF_PROFILES!$A:$A,$B6)),1),IF($C6="Material",IFERROR(IF(SUMIFS(MATERIAL_TARIFF_RULES!$E:$E,MATERIAL_TARIFF_RULES!$A:$A,$D6,MATERIAL_TARIFF_RULES!$C:$C,$B6)&lt;&gt;"",SUMIFS(MATERIAL_TARIFF_RULES!$E:$E,MATERIAL_TARIFF_RULES!$A:$A,$D6,MATERIAL_TARIFF_RULES!$C:$C,$B6),SUMIFS(TARIFF_PROFILES!$E:$E,TARIFF_PROFILES!$A:$A,$B6)),1),"")))</f>
        <v/>
      </c>
      <c r="K6" s="22" t="str">
        <f>IF($C6="","",IF($C6="Material",IFERROR(SUMIFS(MATERIAL_MASTER!$P:$P,MATERIAL_MASTER!$A:$A,$D6)*IF(SUMIFS(MATERIAL_TARIFF_RULES!$F:$F,MATERIAL_TARIFF_RULES!$A:$A,$D6,MATERIAL_TARIFF_RULES!$C:$C,$B6)="",SUMIFS(TARIFF_PROFILES!$H:$H,TARIFF_PROFILES!$A:$A,$B6),SUMIFS(MATERIAL_TARIFF_RULES!$F:$F,MATERIAL_TARIFF_RULES!$A:$A,$D6,MATERIAL_TARIFF_RULES!$C:$C,$B6)),1),1))</f>
        <v/>
      </c>
      <c r="L6" s="22" t="str">
        <f t="shared" si="0"/>
        <v/>
      </c>
      <c r="M6" s="22" t="str">
        <f t="shared" si="1"/>
        <v/>
      </c>
      <c r="N6" s="22" t="str">
        <f t="shared" si="2"/>
        <v/>
      </c>
      <c r="O6" s="4" t="str">
        <f t="shared" si="3"/>
        <v/>
      </c>
    </row>
    <row r="7" spans="1:15" x14ac:dyDescent="0.3">
      <c r="A7" s="4"/>
      <c r="B7" s="4"/>
      <c r="C7" s="4"/>
      <c r="D7" s="4"/>
      <c r="E7" s="4"/>
      <c r="F7" s="4" t="str">
        <f>IF($C7="","",IF($C7="Work",IFERROR(IF(SUMIFS(WORK_TARIFF_RULES!$G:$G,WORK_TARIFF_RULES!$A:$A,$D7,WORK_TARIFF_RULES!$C:$C,$B7)&lt;&gt;"",SUMIFS(WORK_TARIFF_RULES!$G:$G,WORK_TARIFF_RULES!$A:$A,$D7,WORK_TARIFF_RULES!$C:$C,$B7),SUMIFS(WORK_MASTER!$C:$C,WORK_MASTER!$A:$A,$D7)),""),IF($C7="Material",IFERROR(IF(SUMIFS(MATERIAL_TARIFF_RULES!$G:$G,MATERIAL_TARIFF_RULES!$A:$A,$D7,MATERIAL_TARIFF_RULES!$C:$C,$B7)&lt;&gt;"",SUMIFS(MATERIAL_TARIFF_RULES!$G:$G,MATERIAL_TARIFF_RULES!$A:$A,$D7,MATERIAL_TARIFF_RULES!$C:$C,$B7),SUMIFS(MATERIAL_VARIANTS!$J:$J,MATERIAL_VARIANTS!$A:$A,$E7)),""),"")))</f>
        <v/>
      </c>
      <c r="G7" s="22"/>
      <c r="H7" s="22" t="str">
        <f>IF($C7="","",IF($C7="Work",IFERROR(SUMIFS(WORK_MASTER!$I:$I,WORK_MASTER!$A:$A,$D7),""),IF($C7="Material",IFERROR(SUMIFS(MATERIAL_VARIANTS!$I:$I,MATERIAL_VARIANTS!$A:$A,$E7),""),"")))</f>
        <v/>
      </c>
      <c r="I7" s="22" t="str">
        <f>IF($C7="","",IF($C7="Work",IFERROR(SUMIFS(WORK_FACTOR_APPLICABILITY!$O:$O,WORK_FACTOR_APPLICABILITY!$A:$A,$D7,WORK_FACTOR_APPLICABILITY!$N:$N,$A7),1),IF($C7="Material",IFERROR(ROUND(1+SUMIFS(MATERIAL_FACTOR_APPLICABILITY!$D:$D,MATERIAL_FACTOR_APPLICABILITY!$A:$A,SUMIFS(MATERIAL_MASTER!$O:$O,MATERIAL_MASTER!$A:$A,$D7),MATERIAL_FACTOR_APPLICABILITY!$B:$B,"GeometryComplexity")*(SUMIFS(OBJECT_CONDITIONS!$W:$W,OBJECT_CONDITIONS!$A:$A,$A7)-1),3),1),"")))</f>
        <v/>
      </c>
      <c r="J7" s="22" t="str">
        <f>IF($C7="","",IF($C7="Work",IFERROR(IF(SUMIFS(WORK_TARIFF_RULES!$F:$F,WORK_TARIFF_RULES!$A:$A,$D7,WORK_TARIFF_RULES!$C:$C,$B7)&lt;&gt;"",SUMIFS(WORK_TARIFF_RULES!$F:$F,WORK_TARIFF_RULES!$A:$A,$D7,WORK_TARIFF_RULES!$C:$C,$B7),SUMIFS(TARIFF_PROFILES!$D:$D,TARIFF_PROFILES!$A:$A,$B7)),1),IF($C7="Material",IFERROR(IF(SUMIFS(MATERIAL_TARIFF_RULES!$E:$E,MATERIAL_TARIFF_RULES!$A:$A,$D7,MATERIAL_TARIFF_RULES!$C:$C,$B7)&lt;&gt;"",SUMIFS(MATERIAL_TARIFF_RULES!$E:$E,MATERIAL_TARIFF_RULES!$A:$A,$D7,MATERIAL_TARIFF_RULES!$C:$C,$B7),SUMIFS(TARIFF_PROFILES!$E:$E,TARIFF_PROFILES!$A:$A,$B7)),1),"")))</f>
        <v/>
      </c>
      <c r="K7" s="22" t="str">
        <f>IF($C7="","",IF($C7="Material",IFERROR(SUMIFS(MATERIAL_MASTER!$P:$P,MATERIAL_MASTER!$A:$A,$D7)*IF(SUMIFS(MATERIAL_TARIFF_RULES!$F:$F,MATERIAL_TARIFF_RULES!$A:$A,$D7,MATERIAL_TARIFF_RULES!$C:$C,$B7)="",SUMIFS(TARIFF_PROFILES!$H:$H,TARIFF_PROFILES!$A:$A,$B7),SUMIFS(MATERIAL_TARIFF_RULES!$F:$F,MATERIAL_TARIFF_RULES!$A:$A,$D7,MATERIAL_TARIFF_RULES!$C:$C,$B7)),1),1))</f>
        <v/>
      </c>
      <c r="L7" s="22" t="str">
        <f t="shared" si="0"/>
        <v/>
      </c>
      <c r="M7" s="22" t="str">
        <f t="shared" si="1"/>
        <v/>
      </c>
      <c r="N7" s="22" t="str">
        <f t="shared" si="2"/>
        <v/>
      </c>
      <c r="O7" s="4" t="str">
        <f t="shared" si="3"/>
        <v/>
      </c>
    </row>
    <row r="8" spans="1:15" x14ac:dyDescent="0.3">
      <c r="A8" s="4"/>
      <c r="B8" s="4"/>
      <c r="C8" s="4"/>
      <c r="D8" s="4"/>
      <c r="E8" s="4"/>
      <c r="F8" s="4" t="str">
        <f>IF($C8="","",IF($C8="Work",IFERROR(IF(SUMIFS(WORK_TARIFF_RULES!$G:$G,WORK_TARIFF_RULES!$A:$A,$D8,WORK_TARIFF_RULES!$C:$C,$B8)&lt;&gt;"",SUMIFS(WORK_TARIFF_RULES!$G:$G,WORK_TARIFF_RULES!$A:$A,$D8,WORK_TARIFF_RULES!$C:$C,$B8),SUMIFS(WORK_MASTER!$C:$C,WORK_MASTER!$A:$A,$D8)),""),IF($C8="Material",IFERROR(IF(SUMIFS(MATERIAL_TARIFF_RULES!$G:$G,MATERIAL_TARIFF_RULES!$A:$A,$D8,MATERIAL_TARIFF_RULES!$C:$C,$B8)&lt;&gt;"",SUMIFS(MATERIAL_TARIFF_RULES!$G:$G,MATERIAL_TARIFF_RULES!$A:$A,$D8,MATERIAL_TARIFF_RULES!$C:$C,$B8),SUMIFS(MATERIAL_VARIANTS!$J:$J,MATERIAL_VARIANTS!$A:$A,$E8)),""),"")))</f>
        <v/>
      </c>
      <c r="G8" s="22"/>
      <c r="H8" s="22" t="str">
        <f>IF($C8="","",IF($C8="Work",IFERROR(SUMIFS(WORK_MASTER!$I:$I,WORK_MASTER!$A:$A,$D8),""),IF($C8="Material",IFERROR(SUMIFS(MATERIAL_VARIANTS!$I:$I,MATERIAL_VARIANTS!$A:$A,$E8),""),"")))</f>
        <v/>
      </c>
      <c r="I8" s="22" t="str">
        <f>IF($C8="","",IF($C8="Work",IFERROR(SUMIFS(WORK_FACTOR_APPLICABILITY!$O:$O,WORK_FACTOR_APPLICABILITY!$A:$A,$D8,WORK_FACTOR_APPLICABILITY!$N:$N,$A8),1),IF($C8="Material",IFERROR(ROUND(1+SUMIFS(MATERIAL_FACTOR_APPLICABILITY!$D:$D,MATERIAL_FACTOR_APPLICABILITY!$A:$A,SUMIFS(MATERIAL_MASTER!$O:$O,MATERIAL_MASTER!$A:$A,$D8),MATERIAL_FACTOR_APPLICABILITY!$B:$B,"GeometryComplexity")*(SUMIFS(OBJECT_CONDITIONS!$W:$W,OBJECT_CONDITIONS!$A:$A,$A8)-1),3),1),"")))</f>
        <v/>
      </c>
      <c r="J8" s="22" t="str">
        <f>IF($C8="","",IF($C8="Work",IFERROR(IF(SUMIFS(WORK_TARIFF_RULES!$F:$F,WORK_TARIFF_RULES!$A:$A,$D8,WORK_TARIFF_RULES!$C:$C,$B8)&lt;&gt;"",SUMIFS(WORK_TARIFF_RULES!$F:$F,WORK_TARIFF_RULES!$A:$A,$D8,WORK_TARIFF_RULES!$C:$C,$B8),SUMIFS(TARIFF_PROFILES!$D:$D,TARIFF_PROFILES!$A:$A,$B8)),1),IF($C8="Material",IFERROR(IF(SUMIFS(MATERIAL_TARIFF_RULES!$E:$E,MATERIAL_TARIFF_RULES!$A:$A,$D8,MATERIAL_TARIFF_RULES!$C:$C,$B8)&lt;&gt;"",SUMIFS(MATERIAL_TARIFF_RULES!$E:$E,MATERIAL_TARIFF_RULES!$A:$A,$D8,MATERIAL_TARIFF_RULES!$C:$C,$B8),SUMIFS(TARIFF_PROFILES!$E:$E,TARIFF_PROFILES!$A:$A,$B8)),1),"")))</f>
        <v/>
      </c>
      <c r="K8" s="22" t="str">
        <f>IF($C8="","",IF($C8="Material",IFERROR(SUMIFS(MATERIAL_MASTER!$P:$P,MATERIAL_MASTER!$A:$A,$D8)*IF(SUMIFS(MATERIAL_TARIFF_RULES!$F:$F,MATERIAL_TARIFF_RULES!$A:$A,$D8,MATERIAL_TARIFF_RULES!$C:$C,$B8)="",SUMIFS(TARIFF_PROFILES!$H:$H,TARIFF_PROFILES!$A:$A,$B8),SUMIFS(MATERIAL_TARIFF_RULES!$F:$F,MATERIAL_TARIFF_RULES!$A:$A,$D8,MATERIAL_TARIFF_RULES!$C:$C,$B8)),1),1))</f>
        <v/>
      </c>
      <c r="L8" s="22" t="str">
        <f t="shared" si="0"/>
        <v/>
      </c>
      <c r="M8" s="22" t="str">
        <f t="shared" si="1"/>
        <v/>
      </c>
      <c r="N8" s="22" t="str">
        <f t="shared" si="2"/>
        <v/>
      </c>
      <c r="O8" s="4" t="str">
        <f t="shared" si="3"/>
        <v/>
      </c>
    </row>
    <row r="9" spans="1:15" x14ac:dyDescent="0.3">
      <c r="A9" s="4"/>
      <c r="B9" s="4"/>
      <c r="C9" s="4"/>
      <c r="D9" s="4"/>
      <c r="E9" s="4"/>
      <c r="F9" s="4" t="str">
        <f>IF($C9="","",IF($C9="Work",IFERROR(IF(SUMIFS(WORK_TARIFF_RULES!$G:$G,WORK_TARIFF_RULES!$A:$A,$D9,WORK_TARIFF_RULES!$C:$C,$B9)&lt;&gt;"",SUMIFS(WORK_TARIFF_RULES!$G:$G,WORK_TARIFF_RULES!$A:$A,$D9,WORK_TARIFF_RULES!$C:$C,$B9),SUMIFS(WORK_MASTER!$C:$C,WORK_MASTER!$A:$A,$D9)),""),IF($C9="Material",IFERROR(IF(SUMIFS(MATERIAL_TARIFF_RULES!$G:$G,MATERIAL_TARIFF_RULES!$A:$A,$D9,MATERIAL_TARIFF_RULES!$C:$C,$B9)&lt;&gt;"",SUMIFS(MATERIAL_TARIFF_RULES!$G:$G,MATERIAL_TARIFF_RULES!$A:$A,$D9,MATERIAL_TARIFF_RULES!$C:$C,$B9),SUMIFS(MATERIAL_VARIANTS!$J:$J,MATERIAL_VARIANTS!$A:$A,$E9)),""),"")))</f>
        <v/>
      </c>
      <c r="G9" s="22"/>
      <c r="H9" s="22" t="str">
        <f>IF($C9="","",IF($C9="Work",IFERROR(SUMIFS(WORK_MASTER!$I:$I,WORK_MASTER!$A:$A,$D9),""),IF($C9="Material",IFERROR(SUMIFS(MATERIAL_VARIANTS!$I:$I,MATERIAL_VARIANTS!$A:$A,$E9),""),"")))</f>
        <v/>
      </c>
      <c r="I9" s="22" t="str">
        <f>IF($C9="","",IF($C9="Work",IFERROR(SUMIFS(WORK_FACTOR_APPLICABILITY!$O:$O,WORK_FACTOR_APPLICABILITY!$A:$A,$D9,WORK_FACTOR_APPLICABILITY!$N:$N,$A9),1),IF($C9="Material",IFERROR(ROUND(1+SUMIFS(MATERIAL_FACTOR_APPLICABILITY!$D:$D,MATERIAL_FACTOR_APPLICABILITY!$A:$A,SUMIFS(MATERIAL_MASTER!$O:$O,MATERIAL_MASTER!$A:$A,$D9),MATERIAL_FACTOR_APPLICABILITY!$B:$B,"GeometryComplexity")*(SUMIFS(OBJECT_CONDITIONS!$W:$W,OBJECT_CONDITIONS!$A:$A,$A9)-1),3),1),"")))</f>
        <v/>
      </c>
      <c r="J9" s="22" t="str">
        <f>IF($C9="","",IF($C9="Work",IFERROR(IF(SUMIFS(WORK_TARIFF_RULES!$F:$F,WORK_TARIFF_RULES!$A:$A,$D9,WORK_TARIFF_RULES!$C:$C,$B9)&lt;&gt;"",SUMIFS(WORK_TARIFF_RULES!$F:$F,WORK_TARIFF_RULES!$A:$A,$D9,WORK_TARIFF_RULES!$C:$C,$B9),SUMIFS(TARIFF_PROFILES!$D:$D,TARIFF_PROFILES!$A:$A,$B9)),1),IF($C9="Material",IFERROR(IF(SUMIFS(MATERIAL_TARIFF_RULES!$E:$E,MATERIAL_TARIFF_RULES!$A:$A,$D9,MATERIAL_TARIFF_RULES!$C:$C,$B9)&lt;&gt;"",SUMIFS(MATERIAL_TARIFF_RULES!$E:$E,MATERIAL_TARIFF_RULES!$A:$A,$D9,MATERIAL_TARIFF_RULES!$C:$C,$B9),SUMIFS(TARIFF_PROFILES!$E:$E,TARIFF_PROFILES!$A:$A,$B9)),1),"")))</f>
        <v/>
      </c>
      <c r="K9" s="22" t="str">
        <f>IF($C9="","",IF($C9="Material",IFERROR(SUMIFS(MATERIAL_MASTER!$P:$P,MATERIAL_MASTER!$A:$A,$D9)*IF(SUMIFS(MATERIAL_TARIFF_RULES!$F:$F,MATERIAL_TARIFF_RULES!$A:$A,$D9,MATERIAL_TARIFF_RULES!$C:$C,$B9)="",SUMIFS(TARIFF_PROFILES!$H:$H,TARIFF_PROFILES!$A:$A,$B9),SUMIFS(MATERIAL_TARIFF_RULES!$F:$F,MATERIAL_TARIFF_RULES!$A:$A,$D9,MATERIAL_TARIFF_RULES!$C:$C,$B9)),1),1))</f>
        <v/>
      </c>
      <c r="L9" s="22" t="str">
        <f t="shared" si="0"/>
        <v/>
      </c>
      <c r="M9" s="22" t="str">
        <f t="shared" si="1"/>
        <v/>
      </c>
      <c r="N9" s="22" t="str">
        <f t="shared" si="2"/>
        <v/>
      </c>
      <c r="O9" s="4" t="str">
        <f t="shared" si="3"/>
        <v/>
      </c>
    </row>
    <row r="10" spans="1:15" x14ac:dyDescent="0.3">
      <c r="A10" s="4"/>
      <c r="B10" s="4"/>
      <c r="C10" s="4"/>
      <c r="D10" s="4"/>
      <c r="E10" s="4"/>
      <c r="F10" s="4" t="str">
        <f>IF($C10="","",IF($C10="Work",IFERROR(IF(SUMIFS(WORK_TARIFF_RULES!$G:$G,WORK_TARIFF_RULES!$A:$A,$D10,WORK_TARIFF_RULES!$C:$C,$B10)&lt;&gt;"",SUMIFS(WORK_TARIFF_RULES!$G:$G,WORK_TARIFF_RULES!$A:$A,$D10,WORK_TARIFF_RULES!$C:$C,$B10),SUMIFS(WORK_MASTER!$C:$C,WORK_MASTER!$A:$A,$D10)),""),IF($C10="Material",IFERROR(IF(SUMIFS(MATERIAL_TARIFF_RULES!$G:$G,MATERIAL_TARIFF_RULES!$A:$A,$D10,MATERIAL_TARIFF_RULES!$C:$C,$B10)&lt;&gt;"",SUMIFS(MATERIAL_TARIFF_RULES!$G:$G,MATERIAL_TARIFF_RULES!$A:$A,$D10,MATERIAL_TARIFF_RULES!$C:$C,$B10),SUMIFS(MATERIAL_VARIANTS!$J:$J,MATERIAL_VARIANTS!$A:$A,$E10)),""),"")))</f>
        <v/>
      </c>
      <c r="G10" s="22"/>
      <c r="H10" s="22" t="str">
        <f>IF($C10="","",IF($C10="Work",IFERROR(SUMIFS(WORK_MASTER!$I:$I,WORK_MASTER!$A:$A,$D10),""),IF($C10="Material",IFERROR(SUMIFS(MATERIAL_VARIANTS!$I:$I,MATERIAL_VARIANTS!$A:$A,$E10),""),"")))</f>
        <v/>
      </c>
      <c r="I10" s="22" t="str">
        <f>IF($C10="","",IF($C10="Work",IFERROR(SUMIFS(WORK_FACTOR_APPLICABILITY!$O:$O,WORK_FACTOR_APPLICABILITY!$A:$A,$D10,WORK_FACTOR_APPLICABILITY!$N:$N,$A10),1),IF($C10="Material",IFERROR(ROUND(1+SUMIFS(MATERIAL_FACTOR_APPLICABILITY!$D:$D,MATERIAL_FACTOR_APPLICABILITY!$A:$A,SUMIFS(MATERIAL_MASTER!$O:$O,MATERIAL_MASTER!$A:$A,$D10),MATERIAL_FACTOR_APPLICABILITY!$B:$B,"GeometryComplexity")*(SUMIFS(OBJECT_CONDITIONS!$W:$W,OBJECT_CONDITIONS!$A:$A,$A10)-1),3),1),"")))</f>
        <v/>
      </c>
      <c r="J10" s="22" t="str">
        <f>IF($C10="","",IF($C10="Work",IFERROR(IF(SUMIFS(WORK_TARIFF_RULES!$F:$F,WORK_TARIFF_RULES!$A:$A,$D10,WORK_TARIFF_RULES!$C:$C,$B10)&lt;&gt;"",SUMIFS(WORK_TARIFF_RULES!$F:$F,WORK_TARIFF_RULES!$A:$A,$D10,WORK_TARIFF_RULES!$C:$C,$B10),SUMIFS(TARIFF_PROFILES!$D:$D,TARIFF_PROFILES!$A:$A,$B10)),1),IF($C10="Material",IFERROR(IF(SUMIFS(MATERIAL_TARIFF_RULES!$E:$E,MATERIAL_TARIFF_RULES!$A:$A,$D10,MATERIAL_TARIFF_RULES!$C:$C,$B10)&lt;&gt;"",SUMIFS(MATERIAL_TARIFF_RULES!$E:$E,MATERIAL_TARIFF_RULES!$A:$A,$D10,MATERIAL_TARIFF_RULES!$C:$C,$B10),SUMIFS(TARIFF_PROFILES!$E:$E,TARIFF_PROFILES!$A:$A,$B10)),1),"")))</f>
        <v/>
      </c>
      <c r="K10" s="22" t="str">
        <f>IF($C10="","",IF($C10="Material",IFERROR(SUMIFS(MATERIAL_MASTER!$P:$P,MATERIAL_MASTER!$A:$A,$D10)*IF(SUMIFS(MATERIAL_TARIFF_RULES!$F:$F,MATERIAL_TARIFF_RULES!$A:$A,$D10,MATERIAL_TARIFF_RULES!$C:$C,$B10)="",SUMIFS(TARIFF_PROFILES!$H:$H,TARIFF_PROFILES!$A:$A,$B10),SUMIFS(MATERIAL_TARIFF_RULES!$F:$F,MATERIAL_TARIFF_RULES!$A:$A,$D10,MATERIAL_TARIFF_RULES!$C:$C,$B10)),1),1))</f>
        <v/>
      </c>
      <c r="L10" s="22" t="str">
        <f t="shared" si="0"/>
        <v/>
      </c>
      <c r="M10" s="22" t="str">
        <f t="shared" si="1"/>
        <v/>
      </c>
      <c r="N10" s="22" t="str">
        <f t="shared" si="2"/>
        <v/>
      </c>
      <c r="O10" s="4" t="str">
        <f t="shared" si="3"/>
        <v/>
      </c>
    </row>
    <row r="11" spans="1:15" x14ac:dyDescent="0.3">
      <c r="A11" s="4"/>
      <c r="B11" s="4"/>
      <c r="C11" s="4"/>
      <c r="D11" s="4"/>
      <c r="E11" s="4"/>
      <c r="F11" s="4" t="str">
        <f>IF($C11="","",IF($C11="Work",IFERROR(IF(SUMIFS(WORK_TARIFF_RULES!$G:$G,WORK_TARIFF_RULES!$A:$A,$D11,WORK_TARIFF_RULES!$C:$C,$B11)&lt;&gt;"",SUMIFS(WORK_TARIFF_RULES!$G:$G,WORK_TARIFF_RULES!$A:$A,$D11,WORK_TARIFF_RULES!$C:$C,$B11),SUMIFS(WORK_MASTER!$C:$C,WORK_MASTER!$A:$A,$D11)),""),IF($C11="Material",IFERROR(IF(SUMIFS(MATERIAL_TARIFF_RULES!$G:$G,MATERIAL_TARIFF_RULES!$A:$A,$D11,MATERIAL_TARIFF_RULES!$C:$C,$B11)&lt;&gt;"",SUMIFS(MATERIAL_TARIFF_RULES!$G:$G,MATERIAL_TARIFF_RULES!$A:$A,$D11,MATERIAL_TARIFF_RULES!$C:$C,$B11),SUMIFS(MATERIAL_VARIANTS!$J:$J,MATERIAL_VARIANTS!$A:$A,$E11)),""),"")))</f>
        <v/>
      </c>
      <c r="G11" s="22"/>
      <c r="H11" s="22" t="str">
        <f>IF($C11="","",IF($C11="Work",IFERROR(SUMIFS(WORK_MASTER!$I:$I,WORK_MASTER!$A:$A,$D11),""),IF($C11="Material",IFERROR(SUMIFS(MATERIAL_VARIANTS!$I:$I,MATERIAL_VARIANTS!$A:$A,$E11),""),"")))</f>
        <v/>
      </c>
      <c r="I11" s="22" t="str">
        <f>IF($C11="","",IF($C11="Work",IFERROR(SUMIFS(WORK_FACTOR_APPLICABILITY!$O:$O,WORK_FACTOR_APPLICABILITY!$A:$A,$D11,WORK_FACTOR_APPLICABILITY!$N:$N,$A11),1),IF($C11="Material",IFERROR(ROUND(1+SUMIFS(MATERIAL_FACTOR_APPLICABILITY!$D:$D,MATERIAL_FACTOR_APPLICABILITY!$A:$A,SUMIFS(MATERIAL_MASTER!$O:$O,MATERIAL_MASTER!$A:$A,$D11),MATERIAL_FACTOR_APPLICABILITY!$B:$B,"GeometryComplexity")*(SUMIFS(OBJECT_CONDITIONS!$W:$W,OBJECT_CONDITIONS!$A:$A,$A11)-1),3),1),"")))</f>
        <v/>
      </c>
      <c r="J11" s="22" t="str">
        <f>IF($C11="","",IF($C11="Work",IFERROR(IF(SUMIFS(WORK_TARIFF_RULES!$F:$F,WORK_TARIFF_RULES!$A:$A,$D11,WORK_TARIFF_RULES!$C:$C,$B11)&lt;&gt;"",SUMIFS(WORK_TARIFF_RULES!$F:$F,WORK_TARIFF_RULES!$A:$A,$D11,WORK_TARIFF_RULES!$C:$C,$B11),SUMIFS(TARIFF_PROFILES!$D:$D,TARIFF_PROFILES!$A:$A,$B11)),1),IF($C11="Material",IFERROR(IF(SUMIFS(MATERIAL_TARIFF_RULES!$E:$E,MATERIAL_TARIFF_RULES!$A:$A,$D11,MATERIAL_TARIFF_RULES!$C:$C,$B11)&lt;&gt;"",SUMIFS(MATERIAL_TARIFF_RULES!$E:$E,MATERIAL_TARIFF_RULES!$A:$A,$D11,MATERIAL_TARIFF_RULES!$C:$C,$B11),SUMIFS(TARIFF_PROFILES!$E:$E,TARIFF_PROFILES!$A:$A,$B11)),1),"")))</f>
        <v/>
      </c>
      <c r="K11" s="22" t="str">
        <f>IF($C11="","",IF($C11="Material",IFERROR(SUMIFS(MATERIAL_MASTER!$P:$P,MATERIAL_MASTER!$A:$A,$D11)*IF(SUMIFS(MATERIAL_TARIFF_RULES!$F:$F,MATERIAL_TARIFF_RULES!$A:$A,$D11,MATERIAL_TARIFF_RULES!$C:$C,$B11)="",SUMIFS(TARIFF_PROFILES!$H:$H,TARIFF_PROFILES!$A:$A,$B11),SUMIFS(MATERIAL_TARIFF_RULES!$F:$F,MATERIAL_TARIFF_RULES!$A:$A,$D11,MATERIAL_TARIFF_RULES!$C:$C,$B11)),1),1))</f>
        <v/>
      </c>
      <c r="L11" s="22" t="str">
        <f t="shared" si="0"/>
        <v/>
      </c>
      <c r="M11" s="22" t="str">
        <f t="shared" si="1"/>
        <v/>
      </c>
      <c r="N11" s="22" t="str">
        <f t="shared" si="2"/>
        <v/>
      </c>
      <c r="O11" s="4" t="str">
        <f t="shared" si="3"/>
        <v/>
      </c>
    </row>
    <row r="12" spans="1:15" x14ac:dyDescent="0.3">
      <c r="A12" s="4"/>
      <c r="B12" s="4"/>
      <c r="C12" s="4"/>
      <c r="D12" s="4"/>
      <c r="E12" s="4"/>
      <c r="F12" s="4" t="str">
        <f>IF($C12="","",IF($C12="Work",IFERROR(IF(SUMIFS(WORK_TARIFF_RULES!$G:$G,WORK_TARIFF_RULES!$A:$A,$D12,WORK_TARIFF_RULES!$C:$C,$B12)&lt;&gt;"",SUMIFS(WORK_TARIFF_RULES!$G:$G,WORK_TARIFF_RULES!$A:$A,$D12,WORK_TARIFF_RULES!$C:$C,$B12),SUMIFS(WORK_MASTER!$C:$C,WORK_MASTER!$A:$A,$D12)),""),IF($C12="Material",IFERROR(IF(SUMIFS(MATERIAL_TARIFF_RULES!$G:$G,MATERIAL_TARIFF_RULES!$A:$A,$D12,MATERIAL_TARIFF_RULES!$C:$C,$B12)&lt;&gt;"",SUMIFS(MATERIAL_TARIFF_RULES!$G:$G,MATERIAL_TARIFF_RULES!$A:$A,$D12,MATERIAL_TARIFF_RULES!$C:$C,$B12),SUMIFS(MATERIAL_VARIANTS!$J:$J,MATERIAL_VARIANTS!$A:$A,$E12)),""),"")))</f>
        <v/>
      </c>
      <c r="G12" s="22"/>
      <c r="H12" s="22" t="str">
        <f>IF($C12="","",IF($C12="Work",IFERROR(SUMIFS(WORK_MASTER!$I:$I,WORK_MASTER!$A:$A,$D12),""),IF($C12="Material",IFERROR(SUMIFS(MATERIAL_VARIANTS!$I:$I,MATERIAL_VARIANTS!$A:$A,$E12),""),"")))</f>
        <v/>
      </c>
      <c r="I12" s="22" t="str">
        <f>IF($C12="","",IF($C12="Work",IFERROR(SUMIFS(WORK_FACTOR_APPLICABILITY!$O:$O,WORK_FACTOR_APPLICABILITY!$A:$A,$D12,WORK_FACTOR_APPLICABILITY!$N:$N,$A12),1),IF($C12="Material",IFERROR(ROUND(1+SUMIFS(MATERIAL_FACTOR_APPLICABILITY!$D:$D,MATERIAL_FACTOR_APPLICABILITY!$A:$A,SUMIFS(MATERIAL_MASTER!$O:$O,MATERIAL_MASTER!$A:$A,$D12),MATERIAL_FACTOR_APPLICABILITY!$B:$B,"GeometryComplexity")*(SUMIFS(OBJECT_CONDITIONS!$W:$W,OBJECT_CONDITIONS!$A:$A,$A12)-1),3),1),"")))</f>
        <v/>
      </c>
      <c r="J12" s="22" t="str">
        <f>IF($C12="","",IF($C12="Work",IFERROR(IF(SUMIFS(WORK_TARIFF_RULES!$F:$F,WORK_TARIFF_RULES!$A:$A,$D12,WORK_TARIFF_RULES!$C:$C,$B12)&lt;&gt;"",SUMIFS(WORK_TARIFF_RULES!$F:$F,WORK_TARIFF_RULES!$A:$A,$D12,WORK_TARIFF_RULES!$C:$C,$B12),SUMIFS(TARIFF_PROFILES!$D:$D,TARIFF_PROFILES!$A:$A,$B12)),1),IF($C12="Material",IFERROR(IF(SUMIFS(MATERIAL_TARIFF_RULES!$E:$E,MATERIAL_TARIFF_RULES!$A:$A,$D12,MATERIAL_TARIFF_RULES!$C:$C,$B12)&lt;&gt;"",SUMIFS(MATERIAL_TARIFF_RULES!$E:$E,MATERIAL_TARIFF_RULES!$A:$A,$D12,MATERIAL_TARIFF_RULES!$C:$C,$B12),SUMIFS(TARIFF_PROFILES!$E:$E,TARIFF_PROFILES!$A:$A,$B12)),1),"")))</f>
        <v/>
      </c>
      <c r="K12" s="22" t="str">
        <f>IF($C12="","",IF($C12="Material",IFERROR(SUMIFS(MATERIAL_MASTER!$P:$P,MATERIAL_MASTER!$A:$A,$D12)*IF(SUMIFS(MATERIAL_TARIFF_RULES!$F:$F,MATERIAL_TARIFF_RULES!$A:$A,$D12,MATERIAL_TARIFF_RULES!$C:$C,$B12)="",SUMIFS(TARIFF_PROFILES!$H:$H,TARIFF_PROFILES!$A:$A,$B12),SUMIFS(MATERIAL_TARIFF_RULES!$F:$F,MATERIAL_TARIFF_RULES!$A:$A,$D12,MATERIAL_TARIFF_RULES!$C:$C,$B12)),1),1))</f>
        <v/>
      </c>
      <c r="L12" s="22" t="str">
        <f t="shared" si="0"/>
        <v/>
      </c>
      <c r="M12" s="22" t="str">
        <f t="shared" si="1"/>
        <v/>
      </c>
      <c r="N12" s="22" t="str">
        <f t="shared" si="2"/>
        <v/>
      </c>
      <c r="O12" s="4" t="str">
        <f t="shared" si="3"/>
        <v/>
      </c>
    </row>
    <row r="13" spans="1:15" x14ac:dyDescent="0.3">
      <c r="A13" s="4"/>
      <c r="B13" s="4"/>
      <c r="C13" s="4"/>
      <c r="D13" s="4"/>
      <c r="E13" s="4"/>
      <c r="F13" s="4" t="str">
        <f>IF($C13="","",IF($C13="Work",IFERROR(IF(SUMIFS(WORK_TARIFF_RULES!$G:$G,WORK_TARIFF_RULES!$A:$A,$D13,WORK_TARIFF_RULES!$C:$C,$B13)&lt;&gt;"",SUMIFS(WORK_TARIFF_RULES!$G:$G,WORK_TARIFF_RULES!$A:$A,$D13,WORK_TARIFF_RULES!$C:$C,$B13),SUMIFS(WORK_MASTER!$C:$C,WORK_MASTER!$A:$A,$D13)),""),IF($C13="Material",IFERROR(IF(SUMIFS(MATERIAL_TARIFF_RULES!$G:$G,MATERIAL_TARIFF_RULES!$A:$A,$D13,MATERIAL_TARIFF_RULES!$C:$C,$B13)&lt;&gt;"",SUMIFS(MATERIAL_TARIFF_RULES!$G:$G,MATERIAL_TARIFF_RULES!$A:$A,$D13,MATERIAL_TARIFF_RULES!$C:$C,$B13),SUMIFS(MATERIAL_VARIANTS!$J:$J,MATERIAL_VARIANTS!$A:$A,$E13)),""),"")))</f>
        <v/>
      </c>
      <c r="G13" s="22"/>
      <c r="H13" s="22" t="str">
        <f>IF($C13="","",IF($C13="Work",IFERROR(SUMIFS(WORK_MASTER!$I:$I,WORK_MASTER!$A:$A,$D13),""),IF($C13="Material",IFERROR(SUMIFS(MATERIAL_VARIANTS!$I:$I,MATERIAL_VARIANTS!$A:$A,$E13),""),"")))</f>
        <v/>
      </c>
      <c r="I13" s="22" t="str">
        <f>IF($C13="","",IF($C13="Work",IFERROR(SUMIFS(WORK_FACTOR_APPLICABILITY!$O:$O,WORK_FACTOR_APPLICABILITY!$A:$A,$D13,WORK_FACTOR_APPLICABILITY!$N:$N,$A13),1),IF($C13="Material",IFERROR(ROUND(1+SUMIFS(MATERIAL_FACTOR_APPLICABILITY!$D:$D,MATERIAL_FACTOR_APPLICABILITY!$A:$A,SUMIFS(MATERIAL_MASTER!$O:$O,MATERIAL_MASTER!$A:$A,$D13),MATERIAL_FACTOR_APPLICABILITY!$B:$B,"GeometryComplexity")*(SUMIFS(OBJECT_CONDITIONS!$W:$W,OBJECT_CONDITIONS!$A:$A,$A13)-1),3),1),"")))</f>
        <v/>
      </c>
      <c r="J13" s="22" t="str">
        <f>IF($C13="","",IF($C13="Work",IFERROR(IF(SUMIFS(WORK_TARIFF_RULES!$F:$F,WORK_TARIFF_RULES!$A:$A,$D13,WORK_TARIFF_RULES!$C:$C,$B13)&lt;&gt;"",SUMIFS(WORK_TARIFF_RULES!$F:$F,WORK_TARIFF_RULES!$A:$A,$D13,WORK_TARIFF_RULES!$C:$C,$B13),SUMIFS(TARIFF_PROFILES!$D:$D,TARIFF_PROFILES!$A:$A,$B13)),1),IF($C13="Material",IFERROR(IF(SUMIFS(MATERIAL_TARIFF_RULES!$E:$E,MATERIAL_TARIFF_RULES!$A:$A,$D13,MATERIAL_TARIFF_RULES!$C:$C,$B13)&lt;&gt;"",SUMIFS(MATERIAL_TARIFF_RULES!$E:$E,MATERIAL_TARIFF_RULES!$A:$A,$D13,MATERIAL_TARIFF_RULES!$C:$C,$B13),SUMIFS(TARIFF_PROFILES!$E:$E,TARIFF_PROFILES!$A:$A,$B13)),1),"")))</f>
        <v/>
      </c>
      <c r="K13" s="22" t="str">
        <f>IF($C13="","",IF($C13="Material",IFERROR(SUMIFS(MATERIAL_MASTER!$P:$P,MATERIAL_MASTER!$A:$A,$D13)*IF(SUMIFS(MATERIAL_TARIFF_RULES!$F:$F,MATERIAL_TARIFF_RULES!$A:$A,$D13,MATERIAL_TARIFF_RULES!$C:$C,$B13)="",SUMIFS(TARIFF_PROFILES!$H:$H,TARIFF_PROFILES!$A:$A,$B13),SUMIFS(MATERIAL_TARIFF_RULES!$F:$F,MATERIAL_TARIFF_RULES!$A:$A,$D13,MATERIAL_TARIFF_RULES!$C:$C,$B13)),1),1))</f>
        <v/>
      </c>
      <c r="L13" s="22" t="str">
        <f t="shared" si="0"/>
        <v/>
      </c>
      <c r="M13" s="22" t="str">
        <f t="shared" si="1"/>
        <v/>
      </c>
      <c r="N13" s="22" t="str">
        <f t="shared" si="2"/>
        <v/>
      </c>
      <c r="O13" s="4" t="str">
        <f t="shared" si="3"/>
        <v/>
      </c>
    </row>
    <row r="14" spans="1:15" x14ac:dyDescent="0.3">
      <c r="A14" s="4"/>
      <c r="B14" s="4"/>
      <c r="C14" s="4"/>
      <c r="D14" s="4"/>
      <c r="E14" s="4"/>
      <c r="F14" s="4" t="str">
        <f>IF($C14="","",IF($C14="Work",IFERROR(IF(SUMIFS(WORK_TARIFF_RULES!$G:$G,WORK_TARIFF_RULES!$A:$A,$D14,WORK_TARIFF_RULES!$C:$C,$B14)&lt;&gt;"",SUMIFS(WORK_TARIFF_RULES!$G:$G,WORK_TARIFF_RULES!$A:$A,$D14,WORK_TARIFF_RULES!$C:$C,$B14),SUMIFS(WORK_MASTER!$C:$C,WORK_MASTER!$A:$A,$D14)),""),IF($C14="Material",IFERROR(IF(SUMIFS(MATERIAL_TARIFF_RULES!$G:$G,MATERIAL_TARIFF_RULES!$A:$A,$D14,MATERIAL_TARIFF_RULES!$C:$C,$B14)&lt;&gt;"",SUMIFS(MATERIAL_TARIFF_RULES!$G:$G,MATERIAL_TARIFF_RULES!$A:$A,$D14,MATERIAL_TARIFF_RULES!$C:$C,$B14),SUMIFS(MATERIAL_VARIANTS!$J:$J,MATERIAL_VARIANTS!$A:$A,$E14)),""),"")))</f>
        <v/>
      </c>
      <c r="G14" s="22"/>
      <c r="H14" s="22" t="str">
        <f>IF($C14="","",IF($C14="Work",IFERROR(SUMIFS(WORK_MASTER!$I:$I,WORK_MASTER!$A:$A,$D14),""),IF($C14="Material",IFERROR(SUMIFS(MATERIAL_VARIANTS!$I:$I,MATERIAL_VARIANTS!$A:$A,$E14),""),"")))</f>
        <v/>
      </c>
      <c r="I14" s="22" t="str">
        <f>IF($C14="","",IF($C14="Work",IFERROR(SUMIFS(WORK_FACTOR_APPLICABILITY!$O:$O,WORK_FACTOR_APPLICABILITY!$A:$A,$D14,WORK_FACTOR_APPLICABILITY!$N:$N,$A14),1),IF($C14="Material",IFERROR(ROUND(1+SUMIFS(MATERIAL_FACTOR_APPLICABILITY!$D:$D,MATERIAL_FACTOR_APPLICABILITY!$A:$A,SUMIFS(MATERIAL_MASTER!$O:$O,MATERIAL_MASTER!$A:$A,$D14),MATERIAL_FACTOR_APPLICABILITY!$B:$B,"GeometryComplexity")*(SUMIFS(OBJECT_CONDITIONS!$W:$W,OBJECT_CONDITIONS!$A:$A,$A14)-1),3),1),"")))</f>
        <v/>
      </c>
      <c r="J14" s="22" t="str">
        <f>IF($C14="","",IF($C14="Work",IFERROR(IF(SUMIFS(WORK_TARIFF_RULES!$F:$F,WORK_TARIFF_RULES!$A:$A,$D14,WORK_TARIFF_RULES!$C:$C,$B14)&lt;&gt;"",SUMIFS(WORK_TARIFF_RULES!$F:$F,WORK_TARIFF_RULES!$A:$A,$D14,WORK_TARIFF_RULES!$C:$C,$B14),SUMIFS(TARIFF_PROFILES!$D:$D,TARIFF_PROFILES!$A:$A,$B14)),1),IF($C14="Material",IFERROR(IF(SUMIFS(MATERIAL_TARIFF_RULES!$E:$E,MATERIAL_TARIFF_RULES!$A:$A,$D14,MATERIAL_TARIFF_RULES!$C:$C,$B14)&lt;&gt;"",SUMIFS(MATERIAL_TARIFF_RULES!$E:$E,MATERIAL_TARIFF_RULES!$A:$A,$D14,MATERIAL_TARIFF_RULES!$C:$C,$B14),SUMIFS(TARIFF_PROFILES!$E:$E,TARIFF_PROFILES!$A:$A,$B14)),1),"")))</f>
        <v/>
      </c>
      <c r="K14" s="22" t="str">
        <f>IF($C14="","",IF($C14="Material",IFERROR(SUMIFS(MATERIAL_MASTER!$P:$P,MATERIAL_MASTER!$A:$A,$D14)*IF(SUMIFS(MATERIAL_TARIFF_RULES!$F:$F,MATERIAL_TARIFF_RULES!$A:$A,$D14,MATERIAL_TARIFF_RULES!$C:$C,$B14)="",SUMIFS(TARIFF_PROFILES!$H:$H,TARIFF_PROFILES!$A:$A,$B14),SUMIFS(MATERIAL_TARIFF_RULES!$F:$F,MATERIAL_TARIFF_RULES!$A:$A,$D14,MATERIAL_TARIFF_RULES!$C:$C,$B14)),1),1))</f>
        <v/>
      </c>
      <c r="L14" s="22" t="str">
        <f t="shared" si="0"/>
        <v/>
      </c>
      <c r="M14" s="22" t="str">
        <f t="shared" si="1"/>
        <v/>
      </c>
      <c r="N14" s="22" t="str">
        <f t="shared" si="2"/>
        <v/>
      </c>
      <c r="O14" s="4" t="str">
        <f t="shared" si="3"/>
        <v/>
      </c>
    </row>
    <row r="15" spans="1:15" x14ac:dyDescent="0.3">
      <c r="A15" s="4"/>
      <c r="B15" s="4"/>
      <c r="C15" s="4"/>
      <c r="D15" s="4"/>
      <c r="E15" s="4"/>
      <c r="F15" s="4" t="str">
        <f>IF($C15="","",IF($C15="Work",IFERROR(IF(SUMIFS(WORK_TARIFF_RULES!$G:$G,WORK_TARIFF_RULES!$A:$A,$D15,WORK_TARIFF_RULES!$C:$C,$B15)&lt;&gt;"",SUMIFS(WORK_TARIFF_RULES!$G:$G,WORK_TARIFF_RULES!$A:$A,$D15,WORK_TARIFF_RULES!$C:$C,$B15),SUMIFS(WORK_MASTER!$C:$C,WORK_MASTER!$A:$A,$D15)),""),IF($C15="Material",IFERROR(IF(SUMIFS(MATERIAL_TARIFF_RULES!$G:$G,MATERIAL_TARIFF_RULES!$A:$A,$D15,MATERIAL_TARIFF_RULES!$C:$C,$B15)&lt;&gt;"",SUMIFS(MATERIAL_TARIFF_RULES!$G:$G,MATERIAL_TARIFF_RULES!$A:$A,$D15,MATERIAL_TARIFF_RULES!$C:$C,$B15),SUMIFS(MATERIAL_VARIANTS!$J:$J,MATERIAL_VARIANTS!$A:$A,$E15)),""),"")))</f>
        <v/>
      </c>
      <c r="G15" s="22"/>
      <c r="H15" s="22" t="str">
        <f>IF($C15="","",IF($C15="Work",IFERROR(SUMIFS(WORK_MASTER!$I:$I,WORK_MASTER!$A:$A,$D15),""),IF($C15="Material",IFERROR(SUMIFS(MATERIAL_VARIANTS!$I:$I,MATERIAL_VARIANTS!$A:$A,$E15),""),"")))</f>
        <v/>
      </c>
      <c r="I15" s="22" t="str">
        <f>IF($C15="","",IF($C15="Work",IFERROR(SUMIFS(WORK_FACTOR_APPLICABILITY!$O:$O,WORK_FACTOR_APPLICABILITY!$A:$A,$D15,WORK_FACTOR_APPLICABILITY!$N:$N,$A15),1),IF($C15="Material",IFERROR(ROUND(1+SUMIFS(MATERIAL_FACTOR_APPLICABILITY!$D:$D,MATERIAL_FACTOR_APPLICABILITY!$A:$A,SUMIFS(MATERIAL_MASTER!$O:$O,MATERIAL_MASTER!$A:$A,$D15),MATERIAL_FACTOR_APPLICABILITY!$B:$B,"GeometryComplexity")*(SUMIFS(OBJECT_CONDITIONS!$W:$W,OBJECT_CONDITIONS!$A:$A,$A15)-1),3),1),"")))</f>
        <v/>
      </c>
      <c r="J15" s="22" t="str">
        <f>IF($C15="","",IF($C15="Work",IFERROR(IF(SUMIFS(WORK_TARIFF_RULES!$F:$F,WORK_TARIFF_RULES!$A:$A,$D15,WORK_TARIFF_RULES!$C:$C,$B15)&lt;&gt;"",SUMIFS(WORK_TARIFF_RULES!$F:$F,WORK_TARIFF_RULES!$A:$A,$D15,WORK_TARIFF_RULES!$C:$C,$B15),SUMIFS(TARIFF_PROFILES!$D:$D,TARIFF_PROFILES!$A:$A,$B15)),1),IF($C15="Material",IFERROR(IF(SUMIFS(MATERIAL_TARIFF_RULES!$E:$E,MATERIAL_TARIFF_RULES!$A:$A,$D15,MATERIAL_TARIFF_RULES!$C:$C,$B15)&lt;&gt;"",SUMIFS(MATERIAL_TARIFF_RULES!$E:$E,MATERIAL_TARIFF_RULES!$A:$A,$D15,MATERIAL_TARIFF_RULES!$C:$C,$B15),SUMIFS(TARIFF_PROFILES!$E:$E,TARIFF_PROFILES!$A:$A,$B15)),1),"")))</f>
        <v/>
      </c>
      <c r="K15" s="22" t="str">
        <f>IF($C15="","",IF($C15="Material",IFERROR(SUMIFS(MATERIAL_MASTER!$P:$P,MATERIAL_MASTER!$A:$A,$D15)*IF(SUMIFS(MATERIAL_TARIFF_RULES!$F:$F,MATERIAL_TARIFF_RULES!$A:$A,$D15,MATERIAL_TARIFF_RULES!$C:$C,$B15)="",SUMIFS(TARIFF_PROFILES!$H:$H,TARIFF_PROFILES!$A:$A,$B15),SUMIFS(MATERIAL_TARIFF_RULES!$F:$F,MATERIAL_TARIFF_RULES!$A:$A,$D15,MATERIAL_TARIFF_RULES!$C:$C,$B15)),1),1))</f>
        <v/>
      </c>
      <c r="L15" s="22" t="str">
        <f t="shared" si="0"/>
        <v/>
      </c>
      <c r="M15" s="22" t="str">
        <f t="shared" si="1"/>
        <v/>
      </c>
      <c r="N15" s="22" t="str">
        <f t="shared" si="2"/>
        <v/>
      </c>
      <c r="O15" s="4" t="str">
        <f t="shared" si="3"/>
        <v/>
      </c>
    </row>
    <row r="16" spans="1:15" x14ac:dyDescent="0.3">
      <c r="A16" s="4"/>
      <c r="B16" s="4"/>
      <c r="C16" s="4"/>
      <c r="D16" s="4"/>
      <c r="E16" s="4"/>
      <c r="F16" s="4" t="str">
        <f>IF($C16="","",IF($C16="Work",IFERROR(IF(SUMIFS(WORK_TARIFF_RULES!$G:$G,WORK_TARIFF_RULES!$A:$A,$D16,WORK_TARIFF_RULES!$C:$C,$B16)&lt;&gt;"",SUMIFS(WORK_TARIFF_RULES!$G:$G,WORK_TARIFF_RULES!$A:$A,$D16,WORK_TARIFF_RULES!$C:$C,$B16),SUMIFS(WORK_MASTER!$C:$C,WORK_MASTER!$A:$A,$D16)),""),IF($C16="Material",IFERROR(IF(SUMIFS(MATERIAL_TARIFF_RULES!$G:$G,MATERIAL_TARIFF_RULES!$A:$A,$D16,MATERIAL_TARIFF_RULES!$C:$C,$B16)&lt;&gt;"",SUMIFS(MATERIAL_TARIFF_RULES!$G:$G,MATERIAL_TARIFF_RULES!$A:$A,$D16,MATERIAL_TARIFF_RULES!$C:$C,$B16),SUMIFS(MATERIAL_VARIANTS!$J:$J,MATERIAL_VARIANTS!$A:$A,$E16)),""),"")))</f>
        <v/>
      </c>
      <c r="G16" s="22"/>
      <c r="H16" s="22" t="str">
        <f>IF($C16="","",IF($C16="Work",IFERROR(SUMIFS(WORK_MASTER!$I:$I,WORK_MASTER!$A:$A,$D16),""),IF($C16="Material",IFERROR(SUMIFS(MATERIAL_VARIANTS!$I:$I,MATERIAL_VARIANTS!$A:$A,$E16),""),"")))</f>
        <v/>
      </c>
      <c r="I16" s="22" t="str">
        <f>IF($C16="","",IF($C16="Work",IFERROR(SUMIFS(WORK_FACTOR_APPLICABILITY!$O:$O,WORK_FACTOR_APPLICABILITY!$A:$A,$D16,WORK_FACTOR_APPLICABILITY!$N:$N,$A16),1),IF($C16="Material",IFERROR(ROUND(1+SUMIFS(MATERIAL_FACTOR_APPLICABILITY!$D:$D,MATERIAL_FACTOR_APPLICABILITY!$A:$A,SUMIFS(MATERIAL_MASTER!$O:$O,MATERIAL_MASTER!$A:$A,$D16),MATERIAL_FACTOR_APPLICABILITY!$B:$B,"GeometryComplexity")*(SUMIFS(OBJECT_CONDITIONS!$W:$W,OBJECT_CONDITIONS!$A:$A,$A16)-1),3),1),"")))</f>
        <v/>
      </c>
      <c r="J16" s="22" t="str">
        <f>IF($C16="","",IF($C16="Work",IFERROR(IF(SUMIFS(WORK_TARIFF_RULES!$F:$F,WORK_TARIFF_RULES!$A:$A,$D16,WORK_TARIFF_RULES!$C:$C,$B16)&lt;&gt;"",SUMIFS(WORK_TARIFF_RULES!$F:$F,WORK_TARIFF_RULES!$A:$A,$D16,WORK_TARIFF_RULES!$C:$C,$B16),SUMIFS(TARIFF_PROFILES!$D:$D,TARIFF_PROFILES!$A:$A,$B16)),1),IF($C16="Material",IFERROR(IF(SUMIFS(MATERIAL_TARIFF_RULES!$E:$E,MATERIAL_TARIFF_RULES!$A:$A,$D16,MATERIAL_TARIFF_RULES!$C:$C,$B16)&lt;&gt;"",SUMIFS(MATERIAL_TARIFF_RULES!$E:$E,MATERIAL_TARIFF_RULES!$A:$A,$D16,MATERIAL_TARIFF_RULES!$C:$C,$B16),SUMIFS(TARIFF_PROFILES!$E:$E,TARIFF_PROFILES!$A:$A,$B16)),1),"")))</f>
        <v/>
      </c>
      <c r="K16" s="22" t="str">
        <f>IF($C16="","",IF($C16="Material",IFERROR(SUMIFS(MATERIAL_MASTER!$P:$P,MATERIAL_MASTER!$A:$A,$D16)*IF(SUMIFS(MATERIAL_TARIFF_RULES!$F:$F,MATERIAL_TARIFF_RULES!$A:$A,$D16,MATERIAL_TARIFF_RULES!$C:$C,$B16)="",SUMIFS(TARIFF_PROFILES!$H:$H,TARIFF_PROFILES!$A:$A,$B16),SUMIFS(MATERIAL_TARIFF_RULES!$F:$F,MATERIAL_TARIFF_RULES!$A:$A,$D16,MATERIAL_TARIFF_RULES!$C:$C,$B16)),1),1))</f>
        <v/>
      </c>
      <c r="L16" s="22" t="str">
        <f t="shared" si="0"/>
        <v/>
      </c>
      <c r="M16" s="22" t="str">
        <f t="shared" si="1"/>
        <v/>
      </c>
      <c r="N16" s="22" t="str">
        <f t="shared" si="2"/>
        <v/>
      </c>
      <c r="O16" s="4" t="str">
        <f t="shared" si="3"/>
        <v/>
      </c>
    </row>
    <row r="17" spans="1:15" x14ac:dyDescent="0.3">
      <c r="A17" s="4"/>
      <c r="B17" s="4"/>
      <c r="C17" s="4"/>
      <c r="D17" s="4"/>
      <c r="E17" s="4"/>
      <c r="F17" s="4" t="str">
        <f>IF($C17="","",IF($C17="Work",IFERROR(IF(SUMIFS(WORK_TARIFF_RULES!$G:$G,WORK_TARIFF_RULES!$A:$A,$D17,WORK_TARIFF_RULES!$C:$C,$B17)&lt;&gt;"",SUMIFS(WORK_TARIFF_RULES!$G:$G,WORK_TARIFF_RULES!$A:$A,$D17,WORK_TARIFF_RULES!$C:$C,$B17),SUMIFS(WORK_MASTER!$C:$C,WORK_MASTER!$A:$A,$D17)),""),IF($C17="Material",IFERROR(IF(SUMIFS(MATERIAL_TARIFF_RULES!$G:$G,MATERIAL_TARIFF_RULES!$A:$A,$D17,MATERIAL_TARIFF_RULES!$C:$C,$B17)&lt;&gt;"",SUMIFS(MATERIAL_TARIFF_RULES!$G:$G,MATERIAL_TARIFF_RULES!$A:$A,$D17,MATERIAL_TARIFF_RULES!$C:$C,$B17),SUMIFS(MATERIAL_VARIANTS!$J:$J,MATERIAL_VARIANTS!$A:$A,$E17)),""),"")))</f>
        <v/>
      </c>
      <c r="G17" s="22"/>
      <c r="H17" s="22" t="str">
        <f>IF($C17="","",IF($C17="Work",IFERROR(SUMIFS(WORK_MASTER!$I:$I,WORK_MASTER!$A:$A,$D17),""),IF($C17="Material",IFERROR(SUMIFS(MATERIAL_VARIANTS!$I:$I,MATERIAL_VARIANTS!$A:$A,$E17),""),"")))</f>
        <v/>
      </c>
      <c r="I17" s="22" t="str">
        <f>IF($C17="","",IF($C17="Work",IFERROR(SUMIFS(WORK_FACTOR_APPLICABILITY!$O:$O,WORK_FACTOR_APPLICABILITY!$A:$A,$D17,WORK_FACTOR_APPLICABILITY!$N:$N,$A17),1),IF($C17="Material",IFERROR(ROUND(1+SUMIFS(MATERIAL_FACTOR_APPLICABILITY!$D:$D,MATERIAL_FACTOR_APPLICABILITY!$A:$A,SUMIFS(MATERIAL_MASTER!$O:$O,MATERIAL_MASTER!$A:$A,$D17),MATERIAL_FACTOR_APPLICABILITY!$B:$B,"GeometryComplexity")*(SUMIFS(OBJECT_CONDITIONS!$W:$W,OBJECT_CONDITIONS!$A:$A,$A17)-1),3),1),"")))</f>
        <v/>
      </c>
      <c r="J17" s="22" t="str">
        <f>IF($C17="","",IF($C17="Work",IFERROR(IF(SUMIFS(WORK_TARIFF_RULES!$F:$F,WORK_TARIFF_RULES!$A:$A,$D17,WORK_TARIFF_RULES!$C:$C,$B17)&lt;&gt;"",SUMIFS(WORK_TARIFF_RULES!$F:$F,WORK_TARIFF_RULES!$A:$A,$D17,WORK_TARIFF_RULES!$C:$C,$B17),SUMIFS(TARIFF_PROFILES!$D:$D,TARIFF_PROFILES!$A:$A,$B17)),1),IF($C17="Material",IFERROR(IF(SUMIFS(MATERIAL_TARIFF_RULES!$E:$E,MATERIAL_TARIFF_RULES!$A:$A,$D17,MATERIAL_TARIFF_RULES!$C:$C,$B17)&lt;&gt;"",SUMIFS(MATERIAL_TARIFF_RULES!$E:$E,MATERIAL_TARIFF_RULES!$A:$A,$D17,MATERIAL_TARIFF_RULES!$C:$C,$B17),SUMIFS(TARIFF_PROFILES!$E:$E,TARIFF_PROFILES!$A:$A,$B17)),1),"")))</f>
        <v/>
      </c>
      <c r="K17" s="22" t="str">
        <f>IF($C17="","",IF($C17="Material",IFERROR(SUMIFS(MATERIAL_MASTER!$P:$P,MATERIAL_MASTER!$A:$A,$D17)*IF(SUMIFS(MATERIAL_TARIFF_RULES!$F:$F,MATERIAL_TARIFF_RULES!$A:$A,$D17,MATERIAL_TARIFF_RULES!$C:$C,$B17)="",SUMIFS(TARIFF_PROFILES!$H:$H,TARIFF_PROFILES!$A:$A,$B17),SUMIFS(MATERIAL_TARIFF_RULES!$F:$F,MATERIAL_TARIFF_RULES!$A:$A,$D17,MATERIAL_TARIFF_RULES!$C:$C,$B17)),1),1))</f>
        <v/>
      </c>
      <c r="L17" s="22" t="str">
        <f t="shared" si="0"/>
        <v/>
      </c>
      <c r="M17" s="22" t="str">
        <f t="shared" si="1"/>
        <v/>
      </c>
      <c r="N17" s="22" t="str">
        <f t="shared" si="2"/>
        <v/>
      </c>
      <c r="O17" s="4" t="str">
        <f t="shared" si="3"/>
        <v/>
      </c>
    </row>
    <row r="18" spans="1:15" x14ac:dyDescent="0.3">
      <c r="A18" s="4"/>
      <c r="B18" s="4"/>
      <c r="C18" s="4"/>
      <c r="D18" s="4"/>
      <c r="E18" s="4"/>
      <c r="F18" s="4" t="str">
        <f>IF($C18="","",IF($C18="Work",IFERROR(IF(SUMIFS(WORK_TARIFF_RULES!$G:$G,WORK_TARIFF_RULES!$A:$A,$D18,WORK_TARIFF_RULES!$C:$C,$B18)&lt;&gt;"",SUMIFS(WORK_TARIFF_RULES!$G:$G,WORK_TARIFF_RULES!$A:$A,$D18,WORK_TARIFF_RULES!$C:$C,$B18),SUMIFS(WORK_MASTER!$C:$C,WORK_MASTER!$A:$A,$D18)),""),IF($C18="Material",IFERROR(IF(SUMIFS(MATERIAL_TARIFF_RULES!$G:$G,MATERIAL_TARIFF_RULES!$A:$A,$D18,MATERIAL_TARIFF_RULES!$C:$C,$B18)&lt;&gt;"",SUMIFS(MATERIAL_TARIFF_RULES!$G:$G,MATERIAL_TARIFF_RULES!$A:$A,$D18,MATERIAL_TARIFF_RULES!$C:$C,$B18),SUMIFS(MATERIAL_VARIANTS!$J:$J,MATERIAL_VARIANTS!$A:$A,$E18)),""),"")))</f>
        <v/>
      </c>
      <c r="G18" s="22"/>
      <c r="H18" s="22" t="str">
        <f>IF($C18="","",IF($C18="Work",IFERROR(SUMIFS(WORK_MASTER!$I:$I,WORK_MASTER!$A:$A,$D18),""),IF($C18="Material",IFERROR(SUMIFS(MATERIAL_VARIANTS!$I:$I,MATERIAL_VARIANTS!$A:$A,$E18),""),"")))</f>
        <v/>
      </c>
      <c r="I18" s="22" t="str">
        <f>IF($C18="","",IF($C18="Work",IFERROR(SUMIFS(WORK_FACTOR_APPLICABILITY!$O:$O,WORK_FACTOR_APPLICABILITY!$A:$A,$D18,WORK_FACTOR_APPLICABILITY!$N:$N,$A18),1),IF($C18="Material",IFERROR(ROUND(1+SUMIFS(MATERIAL_FACTOR_APPLICABILITY!$D:$D,MATERIAL_FACTOR_APPLICABILITY!$A:$A,SUMIFS(MATERIAL_MASTER!$O:$O,MATERIAL_MASTER!$A:$A,$D18),MATERIAL_FACTOR_APPLICABILITY!$B:$B,"GeometryComplexity")*(SUMIFS(OBJECT_CONDITIONS!$W:$W,OBJECT_CONDITIONS!$A:$A,$A18)-1),3),1),"")))</f>
        <v/>
      </c>
      <c r="J18" s="22" t="str">
        <f>IF($C18="","",IF($C18="Work",IFERROR(IF(SUMIFS(WORK_TARIFF_RULES!$F:$F,WORK_TARIFF_RULES!$A:$A,$D18,WORK_TARIFF_RULES!$C:$C,$B18)&lt;&gt;"",SUMIFS(WORK_TARIFF_RULES!$F:$F,WORK_TARIFF_RULES!$A:$A,$D18,WORK_TARIFF_RULES!$C:$C,$B18),SUMIFS(TARIFF_PROFILES!$D:$D,TARIFF_PROFILES!$A:$A,$B18)),1),IF($C18="Material",IFERROR(IF(SUMIFS(MATERIAL_TARIFF_RULES!$E:$E,MATERIAL_TARIFF_RULES!$A:$A,$D18,MATERIAL_TARIFF_RULES!$C:$C,$B18)&lt;&gt;"",SUMIFS(MATERIAL_TARIFF_RULES!$E:$E,MATERIAL_TARIFF_RULES!$A:$A,$D18,MATERIAL_TARIFF_RULES!$C:$C,$B18),SUMIFS(TARIFF_PROFILES!$E:$E,TARIFF_PROFILES!$A:$A,$B18)),1),"")))</f>
        <v/>
      </c>
      <c r="K18" s="22" t="str">
        <f>IF($C18="","",IF($C18="Material",IFERROR(SUMIFS(MATERIAL_MASTER!$P:$P,MATERIAL_MASTER!$A:$A,$D18)*IF(SUMIFS(MATERIAL_TARIFF_RULES!$F:$F,MATERIAL_TARIFF_RULES!$A:$A,$D18,MATERIAL_TARIFF_RULES!$C:$C,$B18)="",SUMIFS(TARIFF_PROFILES!$H:$H,TARIFF_PROFILES!$A:$A,$B18),SUMIFS(MATERIAL_TARIFF_RULES!$F:$F,MATERIAL_TARIFF_RULES!$A:$A,$D18,MATERIAL_TARIFF_RULES!$C:$C,$B18)),1),1))</f>
        <v/>
      </c>
      <c r="L18" s="22" t="str">
        <f t="shared" si="0"/>
        <v/>
      </c>
      <c r="M18" s="22" t="str">
        <f t="shared" si="1"/>
        <v/>
      </c>
      <c r="N18" s="22" t="str">
        <f t="shared" si="2"/>
        <v/>
      </c>
      <c r="O18" s="4" t="str">
        <f t="shared" si="3"/>
        <v/>
      </c>
    </row>
    <row r="19" spans="1:15" x14ac:dyDescent="0.3">
      <c r="A19" s="4"/>
      <c r="B19" s="4"/>
      <c r="C19" s="4"/>
      <c r="D19" s="4"/>
      <c r="E19" s="4"/>
      <c r="F19" s="4" t="str">
        <f>IF($C19="","",IF($C19="Work",IFERROR(IF(SUMIFS(WORK_TARIFF_RULES!$G:$G,WORK_TARIFF_RULES!$A:$A,$D19,WORK_TARIFF_RULES!$C:$C,$B19)&lt;&gt;"",SUMIFS(WORK_TARIFF_RULES!$G:$G,WORK_TARIFF_RULES!$A:$A,$D19,WORK_TARIFF_RULES!$C:$C,$B19),SUMIFS(WORK_MASTER!$C:$C,WORK_MASTER!$A:$A,$D19)),""),IF($C19="Material",IFERROR(IF(SUMIFS(MATERIAL_TARIFF_RULES!$G:$G,MATERIAL_TARIFF_RULES!$A:$A,$D19,MATERIAL_TARIFF_RULES!$C:$C,$B19)&lt;&gt;"",SUMIFS(MATERIAL_TARIFF_RULES!$G:$G,MATERIAL_TARIFF_RULES!$A:$A,$D19,MATERIAL_TARIFF_RULES!$C:$C,$B19),SUMIFS(MATERIAL_VARIANTS!$J:$J,MATERIAL_VARIANTS!$A:$A,$E19)),""),"")))</f>
        <v/>
      </c>
      <c r="G19" s="22"/>
      <c r="H19" s="22" t="str">
        <f>IF($C19="","",IF($C19="Work",IFERROR(SUMIFS(WORK_MASTER!$I:$I,WORK_MASTER!$A:$A,$D19),""),IF($C19="Material",IFERROR(SUMIFS(MATERIAL_VARIANTS!$I:$I,MATERIAL_VARIANTS!$A:$A,$E19),""),"")))</f>
        <v/>
      </c>
      <c r="I19" s="22" t="str">
        <f>IF($C19="","",IF($C19="Work",IFERROR(SUMIFS(WORK_FACTOR_APPLICABILITY!$O:$O,WORK_FACTOR_APPLICABILITY!$A:$A,$D19,WORK_FACTOR_APPLICABILITY!$N:$N,$A19),1),IF($C19="Material",IFERROR(ROUND(1+SUMIFS(MATERIAL_FACTOR_APPLICABILITY!$D:$D,MATERIAL_FACTOR_APPLICABILITY!$A:$A,SUMIFS(MATERIAL_MASTER!$O:$O,MATERIAL_MASTER!$A:$A,$D19),MATERIAL_FACTOR_APPLICABILITY!$B:$B,"GeometryComplexity")*(SUMIFS(OBJECT_CONDITIONS!$W:$W,OBJECT_CONDITIONS!$A:$A,$A19)-1),3),1),"")))</f>
        <v/>
      </c>
      <c r="J19" s="22" t="str">
        <f>IF($C19="","",IF($C19="Work",IFERROR(IF(SUMIFS(WORK_TARIFF_RULES!$F:$F,WORK_TARIFF_RULES!$A:$A,$D19,WORK_TARIFF_RULES!$C:$C,$B19)&lt;&gt;"",SUMIFS(WORK_TARIFF_RULES!$F:$F,WORK_TARIFF_RULES!$A:$A,$D19,WORK_TARIFF_RULES!$C:$C,$B19),SUMIFS(TARIFF_PROFILES!$D:$D,TARIFF_PROFILES!$A:$A,$B19)),1),IF($C19="Material",IFERROR(IF(SUMIFS(MATERIAL_TARIFF_RULES!$E:$E,MATERIAL_TARIFF_RULES!$A:$A,$D19,MATERIAL_TARIFF_RULES!$C:$C,$B19)&lt;&gt;"",SUMIFS(MATERIAL_TARIFF_RULES!$E:$E,MATERIAL_TARIFF_RULES!$A:$A,$D19,MATERIAL_TARIFF_RULES!$C:$C,$B19),SUMIFS(TARIFF_PROFILES!$E:$E,TARIFF_PROFILES!$A:$A,$B19)),1),"")))</f>
        <v/>
      </c>
      <c r="K19" s="22" t="str">
        <f>IF($C19="","",IF($C19="Material",IFERROR(SUMIFS(MATERIAL_MASTER!$P:$P,MATERIAL_MASTER!$A:$A,$D19)*IF(SUMIFS(MATERIAL_TARIFF_RULES!$F:$F,MATERIAL_TARIFF_RULES!$A:$A,$D19,MATERIAL_TARIFF_RULES!$C:$C,$B19)="",SUMIFS(TARIFF_PROFILES!$H:$H,TARIFF_PROFILES!$A:$A,$B19),SUMIFS(MATERIAL_TARIFF_RULES!$F:$F,MATERIAL_TARIFF_RULES!$A:$A,$D19,MATERIAL_TARIFF_RULES!$C:$C,$B19)),1),1))</f>
        <v/>
      </c>
      <c r="L19" s="22" t="str">
        <f t="shared" si="0"/>
        <v/>
      </c>
      <c r="M19" s="22" t="str">
        <f t="shared" si="1"/>
        <v/>
      </c>
      <c r="N19" s="22" t="str">
        <f t="shared" si="2"/>
        <v/>
      </c>
      <c r="O19" s="4" t="str">
        <f t="shared" si="3"/>
        <v/>
      </c>
    </row>
    <row r="20" spans="1:15" x14ac:dyDescent="0.3">
      <c r="A20" s="4"/>
      <c r="B20" s="4"/>
      <c r="C20" s="4"/>
      <c r="D20" s="4"/>
      <c r="E20" s="4"/>
      <c r="F20" s="4" t="str">
        <f>IF($C20="","",IF($C20="Work",IFERROR(IF(SUMIFS(WORK_TARIFF_RULES!$G:$G,WORK_TARIFF_RULES!$A:$A,$D20,WORK_TARIFF_RULES!$C:$C,$B20)&lt;&gt;"",SUMIFS(WORK_TARIFF_RULES!$G:$G,WORK_TARIFF_RULES!$A:$A,$D20,WORK_TARIFF_RULES!$C:$C,$B20),SUMIFS(WORK_MASTER!$C:$C,WORK_MASTER!$A:$A,$D20)),""),IF($C20="Material",IFERROR(IF(SUMIFS(MATERIAL_TARIFF_RULES!$G:$G,MATERIAL_TARIFF_RULES!$A:$A,$D20,MATERIAL_TARIFF_RULES!$C:$C,$B20)&lt;&gt;"",SUMIFS(MATERIAL_TARIFF_RULES!$G:$G,MATERIAL_TARIFF_RULES!$A:$A,$D20,MATERIAL_TARIFF_RULES!$C:$C,$B20),SUMIFS(MATERIAL_VARIANTS!$J:$J,MATERIAL_VARIANTS!$A:$A,$E20)),""),"")))</f>
        <v/>
      </c>
      <c r="G20" s="22"/>
      <c r="H20" s="22" t="str">
        <f>IF($C20="","",IF($C20="Work",IFERROR(SUMIFS(WORK_MASTER!$I:$I,WORK_MASTER!$A:$A,$D20),""),IF($C20="Material",IFERROR(SUMIFS(MATERIAL_VARIANTS!$I:$I,MATERIAL_VARIANTS!$A:$A,$E20),""),"")))</f>
        <v/>
      </c>
      <c r="I20" s="22" t="str">
        <f>IF($C20="","",IF($C20="Work",IFERROR(SUMIFS(WORK_FACTOR_APPLICABILITY!$O:$O,WORK_FACTOR_APPLICABILITY!$A:$A,$D20,WORK_FACTOR_APPLICABILITY!$N:$N,$A20),1),IF($C20="Material",IFERROR(ROUND(1+SUMIFS(MATERIAL_FACTOR_APPLICABILITY!$D:$D,MATERIAL_FACTOR_APPLICABILITY!$A:$A,SUMIFS(MATERIAL_MASTER!$O:$O,MATERIAL_MASTER!$A:$A,$D20),MATERIAL_FACTOR_APPLICABILITY!$B:$B,"GeometryComplexity")*(SUMIFS(OBJECT_CONDITIONS!$W:$W,OBJECT_CONDITIONS!$A:$A,$A20)-1),3),1),"")))</f>
        <v/>
      </c>
      <c r="J20" s="22" t="str">
        <f>IF($C20="","",IF($C20="Work",IFERROR(IF(SUMIFS(WORK_TARIFF_RULES!$F:$F,WORK_TARIFF_RULES!$A:$A,$D20,WORK_TARIFF_RULES!$C:$C,$B20)&lt;&gt;"",SUMIFS(WORK_TARIFF_RULES!$F:$F,WORK_TARIFF_RULES!$A:$A,$D20,WORK_TARIFF_RULES!$C:$C,$B20),SUMIFS(TARIFF_PROFILES!$D:$D,TARIFF_PROFILES!$A:$A,$B20)),1),IF($C20="Material",IFERROR(IF(SUMIFS(MATERIAL_TARIFF_RULES!$E:$E,MATERIAL_TARIFF_RULES!$A:$A,$D20,MATERIAL_TARIFF_RULES!$C:$C,$B20)&lt;&gt;"",SUMIFS(MATERIAL_TARIFF_RULES!$E:$E,MATERIAL_TARIFF_RULES!$A:$A,$D20,MATERIAL_TARIFF_RULES!$C:$C,$B20),SUMIFS(TARIFF_PROFILES!$E:$E,TARIFF_PROFILES!$A:$A,$B20)),1),"")))</f>
        <v/>
      </c>
      <c r="K20" s="22" t="str">
        <f>IF($C20="","",IF($C20="Material",IFERROR(SUMIFS(MATERIAL_MASTER!$P:$P,MATERIAL_MASTER!$A:$A,$D20)*IF(SUMIFS(MATERIAL_TARIFF_RULES!$F:$F,MATERIAL_TARIFF_RULES!$A:$A,$D20,MATERIAL_TARIFF_RULES!$C:$C,$B20)="",SUMIFS(TARIFF_PROFILES!$H:$H,TARIFF_PROFILES!$A:$A,$B20),SUMIFS(MATERIAL_TARIFF_RULES!$F:$F,MATERIAL_TARIFF_RULES!$A:$A,$D20,MATERIAL_TARIFF_RULES!$C:$C,$B20)),1),1))</f>
        <v/>
      </c>
      <c r="L20" s="22" t="str">
        <f t="shared" si="0"/>
        <v/>
      </c>
      <c r="M20" s="22" t="str">
        <f t="shared" si="1"/>
        <v/>
      </c>
      <c r="N20" s="22" t="str">
        <f t="shared" si="2"/>
        <v/>
      </c>
      <c r="O20" s="4" t="str">
        <f t="shared" si="3"/>
        <v/>
      </c>
    </row>
    <row r="21" spans="1:15" x14ac:dyDescent="0.3">
      <c r="A21" s="4"/>
      <c r="B21" s="4"/>
      <c r="C21" s="4"/>
      <c r="D21" s="4"/>
      <c r="E21" s="4"/>
      <c r="F21" s="4" t="str">
        <f>IF($C21="","",IF($C21="Work",IFERROR(IF(SUMIFS(WORK_TARIFF_RULES!$G:$G,WORK_TARIFF_RULES!$A:$A,$D21,WORK_TARIFF_RULES!$C:$C,$B21)&lt;&gt;"",SUMIFS(WORK_TARIFF_RULES!$G:$G,WORK_TARIFF_RULES!$A:$A,$D21,WORK_TARIFF_RULES!$C:$C,$B21),SUMIFS(WORK_MASTER!$C:$C,WORK_MASTER!$A:$A,$D21)),""),IF($C21="Material",IFERROR(IF(SUMIFS(MATERIAL_TARIFF_RULES!$G:$G,MATERIAL_TARIFF_RULES!$A:$A,$D21,MATERIAL_TARIFF_RULES!$C:$C,$B21)&lt;&gt;"",SUMIFS(MATERIAL_TARIFF_RULES!$G:$G,MATERIAL_TARIFF_RULES!$A:$A,$D21,MATERIAL_TARIFF_RULES!$C:$C,$B21),SUMIFS(MATERIAL_VARIANTS!$J:$J,MATERIAL_VARIANTS!$A:$A,$E21)),""),"")))</f>
        <v/>
      </c>
      <c r="G21" s="22"/>
      <c r="H21" s="22" t="str">
        <f>IF($C21="","",IF($C21="Work",IFERROR(SUMIFS(WORK_MASTER!$I:$I,WORK_MASTER!$A:$A,$D21),""),IF($C21="Material",IFERROR(SUMIFS(MATERIAL_VARIANTS!$I:$I,MATERIAL_VARIANTS!$A:$A,$E21),""),"")))</f>
        <v/>
      </c>
      <c r="I21" s="22" t="str">
        <f>IF($C21="","",IF($C21="Work",IFERROR(SUMIFS(WORK_FACTOR_APPLICABILITY!$O:$O,WORK_FACTOR_APPLICABILITY!$A:$A,$D21,WORK_FACTOR_APPLICABILITY!$N:$N,$A21),1),IF($C21="Material",IFERROR(ROUND(1+SUMIFS(MATERIAL_FACTOR_APPLICABILITY!$D:$D,MATERIAL_FACTOR_APPLICABILITY!$A:$A,SUMIFS(MATERIAL_MASTER!$O:$O,MATERIAL_MASTER!$A:$A,$D21),MATERIAL_FACTOR_APPLICABILITY!$B:$B,"GeometryComplexity")*(SUMIFS(OBJECT_CONDITIONS!$W:$W,OBJECT_CONDITIONS!$A:$A,$A21)-1),3),1),"")))</f>
        <v/>
      </c>
      <c r="J21" s="22" t="str">
        <f>IF($C21="","",IF($C21="Work",IFERROR(IF(SUMIFS(WORK_TARIFF_RULES!$F:$F,WORK_TARIFF_RULES!$A:$A,$D21,WORK_TARIFF_RULES!$C:$C,$B21)&lt;&gt;"",SUMIFS(WORK_TARIFF_RULES!$F:$F,WORK_TARIFF_RULES!$A:$A,$D21,WORK_TARIFF_RULES!$C:$C,$B21),SUMIFS(TARIFF_PROFILES!$D:$D,TARIFF_PROFILES!$A:$A,$B21)),1),IF($C21="Material",IFERROR(IF(SUMIFS(MATERIAL_TARIFF_RULES!$E:$E,MATERIAL_TARIFF_RULES!$A:$A,$D21,MATERIAL_TARIFF_RULES!$C:$C,$B21)&lt;&gt;"",SUMIFS(MATERIAL_TARIFF_RULES!$E:$E,MATERIAL_TARIFF_RULES!$A:$A,$D21,MATERIAL_TARIFF_RULES!$C:$C,$B21),SUMIFS(TARIFF_PROFILES!$E:$E,TARIFF_PROFILES!$A:$A,$B21)),1),"")))</f>
        <v/>
      </c>
      <c r="K21" s="22" t="str">
        <f>IF($C21="","",IF($C21="Material",IFERROR(SUMIFS(MATERIAL_MASTER!$P:$P,MATERIAL_MASTER!$A:$A,$D21)*IF(SUMIFS(MATERIAL_TARIFF_RULES!$F:$F,MATERIAL_TARIFF_RULES!$A:$A,$D21,MATERIAL_TARIFF_RULES!$C:$C,$B21)="",SUMIFS(TARIFF_PROFILES!$H:$H,TARIFF_PROFILES!$A:$A,$B21),SUMIFS(MATERIAL_TARIFF_RULES!$F:$F,MATERIAL_TARIFF_RULES!$A:$A,$D21,MATERIAL_TARIFF_RULES!$C:$C,$B21)),1),1))</f>
        <v/>
      </c>
      <c r="L21" s="22" t="str">
        <f t="shared" si="0"/>
        <v/>
      </c>
      <c r="M21" s="22" t="str">
        <f t="shared" si="1"/>
        <v/>
      </c>
      <c r="N21" s="22" t="str">
        <f t="shared" si="2"/>
        <v/>
      </c>
      <c r="O21" s="4" t="str">
        <f t="shared" si="3"/>
        <v/>
      </c>
    </row>
    <row r="22" spans="1:15" x14ac:dyDescent="0.3">
      <c r="A22" s="4"/>
      <c r="B22" s="4"/>
      <c r="C22" s="4"/>
      <c r="D22" s="4"/>
      <c r="E22" s="4"/>
      <c r="F22" s="4" t="str">
        <f>IF($C22="","",IF($C22="Work",IFERROR(IF(SUMIFS(WORK_TARIFF_RULES!$G:$G,WORK_TARIFF_RULES!$A:$A,$D22,WORK_TARIFF_RULES!$C:$C,$B22)&lt;&gt;"",SUMIFS(WORK_TARIFF_RULES!$G:$G,WORK_TARIFF_RULES!$A:$A,$D22,WORK_TARIFF_RULES!$C:$C,$B22),SUMIFS(WORK_MASTER!$C:$C,WORK_MASTER!$A:$A,$D22)),""),IF($C22="Material",IFERROR(IF(SUMIFS(MATERIAL_TARIFF_RULES!$G:$G,MATERIAL_TARIFF_RULES!$A:$A,$D22,MATERIAL_TARIFF_RULES!$C:$C,$B22)&lt;&gt;"",SUMIFS(MATERIAL_TARIFF_RULES!$G:$G,MATERIAL_TARIFF_RULES!$A:$A,$D22,MATERIAL_TARIFF_RULES!$C:$C,$B22),SUMIFS(MATERIAL_VARIANTS!$J:$J,MATERIAL_VARIANTS!$A:$A,$E22)),""),"")))</f>
        <v/>
      </c>
      <c r="G22" s="22"/>
      <c r="H22" s="22" t="str">
        <f>IF($C22="","",IF($C22="Work",IFERROR(SUMIFS(WORK_MASTER!$I:$I,WORK_MASTER!$A:$A,$D22),""),IF($C22="Material",IFERROR(SUMIFS(MATERIAL_VARIANTS!$I:$I,MATERIAL_VARIANTS!$A:$A,$E22),""),"")))</f>
        <v/>
      </c>
      <c r="I22" s="22" t="str">
        <f>IF($C22="","",IF($C22="Work",IFERROR(SUMIFS(WORK_FACTOR_APPLICABILITY!$O:$O,WORK_FACTOR_APPLICABILITY!$A:$A,$D22,WORK_FACTOR_APPLICABILITY!$N:$N,$A22),1),IF($C22="Material",IFERROR(ROUND(1+SUMIFS(MATERIAL_FACTOR_APPLICABILITY!$D:$D,MATERIAL_FACTOR_APPLICABILITY!$A:$A,SUMIFS(MATERIAL_MASTER!$O:$O,MATERIAL_MASTER!$A:$A,$D22),MATERIAL_FACTOR_APPLICABILITY!$B:$B,"GeometryComplexity")*(SUMIFS(OBJECT_CONDITIONS!$W:$W,OBJECT_CONDITIONS!$A:$A,$A22)-1),3),1),"")))</f>
        <v/>
      </c>
      <c r="J22" s="22" t="str">
        <f>IF($C22="","",IF($C22="Work",IFERROR(IF(SUMIFS(WORK_TARIFF_RULES!$F:$F,WORK_TARIFF_RULES!$A:$A,$D22,WORK_TARIFF_RULES!$C:$C,$B22)&lt;&gt;"",SUMIFS(WORK_TARIFF_RULES!$F:$F,WORK_TARIFF_RULES!$A:$A,$D22,WORK_TARIFF_RULES!$C:$C,$B22),SUMIFS(TARIFF_PROFILES!$D:$D,TARIFF_PROFILES!$A:$A,$B22)),1),IF($C22="Material",IFERROR(IF(SUMIFS(MATERIAL_TARIFF_RULES!$E:$E,MATERIAL_TARIFF_RULES!$A:$A,$D22,MATERIAL_TARIFF_RULES!$C:$C,$B22)&lt;&gt;"",SUMIFS(MATERIAL_TARIFF_RULES!$E:$E,MATERIAL_TARIFF_RULES!$A:$A,$D22,MATERIAL_TARIFF_RULES!$C:$C,$B22),SUMIFS(TARIFF_PROFILES!$E:$E,TARIFF_PROFILES!$A:$A,$B22)),1),"")))</f>
        <v/>
      </c>
      <c r="K22" s="22" t="str">
        <f>IF($C22="","",IF($C22="Material",IFERROR(SUMIFS(MATERIAL_MASTER!$P:$P,MATERIAL_MASTER!$A:$A,$D22)*IF(SUMIFS(MATERIAL_TARIFF_RULES!$F:$F,MATERIAL_TARIFF_RULES!$A:$A,$D22,MATERIAL_TARIFF_RULES!$C:$C,$B22)="",SUMIFS(TARIFF_PROFILES!$H:$H,TARIFF_PROFILES!$A:$A,$B22),SUMIFS(MATERIAL_TARIFF_RULES!$F:$F,MATERIAL_TARIFF_RULES!$A:$A,$D22,MATERIAL_TARIFF_RULES!$C:$C,$B22)),1),1))</f>
        <v/>
      </c>
      <c r="L22" s="22" t="str">
        <f t="shared" si="0"/>
        <v/>
      </c>
      <c r="M22" s="22" t="str">
        <f t="shared" si="1"/>
        <v/>
      </c>
      <c r="N22" s="22" t="str">
        <f t="shared" si="2"/>
        <v/>
      </c>
      <c r="O22" s="4" t="str">
        <f t="shared" si="3"/>
        <v/>
      </c>
    </row>
    <row r="23" spans="1:15" x14ac:dyDescent="0.3">
      <c r="A23" s="4"/>
      <c r="B23" s="4"/>
      <c r="C23" s="4"/>
      <c r="D23" s="4"/>
      <c r="E23" s="4"/>
      <c r="F23" s="4" t="str">
        <f>IF($C23="","",IF($C23="Work",IFERROR(IF(SUMIFS(WORK_TARIFF_RULES!$G:$G,WORK_TARIFF_RULES!$A:$A,$D23,WORK_TARIFF_RULES!$C:$C,$B23)&lt;&gt;"",SUMIFS(WORK_TARIFF_RULES!$G:$G,WORK_TARIFF_RULES!$A:$A,$D23,WORK_TARIFF_RULES!$C:$C,$B23),SUMIFS(WORK_MASTER!$C:$C,WORK_MASTER!$A:$A,$D23)),""),IF($C23="Material",IFERROR(IF(SUMIFS(MATERIAL_TARIFF_RULES!$G:$G,MATERIAL_TARIFF_RULES!$A:$A,$D23,MATERIAL_TARIFF_RULES!$C:$C,$B23)&lt;&gt;"",SUMIFS(MATERIAL_TARIFF_RULES!$G:$G,MATERIAL_TARIFF_RULES!$A:$A,$D23,MATERIAL_TARIFF_RULES!$C:$C,$B23),SUMIFS(MATERIAL_VARIANTS!$J:$J,MATERIAL_VARIANTS!$A:$A,$E23)),""),"")))</f>
        <v/>
      </c>
      <c r="G23" s="22"/>
      <c r="H23" s="22" t="str">
        <f>IF($C23="","",IF($C23="Work",IFERROR(SUMIFS(WORK_MASTER!$I:$I,WORK_MASTER!$A:$A,$D23),""),IF($C23="Material",IFERROR(SUMIFS(MATERIAL_VARIANTS!$I:$I,MATERIAL_VARIANTS!$A:$A,$E23),""),"")))</f>
        <v/>
      </c>
      <c r="I23" s="22" t="str">
        <f>IF($C23="","",IF($C23="Work",IFERROR(SUMIFS(WORK_FACTOR_APPLICABILITY!$O:$O,WORK_FACTOR_APPLICABILITY!$A:$A,$D23,WORK_FACTOR_APPLICABILITY!$N:$N,$A23),1),IF($C23="Material",IFERROR(ROUND(1+SUMIFS(MATERIAL_FACTOR_APPLICABILITY!$D:$D,MATERIAL_FACTOR_APPLICABILITY!$A:$A,SUMIFS(MATERIAL_MASTER!$O:$O,MATERIAL_MASTER!$A:$A,$D23),MATERIAL_FACTOR_APPLICABILITY!$B:$B,"GeometryComplexity")*(SUMIFS(OBJECT_CONDITIONS!$W:$W,OBJECT_CONDITIONS!$A:$A,$A23)-1),3),1),"")))</f>
        <v/>
      </c>
      <c r="J23" s="22" t="str">
        <f>IF($C23="","",IF($C23="Work",IFERROR(IF(SUMIFS(WORK_TARIFF_RULES!$F:$F,WORK_TARIFF_RULES!$A:$A,$D23,WORK_TARIFF_RULES!$C:$C,$B23)&lt;&gt;"",SUMIFS(WORK_TARIFF_RULES!$F:$F,WORK_TARIFF_RULES!$A:$A,$D23,WORK_TARIFF_RULES!$C:$C,$B23),SUMIFS(TARIFF_PROFILES!$D:$D,TARIFF_PROFILES!$A:$A,$B23)),1),IF($C23="Material",IFERROR(IF(SUMIFS(MATERIAL_TARIFF_RULES!$E:$E,MATERIAL_TARIFF_RULES!$A:$A,$D23,MATERIAL_TARIFF_RULES!$C:$C,$B23)&lt;&gt;"",SUMIFS(MATERIAL_TARIFF_RULES!$E:$E,MATERIAL_TARIFF_RULES!$A:$A,$D23,MATERIAL_TARIFF_RULES!$C:$C,$B23),SUMIFS(TARIFF_PROFILES!$E:$E,TARIFF_PROFILES!$A:$A,$B23)),1),"")))</f>
        <v/>
      </c>
      <c r="K23" s="22" t="str">
        <f>IF($C23="","",IF($C23="Material",IFERROR(SUMIFS(MATERIAL_MASTER!$P:$P,MATERIAL_MASTER!$A:$A,$D23)*IF(SUMIFS(MATERIAL_TARIFF_RULES!$F:$F,MATERIAL_TARIFF_RULES!$A:$A,$D23,MATERIAL_TARIFF_RULES!$C:$C,$B23)="",SUMIFS(TARIFF_PROFILES!$H:$H,TARIFF_PROFILES!$A:$A,$B23),SUMIFS(MATERIAL_TARIFF_RULES!$F:$F,MATERIAL_TARIFF_RULES!$A:$A,$D23,MATERIAL_TARIFF_RULES!$C:$C,$B23)),1),1))</f>
        <v/>
      </c>
      <c r="L23" s="22" t="str">
        <f t="shared" si="0"/>
        <v/>
      </c>
      <c r="M23" s="22" t="str">
        <f t="shared" si="1"/>
        <v/>
      </c>
      <c r="N23" s="22" t="str">
        <f t="shared" si="2"/>
        <v/>
      </c>
      <c r="O23" s="4" t="str">
        <f t="shared" si="3"/>
        <v/>
      </c>
    </row>
    <row r="24" spans="1:15" x14ac:dyDescent="0.3">
      <c r="A24" s="4"/>
      <c r="B24" s="4"/>
      <c r="C24" s="4"/>
      <c r="D24" s="4"/>
      <c r="E24" s="4"/>
      <c r="F24" s="4" t="str">
        <f>IF($C24="","",IF($C24="Work",IFERROR(IF(SUMIFS(WORK_TARIFF_RULES!$G:$G,WORK_TARIFF_RULES!$A:$A,$D24,WORK_TARIFF_RULES!$C:$C,$B24)&lt;&gt;"",SUMIFS(WORK_TARIFF_RULES!$G:$G,WORK_TARIFF_RULES!$A:$A,$D24,WORK_TARIFF_RULES!$C:$C,$B24),SUMIFS(WORK_MASTER!$C:$C,WORK_MASTER!$A:$A,$D24)),""),IF($C24="Material",IFERROR(IF(SUMIFS(MATERIAL_TARIFF_RULES!$G:$G,MATERIAL_TARIFF_RULES!$A:$A,$D24,MATERIAL_TARIFF_RULES!$C:$C,$B24)&lt;&gt;"",SUMIFS(MATERIAL_TARIFF_RULES!$G:$G,MATERIAL_TARIFF_RULES!$A:$A,$D24,MATERIAL_TARIFF_RULES!$C:$C,$B24),SUMIFS(MATERIAL_VARIANTS!$J:$J,MATERIAL_VARIANTS!$A:$A,$E24)),""),"")))</f>
        <v/>
      </c>
      <c r="G24" s="22"/>
      <c r="H24" s="22" t="str">
        <f>IF($C24="","",IF($C24="Work",IFERROR(SUMIFS(WORK_MASTER!$I:$I,WORK_MASTER!$A:$A,$D24),""),IF($C24="Material",IFERROR(SUMIFS(MATERIAL_VARIANTS!$I:$I,MATERIAL_VARIANTS!$A:$A,$E24),""),"")))</f>
        <v/>
      </c>
      <c r="I24" s="22" t="str">
        <f>IF($C24="","",IF($C24="Work",IFERROR(SUMIFS(WORK_FACTOR_APPLICABILITY!$O:$O,WORK_FACTOR_APPLICABILITY!$A:$A,$D24,WORK_FACTOR_APPLICABILITY!$N:$N,$A24),1),IF($C24="Material",IFERROR(ROUND(1+SUMIFS(MATERIAL_FACTOR_APPLICABILITY!$D:$D,MATERIAL_FACTOR_APPLICABILITY!$A:$A,SUMIFS(MATERIAL_MASTER!$O:$O,MATERIAL_MASTER!$A:$A,$D24),MATERIAL_FACTOR_APPLICABILITY!$B:$B,"GeometryComplexity")*(SUMIFS(OBJECT_CONDITIONS!$W:$W,OBJECT_CONDITIONS!$A:$A,$A24)-1),3),1),"")))</f>
        <v/>
      </c>
      <c r="J24" s="22" t="str">
        <f>IF($C24="","",IF($C24="Work",IFERROR(IF(SUMIFS(WORK_TARIFF_RULES!$F:$F,WORK_TARIFF_RULES!$A:$A,$D24,WORK_TARIFF_RULES!$C:$C,$B24)&lt;&gt;"",SUMIFS(WORK_TARIFF_RULES!$F:$F,WORK_TARIFF_RULES!$A:$A,$D24,WORK_TARIFF_RULES!$C:$C,$B24),SUMIFS(TARIFF_PROFILES!$D:$D,TARIFF_PROFILES!$A:$A,$B24)),1),IF($C24="Material",IFERROR(IF(SUMIFS(MATERIAL_TARIFF_RULES!$E:$E,MATERIAL_TARIFF_RULES!$A:$A,$D24,MATERIAL_TARIFF_RULES!$C:$C,$B24)&lt;&gt;"",SUMIFS(MATERIAL_TARIFF_RULES!$E:$E,MATERIAL_TARIFF_RULES!$A:$A,$D24,MATERIAL_TARIFF_RULES!$C:$C,$B24),SUMIFS(TARIFF_PROFILES!$E:$E,TARIFF_PROFILES!$A:$A,$B24)),1),"")))</f>
        <v/>
      </c>
      <c r="K24" s="22" t="str">
        <f>IF($C24="","",IF($C24="Material",IFERROR(SUMIFS(MATERIAL_MASTER!$P:$P,MATERIAL_MASTER!$A:$A,$D24)*IF(SUMIFS(MATERIAL_TARIFF_RULES!$F:$F,MATERIAL_TARIFF_RULES!$A:$A,$D24,MATERIAL_TARIFF_RULES!$C:$C,$B24)="",SUMIFS(TARIFF_PROFILES!$H:$H,TARIFF_PROFILES!$A:$A,$B24),SUMIFS(MATERIAL_TARIFF_RULES!$F:$F,MATERIAL_TARIFF_RULES!$A:$A,$D24,MATERIAL_TARIFF_RULES!$C:$C,$B24)),1),1))</f>
        <v/>
      </c>
      <c r="L24" s="22" t="str">
        <f t="shared" si="0"/>
        <v/>
      </c>
      <c r="M24" s="22" t="str">
        <f t="shared" si="1"/>
        <v/>
      </c>
      <c r="N24" s="22" t="str">
        <f t="shared" si="2"/>
        <v/>
      </c>
      <c r="O24" s="4" t="str">
        <f t="shared" si="3"/>
        <v/>
      </c>
    </row>
    <row r="25" spans="1:15" x14ac:dyDescent="0.3">
      <c r="A25" s="4"/>
      <c r="B25" s="4"/>
      <c r="C25" s="4"/>
      <c r="D25" s="4"/>
      <c r="E25" s="4"/>
      <c r="F25" s="4" t="str">
        <f>IF($C25="","",IF($C25="Work",IFERROR(IF(SUMIFS(WORK_TARIFF_RULES!$G:$G,WORK_TARIFF_RULES!$A:$A,$D25,WORK_TARIFF_RULES!$C:$C,$B25)&lt;&gt;"",SUMIFS(WORK_TARIFF_RULES!$G:$G,WORK_TARIFF_RULES!$A:$A,$D25,WORK_TARIFF_RULES!$C:$C,$B25),SUMIFS(WORK_MASTER!$C:$C,WORK_MASTER!$A:$A,$D25)),""),IF($C25="Material",IFERROR(IF(SUMIFS(MATERIAL_TARIFF_RULES!$G:$G,MATERIAL_TARIFF_RULES!$A:$A,$D25,MATERIAL_TARIFF_RULES!$C:$C,$B25)&lt;&gt;"",SUMIFS(MATERIAL_TARIFF_RULES!$G:$G,MATERIAL_TARIFF_RULES!$A:$A,$D25,MATERIAL_TARIFF_RULES!$C:$C,$B25),SUMIFS(MATERIAL_VARIANTS!$J:$J,MATERIAL_VARIANTS!$A:$A,$E25)),""),"")))</f>
        <v/>
      </c>
      <c r="G25" s="22"/>
      <c r="H25" s="22" t="str">
        <f>IF($C25="","",IF($C25="Work",IFERROR(SUMIFS(WORK_MASTER!$I:$I,WORK_MASTER!$A:$A,$D25),""),IF($C25="Material",IFERROR(SUMIFS(MATERIAL_VARIANTS!$I:$I,MATERIAL_VARIANTS!$A:$A,$E25),""),"")))</f>
        <v/>
      </c>
      <c r="I25" s="22" t="str">
        <f>IF($C25="","",IF($C25="Work",IFERROR(SUMIFS(WORK_FACTOR_APPLICABILITY!$O:$O,WORK_FACTOR_APPLICABILITY!$A:$A,$D25,WORK_FACTOR_APPLICABILITY!$N:$N,$A25),1),IF($C25="Material",IFERROR(ROUND(1+SUMIFS(MATERIAL_FACTOR_APPLICABILITY!$D:$D,MATERIAL_FACTOR_APPLICABILITY!$A:$A,SUMIFS(MATERIAL_MASTER!$O:$O,MATERIAL_MASTER!$A:$A,$D25),MATERIAL_FACTOR_APPLICABILITY!$B:$B,"GeometryComplexity")*(SUMIFS(OBJECT_CONDITIONS!$W:$W,OBJECT_CONDITIONS!$A:$A,$A25)-1),3),1),"")))</f>
        <v/>
      </c>
      <c r="J25" s="22" t="str">
        <f>IF($C25="","",IF($C25="Work",IFERROR(IF(SUMIFS(WORK_TARIFF_RULES!$F:$F,WORK_TARIFF_RULES!$A:$A,$D25,WORK_TARIFF_RULES!$C:$C,$B25)&lt;&gt;"",SUMIFS(WORK_TARIFF_RULES!$F:$F,WORK_TARIFF_RULES!$A:$A,$D25,WORK_TARIFF_RULES!$C:$C,$B25),SUMIFS(TARIFF_PROFILES!$D:$D,TARIFF_PROFILES!$A:$A,$B25)),1),IF($C25="Material",IFERROR(IF(SUMIFS(MATERIAL_TARIFF_RULES!$E:$E,MATERIAL_TARIFF_RULES!$A:$A,$D25,MATERIAL_TARIFF_RULES!$C:$C,$B25)&lt;&gt;"",SUMIFS(MATERIAL_TARIFF_RULES!$E:$E,MATERIAL_TARIFF_RULES!$A:$A,$D25,MATERIAL_TARIFF_RULES!$C:$C,$B25),SUMIFS(TARIFF_PROFILES!$E:$E,TARIFF_PROFILES!$A:$A,$B25)),1),"")))</f>
        <v/>
      </c>
      <c r="K25" s="22" t="str">
        <f>IF($C25="","",IF($C25="Material",IFERROR(SUMIFS(MATERIAL_MASTER!$P:$P,MATERIAL_MASTER!$A:$A,$D25)*IF(SUMIFS(MATERIAL_TARIFF_RULES!$F:$F,MATERIAL_TARIFF_RULES!$A:$A,$D25,MATERIAL_TARIFF_RULES!$C:$C,$B25)="",SUMIFS(TARIFF_PROFILES!$H:$H,TARIFF_PROFILES!$A:$A,$B25),SUMIFS(MATERIAL_TARIFF_RULES!$F:$F,MATERIAL_TARIFF_RULES!$A:$A,$D25,MATERIAL_TARIFF_RULES!$C:$C,$B25)),1),1))</f>
        <v/>
      </c>
      <c r="L25" s="22" t="str">
        <f t="shared" si="0"/>
        <v/>
      </c>
      <c r="M25" s="22" t="str">
        <f t="shared" si="1"/>
        <v/>
      </c>
      <c r="N25" s="22" t="str">
        <f t="shared" si="2"/>
        <v/>
      </c>
      <c r="O25" s="4" t="str">
        <f t="shared" si="3"/>
        <v/>
      </c>
    </row>
    <row r="26" spans="1:15" x14ac:dyDescent="0.3">
      <c r="A26" s="4"/>
      <c r="B26" s="4"/>
      <c r="C26" s="4"/>
      <c r="D26" s="4"/>
      <c r="E26" s="4"/>
      <c r="F26" s="4" t="str">
        <f>IF($C26="","",IF($C26="Work",IFERROR(IF(SUMIFS(WORK_TARIFF_RULES!$G:$G,WORK_TARIFF_RULES!$A:$A,$D26,WORK_TARIFF_RULES!$C:$C,$B26)&lt;&gt;"",SUMIFS(WORK_TARIFF_RULES!$G:$G,WORK_TARIFF_RULES!$A:$A,$D26,WORK_TARIFF_RULES!$C:$C,$B26),SUMIFS(WORK_MASTER!$C:$C,WORK_MASTER!$A:$A,$D26)),""),IF($C26="Material",IFERROR(IF(SUMIFS(MATERIAL_TARIFF_RULES!$G:$G,MATERIAL_TARIFF_RULES!$A:$A,$D26,MATERIAL_TARIFF_RULES!$C:$C,$B26)&lt;&gt;"",SUMIFS(MATERIAL_TARIFF_RULES!$G:$G,MATERIAL_TARIFF_RULES!$A:$A,$D26,MATERIAL_TARIFF_RULES!$C:$C,$B26),SUMIFS(MATERIAL_VARIANTS!$J:$J,MATERIAL_VARIANTS!$A:$A,$E26)),""),"")))</f>
        <v/>
      </c>
      <c r="G26" s="22"/>
      <c r="H26" s="22" t="str">
        <f>IF($C26="","",IF($C26="Work",IFERROR(SUMIFS(WORK_MASTER!$I:$I,WORK_MASTER!$A:$A,$D26),""),IF($C26="Material",IFERROR(SUMIFS(MATERIAL_VARIANTS!$I:$I,MATERIAL_VARIANTS!$A:$A,$E26),""),"")))</f>
        <v/>
      </c>
      <c r="I26" s="22" t="str">
        <f>IF($C26="","",IF($C26="Work",IFERROR(SUMIFS(WORK_FACTOR_APPLICABILITY!$O:$O,WORK_FACTOR_APPLICABILITY!$A:$A,$D26,WORK_FACTOR_APPLICABILITY!$N:$N,$A26),1),IF($C26="Material",IFERROR(ROUND(1+SUMIFS(MATERIAL_FACTOR_APPLICABILITY!$D:$D,MATERIAL_FACTOR_APPLICABILITY!$A:$A,SUMIFS(MATERIAL_MASTER!$O:$O,MATERIAL_MASTER!$A:$A,$D26),MATERIAL_FACTOR_APPLICABILITY!$B:$B,"GeometryComplexity")*(SUMIFS(OBJECT_CONDITIONS!$W:$W,OBJECT_CONDITIONS!$A:$A,$A26)-1),3),1),"")))</f>
        <v/>
      </c>
      <c r="J26" s="22" t="str">
        <f>IF($C26="","",IF($C26="Work",IFERROR(IF(SUMIFS(WORK_TARIFF_RULES!$F:$F,WORK_TARIFF_RULES!$A:$A,$D26,WORK_TARIFF_RULES!$C:$C,$B26)&lt;&gt;"",SUMIFS(WORK_TARIFF_RULES!$F:$F,WORK_TARIFF_RULES!$A:$A,$D26,WORK_TARIFF_RULES!$C:$C,$B26),SUMIFS(TARIFF_PROFILES!$D:$D,TARIFF_PROFILES!$A:$A,$B26)),1),IF($C26="Material",IFERROR(IF(SUMIFS(MATERIAL_TARIFF_RULES!$E:$E,MATERIAL_TARIFF_RULES!$A:$A,$D26,MATERIAL_TARIFF_RULES!$C:$C,$B26)&lt;&gt;"",SUMIFS(MATERIAL_TARIFF_RULES!$E:$E,MATERIAL_TARIFF_RULES!$A:$A,$D26,MATERIAL_TARIFF_RULES!$C:$C,$B26),SUMIFS(TARIFF_PROFILES!$E:$E,TARIFF_PROFILES!$A:$A,$B26)),1),"")))</f>
        <v/>
      </c>
      <c r="K26" s="22" t="str">
        <f>IF($C26="","",IF($C26="Material",IFERROR(SUMIFS(MATERIAL_MASTER!$P:$P,MATERIAL_MASTER!$A:$A,$D26)*IF(SUMIFS(MATERIAL_TARIFF_RULES!$F:$F,MATERIAL_TARIFF_RULES!$A:$A,$D26,MATERIAL_TARIFF_RULES!$C:$C,$B26)="",SUMIFS(TARIFF_PROFILES!$H:$H,TARIFF_PROFILES!$A:$A,$B26),SUMIFS(MATERIAL_TARIFF_RULES!$F:$F,MATERIAL_TARIFF_RULES!$A:$A,$D26,MATERIAL_TARIFF_RULES!$C:$C,$B26)),1),1))</f>
        <v/>
      </c>
      <c r="L26" s="22" t="str">
        <f t="shared" si="0"/>
        <v/>
      </c>
      <c r="M26" s="22" t="str">
        <f t="shared" si="1"/>
        <v/>
      </c>
      <c r="N26" s="22" t="str">
        <f t="shared" si="2"/>
        <v/>
      </c>
      <c r="O26" s="4" t="str">
        <f t="shared" si="3"/>
        <v/>
      </c>
    </row>
    <row r="27" spans="1:15" x14ac:dyDescent="0.3">
      <c r="A27" s="4"/>
      <c r="B27" s="4"/>
      <c r="C27" s="4"/>
      <c r="D27" s="4"/>
      <c r="E27" s="4"/>
      <c r="F27" s="4" t="str">
        <f>IF($C27="","",IF($C27="Work",IFERROR(IF(SUMIFS(WORK_TARIFF_RULES!$G:$G,WORK_TARIFF_RULES!$A:$A,$D27,WORK_TARIFF_RULES!$C:$C,$B27)&lt;&gt;"",SUMIFS(WORK_TARIFF_RULES!$G:$G,WORK_TARIFF_RULES!$A:$A,$D27,WORK_TARIFF_RULES!$C:$C,$B27),SUMIFS(WORK_MASTER!$C:$C,WORK_MASTER!$A:$A,$D27)),""),IF($C27="Material",IFERROR(IF(SUMIFS(MATERIAL_TARIFF_RULES!$G:$G,MATERIAL_TARIFF_RULES!$A:$A,$D27,MATERIAL_TARIFF_RULES!$C:$C,$B27)&lt;&gt;"",SUMIFS(MATERIAL_TARIFF_RULES!$G:$G,MATERIAL_TARIFF_RULES!$A:$A,$D27,MATERIAL_TARIFF_RULES!$C:$C,$B27),SUMIFS(MATERIAL_VARIANTS!$J:$J,MATERIAL_VARIANTS!$A:$A,$E27)),""),"")))</f>
        <v/>
      </c>
      <c r="G27" s="22"/>
      <c r="H27" s="22" t="str">
        <f>IF($C27="","",IF($C27="Work",IFERROR(SUMIFS(WORK_MASTER!$I:$I,WORK_MASTER!$A:$A,$D27),""),IF($C27="Material",IFERROR(SUMIFS(MATERIAL_VARIANTS!$I:$I,MATERIAL_VARIANTS!$A:$A,$E27),""),"")))</f>
        <v/>
      </c>
      <c r="I27" s="22" t="str">
        <f>IF($C27="","",IF($C27="Work",IFERROR(SUMIFS(WORK_FACTOR_APPLICABILITY!$O:$O,WORK_FACTOR_APPLICABILITY!$A:$A,$D27,WORK_FACTOR_APPLICABILITY!$N:$N,$A27),1),IF($C27="Material",IFERROR(ROUND(1+SUMIFS(MATERIAL_FACTOR_APPLICABILITY!$D:$D,MATERIAL_FACTOR_APPLICABILITY!$A:$A,SUMIFS(MATERIAL_MASTER!$O:$O,MATERIAL_MASTER!$A:$A,$D27),MATERIAL_FACTOR_APPLICABILITY!$B:$B,"GeometryComplexity")*(SUMIFS(OBJECT_CONDITIONS!$W:$W,OBJECT_CONDITIONS!$A:$A,$A27)-1),3),1),"")))</f>
        <v/>
      </c>
      <c r="J27" s="22" t="str">
        <f>IF($C27="","",IF($C27="Work",IFERROR(IF(SUMIFS(WORK_TARIFF_RULES!$F:$F,WORK_TARIFF_RULES!$A:$A,$D27,WORK_TARIFF_RULES!$C:$C,$B27)&lt;&gt;"",SUMIFS(WORK_TARIFF_RULES!$F:$F,WORK_TARIFF_RULES!$A:$A,$D27,WORK_TARIFF_RULES!$C:$C,$B27),SUMIFS(TARIFF_PROFILES!$D:$D,TARIFF_PROFILES!$A:$A,$B27)),1),IF($C27="Material",IFERROR(IF(SUMIFS(MATERIAL_TARIFF_RULES!$E:$E,MATERIAL_TARIFF_RULES!$A:$A,$D27,MATERIAL_TARIFF_RULES!$C:$C,$B27)&lt;&gt;"",SUMIFS(MATERIAL_TARIFF_RULES!$E:$E,MATERIAL_TARIFF_RULES!$A:$A,$D27,MATERIAL_TARIFF_RULES!$C:$C,$B27),SUMIFS(TARIFF_PROFILES!$E:$E,TARIFF_PROFILES!$A:$A,$B27)),1),"")))</f>
        <v/>
      </c>
      <c r="K27" s="22" t="str">
        <f>IF($C27="","",IF($C27="Material",IFERROR(SUMIFS(MATERIAL_MASTER!$P:$P,MATERIAL_MASTER!$A:$A,$D27)*IF(SUMIFS(MATERIAL_TARIFF_RULES!$F:$F,MATERIAL_TARIFF_RULES!$A:$A,$D27,MATERIAL_TARIFF_RULES!$C:$C,$B27)="",SUMIFS(TARIFF_PROFILES!$H:$H,TARIFF_PROFILES!$A:$A,$B27),SUMIFS(MATERIAL_TARIFF_RULES!$F:$F,MATERIAL_TARIFF_RULES!$A:$A,$D27,MATERIAL_TARIFF_RULES!$C:$C,$B27)),1),1))</f>
        <v/>
      </c>
      <c r="L27" s="22" t="str">
        <f t="shared" si="0"/>
        <v/>
      </c>
      <c r="M27" s="22" t="str">
        <f t="shared" si="1"/>
        <v/>
      </c>
      <c r="N27" s="22" t="str">
        <f t="shared" si="2"/>
        <v/>
      </c>
      <c r="O27" s="4" t="str">
        <f t="shared" si="3"/>
        <v/>
      </c>
    </row>
    <row r="28" spans="1:15" x14ac:dyDescent="0.3">
      <c r="A28" s="4"/>
      <c r="B28" s="4"/>
      <c r="C28" s="4"/>
      <c r="D28" s="4"/>
      <c r="E28" s="4"/>
      <c r="F28" s="4" t="str">
        <f>IF($C28="","",IF($C28="Work",IFERROR(IF(SUMIFS(WORK_TARIFF_RULES!$G:$G,WORK_TARIFF_RULES!$A:$A,$D28,WORK_TARIFF_RULES!$C:$C,$B28)&lt;&gt;"",SUMIFS(WORK_TARIFF_RULES!$G:$G,WORK_TARIFF_RULES!$A:$A,$D28,WORK_TARIFF_RULES!$C:$C,$B28),SUMIFS(WORK_MASTER!$C:$C,WORK_MASTER!$A:$A,$D28)),""),IF($C28="Material",IFERROR(IF(SUMIFS(MATERIAL_TARIFF_RULES!$G:$G,MATERIAL_TARIFF_RULES!$A:$A,$D28,MATERIAL_TARIFF_RULES!$C:$C,$B28)&lt;&gt;"",SUMIFS(MATERIAL_TARIFF_RULES!$G:$G,MATERIAL_TARIFF_RULES!$A:$A,$D28,MATERIAL_TARIFF_RULES!$C:$C,$B28),SUMIFS(MATERIAL_VARIANTS!$J:$J,MATERIAL_VARIANTS!$A:$A,$E28)),""),"")))</f>
        <v/>
      </c>
      <c r="G28" s="22"/>
      <c r="H28" s="22" t="str">
        <f>IF($C28="","",IF($C28="Work",IFERROR(SUMIFS(WORK_MASTER!$I:$I,WORK_MASTER!$A:$A,$D28),""),IF($C28="Material",IFERROR(SUMIFS(MATERIAL_VARIANTS!$I:$I,MATERIAL_VARIANTS!$A:$A,$E28),""),"")))</f>
        <v/>
      </c>
      <c r="I28" s="22" t="str">
        <f>IF($C28="","",IF($C28="Work",IFERROR(SUMIFS(WORK_FACTOR_APPLICABILITY!$O:$O,WORK_FACTOR_APPLICABILITY!$A:$A,$D28,WORK_FACTOR_APPLICABILITY!$N:$N,$A28),1),IF($C28="Material",IFERROR(ROUND(1+SUMIFS(MATERIAL_FACTOR_APPLICABILITY!$D:$D,MATERIAL_FACTOR_APPLICABILITY!$A:$A,SUMIFS(MATERIAL_MASTER!$O:$O,MATERIAL_MASTER!$A:$A,$D28),MATERIAL_FACTOR_APPLICABILITY!$B:$B,"GeometryComplexity")*(SUMIFS(OBJECT_CONDITIONS!$W:$W,OBJECT_CONDITIONS!$A:$A,$A28)-1),3),1),"")))</f>
        <v/>
      </c>
      <c r="J28" s="22" t="str">
        <f>IF($C28="","",IF($C28="Work",IFERROR(IF(SUMIFS(WORK_TARIFF_RULES!$F:$F,WORK_TARIFF_RULES!$A:$A,$D28,WORK_TARIFF_RULES!$C:$C,$B28)&lt;&gt;"",SUMIFS(WORK_TARIFF_RULES!$F:$F,WORK_TARIFF_RULES!$A:$A,$D28,WORK_TARIFF_RULES!$C:$C,$B28),SUMIFS(TARIFF_PROFILES!$D:$D,TARIFF_PROFILES!$A:$A,$B28)),1),IF($C28="Material",IFERROR(IF(SUMIFS(MATERIAL_TARIFF_RULES!$E:$E,MATERIAL_TARIFF_RULES!$A:$A,$D28,MATERIAL_TARIFF_RULES!$C:$C,$B28)&lt;&gt;"",SUMIFS(MATERIAL_TARIFF_RULES!$E:$E,MATERIAL_TARIFF_RULES!$A:$A,$D28,MATERIAL_TARIFF_RULES!$C:$C,$B28),SUMIFS(TARIFF_PROFILES!$E:$E,TARIFF_PROFILES!$A:$A,$B28)),1),"")))</f>
        <v/>
      </c>
      <c r="K28" s="22" t="str">
        <f>IF($C28="","",IF($C28="Material",IFERROR(SUMIFS(MATERIAL_MASTER!$P:$P,MATERIAL_MASTER!$A:$A,$D28)*IF(SUMIFS(MATERIAL_TARIFF_RULES!$F:$F,MATERIAL_TARIFF_RULES!$A:$A,$D28,MATERIAL_TARIFF_RULES!$C:$C,$B28)="",SUMIFS(TARIFF_PROFILES!$H:$H,TARIFF_PROFILES!$A:$A,$B28),SUMIFS(MATERIAL_TARIFF_RULES!$F:$F,MATERIAL_TARIFF_RULES!$A:$A,$D28,MATERIAL_TARIFF_RULES!$C:$C,$B28)),1),1))</f>
        <v/>
      </c>
      <c r="L28" s="22" t="str">
        <f t="shared" si="0"/>
        <v/>
      </c>
      <c r="M28" s="22" t="str">
        <f t="shared" si="1"/>
        <v/>
      </c>
      <c r="N28" s="22" t="str">
        <f t="shared" si="2"/>
        <v/>
      </c>
      <c r="O28" s="4" t="str">
        <f t="shared" si="3"/>
        <v/>
      </c>
    </row>
    <row r="29" spans="1:15" x14ac:dyDescent="0.3">
      <c r="A29" s="4"/>
      <c r="B29" s="4"/>
      <c r="C29" s="4"/>
      <c r="D29" s="4"/>
      <c r="E29" s="4"/>
      <c r="F29" s="4" t="str">
        <f>IF($C29="","",IF($C29="Work",IFERROR(IF(SUMIFS(WORK_TARIFF_RULES!$G:$G,WORK_TARIFF_RULES!$A:$A,$D29,WORK_TARIFF_RULES!$C:$C,$B29)&lt;&gt;"",SUMIFS(WORK_TARIFF_RULES!$G:$G,WORK_TARIFF_RULES!$A:$A,$D29,WORK_TARIFF_RULES!$C:$C,$B29),SUMIFS(WORK_MASTER!$C:$C,WORK_MASTER!$A:$A,$D29)),""),IF($C29="Material",IFERROR(IF(SUMIFS(MATERIAL_TARIFF_RULES!$G:$G,MATERIAL_TARIFF_RULES!$A:$A,$D29,MATERIAL_TARIFF_RULES!$C:$C,$B29)&lt;&gt;"",SUMIFS(MATERIAL_TARIFF_RULES!$G:$G,MATERIAL_TARIFF_RULES!$A:$A,$D29,MATERIAL_TARIFF_RULES!$C:$C,$B29),SUMIFS(MATERIAL_VARIANTS!$J:$J,MATERIAL_VARIANTS!$A:$A,$E29)),""),"")))</f>
        <v/>
      </c>
      <c r="G29" s="22"/>
      <c r="H29" s="22" t="str">
        <f>IF($C29="","",IF($C29="Work",IFERROR(SUMIFS(WORK_MASTER!$I:$I,WORK_MASTER!$A:$A,$D29),""),IF($C29="Material",IFERROR(SUMIFS(MATERIAL_VARIANTS!$I:$I,MATERIAL_VARIANTS!$A:$A,$E29),""),"")))</f>
        <v/>
      </c>
      <c r="I29" s="22" t="str">
        <f>IF($C29="","",IF($C29="Work",IFERROR(SUMIFS(WORK_FACTOR_APPLICABILITY!$O:$O,WORK_FACTOR_APPLICABILITY!$A:$A,$D29,WORK_FACTOR_APPLICABILITY!$N:$N,$A29),1),IF($C29="Material",IFERROR(ROUND(1+SUMIFS(MATERIAL_FACTOR_APPLICABILITY!$D:$D,MATERIAL_FACTOR_APPLICABILITY!$A:$A,SUMIFS(MATERIAL_MASTER!$O:$O,MATERIAL_MASTER!$A:$A,$D29),MATERIAL_FACTOR_APPLICABILITY!$B:$B,"GeometryComplexity")*(SUMIFS(OBJECT_CONDITIONS!$W:$W,OBJECT_CONDITIONS!$A:$A,$A29)-1),3),1),"")))</f>
        <v/>
      </c>
      <c r="J29" s="22" t="str">
        <f>IF($C29="","",IF($C29="Work",IFERROR(IF(SUMIFS(WORK_TARIFF_RULES!$F:$F,WORK_TARIFF_RULES!$A:$A,$D29,WORK_TARIFF_RULES!$C:$C,$B29)&lt;&gt;"",SUMIFS(WORK_TARIFF_RULES!$F:$F,WORK_TARIFF_RULES!$A:$A,$D29,WORK_TARIFF_RULES!$C:$C,$B29),SUMIFS(TARIFF_PROFILES!$D:$D,TARIFF_PROFILES!$A:$A,$B29)),1),IF($C29="Material",IFERROR(IF(SUMIFS(MATERIAL_TARIFF_RULES!$E:$E,MATERIAL_TARIFF_RULES!$A:$A,$D29,MATERIAL_TARIFF_RULES!$C:$C,$B29)&lt;&gt;"",SUMIFS(MATERIAL_TARIFF_RULES!$E:$E,MATERIAL_TARIFF_RULES!$A:$A,$D29,MATERIAL_TARIFF_RULES!$C:$C,$B29),SUMIFS(TARIFF_PROFILES!$E:$E,TARIFF_PROFILES!$A:$A,$B29)),1),"")))</f>
        <v/>
      </c>
      <c r="K29" s="22" t="str">
        <f>IF($C29="","",IF($C29="Material",IFERROR(SUMIFS(MATERIAL_MASTER!$P:$P,MATERIAL_MASTER!$A:$A,$D29)*IF(SUMIFS(MATERIAL_TARIFF_RULES!$F:$F,MATERIAL_TARIFF_RULES!$A:$A,$D29,MATERIAL_TARIFF_RULES!$C:$C,$B29)="",SUMIFS(TARIFF_PROFILES!$H:$H,TARIFF_PROFILES!$A:$A,$B29),SUMIFS(MATERIAL_TARIFF_RULES!$F:$F,MATERIAL_TARIFF_RULES!$A:$A,$D29,MATERIAL_TARIFF_RULES!$C:$C,$B29)),1),1))</f>
        <v/>
      </c>
      <c r="L29" s="22" t="str">
        <f t="shared" si="0"/>
        <v/>
      </c>
      <c r="M29" s="22" t="str">
        <f t="shared" si="1"/>
        <v/>
      </c>
      <c r="N29" s="22" t="str">
        <f t="shared" si="2"/>
        <v/>
      </c>
      <c r="O29" s="4" t="str">
        <f t="shared" si="3"/>
        <v/>
      </c>
    </row>
    <row r="30" spans="1:15" x14ac:dyDescent="0.3">
      <c r="A30" s="4"/>
      <c r="B30" s="4"/>
      <c r="C30" s="4"/>
      <c r="D30" s="4"/>
      <c r="E30" s="4"/>
      <c r="F30" s="4" t="str">
        <f>IF($C30="","",IF($C30="Work",IFERROR(IF(SUMIFS(WORK_TARIFF_RULES!$G:$G,WORK_TARIFF_RULES!$A:$A,$D30,WORK_TARIFF_RULES!$C:$C,$B30)&lt;&gt;"",SUMIFS(WORK_TARIFF_RULES!$G:$G,WORK_TARIFF_RULES!$A:$A,$D30,WORK_TARIFF_RULES!$C:$C,$B30),SUMIFS(WORK_MASTER!$C:$C,WORK_MASTER!$A:$A,$D30)),""),IF($C30="Material",IFERROR(IF(SUMIFS(MATERIAL_TARIFF_RULES!$G:$G,MATERIAL_TARIFF_RULES!$A:$A,$D30,MATERIAL_TARIFF_RULES!$C:$C,$B30)&lt;&gt;"",SUMIFS(MATERIAL_TARIFF_RULES!$G:$G,MATERIAL_TARIFF_RULES!$A:$A,$D30,MATERIAL_TARIFF_RULES!$C:$C,$B30),SUMIFS(MATERIAL_VARIANTS!$J:$J,MATERIAL_VARIANTS!$A:$A,$E30)),""),"")))</f>
        <v/>
      </c>
      <c r="G30" s="22"/>
      <c r="H30" s="22" t="str">
        <f>IF($C30="","",IF($C30="Work",IFERROR(SUMIFS(WORK_MASTER!$I:$I,WORK_MASTER!$A:$A,$D30),""),IF($C30="Material",IFERROR(SUMIFS(MATERIAL_VARIANTS!$I:$I,MATERIAL_VARIANTS!$A:$A,$E30),""),"")))</f>
        <v/>
      </c>
      <c r="I30" s="22" t="str">
        <f>IF($C30="","",IF($C30="Work",IFERROR(SUMIFS(WORK_FACTOR_APPLICABILITY!$O:$O,WORK_FACTOR_APPLICABILITY!$A:$A,$D30,WORK_FACTOR_APPLICABILITY!$N:$N,$A30),1),IF($C30="Material",IFERROR(ROUND(1+SUMIFS(MATERIAL_FACTOR_APPLICABILITY!$D:$D,MATERIAL_FACTOR_APPLICABILITY!$A:$A,SUMIFS(MATERIAL_MASTER!$O:$O,MATERIAL_MASTER!$A:$A,$D30),MATERIAL_FACTOR_APPLICABILITY!$B:$B,"GeometryComplexity")*(SUMIFS(OBJECT_CONDITIONS!$W:$W,OBJECT_CONDITIONS!$A:$A,$A30)-1),3),1),"")))</f>
        <v/>
      </c>
      <c r="J30" s="22" t="str">
        <f>IF($C30="","",IF($C30="Work",IFERROR(IF(SUMIFS(WORK_TARIFF_RULES!$F:$F,WORK_TARIFF_RULES!$A:$A,$D30,WORK_TARIFF_RULES!$C:$C,$B30)&lt;&gt;"",SUMIFS(WORK_TARIFF_RULES!$F:$F,WORK_TARIFF_RULES!$A:$A,$D30,WORK_TARIFF_RULES!$C:$C,$B30),SUMIFS(TARIFF_PROFILES!$D:$D,TARIFF_PROFILES!$A:$A,$B30)),1),IF($C30="Material",IFERROR(IF(SUMIFS(MATERIAL_TARIFF_RULES!$E:$E,MATERIAL_TARIFF_RULES!$A:$A,$D30,MATERIAL_TARIFF_RULES!$C:$C,$B30)&lt;&gt;"",SUMIFS(MATERIAL_TARIFF_RULES!$E:$E,MATERIAL_TARIFF_RULES!$A:$A,$D30,MATERIAL_TARIFF_RULES!$C:$C,$B30),SUMIFS(TARIFF_PROFILES!$E:$E,TARIFF_PROFILES!$A:$A,$B30)),1),"")))</f>
        <v/>
      </c>
      <c r="K30" s="22" t="str">
        <f>IF($C30="","",IF($C30="Material",IFERROR(SUMIFS(MATERIAL_MASTER!$P:$P,MATERIAL_MASTER!$A:$A,$D30)*IF(SUMIFS(MATERIAL_TARIFF_RULES!$F:$F,MATERIAL_TARIFF_RULES!$A:$A,$D30,MATERIAL_TARIFF_RULES!$C:$C,$B30)="",SUMIFS(TARIFF_PROFILES!$H:$H,TARIFF_PROFILES!$A:$A,$B30),SUMIFS(MATERIAL_TARIFF_RULES!$F:$F,MATERIAL_TARIFF_RULES!$A:$A,$D30,MATERIAL_TARIFF_RULES!$C:$C,$B30)),1),1))</f>
        <v/>
      </c>
      <c r="L30" s="22" t="str">
        <f t="shared" si="0"/>
        <v/>
      </c>
      <c r="M30" s="22" t="str">
        <f t="shared" si="1"/>
        <v/>
      </c>
      <c r="N30" s="22" t="str">
        <f t="shared" si="2"/>
        <v/>
      </c>
      <c r="O30" s="4" t="str">
        <f t="shared" si="3"/>
        <v/>
      </c>
    </row>
    <row r="31" spans="1:15" x14ac:dyDescent="0.3">
      <c r="A31" s="4"/>
      <c r="B31" s="4"/>
      <c r="C31" s="4"/>
      <c r="D31" s="4"/>
      <c r="E31" s="4"/>
      <c r="F31" s="4" t="str">
        <f>IF($C31="","",IF($C31="Work",IFERROR(IF(SUMIFS(WORK_TARIFF_RULES!$G:$G,WORK_TARIFF_RULES!$A:$A,$D31,WORK_TARIFF_RULES!$C:$C,$B31)&lt;&gt;"",SUMIFS(WORK_TARIFF_RULES!$G:$G,WORK_TARIFF_RULES!$A:$A,$D31,WORK_TARIFF_RULES!$C:$C,$B31),SUMIFS(WORK_MASTER!$C:$C,WORK_MASTER!$A:$A,$D31)),""),IF($C31="Material",IFERROR(IF(SUMIFS(MATERIAL_TARIFF_RULES!$G:$G,MATERIAL_TARIFF_RULES!$A:$A,$D31,MATERIAL_TARIFF_RULES!$C:$C,$B31)&lt;&gt;"",SUMIFS(MATERIAL_TARIFF_RULES!$G:$G,MATERIAL_TARIFF_RULES!$A:$A,$D31,MATERIAL_TARIFF_RULES!$C:$C,$B31),SUMIFS(MATERIAL_VARIANTS!$J:$J,MATERIAL_VARIANTS!$A:$A,$E31)),""),"")))</f>
        <v/>
      </c>
      <c r="G31" s="22"/>
      <c r="H31" s="22" t="str">
        <f>IF($C31="","",IF($C31="Work",IFERROR(SUMIFS(WORK_MASTER!$I:$I,WORK_MASTER!$A:$A,$D31),""),IF($C31="Material",IFERROR(SUMIFS(MATERIAL_VARIANTS!$I:$I,MATERIAL_VARIANTS!$A:$A,$E31),""),"")))</f>
        <v/>
      </c>
      <c r="I31" s="22" t="str">
        <f>IF($C31="","",IF($C31="Work",IFERROR(SUMIFS(WORK_FACTOR_APPLICABILITY!$O:$O,WORK_FACTOR_APPLICABILITY!$A:$A,$D31,WORK_FACTOR_APPLICABILITY!$N:$N,$A31),1),IF($C31="Material",IFERROR(ROUND(1+SUMIFS(MATERIAL_FACTOR_APPLICABILITY!$D:$D,MATERIAL_FACTOR_APPLICABILITY!$A:$A,SUMIFS(MATERIAL_MASTER!$O:$O,MATERIAL_MASTER!$A:$A,$D31),MATERIAL_FACTOR_APPLICABILITY!$B:$B,"GeometryComplexity")*(SUMIFS(OBJECT_CONDITIONS!$W:$W,OBJECT_CONDITIONS!$A:$A,$A31)-1),3),1),"")))</f>
        <v/>
      </c>
      <c r="J31" s="22" t="str">
        <f>IF($C31="","",IF($C31="Work",IFERROR(IF(SUMIFS(WORK_TARIFF_RULES!$F:$F,WORK_TARIFF_RULES!$A:$A,$D31,WORK_TARIFF_RULES!$C:$C,$B31)&lt;&gt;"",SUMIFS(WORK_TARIFF_RULES!$F:$F,WORK_TARIFF_RULES!$A:$A,$D31,WORK_TARIFF_RULES!$C:$C,$B31),SUMIFS(TARIFF_PROFILES!$D:$D,TARIFF_PROFILES!$A:$A,$B31)),1),IF($C31="Material",IFERROR(IF(SUMIFS(MATERIAL_TARIFF_RULES!$E:$E,MATERIAL_TARIFF_RULES!$A:$A,$D31,MATERIAL_TARIFF_RULES!$C:$C,$B31)&lt;&gt;"",SUMIFS(MATERIAL_TARIFF_RULES!$E:$E,MATERIAL_TARIFF_RULES!$A:$A,$D31,MATERIAL_TARIFF_RULES!$C:$C,$B31),SUMIFS(TARIFF_PROFILES!$E:$E,TARIFF_PROFILES!$A:$A,$B31)),1),"")))</f>
        <v/>
      </c>
      <c r="K31" s="22" t="str">
        <f>IF($C31="","",IF($C31="Material",IFERROR(SUMIFS(MATERIAL_MASTER!$P:$P,MATERIAL_MASTER!$A:$A,$D31)*IF(SUMIFS(MATERIAL_TARIFF_RULES!$F:$F,MATERIAL_TARIFF_RULES!$A:$A,$D31,MATERIAL_TARIFF_RULES!$C:$C,$B31)="",SUMIFS(TARIFF_PROFILES!$H:$H,TARIFF_PROFILES!$A:$A,$B31),SUMIFS(MATERIAL_TARIFF_RULES!$F:$F,MATERIAL_TARIFF_RULES!$A:$A,$D31,MATERIAL_TARIFF_RULES!$C:$C,$B31)),1),1))</f>
        <v/>
      </c>
      <c r="L31" s="22" t="str">
        <f t="shared" si="0"/>
        <v/>
      </c>
      <c r="M31" s="22" t="str">
        <f t="shared" si="1"/>
        <v/>
      </c>
      <c r="N31" s="22" t="str">
        <f t="shared" si="2"/>
        <v/>
      </c>
      <c r="O31" s="4" t="str">
        <f t="shared" si="3"/>
        <v/>
      </c>
    </row>
    <row r="32" spans="1:15" x14ac:dyDescent="0.3">
      <c r="A32" s="4"/>
      <c r="B32" s="4"/>
      <c r="C32" s="4"/>
      <c r="D32" s="4"/>
      <c r="E32" s="4"/>
      <c r="F32" s="4" t="str">
        <f>IF($C32="","",IF($C32="Work",IFERROR(IF(SUMIFS(WORK_TARIFF_RULES!$G:$G,WORK_TARIFF_RULES!$A:$A,$D32,WORK_TARIFF_RULES!$C:$C,$B32)&lt;&gt;"",SUMIFS(WORK_TARIFF_RULES!$G:$G,WORK_TARIFF_RULES!$A:$A,$D32,WORK_TARIFF_RULES!$C:$C,$B32),SUMIFS(WORK_MASTER!$C:$C,WORK_MASTER!$A:$A,$D32)),""),IF($C32="Material",IFERROR(IF(SUMIFS(MATERIAL_TARIFF_RULES!$G:$G,MATERIAL_TARIFF_RULES!$A:$A,$D32,MATERIAL_TARIFF_RULES!$C:$C,$B32)&lt;&gt;"",SUMIFS(MATERIAL_TARIFF_RULES!$G:$G,MATERIAL_TARIFF_RULES!$A:$A,$D32,MATERIAL_TARIFF_RULES!$C:$C,$B32),SUMIFS(MATERIAL_VARIANTS!$J:$J,MATERIAL_VARIANTS!$A:$A,$E32)),""),"")))</f>
        <v/>
      </c>
      <c r="G32" s="22"/>
      <c r="H32" s="22" t="str">
        <f>IF($C32="","",IF($C32="Work",IFERROR(SUMIFS(WORK_MASTER!$I:$I,WORK_MASTER!$A:$A,$D32),""),IF($C32="Material",IFERROR(SUMIFS(MATERIAL_VARIANTS!$I:$I,MATERIAL_VARIANTS!$A:$A,$E32),""),"")))</f>
        <v/>
      </c>
      <c r="I32" s="22" t="str">
        <f>IF($C32="","",IF($C32="Work",IFERROR(SUMIFS(WORK_FACTOR_APPLICABILITY!$O:$O,WORK_FACTOR_APPLICABILITY!$A:$A,$D32,WORK_FACTOR_APPLICABILITY!$N:$N,$A32),1),IF($C32="Material",IFERROR(ROUND(1+SUMIFS(MATERIAL_FACTOR_APPLICABILITY!$D:$D,MATERIAL_FACTOR_APPLICABILITY!$A:$A,SUMIFS(MATERIAL_MASTER!$O:$O,MATERIAL_MASTER!$A:$A,$D32),MATERIAL_FACTOR_APPLICABILITY!$B:$B,"GeometryComplexity")*(SUMIFS(OBJECT_CONDITIONS!$W:$W,OBJECT_CONDITIONS!$A:$A,$A32)-1),3),1),"")))</f>
        <v/>
      </c>
      <c r="J32" s="22" t="str">
        <f>IF($C32="","",IF($C32="Work",IFERROR(IF(SUMIFS(WORK_TARIFF_RULES!$F:$F,WORK_TARIFF_RULES!$A:$A,$D32,WORK_TARIFF_RULES!$C:$C,$B32)&lt;&gt;"",SUMIFS(WORK_TARIFF_RULES!$F:$F,WORK_TARIFF_RULES!$A:$A,$D32,WORK_TARIFF_RULES!$C:$C,$B32),SUMIFS(TARIFF_PROFILES!$D:$D,TARIFF_PROFILES!$A:$A,$B32)),1),IF($C32="Material",IFERROR(IF(SUMIFS(MATERIAL_TARIFF_RULES!$E:$E,MATERIAL_TARIFF_RULES!$A:$A,$D32,MATERIAL_TARIFF_RULES!$C:$C,$B32)&lt;&gt;"",SUMIFS(MATERIAL_TARIFF_RULES!$E:$E,MATERIAL_TARIFF_RULES!$A:$A,$D32,MATERIAL_TARIFF_RULES!$C:$C,$B32),SUMIFS(TARIFF_PROFILES!$E:$E,TARIFF_PROFILES!$A:$A,$B32)),1),"")))</f>
        <v/>
      </c>
      <c r="K32" s="22" t="str">
        <f>IF($C32="","",IF($C32="Material",IFERROR(SUMIFS(MATERIAL_MASTER!$P:$P,MATERIAL_MASTER!$A:$A,$D32)*IF(SUMIFS(MATERIAL_TARIFF_RULES!$F:$F,MATERIAL_TARIFF_RULES!$A:$A,$D32,MATERIAL_TARIFF_RULES!$C:$C,$B32)="",SUMIFS(TARIFF_PROFILES!$H:$H,TARIFF_PROFILES!$A:$A,$B32),SUMIFS(MATERIAL_TARIFF_RULES!$F:$F,MATERIAL_TARIFF_RULES!$A:$A,$D32,MATERIAL_TARIFF_RULES!$C:$C,$B32)),1),1))</f>
        <v/>
      </c>
      <c r="L32" s="22" t="str">
        <f t="shared" si="0"/>
        <v/>
      </c>
      <c r="M32" s="22" t="str">
        <f t="shared" si="1"/>
        <v/>
      </c>
      <c r="N32" s="22" t="str">
        <f t="shared" si="2"/>
        <v/>
      </c>
      <c r="O32" s="4" t="str">
        <f t="shared" si="3"/>
        <v/>
      </c>
    </row>
    <row r="33" spans="1:15" x14ac:dyDescent="0.3">
      <c r="A33" s="4"/>
      <c r="B33" s="4"/>
      <c r="C33" s="4"/>
      <c r="D33" s="4"/>
      <c r="E33" s="4"/>
      <c r="F33" s="4" t="str">
        <f>IF($C33="","",IF($C33="Work",IFERROR(IF(SUMIFS(WORK_TARIFF_RULES!$G:$G,WORK_TARIFF_RULES!$A:$A,$D33,WORK_TARIFF_RULES!$C:$C,$B33)&lt;&gt;"",SUMIFS(WORK_TARIFF_RULES!$G:$G,WORK_TARIFF_RULES!$A:$A,$D33,WORK_TARIFF_RULES!$C:$C,$B33),SUMIFS(WORK_MASTER!$C:$C,WORK_MASTER!$A:$A,$D33)),""),IF($C33="Material",IFERROR(IF(SUMIFS(MATERIAL_TARIFF_RULES!$G:$G,MATERIAL_TARIFF_RULES!$A:$A,$D33,MATERIAL_TARIFF_RULES!$C:$C,$B33)&lt;&gt;"",SUMIFS(MATERIAL_TARIFF_RULES!$G:$G,MATERIAL_TARIFF_RULES!$A:$A,$D33,MATERIAL_TARIFF_RULES!$C:$C,$B33),SUMIFS(MATERIAL_VARIANTS!$J:$J,MATERIAL_VARIANTS!$A:$A,$E33)),""),"")))</f>
        <v/>
      </c>
      <c r="G33" s="22"/>
      <c r="H33" s="22" t="str">
        <f>IF($C33="","",IF($C33="Work",IFERROR(SUMIFS(WORK_MASTER!$I:$I,WORK_MASTER!$A:$A,$D33),""),IF($C33="Material",IFERROR(SUMIFS(MATERIAL_VARIANTS!$I:$I,MATERIAL_VARIANTS!$A:$A,$E33),""),"")))</f>
        <v/>
      </c>
      <c r="I33" s="22" t="str">
        <f>IF($C33="","",IF($C33="Work",IFERROR(SUMIFS(WORK_FACTOR_APPLICABILITY!$O:$O,WORK_FACTOR_APPLICABILITY!$A:$A,$D33,WORK_FACTOR_APPLICABILITY!$N:$N,$A33),1),IF($C33="Material",IFERROR(ROUND(1+SUMIFS(MATERIAL_FACTOR_APPLICABILITY!$D:$D,MATERIAL_FACTOR_APPLICABILITY!$A:$A,SUMIFS(MATERIAL_MASTER!$O:$O,MATERIAL_MASTER!$A:$A,$D33),MATERIAL_FACTOR_APPLICABILITY!$B:$B,"GeometryComplexity")*(SUMIFS(OBJECT_CONDITIONS!$W:$W,OBJECT_CONDITIONS!$A:$A,$A33)-1),3),1),"")))</f>
        <v/>
      </c>
      <c r="J33" s="22" t="str">
        <f>IF($C33="","",IF($C33="Work",IFERROR(IF(SUMIFS(WORK_TARIFF_RULES!$F:$F,WORK_TARIFF_RULES!$A:$A,$D33,WORK_TARIFF_RULES!$C:$C,$B33)&lt;&gt;"",SUMIFS(WORK_TARIFF_RULES!$F:$F,WORK_TARIFF_RULES!$A:$A,$D33,WORK_TARIFF_RULES!$C:$C,$B33),SUMIFS(TARIFF_PROFILES!$D:$D,TARIFF_PROFILES!$A:$A,$B33)),1),IF($C33="Material",IFERROR(IF(SUMIFS(MATERIAL_TARIFF_RULES!$E:$E,MATERIAL_TARIFF_RULES!$A:$A,$D33,MATERIAL_TARIFF_RULES!$C:$C,$B33)&lt;&gt;"",SUMIFS(MATERIAL_TARIFF_RULES!$E:$E,MATERIAL_TARIFF_RULES!$A:$A,$D33,MATERIAL_TARIFF_RULES!$C:$C,$B33),SUMIFS(TARIFF_PROFILES!$E:$E,TARIFF_PROFILES!$A:$A,$B33)),1),"")))</f>
        <v/>
      </c>
      <c r="K33" s="22" t="str">
        <f>IF($C33="","",IF($C33="Material",IFERROR(SUMIFS(MATERIAL_MASTER!$P:$P,MATERIAL_MASTER!$A:$A,$D33)*IF(SUMIFS(MATERIAL_TARIFF_RULES!$F:$F,MATERIAL_TARIFF_RULES!$A:$A,$D33,MATERIAL_TARIFF_RULES!$C:$C,$B33)="",SUMIFS(TARIFF_PROFILES!$H:$H,TARIFF_PROFILES!$A:$A,$B33),SUMIFS(MATERIAL_TARIFF_RULES!$F:$F,MATERIAL_TARIFF_RULES!$A:$A,$D33,MATERIAL_TARIFF_RULES!$C:$C,$B33)),1),1))</f>
        <v/>
      </c>
      <c r="L33" s="22" t="str">
        <f t="shared" si="0"/>
        <v/>
      </c>
      <c r="M33" s="22" t="str">
        <f t="shared" si="1"/>
        <v/>
      </c>
      <c r="N33" s="22" t="str">
        <f t="shared" si="2"/>
        <v/>
      </c>
      <c r="O33" s="4" t="str">
        <f t="shared" si="3"/>
        <v/>
      </c>
    </row>
    <row r="34" spans="1:15" x14ac:dyDescent="0.3">
      <c r="A34" s="4"/>
      <c r="B34" s="4"/>
      <c r="C34" s="4"/>
      <c r="D34" s="4"/>
      <c r="E34" s="4"/>
      <c r="F34" s="4" t="str">
        <f>IF($C34="","",IF($C34="Work",IFERROR(IF(SUMIFS(WORK_TARIFF_RULES!$G:$G,WORK_TARIFF_RULES!$A:$A,$D34,WORK_TARIFF_RULES!$C:$C,$B34)&lt;&gt;"",SUMIFS(WORK_TARIFF_RULES!$G:$G,WORK_TARIFF_RULES!$A:$A,$D34,WORK_TARIFF_RULES!$C:$C,$B34),SUMIFS(WORK_MASTER!$C:$C,WORK_MASTER!$A:$A,$D34)),""),IF($C34="Material",IFERROR(IF(SUMIFS(MATERIAL_TARIFF_RULES!$G:$G,MATERIAL_TARIFF_RULES!$A:$A,$D34,MATERIAL_TARIFF_RULES!$C:$C,$B34)&lt;&gt;"",SUMIFS(MATERIAL_TARIFF_RULES!$G:$G,MATERIAL_TARIFF_RULES!$A:$A,$D34,MATERIAL_TARIFF_RULES!$C:$C,$B34),SUMIFS(MATERIAL_VARIANTS!$J:$J,MATERIAL_VARIANTS!$A:$A,$E34)),""),"")))</f>
        <v/>
      </c>
      <c r="G34" s="22"/>
      <c r="H34" s="22" t="str">
        <f>IF($C34="","",IF($C34="Work",IFERROR(SUMIFS(WORK_MASTER!$I:$I,WORK_MASTER!$A:$A,$D34),""),IF($C34="Material",IFERROR(SUMIFS(MATERIAL_VARIANTS!$I:$I,MATERIAL_VARIANTS!$A:$A,$E34),""),"")))</f>
        <v/>
      </c>
      <c r="I34" s="22" t="str">
        <f>IF($C34="","",IF($C34="Work",IFERROR(SUMIFS(WORK_FACTOR_APPLICABILITY!$O:$O,WORK_FACTOR_APPLICABILITY!$A:$A,$D34,WORK_FACTOR_APPLICABILITY!$N:$N,$A34),1),IF($C34="Material",IFERROR(ROUND(1+SUMIFS(MATERIAL_FACTOR_APPLICABILITY!$D:$D,MATERIAL_FACTOR_APPLICABILITY!$A:$A,SUMIFS(MATERIAL_MASTER!$O:$O,MATERIAL_MASTER!$A:$A,$D34),MATERIAL_FACTOR_APPLICABILITY!$B:$B,"GeometryComplexity")*(SUMIFS(OBJECT_CONDITIONS!$W:$W,OBJECT_CONDITIONS!$A:$A,$A34)-1),3),1),"")))</f>
        <v/>
      </c>
      <c r="J34" s="22" t="str">
        <f>IF($C34="","",IF($C34="Work",IFERROR(IF(SUMIFS(WORK_TARIFF_RULES!$F:$F,WORK_TARIFF_RULES!$A:$A,$D34,WORK_TARIFF_RULES!$C:$C,$B34)&lt;&gt;"",SUMIFS(WORK_TARIFF_RULES!$F:$F,WORK_TARIFF_RULES!$A:$A,$D34,WORK_TARIFF_RULES!$C:$C,$B34),SUMIFS(TARIFF_PROFILES!$D:$D,TARIFF_PROFILES!$A:$A,$B34)),1),IF($C34="Material",IFERROR(IF(SUMIFS(MATERIAL_TARIFF_RULES!$E:$E,MATERIAL_TARIFF_RULES!$A:$A,$D34,MATERIAL_TARIFF_RULES!$C:$C,$B34)&lt;&gt;"",SUMIFS(MATERIAL_TARIFF_RULES!$E:$E,MATERIAL_TARIFF_RULES!$A:$A,$D34,MATERIAL_TARIFF_RULES!$C:$C,$B34),SUMIFS(TARIFF_PROFILES!$E:$E,TARIFF_PROFILES!$A:$A,$B34)),1),"")))</f>
        <v/>
      </c>
      <c r="K34" s="22" t="str">
        <f>IF($C34="","",IF($C34="Material",IFERROR(SUMIFS(MATERIAL_MASTER!$P:$P,MATERIAL_MASTER!$A:$A,$D34)*IF(SUMIFS(MATERIAL_TARIFF_RULES!$F:$F,MATERIAL_TARIFF_RULES!$A:$A,$D34,MATERIAL_TARIFF_RULES!$C:$C,$B34)="",SUMIFS(TARIFF_PROFILES!$H:$H,TARIFF_PROFILES!$A:$A,$B34),SUMIFS(MATERIAL_TARIFF_RULES!$F:$F,MATERIAL_TARIFF_RULES!$A:$A,$D34,MATERIAL_TARIFF_RULES!$C:$C,$B34)),1),1))</f>
        <v/>
      </c>
      <c r="L34" s="22" t="str">
        <f t="shared" ref="L34:L65" si="4">IF($C34="","",IF($C34="Work",N($H34)*N($I34)*N($J34),IF($C34="Material",N($H34)*N($I34)*N($J34),"")))</f>
        <v/>
      </c>
      <c r="M34" s="22" t="str">
        <f t="shared" ref="M34:M65" si="5">IF($C34="","",IF($C34="Material",N($G34)*N($K34),N($G34)))</f>
        <v/>
      </c>
      <c r="N34" s="22" t="str">
        <f t="shared" ref="N34:N65" si="6">IF($C34="","",N($L34)*N($M34))</f>
        <v/>
      </c>
      <c r="O34" s="4" t="str">
        <f t="shared" ref="O34:O65" si="7">IF($C34="","",IF($C34="Work","Тариф влияет на способ/детализацию и коэффициент работ",IF($C34="Material","Тариф влияет на вариант, качество, запас и показ материала","")))</f>
        <v/>
      </c>
    </row>
    <row r="35" spans="1:15" x14ac:dyDescent="0.3">
      <c r="A35" s="4"/>
      <c r="B35" s="4"/>
      <c r="C35" s="4"/>
      <c r="D35" s="4"/>
      <c r="E35" s="4"/>
      <c r="F35" s="4" t="str">
        <f>IF($C35="","",IF($C35="Work",IFERROR(IF(SUMIFS(WORK_TARIFF_RULES!$G:$G,WORK_TARIFF_RULES!$A:$A,$D35,WORK_TARIFF_RULES!$C:$C,$B35)&lt;&gt;"",SUMIFS(WORK_TARIFF_RULES!$G:$G,WORK_TARIFF_RULES!$A:$A,$D35,WORK_TARIFF_RULES!$C:$C,$B35),SUMIFS(WORK_MASTER!$C:$C,WORK_MASTER!$A:$A,$D35)),""),IF($C35="Material",IFERROR(IF(SUMIFS(MATERIAL_TARIFF_RULES!$G:$G,MATERIAL_TARIFF_RULES!$A:$A,$D35,MATERIAL_TARIFF_RULES!$C:$C,$B35)&lt;&gt;"",SUMIFS(MATERIAL_TARIFF_RULES!$G:$G,MATERIAL_TARIFF_RULES!$A:$A,$D35,MATERIAL_TARIFF_RULES!$C:$C,$B35),SUMIFS(MATERIAL_VARIANTS!$J:$J,MATERIAL_VARIANTS!$A:$A,$E35)),""),"")))</f>
        <v/>
      </c>
      <c r="G35" s="22"/>
      <c r="H35" s="22" t="str">
        <f>IF($C35="","",IF($C35="Work",IFERROR(SUMIFS(WORK_MASTER!$I:$I,WORK_MASTER!$A:$A,$D35),""),IF($C35="Material",IFERROR(SUMIFS(MATERIAL_VARIANTS!$I:$I,MATERIAL_VARIANTS!$A:$A,$E35),""),"")))</f>
        <v/>
      </c>
      <c r="I35" s="22" t="str">
        <f>IF($C35="","",IF($C35="Work",IFERROR(SUMIFS(WORK_FACTOR_APPLICABILITY!$O:$O,WORK_FACTOR_APPLICABILITY!$A:$A,$D35,WORK_FACTOR_APPLICABILITY!$N:$N,$A35),1),IF($C35="Material",IFERROR(ROUND(1+SUMIFS(MATERIAL_FACTOR_APPLICABILITY!$D:$D,MATERIAL_FACTOR_APPLICABILITY!$A:$A,SUMIFS(MATERIAL_MASTER!$O:$O,MATERIAL_MASTER!$A:$A,$D35),MATERIAL_FACTOR_APPLICABILITY!$B:$B,"GeometryComplexity")*(SUMIFS(OBJECT_CONDITIONS!$W:$W,OBJECT_CONDITIONS!$A:$A,$A35)-1),3),1),"")))</f>
        <v/>
      </c>
      <c r="J35" s="22" t="str">
        <f>IF($C35="","",IF($C35="Work",IFERROR(IF(SUMIFS(WORK_TARIFF_RULES!$F:$F,WORK_TARIFF_RULES!$A:$A,$D35,WORK_TARIFF_RULES!$C:$C,$B35)&lt;&gt;"",SUMIFS(WORK_TARIFF_RULES!$F:$F,WORK_TARIFF_RULES!$A:$A,$D35,WORK_TARIFF_RULES!$C:$C,$B35),SUMIFS(TARIFF_PROFILES!$D:$D,TARIFF_PROFILES!$A:$A,$B35)),1),IF($C35="Material",IFERROR(IF(SUMIFS(MATERIAL_TARIFF_RULES!$E:$E,MATERIAL_TARIFF_RULES!$A:$A,$D35,MATERIAL_TARIFF_RULES!$C:$C,$B35)&lt;&gt;"",SUMIFS(MATERIAL_TARIFF_RULES!$E:$E,MATERIAL_TARIFF_RULES!$A:$A,$D35,MATERIAL_TARIFF_RULES!$C:$C,$B35),SUMIFS(TARIFF_PROFILES!$E:$E,TARIFF_PROFILES!$A:$A,$B35)),1),"")))</f>
        <v/>
      </c>
      <c r="K35" s="22" t="str">
        <f>IF($C35="","",IF($C35="Material",IFERROR(SUMIFS(MATERIAL_MASTER!$P:$P,MATERIAL_MASTER!$A:$A,$D35)*IF(SUMIFS(MATERIAL_TARIFF_RULES!$F:$F,MATERIAL_TARIFF_RULES!$A:$A,$D35,MATERIAL_TARIFF_RULES!$C:$C,$B35)="",SUMIFS(TARIFF_PROFILES!$H:$H,TARIFF_PROFILES!$A:$A,$B35),SUMIFS(MATERIAL_TARIFF_RULES!$F:$F,MATERIAL_TARIFF_RULES!$A:$A,$D35,MATERIAL_TARIFF_RULES!$C:$C,$B35)),1),1))</f>
        <v/>
      </c>
      <c r="L35" s="22" t="str">
        <f t="shared" si="4"/>
        <v/>
      </c>
      <c r="M35" s="22" t="str">
        <f t="shared" si="5"/>
        <v/>
      </c>
      <c r="N35" s="22" t="str">
        <f t="shared" si="6"/>
        <v/>
      </c>
      <c r="O35" s="4" t="str">
        <f t="shared" si="7"/>
        <v/>
      </c>
    </row>
    <row r="36" spans="1:15" x14ac:dyDescent="0.3">
      <c r="A36" s="4"/>
      <c r="B36" s="4"/>
      <c r="C36" s="4"/>
      <c r="D36" s="4"/>
      <c r="E36" s="4"/>
      <c r="F36" s="4" t="str">
        <f>IF($C36="","",IF($C36="Work",IFERROR(IF(SUMIFS(WORK_TARIFF_RULES!$G:$G,WORK_TARIFF_RULES!$A:$A,$D36,WORK_TARIFF_RULES!$C:$C,$B36)&lt;&gt;"",SUMIFS(WORK_TARIFF_RULES!$G:$G,WORK_TARIFF_RULES!$A:$A,$D36,WORK_TARIFF_RULES!$C:$C,$B36),SUMIFS(WORK_MASTER!$C:$C,WORK_MASTER!$A:$A,$D36)),""),IF($C36="Material",IFERROR(IF(SUMIFS(MATERIAL_TARIFF_RULES!$G:$G,MATERIAL_TARIFF_RULES!$A:$A,$D36,MATERIAL_TARIFF_RULES!$C:$C,$B36)&lt;&gt;"",SUMIFS(MATERIAL_TARIFF_RULES!$G:$G,MATERIAL_TARIFF_RULES!$A:$A,$D36,MATERIAL_TARIFF_RULES!$C:$C,$B36),SUMIFS(MATERIAL_VARIANTS!$J:$J,MATERIAL_VARIANTS!$A:$A,$E36)),""),"")))</f>
        <v/>
      </c>
      <c r="G36" s="22"/>
      <c r="H36" s="22" t="str">
        <f>IF($C36="","",IF($C36="Work",IFERROR(SUMIFS(WORK_MASTER!$I:$I,WORK_MASTER!$A:$A,$D36),""),IF($C36="Material",IFERROR(SUMIFS(MATERIAL_VARIANTS!$I:$I,MATERIAL_VARIANTS!$A:$A,$E36),""),"")))</f>
        <v/>
      </c>
      <c r="I36" s="22" t="str">
        <f>IF($C36="","",IF($C36="Work",IFERROR(SUMIFS(WORK_FACTOR_APPLICABILITY!$O:$O,WORK_FACTOR_APPLICABILITY!$A:$A,$D36,WORK_FACTOR_APPLICABILITY!$N:$N,$A36),1),IF($C36="Material",IFERROR(ROUND(1+SUMIFS(MATERIAL_FACTOR_APPLICABILITY!$D:$D,MATERIAL_FACTOR_APPLICABILITY!$A:$A,SUMIFS(MATERIAL_MASTER!$O:$O,MATERIAL_MASTER!$A:$A,$D36),MATERIAL_FACTOR_APPLICABILITY!$B:$B,"GeometryComplexity")*(SUMIFS(OBJECT_CONDITIONS!$W:$W,OBJECT_CONDITIONS!$A:$A,$A36)-1),3),1),"")))</f>
        <v/>
      </c>
      <c r="J36" s="22" t="str">
        <f>IF($C36="","",IF($C36="Work",IFERROR(IF(SUMIFS(WORK_TARIFF_RULES!$F:$F,WORK_TARIFF_RULES!$A:$A,$D36,WORK_TARIFF_RULES!$C:$C,$B36)&lt;&gt;"",SUMIFS(WORK_TARIFF_RULES!$F:$F,WORK_TARIFF_RULES!$A:$A,$D36,WORK_TARIFF_RULES!$C:$C,$B36),SUMIFS(TARIFF_PROFILES!$D:$D,TARIFF_PROFILES!$A:$A,$B36)),1),IF($C36="Material",IFERROR(IF(SUMIFS(MATERIAL_TARIFF_RULES!$E:$E,MATERIAL_TARIFF_RULES!$A:$A,$D36,MATERIAL_TARIFF_RULES!$C:$C,$B36)&lt;&gt;"",SUMIFS(MATERIAL_TARIFF_RULES!$E:$E,MATERIAL_TARIFF_RULES!$A:$A,$D36,MATERIAL_TARIFF_RULES!$C:$C,$B36),SUMIFS(TARIFF_PROFILES!$E:$E,TARIFF_PROFILES!$A:$A,$B36)),1),"")))</f>
        <v/>
      </c>
      <c r="K36" s="22" t="str">
        <f>IF($C36="","",IF($C36="Material",IFERROR(SUMIFS(MATERIAL_MASTER!$P:$P,MATERIAL_MASTER!$A:$A,$D36)*IF(SUMIFS(MATERIAL_TARIFF_RULES!$F:$F,MATERIAL_TARIFF_RULES!$A:$A,$D36,MATERIAL_TARIFF_RULES!$C:$C,$B36)="",SUMIFS(TARIFF_PROFILES!$H:$H,TARIFF_PROFILES!$A:$A,$B36),SUMIFS(MATERIAL_TARIFF_RULES!$F:$F,MATERIAL_TARIFF_RULES!$A:$A,$D36,MATERIAL_TARIFF_RULES!$C:$C,$B36)),1),1))</f>
        <v/>
      </c>
      <c r="L36" s="22" t="str">
        <f t="shared" si="4"/>
        <v/>
      </c>
      <c r="M36" s="22" t="str">
        <f t="shared" si="5"/>
        <v/>
      </c>
      <c r="N36" s="22" t="str">
        <f t="shared" si="6"/>
        <v/>
      </c>
      <c r="O36" s="4" t="str">
        <f t="shared" si="7"/>
        <v/>
      </c>
    </row>
    <row r="37" spans="1:15" x14ac:dyDescent="0.3">
      <c r="A37" s="4"/>
      <c r="B37" s="4"/>
      <c r="C37" s="4"/>
      <c r="D37" s="4"/>
      <c r="E37" s="4"/>
      <c r="F37" s="4" t="str">
        <f>IF($C37="","",IF($C37="Work",IFERROR(IF(SUMIFS(WORK_TARIFF_RULES!$G:$G,WORK_TARIFF_RULES!$A:$A,$D37,WORK_TARIFF_RULES!$C:$C,$B37)&lt;&gt;"",SUMIFS(WORK_TARIFF_RULES!$G:$G,WORK_TARIFF_RULES!$A:$A,$D37,WORK_TARIFF_RULES!$C:$C,$B37),SUMIFS(WORK_MASTER!$C:$C,WORK_MASTER!$A:$A,$D37)),""),IF($C37="Material",IFERROR(IF(SUMIFS(MATERIAL_TARIFF_RULES!$G:$G,MATERIAL_TARIFF_RULES!$A:$A,$D37,MATERIAL_TARIFF_RULES!$C:$C,$B37)&lt;&gt;"",SUMIFS(MATERIAL_TARIFF_RULES!$G:$G,MATERIAL_TARIFF_RULES!$A:$A,$D37,MATERIAL_TARIFF_RULES!$C:$C,$B37),SUMIFS(MATERIAL_VARIANTS!$J:$J,MATERIAL_VARIANTS!$A:$A,$E37)),""),"")))</f>
        <v/>
      </c>
      <c r="G37" s="22"/>
      <c r="H37" s="22" t="str">
        <f>IF($C37="","",IF($C37="Work",IFERROR(SUMIFS(WORK_MASTER!$I:$I,WORK_MASTER!$A:$A,$D37),""),IF($C37="Material",IFERROR(SUMIFS(MATERIAL_VARIANTS!$I:$I,MATERIAL_VARIANTS!$A:$A,$E37),""),"")))</f>
        <v/>
      </c>
      <c r="I37" s="22" t="str">
        <f>IF($C37="","",IF($C37="Work",IFERROR(SUMIFS(WORK_FACTOR_APPLICABILITY!$O:$O,WORK_FACTOR_APPLICABILITY!$A:$A,$D37,WORK_FACTOR_APPLICABILITY!$N:$N,$A37),1),IF($C37="Material",IFERROR(ROUND(1+SUMIFS(MATERIAL_FACTOR_APPLICABILITY!$D:$D,MATERIAL_FACTOR_APPLICABILITY!$A:$A,SUMIFS(MATERIAL_MASTER!$O:$O,MATERIAL_MASTER!$A:$A,$D37),MATERIAL_FACTOR_APPLICABILITY!$B:$B,"GeometryComplexity")*(SUMIFS(OBJECT_CONDITIONS!$W:$W,OBJECT_CONDITIONS!$A:$A,$A37)-1),3),1),"")))</f>
        <v/>
      </c>
      <c r="J37" s="22" t="str">
        <f>IF($C37="","",IF($C37="Work",IFERROR(IF(SUMIFS(WORK_TARIFF_RULES!$F:$F,WORK_TARIFF_RULES!$A:$A,$D37,WORK_TARIFF_RULES!$C:$C,$B37)&lt;&gt;"",SUMIFS(WORK_TARIFF_RULES!$F:$F,WORK_TARIFF_RULES!$A:$A,$D37,WORK_TARIFF_RULES!$C:$C,$B37),SUMIFS(TARIFF_PROFILES!$D:$D,TARIFF_PROFILES!$A:$A,$B37)),1),IF($C37="Material",IFERROR(IF(SUMIFS(MATERIAL_TARIFF_RULES!$E:$E,MATERIAL_TARIFF_RULES!$A:$A,$D37,MATERIAL_TARIFF_RULES!$C:$C,$B37)&lt;&gt;"",SUMIFS(MATERIAL_TARIFF_RULES!$E:$E,MATERIAL_TARIFF_RULES!$A:$A,$D37,MATERIAL_TARIFF_RULES!$C:$C,$B37),SUMIFS(TARIFF_PROFILES!$E:$E,TARIFF_PROFILES!$A:$A,$B37)),1),"")))</f>
        <v/>
      </c>
      <c r="K37" s="22" t="str">
        <f>IF($C37="","",IF($C37="Material",IFERROR(SUMIFS(MATERIAL_MASTER!$P:$P,MATERIAL_MASTER!$A:$A,$D37)*IF(SUMIFS(MATERIAL_TARIFF_RULES!$F:$F,MATERIAL_TARIFF_RULES!$A:$A,$D37,MATERIAL_TARIFF_RULES!$C:$C,$B37)="",SUMIFS(TARIFF_PROFILES!$H:$H,TARIFF_PROFILES!$A:$A,$B37),SUMIFS(MATERIAL_TARIFF_RULES!$F:$F,MATERIAL_TARIFF_RULES!$A:$A,$D37,MATERIAL_TARIFF_RULES!$C:$C,$B37)),1),1))</f>
        <v/>
      </c>
      <c r="L37" s="22" t="str">
        <f t="shared" si="4"/>
        <v/>
      </c>
      <c r="M37" s="22" t="str">
        <f t="shared" si="5"/>
        <v/>
      </c>
      <c r="N37" s="22" t="str">
        <f t="shared" si="6"/>
        <v/>
      </c>
      <c r="O37" s="4" t="str">
        <f t="shared" si="7"/>
        <v/>
      </c>
    </row>
    <row r="38" spans="1:15" x14ac:dyDescent="0.3">
      <c r="A38" s="4"/>
      <c r="B38" s="4"/>
      <c r="C38" s="4"/>
      <c r="D38" s="4"/>
      <c r="E38" s="4"/>
      <c r="F38" s="4" t="str">
        <f>IF($C38="","",IF($C38="Work",IFERROR(IF(SUMIFS(WORK_TARIFF_RULES!$G:$G,WORK_TARIFF_RULES!$A:$A,$D38,WORK_TARIFF_RULES!$C:$C,$B38)&lt;&gt;"",SUMIFS(WORK_TARIFF_RULES!$G:$G,WORK_TARIFF_RULES!$A:$A,$D38,WORK_TARIFF_RULES!$C:$C,$B38),SUMIFS(WORK_MASTER!$C:$C,WORK_MASTER!$A:$A,$D38)),""),IF($C38="Material",IFERROR(IF(SUMIFS(MATERIAL_TARIFF_RULES!$G:$G,MATERIAL_TARIFF_RULES!$A:$A,$D38,MATERIAL_TARIFF_RULES!$C:$C,$B38)&lt;&gt;"",SUMIFS(MATERIAL_TARIFF_RULES!$G:$G,MATERIAL_TARIFF_RULES!$A:$A,$D38,MATERIAL_TARIFF_RULES!$C:$C,$B38),SUMIFS(MATERIAL_VARIANTS!$J:$J,MATERIAL_VARIANTS!$A:$A,$E38)),""),"")))</f>
        <v/>
      </c>
      <c r="G38" s="22"/>
      <c r="H38" s="22" t="str">
        <f>IF($C38="","",IF($C38="Work",IFERROR(SUMIFS(WORK_MASTER!$I:$I,WORK_MASTER!$A:$A,$D38),""),IF($C38="Material",IFERROR(SUMIFS(MATERIAL_VARIANTS!$I:$I,MATERIAL_VARIANTS!$A:$A,$E38),""),"")))</f>
        <v/>
      </c>
      <c r="I38" s="22" t="str">
        <f>IF($C38="","",IF($C38="Work",IFERROR(SUMIFS(WORK_FACTOR_APPLICABILITY!$O:$O,WORK_FACTOR_APPLICABILITY!$A:$A,$D38,WORK_FACTOR_APPLICABILITY!$N:$N,$A38),1),IF($C38="Material",IFERROR(ROUND(1+SUMIFS(MATERIAL_FACTOR_APPLICABILITY!$D:$D,MATERIAL_FACTOR_APPLICABILITY!$A:$A,SUMIFS(MATERIAL_MASTER!$O:$O,MATERIAL_MASTER!$A:$A,$D38),MATERIAL_FACTOR_APPLICABILITY!$B:$B,"GeometryComplexity")*(SUMIFS(OBJECT_CONDITIONS!$W:$W,OBJECT_CONDITIONS!$A:$A,$A38)-1),3),1),"")))</f>
        <v/>
      </c>
      <c r="J38" s="22" t="str">
        <f>IF($C38="","",IF($C38="Work",IFERROR(IF(SUMIFS(WORK_TARIFF_RULES!$F:$F,WORK_TARIFF_RULES!$A:$A,$D38,WORK_TARIFF_RULES!$C:$C,$B38)&lt;&gt;"",SUMIFS(WORK_TARIFF_RULES!$F:$F,WORK_TARIFF_RULES!$A:$A,$D38,WORK_TARIFF_RULES!$C:$C,$B38),SUMIFS(TARIFF_PROFILES!$D:$D,TARIFF_PROFILES!$A:$A,$B38)),1),IF($C38="Material",IFERROR(IF(SUMIFS(MATERIAL_TARIFF_RULES!$E:$E,MATERIAL_TARIFF_RULES!$A:$A,$D38,MATERIAL_TARIFF_RULES!$C:$C,$B38)&lt;&gt;"",SUMIFS(MATERIAL_TARIFF_RULES!$E:$E,MATERIAL_TARIFF_RULES!$A:$A,$D38,MATERIAL_TARIFF_RULES!$C:$C,$B38),SUMIFS(TARIFF_PROFILES!$E:$E,TARIFF_PROFILES!$A:$A,$B38)),1),"")))</f>
        <v/>
      </c>
      <c r="K38" s="22" t="str">
        <f>IF($C38="","",IF($C38="Material",IFERROR(SUMIFS(MATERIAL_MASTER!$P:$P,MATERIAL_MASTER!$A:$A,$D38)*IF(SUMIFS(MATERIAL_TARIFF_RULES!$F:$F,MATERIAL_TARIFF_RULES!$A:$A,$D38,MATERIAL_TARIFF_RULES!$C:$C,$B38)="",SUMIFS(TARIFF_PROFILES!$H:$H,TARIFF_PROFILES!$A:$A,$B38),SUMIFS(MATERIAL_TARIFF_RULES!$F:$F,MATERIAL_TARIFF_RULES!$A:$A,$D38,MATERIAL_TARIFF_RULES!$C:$C,$B38)),1),1))</f>
        <v/>
      </c>
      <c r="L38" s="22" t="str">
        <f t="shared" si="4"/>
        <v/>
      </c>
      <c r="M38" s="22" t="str">
        <f t="shared" si="5"/>
        <v/>
      </c>
      <c r="N38" s="22" t="str">
        <f t="shared" si="6"/>
        <v/>
      </c>
      <c r="O38" s="4" t="str">
        <f t="shared" si="7"/>
        <v/>
      </c>
    </row>
    <row r="39" spans="1:15" x14ac:dyDescent="0.3">
      <c r="A39" s="4"/>
      <c r="B39" s="4"/>
      <c r="C39" s="4"/>
      <c r="D39" s="4"/>
      <c r="E39" s="4"/>
      <c r="F39" s="4" t="str">
        <f>IF($C39="","",IF($C39="Work",IFERROR(IF(SUMIFS(WORK_TARIFF_RULES!$G:$G,WORK_TARIFF_RULES!$A:$A,$D39,WORK_TARIFF_RULES!$C:$C,$B39)&lt;&gt;"",SUMIFS(WORK_TARIFF_RULES!$G:$G,WORK_TARIFF_RULES!$A:$A,$D39,WORK_TARIFF_RULES!$C:$C,$B39),SUMIFS(WORK_MASTER!$C:$C,WORK_MASTER!$A:$A,$D39)),""),IF($C39="Material",IFERROR(IF(SUMIFS(MATERIAL_TARIFF_RULES!$G:$G,MATERIAL_TARIFF_RULES!$A:$A,$D39,MATERIAL_TARIFF_RULES!$C:$C,$B39)&lt;&gt;"",SUMIFS(MATERIAL_TARIFF_RULES!$G:$G,MATERIAL_TARIFF_RULES!$A:$A,$D39,MATERIAL_TARIFF_RULES!$C:$C,$B39),SUMIFS(MATERIAL_VARIANTS!$J:$J,MATERIAL_VARIANTS!$A:$A,$E39)),""),"")))</f>
        <v/>
      </c>
      <c r="G39" s="22"/>
      <c r="H39" s="22" t="str">
        <f>IF($C39="","",IF($C39="Work",IFERROR(SUMIFS(WORK_MASTER!$I:$I,WORK_MASTER!$A:$A,$D39),""),IF($C39="Material",IFERROR(SUMIFS(MATERIAL_VARIANTS!$I:$I,MATERIAL_VARIANTS!$A:$A,$E39),""),"")))</f>
        <v/>
      </c>
      <c r="I39" s="22" t="str">
        <f>IF($C39="","",IF($C39="Work",IFERROR(SUMIFS(WORK_FACTOR_APPLICABILITY!$O:$O,WORK_FACTOR_APPLICABILITY!$A:$A,$D39,WORK_FACTOR_APPLICABILITY!$N:$N,$A39),1),IF($C39="Material",IFERROR(ROUND(1+SUMIFS(MATERIAL_FACTOR_APPLICABILITY!$D:$D,MATERIAL_FACTOR_APPLICABILITY!$A:$A,SUMIFS(MATERIAL_MASTER!$O:$O,MATERIAL_MASTER!$A:$A,$D39),MATERIAL_FACTOR_APPLICABILITY!$B:$B,"GeometryComplexity")*(SUMIFS(OBJECT_CONDITIONS!$W:$W,OBJECT_CONDITIONS!$A:$A,$A39)-1),3),1),"")))</f>
        <v/>
      </c>
      <c r="J39" s="22" t="str">
        <f>IF($C39="","",IF($C39="Work",IFERROR(IF(SUMIFS(WORK_TARIFF_RULES!$F:$F,WORK_TARIFF_RULES!$A:$A,$D39,WORK_TARIFF_RULES!$C:$C,$B39)&lt;&gt;"",SUMIFS(WORK_TARIFF_RULES!$F:$F,WORK_TARIFF_RULES!$A:$A,$D39,WORK_TARIFF_RULES!$C:$C,$B39),SUMIFS(TARIFF_PROFILES!$D:$D,TARIFF_PROFILES!$A:$A,$B39)),1),IF($C39="Material",IFERROR(IF(SUMIFS(MATERIAL_TARIFF_RULES!$E:$E,MATERIAL_TARIFF_RULES!$A:$A,$D39,MATERIAL_TARIFF_RULES!$C:$C,$B39)&lt;&gt;"",SUMIFS(MATERIAL_TARIFF_RULES!$E:$E,MATERIAL_TARIFF_RULES!$A:$A,$D39,MATERIAL_TARIFF_RULES!$C:$C,$B39),SUMIFS(TARIFF_PROFILES!$E:$E,TARIFF_PROFILES!$A:$A,$B39)),1),"")))</f>
        <v/>
      </c>
      <c r="K39" s="22" t="str">
        <f>IF($C39="","",IF($C39="Material",IFERROR(SUMIFS(MATERIAL_MASTER!$P:$P,MATERIAL_MASTER!$A:$A,$D39)*IF(SUMIFS(MATERIAL_TARIFF_RULES!$F:$F,MATERIAL_TARIFF_RULES!$A:$A,$D39,MATERIAL_TARIFF_RULES!$C:$C,$B39)="",SUMIFS(TARIFF_PROFILES!$H:$H,TARIFF_PROFILES!$A:$A,$B39),SUMIFS(MATERIAL_TARIFF_RULES!$F:$F,MATERIAL_TARIFF_RULES!$A:$A,$D39,MATERIAL_TARIFF_RULES!$C:$C,$B39)),1),1))</f>
        <v/>
      </c>
      <c r="L39" s="22" t="str">
        <f t="shared" si="4"/>
        <v/>
      </c>
      <c r="M39" s="22" t="str">
        <f t="shared" si="5"/>
        <v/>
      </c>
      <c r="N39" s="22" t="str">
        <f t="shared" si="6"/>
        <v/>
      </c>
      <c r="O39" s="4" t="str">
        <f t="shared" si="7"/>
        <v/>
      </c>
    </row>
    <row r="40" spans="1:15" x14ac:dyDescent="0.3">
      <c r="A40" s="4"/>
      <c r="B40" s="4"/>
      <c r="C40" s="4"/>
      <c r="D40" s="4"/>
      <c r="E40" s="4"/>
      <c r="F40" s="4" t="str">
        <f>IF($C40="","",IF($C40="Work",IFERROR(IF(SUMIFS(WORK_TARIFF_RULES!$G:$G,WORK_TARIFF_RULES!$A:$A,$D40,WORK_TARIFF_RULES!$C:$C,$B40)&lt;&gt;"",SUMIFS(WORK_TARIFF_RULES!$G:$G,WORK_TARIFF_RULES!$A:$A,$D40,WORK_TARIFF_RULES!$C:$C,$B40),SUMIFS(WORK_MASTER!$C:$C,WORK_MASTER!$A:$A,$D40)),""),IF($C40="Material",IFERROR(IF(SUMIFS(MATERIAL_TARIFF_RULES!$G:$G,MATERIAL_TARIFF_RULES!$A:$A,$D40,MATERIAL_TARIFF_RULES!$C:$C,$B40)&lt;&gt;"",SUMIFS(MATERIAL_TARIFF_RULES!$G:$G,MATERIAL_TARIFF_RULES!$A:$A,$D40,MATERIAL_TARIFF_RULES!$C:$C,$B40),SUMIFS(MATERIAL_VARIANTS!$J:$J,MATERIAL_VARIANTS!$A:$A,$E40)),""),"")))</f>
        <v/>
      </c>
      <c r="G40" s="22"/>
      <c r="H40" s="22" t="str">
        <f>IF($C40="","",IF($C40="Work",IFERROR(SUMIFS(WORK_MASTER!$I:$I,WORK_MASTER!$A:$A,$D40),""),IF($C40="Material",IFERROR(SUMIFS(MATERIAL_VARIANTS!$I:$I,MATERIAL_VARIANTS!$A:$A,$E40),""),"")))</f>
        <v/>
      </c>
      <c r="I40" s="22" t="str">
        <f>IF($C40="","",IF($C40="Work",IFERROR(SUMIFS(WORK_FACTOR_APPLICABILITY!$O:$O,WORK_FACTOR_APPLICABILITY!$A:$A,$D40,WORK_FACTOR_APPLICABILITY!$N:$N,$A40),1),IF($C40="Material",IFERROR(ROUND(1+SUMIFS(MATERIAL_FACTOR_APPLICABILITY!$D:$D,MATERIAL_FACTOR_APPLICABILITY!$A:$A,SUMIFS(MATERIAL_MASTER!$O:$O,MATERIAL_MASTER!$A:$A,$D40),MATERIAL_FACTOR_APPLICABILITY!$B:$B,"GeometryComplexity")*(SUMIFS(OBJECT_CONDITIONS!$W:$W,OBJECT_CONDITIONS!$A:$A,$A40)-1),3),1),"")))</f>
        <v/>
      </c>
      <c r="J40" s="22" t="str">
        <f>IF($C40="","",IF($C40="Work",IFERROR(IF(SUMIFS(WORK_TARIFF_RULES!$F:$F,WORK_TARIFF_RULES!$A:$A,$D40,WORK_TARIFF_RULES!$C:$C,$B40)&lt;&gt;"",SUMIFS(WORK_TARIFF_RULES!$F:$F,WORK_TARIFF_RULES!$A:$A,$D40,WORK_TARIFF_RULES!$C:$C,$B40),SUMIFS(TARIFF_PROFILES!$D:$D,TARIFF_PROFILES!$A:$A,$B40)),1),IF($C40="Material",IFERROR(IF(SUMIFS(MATERIAL_TARIFF_RULES!$E:$E,MATERIAL_TARIFF_RULES!$A:$A,$D40,MATERIAL_TARIFF_RULES!$C:$C,$B40)&lt;&gt;"",SUMIFS(MATERIAL_TARIFF_RULES!$E:$E,MATERIAL_TARIFF_RULES!$A:$A,$D40,MATERIAL_TARIFF_RULES!$C:$C,$B40),SUMIFS(TARIFF_PROFILES!$E:$E,TARIFF_PROFILES!$A:$A,$B40)),1),"")))</f>
        <v/>
      </c>
      <c r="K40" s="22" t="str">
        <f>IF($C40="","",IF($C40="Material",IFERROR(SUMIFS(MATERIAL_MASTER!$P:$P,MATERIAL_MASTER!$A:$A,$D40)*IF(SUMIFS(MATERIAL_TARIFF_RULES!$F:$F,MATERIAL_TARIFF_RULES!$A:$A,$D40,MATERIAL_TARIFF_RULES!$C:$C,$B40)="",SUMIFS(TARIFF_PROFILES!$H:$H,TARIFF_PROFILES!$A:$A,$B40),SUMIFS(MATERIAL_TARIFF_RULES!$F:$F,MATERIAL_TARIFF_RULES!$A:$A,$D40,MATERIAL_TARIFF_RULES!$C:$C,$B40)),1),1))</f>
        <v/>
      </c>
      <c r="L40" s="22" t="str">
        <f t="shared" si="4"/>
        <v/>
      </c>
      <c r="M40" s="22" t="str">
        <f t="shared" si="5"/>
        <v/>
      </c>
      <c r="N40" s="22" t="str">
        <f t="shared" si="6"/>
        <v/>
      </c>
      <c r="O40" s="4" t="str">
        <f t="shared" si="7"/>
        <v/>
      </c>
    </row>
    <row r="41" spans="1:15" x14ac:dyDescent="0.3">
      <c r="A41" s="4"/>
      <c r="B41" s="4"/>
      <c r="C41" s="4"/>
      <c r="D41" s="4"/>
      <c r="E41" s="4"/>
      <c r="F41" s="4" t="str">
        <f>IF($C41="","",IF($C41="Work",IFERROR(IF(SUMIFS(WORK_TARIFF_RULES!$G:$G,WORK_TARIFF_RULES!$A:$A,$D41,WORK_TARIFF_RULES!$C:$C,$B41)&lt;&gt;"",SUMIFS(WORK_TARIFF_RULES!$G:$G,WORK_TARIFF_RULES!$A:$A,$D41,WORK_TARIFF_RULES!$C:$C,$B41),SUMIFS(WORK_MASTER!$C:$C,WORK_MASTER!$A:$A,$D41)),""),IF($C41="Material",IFERROR(IF(SUMIFS(MATERIAL_TARIFF_RULES!$G:$G,MATERIAL_TARIFF_RULES!$A:$A,$D41,MATERIAL_TARIFF_RULES!$C:$C,$B41)&lt;&gt;"",SUMIFS(MATERIAL_TARIFF_RULES!$G:$G,MATERIAL_TARIFF_RULES!$A:$A,$D41,MATERIAL_TARIFF_RULES!$C:$C,$B41),SUMIFS(MATERIAL_VARIANTS!$J:$J,MATERIAL_VARIANTS!$A:$A,$E41)),""),"")))</f>
        <v/>
      </c>
      <c r="G41" s="22"/>
      <c r="H41" s="22" t="str">
        <f>IF($C41="","",IF($C41="Work",IFERROR(SUMIFS(WORK_MASTER!$I:$I,WORK_MASTER!$A:$A,$D41),""),IF($C41="Material",IFERROR(SUMIFS(MATERIAL_VARIANTS!$I:$I,MATERIAL_VARIANTS!$A:$A,$E41),""),"")))</f>
        <v/>
      </c>
      <c r="I41" s="22" t="str">
        <f>IF($C41="","",IF($C41="Work",IFERROR(SUMIFS(WORK_FACTOR_APPLICABILITY!$O:$O,WORK_FACTOR_APPLICABILITY!$A:$A,$D41,WORK_FACTOR_APPLICABILITY!$N:$N,$A41),1),IF($C41="Material",IFERROR(ROUND(1+SUMIFS(MATERIAL_FACTOR_APPLICABILITY!$D:$D,MATERIAL_FACTOR_APPLICABILITY!$A:$A,SUMIFS(MATERIAL_MASTER!$O:$O,MATERIAL_MASTER!$A:$A,$D41),MATERIAL_FACTOR_APPLICABILITY!$B:$B,"GeometryComplexity")*(SUMIFS(OBJECT_CONDITIONS!$W:$W,OBJECT_CONDITIONS!$A:$A,$A41)-1),3),1),"")))</f>
        <v/>
      </c>
      <c r="J41" s="22" t="str">
        <f>IF($C41="","",IF($C41="Work",IFERROR(IF(SUMIFS(WORK_TARIFF_RULES!$F:$F,WORK_TARIFF_RULES!$A:$A,$D41,WORK_TARIFF_RULES!$C:$C,$B41)&lt;&gt;"",SUMIFS(WORK_TARIFF_RULES!$F:$F,WORK_TARIFF_RULES!$A:$A,$D41,WORK_TARIFF_RULES!$C:$C,$B41),SUMIFS(TARIFF_PROFILES!$D:$D,TARIFF_PROFILES!$A:$A,$B41)),1),IF($C41="Material",IFERROR(IF(SUMIFS(MATERIAL_TARIFF_RULES!$E:$E,MATERIAL_TARIFF_RULES!$A:$A,$D41,MATERIAL_TARIFF_RULES!$C:$C,$B41)&lt;&gt;"",SUMIFS(MATERIAL_TARIFF_RULES!$E:$E,MATERIAL_TARIFF_RULES!$A:$A,$D41,MATERIAL_TARIFF_RULES!$C:$C,$B41),SUMIFS(TARIFF_PROFILES!$E:$E,TARIFF_PROFILES!$A:$A,$B41)),1),"")))</f>
        <v/>
      </c>
      <c r="K41" s="22" t="str">
        <f>IF($C41="","",IF($C41="Material",IFERROR(SUMIFS(MATERIAL_MASTER!$P:$P,MATERIAL_MASTER!$A:$A,$D41)*IF(SUMIFS(MATERIAL_TARIFF_RULES!$F:$F,MATERIAL_TARIFF_RULES!$A:$A,$D41,MATERIAL_TARIFF_RULES!$C:$C,$B41)="",SUMIFS(TARIFF_PROFILES!$H:$H,TARIFF_PROFILES!$A:$A,$B41),SUMIFS(MATERIAL_TARIFF_RULES!$F:$F,MATERIAL_TARIFF_RULES!$A:$A,$D41,MATERIAL_TARIFF_RULES!$C:$C,$B41)),1),1))</f>
        <v/>
      </c>
      <c r="L41" s="22" t="str">
        <f t="shared" si="4"/>
        <v/>
      </c>
      <c r="M41" s="22" t="str">
        <f t="shared" si="5"/>
        <v/>
      </c>
      <c r="N41" s="22" t="str">
        <f t="shared" si="6"/>
        <v/>
      </c>
      <c r="O41" s="4" t="str">
        <f t="shared" si="7"/>
        <v/>
      </c>
    </row>
    <row r="42" spans="1:15" x14ac:dyDescent="0.3">
      <c r="A42" s="4"/>
      <c r="B42" s="4"/>
      <c r="C42" s="4"/>
      <c r="D42" s="4"/>
      <c r="E42" s="4"/>
      <c r="F42" s="4" t="str">
        <f>IF($C42="","",IF($C42="Work",IFERROR(IF(SUMIFS(WORK_TARIFF_RULES!$G:$G,WORK_TARIFF_RULES!$A:$A,$D42,WORK_TARIFF_RULES!$C:$C,$B42)&lt;&gt;"",SUMIFS(WORK_TARIFF_RULES!$G:$G,WORK_TARIFF_RULES!$A:$A,$D42,WORK_TARIFF_RULES!$C:$C,$B42),SUMIFS(WORK_MASTER!$C:$C,WORK_MASTER!$A:$A,$D42)),""),IF($C42="Material",IFERROR(IF(SUMIFS(MATERIAL_TARIFF_RULES!$G:$G,MATERIAL_TARIFF_RULES!$A:$A,$D42,MATERIAL_TARIFF_RULES!$C:$C,$B42)&lt;&gt;"",SUMIFS(MATERIAL_TARIFF_RULES!$G:$G,MATERIAL_TARIFF_RULES!$A:$A,$D42,MATERIAL_TARIFF_RULES!$C:$C,$B42),SUMIFS(MATERIAL_VARIANTS!$J:$J,MATERIAL_VARIANTS!$A:$A,$E42)),""),"")))</f>
        <v/>
      </c>
      <c r="G42" s="22"/>
      <c r="H42" s="22" t="str">
        <f>IF($C42="","",IF($C42="Work",IFERROR(SUMIFS(WORK_MASTER!$I:$I,WORK_MASTER!$A:$A,$D42),""),IF($C42="Material",IFERROR(SUMIFS(MATERIAL_VARIANTS!$I:$I,MATERIAL_VARIANTS!$A:$A,$E42),""),"")))</f>
        <v/>
      </c>
      <c r="I42" s="22" t="str">
        <f>IF($C42="","",IF($C42="Work",IFERROR(SUMIFS(WORK_FACTOR_APPLICABILITY!$O:$O,WORK_FACTOR_APPLICABILITY!$A:$A,$D42,WORK_FACTOR_APPLICABILITY!$N:$N,$A42),1),IF($C42="Material",IFERROR(ROUND(1+SUMIFS(MATERIAL_FACTOR_APPLICABILITY!$D:$D,MATERIAL_FACTOR_APPLICABILITY!$A:$A,SUMIFS(MATERIAL_MASTER!$O:$O,MATERIAL_MASTER!$A:$A,$D42),MATERIAL_FACTOR_APPLICABILITY!$B:$B,"GeometryComplexity")*(SUMIFS(OBJECT_CONDITIONS!$W:$W,OBJECT_CONDITIONS!$A:$A,$A42)-1),3),1),"")))</f>
        <v/>
      </c>
      <c r="J42" s="22" t="str">
        <f>IF($C42="","",IF($C42="Work",IFERROR(IF(SUMIFS(WORK_TARIFF_RULES!$F:$F,WORK_TARIFF_RULES!$A:$A,$D42,WORK_TARIFF_RULES!$C:$C,$B42)&lt;&gt;"",SUMIFS(WORK_TARIFF_RULES!$F:$F,WORK_TARIFF_RULES!$A:$A,$D42,WORK_TARIFF_RULES!$C:$C,$B42),SUMIFS(TARIFF_PROFILES!$D:$D,TARIFF_PROFILES!$A:$A,$B42)),1),IF($C42="Material",IFERROR(IF(SUMIFS(MATERIAL_TARIFF_RULES!$E:$E,MATERIAL_TARIFF_RULES!$A:$A,$D42,MATERIAL_TARIFF_RULES!$C:$C,$B42)&lt;&gt;"",SUMIFS(MATERIAL_TARIFF_RULES!$E:$E,MATERIAL_TARIFF_RULES!$A:$A,$D42,MATERIAL_TARIFF_RULES!$C:$C,$B42),SUMIFS(TARIFF_PROFILES!$E:$E,TARIFF_PROFILES!$A:$A,$B42)),1),"")))</f>
        <v/>
      </c>
      <c r="K42" s="22" t="str">
        <f>IF($C42="","",IF($C42="Material",IFERROR(SUMIFS(MATERIAL_MASTER!$P:$P,MATERIAL_MASTER!$A:$A,$D42)*IF(SUMIFS(MATERIAL_TARIFF_RULES!$F:$F,MATERIAL_TARIFF_RULES!$A:$A,$D42,MATERIAL_TARIFF_RULES!$C:$C,$B42)="",SUMIFS(TARIFF_PROFILES!$H:$H,TARIFF_PROFILES!$A:$A,$B42),SUMIFS(MATERIAL_TARIFF_RULES!$F:$F,MATERIAL_TARIFF_RULES!$A:$A,$D42,MATERIAL_TARIFF_RULES!$C:$C,$B42)),1),1))</f>
        <v/>
      </c>
      <c r="L42" s="22" t="str">
        <f t="shared" si="4"/>
        <v/>
      </c>
      <c r="M42" s="22" t="str">
        <f t="shared" si="5"/>
        <v/>
      </c>
      <c r="N42" s="22" t="str">
        <f t="shared" si="6"/>
        <v/>
      </c>
      <c r="O42" s="4" t="str">
        <f t="shared" si="7"/>
        <v/>
      </c>
    </row>
    <row r="43" spans="1:15" x14ac:dyDescent="0.3">
      <c r="A43" s="4"/>
      <c r="B43" s="4"/>
      <c r="C43" s="4"/>
      <c r="D43" s="4"/>
      <c r="E43" s="4"/>
      <c r="F43" s="4" t="str">
        <f>IF($C43="","",IF($C43="Work",IFERROR(IF(SUMIFS(WORK_TARIFF_RULES!$G:$G,WORK_TARIFF_RULES!$A:$A,$D43,WORK_TARIFF_RULES!$C:$C,$B43)&lt;&gt;"",SUMIFS(WORK_TARIFF_RULES!$G:$G,WORK_TARIFF_RULES!$A:$A,$D43,WORK_TARIFF_RULES!$C:$C,$B43),SUMIFS(WORK_MASTER!$C:$C,WORK_MASTER!$A:$A,$D43)),""),IF($C43="Material",IFERROR(IF(SUMIFS(MATERIAL_TARIFF_RULES!$G:$G,MATERIAL_TARIFF_RULES!$A:$A,$D43,MATERIAL_TARIFF_RULES!$C:$C,$B43)&lt;&gt;"",SUMIFS(MATERIAL_TARIFF_RULES!$G:$G,MATERIAL_TARIFF_RULES!$A:$A,$D43,MATERIAL_TARIFF_RULES!$C:$C,$B43),SUMIFS(MATERIAL_VARIANTS!$J:$J,MATERIAL_VARIANTS!$A:$A,$E43)),""),"")))</f>
        <v/>
      </c>
      <c r="G43" s="22"/>
      <c r="H43" s="22" t="str">
        <f>IF($C43="","",IF($C43="Work",IFERROR(SUMIFS(WORK_MASTER!$I:$I,WORK_MASTER!$A:$A,$D43),""),IF($C43="Material",IFERROR(SUMIFS(MATERIAL_VARIANTS!$I:$I,MATERIAL_VARIANTS!$A:$A,$E43),""),"")))</f>
        <v/>
      </c>
      <c r="I43" s="22" t="str">
        <f>IF($C43="","",IF($C43="Work",IFERROR(SUMIFS(WORK_FACTOR_APPLICABILITY!$O:$O,WORK_FACTOR_APPLICABILITY!$A:$A,$D43,WORK_FACTOR_APPLICABILITY!$N:$N,$A43),1),IF($C43="Material",IFERROR(ROUND(1+SUMIFS(MATERIAL_FACTOR_APPLICABILITY!$D:$D,MATERIAL_FACTOR_APPLICABILITY!$A:$A,SUMIFS(MATERIAL_MASTER!$O:$O,MATERIAL_MASTER!$A:$A,$D43),MATERIAL_FACTOR_APPLICABILITY!$B:$B,"GeometryComplexity")*(SUMIFS(OBJECT_CONDITIONS!$W:$W,OBJECT_CONDITIONS!$A:$A,$A43)-1),3),1),"")))</f>
        <v/>
      </c>
      <c r="J43" s="22" t="str">
        <f>IF($C43="","",IF($C43="Work",IFERROR(IF(SUMIFS(WORK_TARIFF_RULES!$F:$F,WORK_TARIFF_RULES!$A:$A,$D43,WORK_TARIFF_RULES!$C:$C,$B43)&lt;&gt;"",SUMIFS(WORK_TARIFF_RULES!$F:$F,WORK_TARIFF_RULES!$A:$A,$D43,WORK_TARIFF_RULES!$C:$C,$B43),SUMIFS(TARIFF_PROFILES!$D:$D,TARIFF_PROFILES!$A:$A,$B43)),1),IF($C43="Material",IFERROR(IF(SUMIFS(MATERIAL_TARIFF_RULES!$E:$E,MATERIAL_TARIFF_RULES!$A:$A,$D43,MATERIAL_TARIFF_RULES!$C:$C,$B43)&lt;&gt;"",SUMIFS(MATERIAL_TARIFF_RULES!$E:$E,MATERIAL_TARIFF_RULES!$A:$A,$D43,MATERIAL_TARIFF_RULES!$C:$C,$B43),SUMIFS(TARIFF_PROFILES!$E:$E,TARIFF_PROFILES!$A:$A,$B43)),1),"")))</f>
        <v/>
      </c>
      <c r="K43" s="22" t="str">
        <f>IF($C43="","",IF($C43="Material",IFERROR(SUMIFS(MATERIAL_MASTER!$P:$P,MATERIAL_MASTER!$A:$A,$D43)*IF(SUMIFS(MATERIAL_TARIFF_RULES!$F:$F,MATERIAL_TARIFF_RULES!$A:$A,$D43,MATERIAL_TARIFF_RULES!$C:$C,$B43)="",SUMIFS(TARIFF_PROFILES!$H:$H,TARIFF_PROFILES!$A:$A,$B43),SUMIFS(MATERIAL_TARIFF_RULES!$F:$F,MATERIAL_TARIFF_RULES!$A:$A,$D43,MATERIAL_TARIFF_RULES!$C:$C,$B43)),1),1))</f>
        <v/>
      </c>
      <c r="L43" s="22" t="str">
        <f t="shared" si="4"/>
        <v/>
      </c>
      <c r="M43" s="22" t="str">
        <f t="shared" si="5"/>
        <v/>
      </c>
      <c r="N43" s="22" t="str">
        <f t="shared" si="6"/>
        <v/>
      </c>
      <c r="O43" s="4" t="str">
        <f t="shared" si="7"/>
        <v/>
      </c>
    </row>
    <row r="44" spans="1:15" x14ac:dyDescent="0.3">
      <c r="A44" s="4"/>
      <c r="B44" s="4"/>
      <c r="C44" s="4"/>
      <c r="D44" s="4"/>
      <c r="E44" s="4"/>
      <c r="F44" s="4" t="str">
        <f>IF($C44="","",IF($C44="Work",IFERROR(IF(SUMIFS(WORK_TARIFF_RULES!$G:$G,WORK_TARIFF_RULES!$A:$A,$D44,WORK_TARIFF_RULES!$C:$C,$B44)&lt;&gt;"",SUMIFS(WORK_TARIFF_RULES!$G:$G,WORK_TARIFF_RULES!$A:$A,$D44,WORK_TARIFF_RULES!$C:$C,$B44),SUMIFS(WORK_MASTER!$C:$C,WORK_MASTER!$A:$A,$D44)),""),IF($C44="Material",IFERROR(IF(SUMIFS(MATERIAL_TARIFF_RULES!$G:$G,MATERIAL_TARIFF_RULES!$A:$A,$D44,MATERIAL_TARIFF_RULES!$C:$C,$B44)&lt;&gt;"",SUMIFS(MATERIAL_TARIFF_RULES!$G:$G,MATERIAL_TARIFF_RULES!$A:$A,$D44,MATERIAL_TARIFF_RULES!$C:$C,$B44),SUMIFS(MATERIAL_VARIANTS!$J:$J,MATERIAL_VARIANTS!$A:$A,$E44)),""),"")))</f>
        <v/>
      </c>
      <c r="G44" s="22"/>
      <c r="H44" s="22" t="str">
        <f>IF($C44="","",IF($C44="Work",IFERROR(SUMIFS(WORK_MASTER!$I:$I,WORK_MASTER!$A:$A,$D44),""),IF($C44="Material",IFERROR(SUMIFS(MATERIAL_VARIANTS!$I:$I,MATERIAL_VARIANTS!$A:$A,$E44),""),"")))</f>
        <v/>
      </c>
      <c r="I44" s="22" t="str">
        <f>IF($C44="","",IF($C44="Work",IFERROR(SUMIFS(WORK_FACTOR_APPLICABILITY!$O:$O,WORK_FACTOR_APPLICABILITY!$A:$A,$D44,WORK_FACTOR_APPLICABILITY!$N:$N,$A44),1),IF($C44="Material",IFERROR(ROUND(1+SUMIFS(MATERIAL_FACTOR_APPLICABILITY!$D:$D,MATERIAL_FACTOR_APPLICABILITY!$A:$A,SUMIFS(MATERIAL_MASTER!$O:$O,MATERIAL_MASTER!$A:$A,$D44),MATERIAL_FACTOR_APPLICABILITY!$B:$B,"GeometryComplexity")*(SUMIFS(OBJECT_CONDITIONS!$W:$W,OBJECT_CONDITIONS!$A:$A,$A44)-1),3),1),"")))</f>
        <v/>
      </c>
      <c r="J44" s="22" t="str">
        <f>IF($C44="","",IF($C44="Work",IFERROR(IF(SUMIFS(WORK_TARIFF_RULES!$F:$F,WORK_TARIFF_RULES!$A:$A,$D44,WORK_TARIFF_RULES!$C:$C,$B44)&lt;&gt;"",SUMIFS(WORK_TARIFF_RULES!$F:$F,WORK_TARIFF_RULES!$A:$A,$D44,WORK_TARIFF_RULES!$C:$C,$B44),SUMIFS(TARIFF_PROFILES!$D:$D,TARIFF_PROFILES!$A:$A,$B44)),1),IF($C44="Material",IFERROR(IF(SUMIFS(MATERIAL_TARIFF_RULES!$E:$E,MATERIAL_TARIFF_RULES!$A:$A,$D44,MATERIAL_TARIFF_RULES!$C:$C,$B44)&lt;&gt;"",SUMIFS(MATERIAL_TARIFF_RULES!$E:$E,MATERIAL_TARIFF_RULES!$A:$A,$D44,MATERIAL_TARIFF_RULES!$C:$C,$B44),SUMIFS(TARIFF_PROFILES!$E:$E,TARIFF_PROFILES!$A:$A,$B44)),1),"")))</f>
        <v/>
      </c>
      <c r="K44" s="22" t="str">
        <f>IF($C44="","",IF($C44="Material",IFERROR(SUMIFS(MATERIAL_MASTER!$P:$P,MATERIAL_MASTER!$A:$A,$D44)*IF(SUMIFS(MATERIAL_TARIFF_RULES!$F:$F,MATERIAL_TARIFF_RULES!$A:$A,$D44,MATERIAL_TARIFF_RULES!$C:$C,$B44)="",SUMIFS(TARIFF_PROFILES!$H:$H,TARIFF_PROFILES!$A:$A,$B44),SUMIFS(MATERIAL_TARIFF_RULES!$F:$F,MATERIAL_TARIFF_RULES!$A:$A,$D44,MATERIAL_TARIFF_RULES!$C:$C,$B44)),1),1))</f>
        <v/>
      </c>
      <c r="L44" s="22" t="str">
        <f t="shared" si="4"/>
        <v/>
      </c>
      <c r="M44" s="22" t="str">
        <f t="shared" si="5"/>
        <v/>
      </c>
      <c r="N44" s="22" t="str">
        <f t="shared" si="6"/>
        <v/>
      </c>
      <c r="O44" s="4" t="str">
        <f t="shared" si="7"/>
        <v/>
      </c>
    </row>
    <row r="45" spans="1:15" x14ac:dyDescent="0.3">
      <c r="A45" s="4"/>
      <c r="B45" s="4"/>
      <c r="C45" s="4"/>
      <c r="D45" s="4"/>
      <c r="E45" s="4"/>
      <c r="F45" s="4" t="str">
        <f>IF($C45="","",IF($C45="Work",IFERROR(IF(SUMIFS(WORK_TARIFF_RULES!$G:$G,WORK_TARIFF_RULES!$A:$A,$D45,WORK_TARIFF_RULES!$C:$C,$B45)&lt;&gt;"",SUMIFS(WORK_TARIFF_RULES!$G:$G,WORK_TARIFF_RULES!$A:$A,$D45,WORK_TARIFF_RULES!$C:$C,$B45),SUMIFS(WORK_MASTER!$C:$C,WORK_MASTER!$A:$A,$D45)),""),IF($C45="Material",IFERROR(IF(SUMIFS(MATERIAL_TARIFF_RULES!$G:$G,MATERIAL_TARIFF_RULES!$A:$A,$D45,MATERIAL_TARIFF_RULES!$C:$C,$B45)&lt;&gt;"",SUMIFS(MATERIAL_TARIFF_RULES!$G:$G,MATERIAL_TARIFF_RULES!$A:$A,$D45,MATERIAL_TARIFF_RULES!$C:$C,$B45),SUMIFS(MATERIAL_VARIANTS!$J:$J,MATERIAL_VARIANTS!$A:$A,$E45)),""),"")))</f>
        <v/>
      </c>
      <c r="G45" s="22"/>
      <c r="H45" s="22" t="str">
        <f>IF($C45="","",IF($C45="Work",IFERROR(SUMIFS(WORK_MASTER!$I:$I,WORK_MASTER!$A:$A,$D45),""),IF($C45="Material",IFERROR(SUMIFS(MATERIAL_VARIANTS!$I:$I,MATERIAL_VARIANTS!$A:$A,$E45),""),"")))</f>
        <v/>
      </c>
      <c r="I45" s="22" t="str">
        <f>IF($C45="","",IF($C45="Work",IFERROR(SUMIFS(WORK_FACTOR_APPLICABILITY!$O:$O,WORK_FACTOR_APPLICABILITY!$A:$A,$D45,WORK_FACTOR_APPLICABILITY!$N:$N,$A45),1),IF($C45="Material",IFERROR(ROUND(1+SUMIFS(MATERIAL_FACTOR_APPLICABILITY!$D:$D,MATERIAL_FACTOR_APPLICABILITY!$A:$A,SUMIFS(MATERIAL_MASTER!$O:$O,MATERIAL_MASTER!$A:$A,$D45),MATERIAL_FACTOR_APPLICABILITY!$B:$B,"GeometryComplexity")*(SUMIFS(OBJECT_CONDITIONS!$W:$W,OBJECT_CONDITIONS!$A:$A,$A45)-1),3),1),"")))</f>
        <v/>
      </c>
      <c r="J45" s="22" t="str">
        <f>IF($C45="","",IF($C45="Work",IFERROR(IF(SUMIFS(WORK_TARIFF_RULES!$F:$F,WORK_TARIFF_RULES!$A:$A,$D45,WORK_TARIFF_RULES!$C:$C,$B45)&lt;&gt;"",SUMIFS(WORK_TARIFF_RULES!$F:$F,WORK_TARIFF_RULES!$A:$A,$D45,WORK_TARIFF_RULES!$C:$C,$B45),SUMIFS(TARIFF_PROFILES!$D:$D,TARIFF_PROFILES!$A:$A,$B45)),1),IF($C45="Material",IFERROR(IF(SUMIFS(MATERIAL_TARIFF_RULES!$E:$E,MATERIAL_TARIFF_RULES!$A:$A,$D45,MATERIAL_TARIFF_RULES!$C:$C,$B45)&lt;&gt;"",SUMIFS(MATERIAL_TARIFF_RULES!$E:$E,MATERIAL_TARIFF_RULES!$A:$A,$D45,MATERIAL_TARIFF_RULES!$C:$C,$B45),SUMIFS(TARIFF_PROFILES!$E:$E,TARIFF_PROFILES!$A:$A,$B45)),1),"")))</f>
        <v/>
      </c>
      <c r="K45" s="22" t="str">
        <f>IF($C45="","",IF($C45="Material",IFERROR(SUMIFS(MATERIAL_MASTER!$P:$P,MATERIAL_MASTER!$A:$A,$D45)*IF(SUMIFS(MATERIAL_TARIFF_RULES!$F:$F,MATERIAL_TARIFF_RULES!$A:$A,$D45,MATERIAL_TARIFF_RULES!$C:$C,$B45)="",SUMIFS(TARIFF_PROFILES!$H:$H,TARIFF_PROFILES!$A:$A,$B45),SUMIFS(MATERIAL_TARIFF_RULES!$F:$F,MATERIAL_TARIFF_RULES!$A:$A,$D45,MATERIAL_TARIFF_RULES!$C:$C,$B45)),1),1))</f>
        <v/>
      </c>
      <c r="L45" s="22" t="str">
        <f t="shared" si="4"/>
        <v/>
      </c>
      <c r="M45" s="22" t="str">
        <f t="shared" si="5"/>
        <v/>
      </c>
      <c r="N45" s="22" t="str">
        <f t="shared" si="6"/>
        <v/>
      </c>
      <c r="O45" s="4" t="str">
        <f t="shared" si="7"/>
        <v/>
      </c>
    </row>
    <row r="46" spans="1:15" x14ac:dyDescent="0.3">
      <c r="A46" s="4"/>
      <c r="B46" s="4"/>
      <c r="C46" s="4"/>
      <c r="D46" s="4"/>
      <c r="E46" s="4"/>
      <c r="F46" s="4" t="str">
        <f>IF($C46="","",IF($C46="Work",IFERROR(IF(SUMIFS(WORK_TARIFF_RULES!$G:$G,WORK_TARIFF_RULES!$A:$A,$D46,WORK_TARIFF_RULES!$C:$C,$B46)&lt;&gt;"",SUMIFS(WORK_TARIFF_RULES!$G:$G,WORK_TARIFF_RULES!$A:$A,$D46,WORK_TARIFF_RULES!$C:$C,$B46),SUMIFS(WORK_MASTER!$C:$C,WORK_MASTER!$A:$A,$D46)),""),IF($C46="Material",IFERROR(IF(SUMIFS(MATERIAL_TARIFF_RULES!$G:$G,MATERIAL_TARIFF_RULES!$A:$A,$D46,MATERIAL_TARIFF_RULES!$C:$C,$B46)&lt;&gt;"",SUMIFS(MATERIAL_TARIFF_RULES!$G:$G,MATERIAL_TARIFF_RULES!$A:$A,$D46,MATERIAL_TARIFF_RULES!$C:$C,$B46),SUMIFS(MATERIAL_VARIANTS!$J:$J,MATERIAL_VARIANTS!$A:$A,$E46)),""),"")))</f>
        <v/>
      </c>
      <c r="G46" s="22"/>
      <c r="H46" s="22" t="str">
        <f>IF($C46="","",IF($C46="Work",IFERROR(SUMIFS(WORK_MASTER!$I:$I,WORK_MASTER!$A:$A,$D46),""),IF($C46="Material",IFERROR(SUMIFS(MATERIAL_VARIANTS!$I:$I,MATERIAL_VARIANTS!$A:$A,$E46),""),"")))</f>
        <v/>
      </c>
      <c r="I46" s="22" t="str">
        <f>IF($C46="","",IF($C46="Work",IFERROR(SUMIFS(WORK_FACTOR_APPLICABILITY!$O:$O,WORK_FACTOR_APPLICABILITY!$A:$A,$D46,WORK_FACTOR_APPLICABILITY!$N:$N,$A46),1),IF($C46="Material",IFERROR(ROUND(1+SUMIFS(MATERIAL_FACTOR_APPLICABILITY!$D:$D,MATERIAL_FACTOR_APPLICABILITY!$A:$A,SUMIFS(MATERIAL_MASTER!$O:$O,MATERIAL_MASTER!$A:$A,$D46),MATERIAL_FACTOR_APPLICABILITY!$B:$B,"GeometryComplexity")*(SUMIFS(OBJECT_CONDITIONS!$W:$W,OBJECT_CONDITIONS!$A:$A,$A46)-1),3),1),"")))</f>
        <v/>
      </c>
      <c r="J46" s="22" t="str">
        <f>IF($C46="","",IF($C46="Work",IFERROR(IF(SUMIFS(WORK_TARIFF_RULES!$F:$F,WORK_TARIFF_RULES!$A:$A,$D46,WORK_TARIFF_RULES!$C:$C,$B46)&lt;&gt;"",SUMIFS(WORK_TARIFF_RULES!$F:$F,WORK_TARIFF_RULES!$A:$A,$D46,WORK_TARIFF_RULES!$C:$C,$B46),SUMIFS(TARIFF_PROFILES!$D:$D,TARIFF_PROFILES!$A:$A,$B46)),1),IF($C46="Material",IFERROR(IF(SUMIFS(MATERIAL_TARIFF_RULES!$E:$E,MATERIAL_TARIFF_RULES!$A:$A,$D46,MATERIAL_TARIFF_RULES!$C:$C,$B46)&lt;&gt;"",SUMIFS(MATERIAL_TARIFF_RULES!$E:$E,MATERIAL_TARIFF_RULES!$A:$A,$D46,MATERIAL_TARIFF_RULES!$C:$C,$B46),SUMIFS(TARIFF_PROFILES!$E:$E,TARIFF_PROFILES!$A:$A,$B46)),1),"")))</f>
        <v/>
      </c>
      <c r="K46" s="22" t="str">
        <f>IF($C46="","",IF($C46="Material",IFERROR(SUMIFS(MATERIAL_MASTER!$P:$P,MATERIAL_MASTER!$A:$A,$D46)*IF(SUMIFS(MATERIAL_TARIFF_RULES!$F:$F,MATERIAL_TARIFF_RULES!$A:$A,$D46,MATERIAL_TARIFF_RULES!$C:$C,$B46)="",SUMIFS(TARIFF_PROFILES!$H:$H,TARIFF_PROFILES!$A:$A,$B46),SUMIFS(MATERIAL_TARIFF_RULES!$F:$F,MATERIAL_TARIFF_RULES!$A:$A,$D46,MATERIAL_TARIFF_RULES!$C:$C,$B46)),1),1))</f>
        <v/>
      </c>
      <c r="L46" s="22" t="str">
        <f t="shared" si="4"/>
        <v/>
      </c>
      <c r="M46" s="22" t="str">
        <f t="shared" si="5"/>
        <v/>
      </c>
      <c r="N46" s="22" t="str">
        <f t="shared" si="6"/>
        <v/>
      </c>
      <c r="O46" s="4" t="str">
        <f t="shared" si="7"/>
        <v/>
      </c>
    </row>
    <row r="47" spans="1:15" x14ac:dyDescent="0.3">
      <c r="A47" s="4"/>
      <c r="B47" s="4"/>
      <c r="C47" s="4"/>
      <c r="D47" s="4"/>
      <c r="E47" s="4"/>
      <c r="F47" s="4" t="str">
        <f>IF($C47="","",IF($C47="Work",IFERROR(IF(SUMIFS(WORK_TARIFF_RULES!$G:$G,WORK_TARIFF_RULES!$A:$A,$D47,WORK_TARIFF_RULES!$C:$C,$B47)&lt;&gt;"",SUMIFS(WORK_TARIFF_RULES!$G:$G,WORK_TARIFF_RULES!$A:$A,$D47,WORK_TARIFF_RULES!$C:$C,$B47),SUMIFS(WORK_MASTER!$C:$C,WORK_MASTER!$A:$A,$D47)),""),IF($C47="Material",IFERROR(IF(SUMIFS(MATERIAL_TARIFF_RULES!$G:$G,MATERIAL_TARIFF_RULES!$A:$A,$D47,MATERIAL_TARIFF_RULES!$C:$C,$B47)&lt;&gt;"",SUMIFS(MATERIAL_TARIFF_RULES!$G:$G,MATERIAL_TARIFF_RULES!$A:$A,$D47,MATERIAL_TARIFF_RULES!$C:$C,$B47),SUMIFS(MATERIAL_VARIANTS!$J:$J,MATERIAL_VARIANTS!$A:$A,$E47)),""),"")))</f>
        <v/>
      </c>
      <c r="G47" s="22"/>
      <c r="H47" s="22" t="str">
        <f>IF($C47="","",IF($C47="Work",IFERROR(SUMIFS(WORK_MASTER!$I:$I,WORK_MASTER!$A:$A,$D47),""),IF($C47="Material",IFERROR(SUMIFS(MATERIAL_VARIANTS!$I:$I,MATERIAL_VARIANTS!$A:$A,$E47),""),"")))</f>
        <v/>
      </c>
      <c r="I47" s="22" t="str">
        <f>IF($C47="","",IF($C47="Work",IFERROR(SUMIFS(WORK_FACTOR_APPLICABILITY!$O:$O,WORK_FACTOR_APPLICABILITY!$A:$A,$D47,WORK_FACTOR_APPLICABILITY!$N:$N,$A47),1),IF($C47="Material",IFERROR(ROUND(1+SUMIFS(MATERIAL_FACTOR_APPLICABILITY!$D:$D,MATERIAL_FACTOR_APPLICABILITY!$A:$A,SUMIFS(MATERIAL_MASTER!$O:$O,MATERIAL_MASTER!$A:$A,$D47),MATERIAL_FACTOR_APPLICABILITY!$B:$B,"GeometryComplexity")*(SUMIFS(OBJECT_CONDITIONS!$W:$W,OBJECT_CONDITIONS!$A:$A,$A47)-1),3),1),"")))</f>
        <v/>
      </c>
      <c r="J47" s="22" t="str">
        <f>IF($C47="","",IF($C47="Work",IFERROR(IF(SUMIFS(WORK_TARIFF_RULES!$F:$F,WORK_TARIFF_RULES!$A:$A,$D47,WORK_TARIFF_RULES!$C:$C,$B47)&lt;&gt;"",SUMIFS(WORK_TARIFF_RULES!$F:$F,WORK_TARIFF_RULES!$A:$A,$D47,WORK_TARIFF_RULES!$C:$C,$B47),SUMIFS(TARIFF_PROFILES!$D:$D,TARIFF_PROFILES!$A:$A,$B47)),1),IF($C47="Material",IFERROR(IF(SUMIFS(MATERIAL_TARIFF_RULES!$E:$E,MATERIAL_TARIFF_RULES!$A:$A,$D47,MATERIAL_TARIFF_RULES!$C:$C,$B47)&lt;&gt;"",SUMIFS(MATERIAL_TARIFF_RULES!$E:$E,MATERIAL_TARIFF_RULES!$A:$A,$D47,MATERIAL_TARIFF_RULES!$C:$C,$B47),SUMIFS(TARIFF_PROFILES!$E:$E,TARIFF_PROFILES!$A:$A,$B47)),1),"")))</f>
        <v/>
      </c>
      <c r="K47" s="22" t="str">
        <f>IF($C47="","",IF($C47="Material",IFERROR(SUMIFS(MATERIAL_MASTER!$P:$P,MATERIAL_MASTER!$A:$A,$D47)*IF(SUMIFS(MATERIAL_TARIFF_RULES!$F:$F,MATERIAL_TARIFF_RULES!$A:$A,$D47,MATERIAL_TARIFF_RULES!$C:$C,$B47)="",SUMIFS(TARIFF_PROFILES!$H:$H,TARIFF_PROFILES!$A:$A,$B47),SUMIFS(MATERIAL_TARIFF_RULES!$F:$F,MATERIAL_TARIFF_RULES!$A:$A,$D47,MATERIAL_TARIFF_RULES!$C:$C,$B47)),1),1))</f>
        <v/>
      </c>
      <c r="L47" s="22" t="str">
        <f t="shared" si="4"/>
        <v/>
      </c>
      <c r="M47" s="22" t="str">
        <f t="shared" si="5"/>
        <v/>
      </c>
      <c r="N47" s="22" t="str">
        <f t="shared" si="6"/>
        <v/>
      </c>
      <c r="O47" s="4" t="str">
        <f t="shared" si="7"/>
        <v/>
      </c>
    </row>
    <row r="48" spans="1:15" x14ac:dyDescent="0.3">
      <c r="A48" s="4"/>
      <c r="B48" s="4"/>
      <c r="C48" s="4"/>
      <c r="D48" s="4"/>
      <c r="E48" s="4"/>
      <c r="F48" s="4" t="str">
        <f>IF($C48="","",IF($C48="Work",IFERROR(IF(SUMIFS(WORK_TARIFF_RULES!$G:$G,WORK_TARIFF_RULES!$A:$A,$D48,WORK_TARIFF_RULES!$C:$C,$B48)&lt;&gt;"",SUMIFS(WORK_TARIFF_RULES!$G:$G,WORK_TARIFF_RULES!$A:$A,$D48,WORK_TARIFF_RULES!$C:$C,$B48),SUMIFS(WORK_MASTER!$C:$C,WORK_MASTER!$A:$A,$D48)),""),IF($C48="Material",IFERROR(IF(SUMIFS(MATERIAL_TARIFF_RULES!$G:$G,MATERIAL_TARIFF_RULES!$A:$A,$D48,MATERIAL_TARIFF_RULES!$C:$C,$B48)&lt;&gt;"",SUMIFS(MATERIAL_TARIFF_RULES!$G:$G,MATERIAL_TARIFF_RULES!$A:$A,$D48,MATERIAL_TARIFF_RULES!$C:$C,$B48),SUMIFS(MATERIAL_VARIANTS!$J:$J,MATERIAL_VARIANTS!$A:$A,$E48)),""),"")))</f>
        <v/>
      </c>
      <c r="G48" s="22"/>
      <c r="H48" s="22" t="str">
        <f>IF($C48="","",IF($C48="Work",IFERROR(SUMIFS(WORK_MASTER!$I:$I,WORK_MASTER!$A:$A,$D48),""),IF($C48="Material",IFERROR(SUMIFS(MATERIAL_VARIANTS!$I:$I,MATERIAL_VARIANTS!$A:$A,$E48),""),"")))</f>
        <v/>
      </c>
      <c r="I48" s="22" t="str">
        <f>IF($C48="","",IF($C48="Work",IFERROR(SUMIFS(WORK_FACTOR_APPLICABILITY!$O:$O,WORK_FACTOR_APPLICABILITY!$A:$A,$D48,WORK_FACTOR_APPLICABILITY!$N:$N,$A48),1),IF($C48="Material",IFERROR(ROUND(1+SUMIFS(MATERIAL_FACTOR_APPLICABILITY!$D:$D,MATERIAL_FACTOR_APPLICABILITY!$A:$A,SUMIFS(MATERIAL_MASTER!$O:$O,MATERIAL_MASTER!$A:$A,$D48),MATERIAL_FACTOR_APPLICABILITY!$B:$B,"GeometryComplexity")*(SUMIFS(OBJECT_CONDITIONS!$W:$W,OBJECT_CONDITIONS!$A:$A,$A48)-1),3),1),"")))</f>
        <v/>
      </c>
      <c r="J48" s="22" t="str">
        <f>IF($C48="","",IF($C48="Work",IFERROR(IF(SUMIFS(WORK_TARIFF_RULES!$F:$F,WORK_TARIFF_RULES!$A:$A,$D48,WORK_TARIFF_RULES!$C:$C,$B48)&lt;&gt;"",SUMIFS(WORK_TARIFF_RULES!$F:$F,WORK_TARIFF_RULES!$A:$A,$D48,WORK_TARIFF_RULES!$C:$C,$B48),SUMIFS(TARIFF_PROFILES!$D:$D,TARIFF_PROFILES!$A:$A,$B48)),1),IF($C48="Material",IFERROR(IF(SUMIFS(MATERIAL_TARIFF_RULES!$E:$E,MATERIAL_TARIFF_RULES!$A:$A,$D48,MATERIAL_TARIFF_RULES!$C:$C,$B48)&lt;&gt;"",SUMIFS(MATERIAL_TARIFF_RULES!$E:$E,MATERIAL_TARIFF_RULES!$A:$A,$D48,MATERIAL_TARIFF_RULES!$C:$C,$B48),SUMIFS(TARIFF_PROFILES!$E:$E,TARIFF_PROFILES!$A:$A,$B48)),1),"")))</f>
        <v/>
      </c>
      <c r="K48" s="22" t="str">
        <f>IF($C48="","",IF($C48="Material",IFERROR(SUMIFS(MATERIAL_MASTER!$P:$P,MATERIAL_MASTER!$A:$A,$D48)*IF(SUMIFS(MATERIAL_TARIFF_RULES!$F:$F,MATERIAL_TARIFF_RULES!$A:$A,$D48,MATERIAL_TARIFF_RULES!$C:$C,$B48)="",SUMIFS(TARIFF_PROFILES!$H:$H,TARIFF_PROFILES!$A:$A,$B48),SUMIFS(MATERIAL_TARIFF_RULES!$F:$F,MATERIAL_TARIFF_RULES!$A:$A,$D48,MATERIAL_TARIFF_RULES!$C:$C,$B48)),1),1))</f>
        <v/>
      </c>
      <c r="L48" s="22" t="str">
        <f t="shared" si="4"/>
        <v/>
      </c>
      <c r="M48" s="22" t="str">
        <f t="shared" si="5"/>
        <v/>
      </c>
      <c r="N48" s="22" t="str">
        <f t="shared" si="6"/>
        <v/>
      </c>
      <c r="O48" s="4" t="str">
        <f t="shared" si="7"/>
        <v/>
      </c>
    </row>
    <row r="49" spans="1:15" x14ac:dyDescent="0.3">
      <c r="A49" s="4"/>
      <c r="B49" s="4"/>
      <c r="C49" s="4"/>
      <c r="D49" s="4"/>
      <c r="E49" s="4"/>
      <c r="F49" s="4" t="str">
        <f>IF($C49="","",IF($C49="Work",IFERROR(IF(SUMIFS(WORK_TARIFF_RULES!$G:$G,WORK_TARIFF_RULES!$A:$A,$D49,WORK_TARIFF_RULES!$C:$C,$B49)&lt;&gt;"",SUMIFS(WORK_TARIFF_RULES!$G:$G,WORK_TARIFF_RULES!$A:$A,$D49,WORK_TARIFF_RULES!$C:$C,$B49),SUMIFS(WORK_MASTER!$C:$C,WORK_MASTER!$A:$A,$D49)),""),IF($C49="Material",IFERROR(IF(SUMIFS(MATERIAL_TARIFF_RULES!$G:$G,MATERIAL_TARIFF_RULES!$A:$A,$D49,MATERIAL_TARIFF_RULES!$C:$C,$B49)&lt;&gt;"",SUMIFS(MATERIAL_TARIFF_RULES!$G:$G,MATERIAL_TARIFF_RULES!$A:$A,$D49,MATERIAL_TARIFF_RULES!$C:$C,$B49),SUMIFS(MATERIAL_VARIANTS!$J:$J,MATERIAL_VARIANTS!$A:$A,$E49)),""),"")))</f>
        <v/>
      </c>
      <c r="G49" s="22"/>
      <c r="H49" s="22" t="str">
        <f>IF($C49="","",IF($C49="Work",IFERROR(SUMIFS(WORK_MASTER!$I:$I,WORK_MASTER!$A:$A,$D49),""),IF($C49="Material",IFERROR(SUMIFS(MATERIAL_VARIANTS!$I:$I,MATERIAL_VARIANTS!$A:$A,$E49),""),"")))</f>
        <v/>
      </c>
      <c r="I49" s="22" t="str">
        <f>IF($C49="","",IF($C49="Work",IFERROR(SUMIFS(WORK_FACTOR_APPLICABILITY!$O:$O,WORK_FACTOR_APPLICABILITY!$A:$A,$D49,WORK_FACTOR_APPLICABILITY!$N:$N,$A49),1),IF($C49="Material",IFERROR(ROUND(1+SUMIFS(MATERIAL_FACTOR_APPLICABILITY!$D:$D,MATERIAL_FACTOR_APPLICABILITY!$A:$A,SUMIFS(MATERIAL_MASTER!$O:$O,MATERIAL_MASTER!$A:$A,$D49),MATERIAL_FACTOR_APPLICABILITY!$B:$B,"GeometryComplexity")*(SUMIFS(OBJECT_CONDITIONS!$W:$W,OBJECT_CONDITIONS!$A:$A,$A49)-1),3),1),"")))</f>
        <v/>
      </c>
      <c r="J49" s="22" t="str">
        <f>IF($C49="","",IF($C49="Work",IFERROR(IF(SUMIFS(WORK_TARIFF_RULES!$F:$F,WORK_TARIFF_RULES!$A:$A,$D49,WORK_TARIFF_RULES!$C:$C,$B49)&lt;&gt;"",SUMIFS(WORK_TARIFF_RULES!$F:$F,WORK_TARIFF_RULES!$A:$A,$D49,WORK_TARIFF_RULES!$C:$C,$B49),SUMIFS(TARIFF_PROFILES!$D:$D,TARIFF_PROFILES!$A:$A,$B49)),1),IF($C49="Material",IFERROR(IF(SUMIFS(MATERIAL_TARIFF_RULES!$E:$E,MATERIAL_TARIFF_RULES!$A:$A,$D49,MATERIAL_TARIFF_RULES!$C:$C,$B49)&lt;&gt;"",SUMIFS(MATERIAL_TARIFF_RULES!$E:$E,MATERIAL_TARIFF_RULES!$A:$A,$D49,MATERIAL_TARIFF_RULES!$C:$C,$B49),SUMIFS(TARIFF_PROFILES!$E:$E,TARIFF_PROFILES!$A:$A,$B49)),1),"")))</f>
        <v/>
      </c>
      <c r="K49" s="22" t="str">
        <f>IF($C49="","",IF($C49="Material",IFERROR(SUMIFS(MATERIAL_MASTER!$P:$P,MATERIAL_MASTER!$A:$A,$D49)*IF(SUMIFS(MATERIAL_TARIFF_RULES!$F:$F,MATERIAL_TARIFF_RULES!$A:$A,$D49,MATERIAL_TARIFF_RULES!$C:$C,$B49)="",SUMIFS(TARIFF_PROFILES!$H:$H,TARIFF_PROFILES!$A:$A,$B49),SUMIFS(MATERIAL_TARIFF_RULES!$F:$F,MATERIAL_TARIFF_RULES!$A:$A,$D49,MATERIAL_TARIFF_RULES!$C:$C,$B49)),1),1))</f>
        <v/>
      </c>
      <c r="L49" s="22" t="str">
        <f t="shared" si="4"/>
        <v/>
      </c>
      <c r="M49" s="22" t="str">
        <f t="shared" si="5"/>
        <v/>
      </c>
      <c r="N49" s="22" t="str">
        <f t="shared" si="6"/>
        <v/>
      </c>
      <c r="O49" s="4" t="str">
        <f t="shared" si="7"/>
        <v/>
      </c>
    </row>
    <row r="50" spans="1:15" x14ac:dyDescent="0.3">
      <c r="A50" s="4"/>
      <c r="B50" s="4"/>
      <c r="C50" s="4"/>
      <c r="D50" s="4"/>
      <c r="E50" s="4"/>
      <c r="F50" s="4" t="str">
        <f>IF($C50="","",IF($C50="Work",IFERROR(IF(SUMIFS(WORK_TARIFF_RULES!$G:$G,WORK_TARIFF_RULES!$A:$A,$D50,WORK_TARIFF_RULES!$C:$C,$B50)&lt;&gt;"",SUMIFS(WORK_TARIFF_RULES!$G:$G,WORK_TARIFF_RULES!$A:$A,$D50,WORK_TARIFF_RULES!$C:$C,$B50),SUMIFS(WORK_MASTER!$C:$C,WORK_MASTER!$A:$A,$D50)),""),IF($C50="Material",IFERROR(IF(SUMIFS(MATERIAL_TARIFF_RULES!$G:$G,MATERIAL_TARIFF_RULES!$A:$A,$D50,MATERIAL_TARIFF_RULES!$C:$C,$B50)&lt;&gt;"",SUMIFS(MATERIAL_TARIFF_RULES!$G:$G,MATERIAL_TARIFF_RULES!$A:$A,$D50,MATERIAL_TARIFF_RULES!$C:$C,$B50),SUMIFS(MATERIAL_VARIANTS!$J:$J,MATERIAL_VARIANTS!$A:$A,$E50)),""),"")))</f>
        <v/>
      </c>
      <c r="G50" s="22"/>
      <c r="H50" s="22" t="str">
        <f>IF($C50="","",IF($C50="Work",IFERROR(SUMIFS(WORK_MASTER!$I:$I,WORK_MASTER!$A:$A,$D50),""),IF($C50="Material",IFERROR(SUMIFS(MATERIAL_VARIANTS!$I:$I,MATERIAL_VARIANTS!$A:$A,$E50),""),"")))</f>
        <v/>
      </c>
      <c r="I50" s="22" t="str">
        <f>IF($C50="","",IF($C50="Work",IFERROR(SUMIFS(WORK_FACTOR_APPLICABILITY!$O:$O,WORK_FACTOR_APPLICABILITY!$A:$A,$D50,WORK_FACTOR_APPLICABILITY!$N:$N,$A50),1),IF($C50="Material",IFERROR(ROUND(1+SUMIFS(MATERIAL_FACTOR_APPLICABILITY!$D:$D,MATERIAL_FACTOR_APPLICABILITY!$A:$A,SUMIFS(MATERIAL_MASTER!$O:$O,MATERIAL_MASTER!$A:$A,$D50),MATERIAL_FACTOR_APPLICABILITY!$B:$B,"GeometryComplexity")*(SUMIFS(OBJECT_CONDITIONS!$W:$W,OBJECT_CONDITIONS!$A:$A,$A50)-1),3),1),"")))</f>
        <v/>
      </c>
      <c r="J50" s="22" t="str">
        <f>IF($C50="","",IF($C50="Work",IFERROR(IF(SUMIFS(WORK_TARIFF_RULES!$F:$F,WORK_TARIFF_RULES!$A:$A,$D50,WORK_TARIFF_RULES!$C:$C,$B50)&lt;&gt;"",SUMIFS(WORK_TARIFF_RULES!$F:$F,WORK_TARIFF_RULES!$A:$A,$D50,WORK_TARIFF_RULES!$C:$C,$B50),SUMIFS(TARIFF_PROFILES!$D:$D,TARIFF_PROFILES!$A:$A,$B50)),1),IF($C50="Material",IFERROR(IF(SUMIFS(MATERIAL_TARIFF_RULES!$E:$E,MATERIAL_TARIFF_RULES!$A:$A,$D50,MATERIAL_TARIFF_RULES!$C:$C,$B50)&lt;&gt;"",SUMIFS(MATERIAL_TARIFF_RULES!$E:$E,MATERIAL_TARIFF_RULES!$A:$A,$D50,MATERIAL_TARIFF_RULES!$C:$C,$B50),SUMIFS(TARIFF_PROFILES!$E:$E,TARIFF_PROFILES!$A:$A,$B50)),1),"")))</f>
        <v/>
      </c>
      <c r="K50" s="22" t="str">
        <f>IF($C50="","",IF($C50="Material",IFERROR(SUMIFS(MATERIAL_MASTER!$P:$P,MATERIAL_MASTER!$A:$A,$D50)*IF(SUMIFS(MATERIAL_TARIFF_RULES!$F:$F,MATERIAL_TARIFF_RULES!$A:$A,$D50,MATERIAL_TARIFF_RULES!$C:$C,$B50)="",SUMIFS(TARIFF_PROFILES!$H:$H,TARIFF_PROFILES!$A:$A,$B50),SUMIFS(MATERIAL_TARIFF_RULES!$F:$F,MATERIAL_TARIFF_RULES!$A:$A,$D50,MATERIAL_TARIFF_RULES!$C:$C,$B50)),1),1))</f>
        <v/>
      </c>
      <c r="L50" s="22" t="str">
        <f t="shared" si="4"/>
        <v/>
      </c>
      <c r="M50" s="22" t="str">
        <f t="shared" si="5"/>
        <v/>
      </c>
      <c r="N50" s="22" t="str">
        <f t="shared" si="6"/>
        <v/>
      </c>
      <c r="O50" s="4" t="str">
        <f t="shared" si="7"/>
        <v/>
      </c>
    </row>
    <row r="51" spans="1:15" x14ac:dyDescent="0.3">
      <c r="A51" s="4"/>
      <c r="B51" s="4"/>
      <c r="C51" s="4"/>
      <c r="D51" s="4"/>
      <c r="E51" s="4"/>
      <c r="F51" s="4" t="str">
        <f>IF($C51="","",IF($C51="Work",IFERROR(IF(SUMIFS(WORK_TARIFF_RULES!$G:$G,WORK_TARIFF_RULES!$A:$A,$D51,WORK_TARIFF_RULES!$C:$C,$B51)&lt;&gt;"",SUMIFS(WORK_TARIFF_RULES!$G:$G,WORK_TARIFF_RULES!$A:$A,$D51,WORK_TARIFF_RULES!$C:$C,$B51),SUMIFS(WORK_MASTER!$C:$C,WORK_MASTER!$A:$A,$D51)),""),IF($C51="Material",IFERROR(IF(SUMIFS(MATERIAL_TARIFF_RULES!$G:$G,MATERIAL_TARIFF_RULES!$A:$A,$D51,MATERIAL_TARIFF_RULES!$C:$C,$B51)&lt;&gt;"",SUMIFS(MATERIAL_TARIFF_RULES!$G:$G,MATERIAL_TARIFF_RULES!$A:$A,$D51,MATERIAL_TARIFF_RULES!$C:$C,$B51),SUMIFS(MATERIAL_VARIANTS!$J:$J,MATERIAL_VARIANTS!$A:$A,$E51)),""),"")))</f>
        <v/>
      </c>
      <c r="G51" s="22"/>
      <c r="H51" s="22" t="str">
        <f>IF($C51="","",IF($C51="Work",IFERROR(SUMIFS(WORK_MASTER!$I:$I,WORK_MASTER!$A:$A,$D51),""),IF($C51="Material",IFERROR(SUMIFS(MATERIAL_VARIANTS!$I:$I,MATERIAL_VARIANTS!$A:$A,$E51),""),"")))</f>
        <v/>
      </c>
      <c r="I51" s="22" t="str">
        <f>IF($C51="","",IF($C51="Work",IFERROR(SUMIFS(WORK_FACTOR_APPLICABILITY!$O:$O,WORK_FACTOR_APPLICABILITY!$A:$A,$D51,WORK_FACTOR_APPLICABILITY!$N:$N,$A51),1),IF($C51="Material",IFERROR(ROUND(1+SUMIFS(MATERIAL_FACTOR_APPLICABILITY!$D:$D,MATERIAL_FACTOR_APPLICABILITY!$A:$A,SUMIFS(MATERIAL_MASTER!$O:$O,MATERIAL_MASTER!$A:$A,$D51),MATERIAL_FACTOR_APPLICABILITY!$B:$B,"GeometryComplexity")*(SUMIFS(OBJECT_CONDITIONS!$W:$W,OBJECT_CONDITIONS!$A:$A,$A51)-1),3),1),"")))</f>
        <v/>
      </c>
      <c r="J51" s="22" t="str">
        <f>IF($C51="","",IF($C51="Work",IFERROR(IF(SUMIFS(WORK_TARIFF_RULES!$F:$F,WORK_TARIFF_RULES!$A:$A,$D51,WORK_TARIFF_RULES!$C:$C,$B51)&lt;&gt;"",SUMIFS(WORK_TARIFF_RULES!$F:$F,WORK_TARIFF_RULES!$A:$A,$D51,WORK_TARIFF_RULES!$C:$C,$B51),SUMIFS(TARIFF_PROFILES!$D:$D,TARIFF_PROFILES!$A:$A,$B51)),1),IF($C51="Material",IFERROR(IF(SUMIFS(MATERIAL_TARIFF_RULES!$E:$E,MATERIAL_TARIFF_RULES!$A:$A,$D51,MATERIAL_TARIFF_RULES!$C:$C,$B51)&lt;&gt;"",SUMIFS(MATERIAL_TARIFF_RULES!$E:$E,MATERIAL_TARIFF_RULES!$A:$A,$D51,MATERIAL_TARIFF_RULES!$C:$C,$B51),SUMIFS(TARIFF_PROFILES!$E:$E,TARIFF_PROFILES!$A:$A,$B51)),1),"")))</f>
        <v/>
      </c>
      <c r="K51" s="22" t="str">
        <f>IF($C51="","",IF($C51="Material",IFERROR(SUMIFS(MATERIAL_MASTER!$P:$P,MATERIAL_MASTER!$A:$A,$D51)*IF(SUMIFS(MATERIAL_TARIFF_RULES!$F:$F,MATERIAL_TARIFF_RULES!$A:$A,$D51,MATERIAL_TARIFF_RULES!$C:$C,$B51)="",SUMIFS(TARIFF_PROFILES!$H:$H,TARIFF_PROFILES!$A:$A,$B51),SUMIFS(MATERIAL_TARIFF_RULES!$F:$F,MATERIAL_TARIFF_RULES!$A:$A,$D51,MATERIAL_TARIFF_RULES!$C:$C,$B51)),1),1))</f>
        <v/>
      </c>
      <c r="L51" s="22" t="str">
        <f t="shared" si="4"/>
        <v/>
      </c>
      <c r="M51" s="22" t="str">
        <f t="shared" si="5"/>
        <v/>
      </c>
      <c r="N51" s="22" t="str">
        <f t="shared" si="6"/>
        <v/>
      </c>
      <c r="O51" s="4" t="str">
        <f t="shared" si="7"/>
        <v/>
      </c>
    </row>
    <row r="52" spans="1:15" x14ac:dyDescent="0.3">
      <c r="A52" s="4"/>
      <c r="B52" s="4"/>
      <c r="C52" s="4"/>
      <c r="D52" s="4"/>
      <c r="E52" s="4"/>
      <c r="F52" s="4" t="str">
        <f>IF($C52="","",IF($C52="Work",IFERROR(IF(SUMIFS(WORK_TARIFF_RULES!$G:$G,WORK_TARIFF_RULES!$A:$A,$D52,WORK_TARIFF_RULES!$C:$C,$B52)&lt;&gt;"",SUMIFS(WORK_TARIFF_RULES!$G:$G,WORK_TARIFF_RULES!$A:$A,$D52,WORK_TARIFF_RULES!$C:$C,$B52),SUMIFS(WORK_MASTER!$C:$C,WORK_MASTER!$A:$A,$D52)),""),IF($C52="Material",IFERROR(IF(SUMIFS(MATERIAL_TARIFF_RULES!$G:$G,MATERIAL_TARIFF_RULES!$A:$A,$D52,MATERIAL_TARIFF_RULES!$C:$C,$B52)&lt;&gt;"",SUMIFS(MATERIAL_TARIFF_RULES!$G:$G,MATERIAL_TARIFF_RULES!$A:$A,$D52,MATERIAL_TARIFF_RULES!$C:$C,$B52),SUMIFS(MATERIAL_VARIANTS!$J:$J,MATERIAL_VARIANTS!$A:$A,$E52)),""),"")))</f>
        <v/>
      </c>
      <c r="G52" s="22"/>
      <c r="H52" s="22" t="str">
        <f>IF($C52="","",IF($C52="Work",IFERROR(SUMIFS(WORK_MASTER!$I:$I,WORK_MASTER!$A:$A,$D52),""),IF($C52="Material",IFERROR(SUMIFS(MATERIAL_VARIANTS!$I:$I,MATERIAL_VARIANTS!$A:$A,$E52),""),"")))</f>
        <v/>
      </c>
      <c r="I52" s="22" t="str">
        <f>IF($C52="","",IF($C52="Work",IFERROR(SUMIFS(WORK_FACTOR_APPLICABILITY!$O:$O,WORK_FACTOR_APPLICABILITY!$A:$A,$D52,WORK_FACTOR_APPLICABILITY!$N:$N,$A52),1),IF($C52="Material",IFERROR(ROUND(1+SUMIFS(MATERIAL_FACTOR_APPLICABILITY!$D:$D,MATERIAL_FACTOR_APPLICABILITY!$A:$A,SUMIFS(MATERIAL_MASTER!$O:$O,MATERIAL_MASTER!$A:$A,$D52),MATERIAL_FACTOR_APPLICABILITY!$B:$B,"GeometryComplexity")*(SUMIFS(OBJECT_CONDITIONS!$W:$W,OBJECT_CONDITIONS!$A:$A,$A52)-1),3),1),"")))</f>
        <v/>
      </c>
      <c r="J52" s="22" t="str">
        <f>IF($C52="","",IF($C52="Work",IFERROR(IF(SUMIFS(WORK_TARIFF_RULES!$F:$F,WORK_TARIFF_RULES!$A:$A,$D52,WORK_TARIFF_RULES!$C:$C,$B52)&lt;&gt;"",SUMIFS(WORK_TARIFF_RULES!$F:$F,WORK_TARIFF_RULES!$A:$A,$D52,WORK_TARIFF_RULES!$C:$C,$B52),SUMIFS(TARIFF_PROFILES!$D:$D,TARIFF_PROFILES!$A:$A,$B52)),1),IF($C52="Material",IFERROR(IF(SUMIFS(MATERIAL_TARIFF_RULES!$E:$E,MATERIAL_TARIFF_RULES!$A:$A,$D52,MATERIAL_TARIFF_RULES!$C:$C,$B52)&lt;&gt;"",SUMIFS(MATERIAL_TARIFF_RULES!$E:$E,MATERIAL_TARIFF_RULES!$A:$A,$D52,MATERIAL_TARIFF_RULES!$C:$C,$B52),SUMIFS(TARIFF_PROFILES!$E:$E,TARIFF_PROFILES!$A:$A,$B52)),1),"")))</f>
        <v/>
      </c>
      <c r="K52" s="22" t="str">
        <f>IF($C52="","",IF($C52="Material",IFERROR(SUMIFS(MATERIAL_MASTER!$P:$P,MATERIAL_MASTER!$A:$A,$D52)*IF(SUMIFS(MATERIAL_TARIFF_RULES!$F:$F,MATERIAL_TARIFF_RULES!$A:$A,$D52,MATERIAL_TARIFF_RULES!$C:$C,$B52)="",SUMIFS(TARIFF_PROFILES!$H:$H,TARIFF_PROFILES!$A:$A,$B52),SUMIFS(MATERIAL_TARIFF_RULES!$F:$F,MATERIAL_TARIFF_RULES!$A:$A,$D52,MATERIAL_TARIFF_RULES!$C:$C,$B52)),1),1))</f>
        <v/>
      </c>
      <c r="L52" s="22" t="str">
        <f t="shared" si="4"/>
        <v/>
      </c>
      <c r="M52" s="22" t="str">
        <f t="shared" si="5"/>
        <v/>
      </c>
      <c r="N52" s="22" t="str">
        <f t="shared" si="6"/>
        <v/>
      </c>
      <c r="O52" s="4" t="str">
        <f t="shared" si="7"/>
        <v/>
      </c>
    </row>
    <row r="53" spans="1:15" x14ac:dyDescent="0.3">
      <c r="A53" s="4"/>
      <c r="B53" s="4"/>
      <c r="C53" s="4"/>
      <c r="D53" s="4"/>
      <c r="E53" s="4"/>
      <c r="F53" s="4" t="str">
        <f>IF($C53="","",IF($C53="Work",IFERROR(IF(SUMIFS(WORK_TARIFF_RULES!$G:$G,WORK_TARIFF_RULES!$A:$A,$D53,WORK_TARIFF_RULES!$C:$C,$B53)&lt;&gt;"",SUMIFS(WORK_TARIFF_RULES!$G:$G,WORK_TARIFF_RULES!$A:$A,$D53,WORK_TARIFF_RULES!$C:$C,$B53),SUMIFS(WORK_MASTER!$C:$C,WORK_MASTER!$A:$A,$D53)),""),IF($C53="Material",IFERROR(IF(SUMIFS(MATERIAL_TARIFF_RULES!$G:$G,MATERIAL_TARIFF_RULES!$A:$A,$D53,MATERIAL_TARIFF_RULES!$C:$C,$B53)&lt;&gt;"",SUMIFS(MATERIAL_TARIFF_RULES!$G:$G,MATERIAL_TARIFF_RULES!$A:$A,$D53,MATERIAL_TARIFF_RULES!$C:$C,$B53),SUMIFS(MATERIAL_VARIANTS!$J:$J,MATERIAL_VARIANTS!$A:$A,$E53)),""),"")))</f>
        <v/>
      </c>
      <c r="G53" s="22"/>
      <c r="H53" s="22" t="str">
        <f>IF($C53="","",IF($C53="Work",IFERROR(SUMIFS(WORK_MASTER!$I:$I,WORK_MASTER!$A:$A,$D53),""),IF($C53="Material",IFERROR(SUMIFS(MATERIAL_VARIANTS!$I:$I,MATERIAL_VARIANTS!$A:$A,$E53),""),"")))</f>
        <v/>
      </c>
      <c r="I53" s="22" t="str">
        <f>IF($C53="","",IF($C53="Work",IFERROR(SUMIFS(WORK_FACTOR_APPLICABILITY!$O:$O,WORK_FACTOR_APPLICABILITY!$A:$A,$D53,WORK_FACTOR_APPLICABILITY!$N:$N,$A53),1),IF($C53="Material",IFERROR(ROUND(1+SUMIFS(MATERIAL_FACTOR_APPLICABILITY!$D:$D,MATERIAL_FACTOR_APPLICABILITY!$A:$A,SUMIFS(MATERIAL_MASTER!$O:$O,MATERIAL_MASTER!$A:$A,$D53),MATERIAL_FACTOR_APPLICABILITY!$B:$B,"GeometryComplexity")*(SUMIFS(OBJECT_CONDITIONS!$W:$W,OBJECT_CONDITIONS!$A:$A,$A53)-1),3),1),"")))</f>
        <v/>
      </c>
      <c r="J53" s="22" t="str">
        <f>IF($C53="","",IF($C53="Work",IFERROR(IF(SUMIFS(WORK_TARIFF_RULES!$F:$F,WORK_TARIFF_RULES!$A:$A,$D53,WORK_TARIFF_RULES!$C:$C,$B53)&lt;&gt;"",SUMIFS(WORK_TARIFF_RULES!$F:$F,WORK_TARIFF_RULES!$A:$A,$D53,WORK_TARIFF_RULES!$C:$C,$B53),SUMIFS(TARIFF_PROFILES!$D:$D,TARIFF_PROFILES!$A:$A,$B53)),1),IF($C53="Material",IFERROR(IF(SUMIFS(MATERIAL_TARIFF_RULES!$E:$E,MATERIAL_TARIFF_RULES!$A:$A,$D53,MATERIAL_TARIFF_RULES!$C:$C,$B53)&lt;&gt;"",SUMIFS(MATERIAL_TARIFF_RULES!$E:$E,MATERIAL_TARIFF_RULES!$A:$A,$D53,MATERIAL_TARIFF_RULES!$C:$C,$B53),SUMIFS(TARIFF_PROFILES!$E:$E,TARIFF_PROFILES!$A:$A,$B53)),1),"")))</f>
        <v/>
      </c>
      <c r="K53" s="22" t="str">
        <f>IF($C53="","",IF($C53="Material",IFERROR(SUMIFS(MATERIAL_MASTER!$P:$P,MATERIAL_MASTER!$A:$A,$D53)*IF(SUMIFS(MATERIAL_TARIFF_RULES!$F:$F,MATERIAL_TARIFF_RULES!$A:$A,$D53,MATERIAL_TARIFF_RULES!$C:$C,$B53)="",SUMIFS(TARIFF_PROFILES!$H:$H,TARIFF_PROFILES!$A:$A,$B53),SUMIFS(MATERIAL_TARIFF_RULES!$F:$F,MATERIAL_TARIFF_RULES!$A:$A,$D53,MATERIAL_TARIFF_RULES!$C:$C,$B53)),1),1))</f>
        <v/>
      </c>
      <c r="L53" s="22" t="str">
        <f t="shared" si="4"/>
        <v/>
      </c>
      <c r="M53" s="22" t="str">
        <f t="shared" si="5"/>
        <v/>
      </c>
      <c r="N53" s="22" t="str">
        <f t="shared" si="6"/>
        <v/>
      </c>
      <c r="O53" s="4" t="str">
        <f t="shared" si="7"/>
        <v/>
      </c>
    </row>
    <row r="54" spans="1:15" x14ac:dyDescent="0.3">
      <c r="A54" s="4"/>
      <c r="B54" s="4"/>
      <c r="C54" s="4"/>
      <c r="D54" s="4"/>
      <c r="E54" s="4"/>
      <c r="F54" s="4" t="str">
        <f>IF($C54="","",IF($C54="Work",IFERROR(IF(SUMIFS(WORK_TARIFF_RULES!$G:$G,WORK_TARIFF_RULES!$A:$A,$D54,WORK_TARIFF_RULES!$C:$C,$B54)&lt;&gt;"",SUMIFS(WORK_TARIFF_RULES!$G:$G,WORK_TARIFF_RULES!$A:$A,$D54,WORK_TARIFF_RULES!$C:$C,$B54),SUMIFS(WORK_MASTER!$C:$C,WORK_MASTER!$A:$A,$D54)),""),IF($C54="Material",IFERROR(IF(SUMIFS(MATERIAL_TARIFF_RULES!$G:$G,MATERIAL_TARIFF_RULES!$A:$A,$D54,MATERIAL_TARIFF_RULES!$C:$C,$B54)&lt;&gt;"",SUMIFS(MATERIAL_TARIFF_RULES!$G:$G,MATERIAL_TARIFF_RULES!$A:$A,$D54,MATERIAL_TARIFF_RULES!$C:$C,$B54),SUMIFS(MATERIAL_VARIANTS!$J:$J,MATERIAL_VARIANTS!$A:$A,$E54)),""),"")))</f>
        <v/>
      </c>
      <c r="G54" s="22"/>
      <c r="H54" s="22" t="str">
        <f>IF($C54="","",IF($C54="Work",IFERROR(SUMIFS(WORK_MASTER!$I:$I,WORK_MASTER!$A:$A,$D54),""),IF($C54="Material",IFERROR(SUMIFS(MATERIAL_VARIANTS!$I:$I,MATERIAL_VARIANTS!$A:$A,$E54),""),"")))</f>
        <v/>
      </c>
      <c r="I54" s="22" t="str">
        <f>IF($C54="","",IF($C54="Work",IFERROR(SUMIFS(WORK_FACTOR_APPLICABILITY!$O:$O,WORK_FACTOR_APPLICABILITY!$A:$A,$D54,WORK_FACTOR_APPLICABILITY!$N:$N,$A54),1),IF($C54="Material",IFERROR(ROUND(1+SUMIFS(MATERIAL_FACTOR_APPLICABILITY!$D:$D,MATERIAL_FACTOR_APPLICABILITY!$A:$A,SUMIFS(MATERIAL_MASTER!$O:$O,MATERIAL_MASTER!$A:$A,$D54),MATERIAL_FACTOR_APPLICABILITY!$B:$B,"GeometryComplexity")*(SUMIFS(OBJECT_CONDITIONS!$W:$W,OBJECT_CONDITIONS!$A:$A,$A54)-1),3),1),"")))</f>
        <v/>
      </c>
      <c r="J54" s="22" t="str">
        <f>IF($C54="","",IF($C54="Work",IFERROR(IF(SUMIFS(WORK_TARIFF_RULES!$F:$F,WORK_TARIFF_RULES!$A:$A,$D54,WORK_TARIFF_RULES!$C:$C,$B54)&lt;&gt;"",SUMIFS(WORK_TARIFF_RULES!$F:$F,WORK_TARIFF_RULES!$A:$A,$D54,WORK_TARIFF_RULES!$C:$C,$B54),SUMIFS(TARIFF_PROFILES!$D:$D,TARIFF_PROFILES!$A:$A,$B54)),1),IF($C54="Material",IFERROR(IF(SUMIFS(MATERIAL_TARIFF_RULES!$E:$E,MATERIAL_TARIFF_RULES!$A:$A,$D54,MATERIAL_TARIFF_RULES!$C:$C,$B54)&lt;&gt;"",SUMIFS(MATERIAL_TARIFF_RULES!$E:$E,MATERIAL_TARIFF_RULES!$A:$A,$D54,MATERIAL_TARIFF_RULES!$C:$C,$B54),SUMIFS(TARIFF_PROFILES!$E:$E,TARIFF_PROFILES!$A:$A,$B54)),1),"")))</f>
        <v/>
      </c>
      <c r="K54" s="22" t="str">
        <f>IF($C54="","",IF($C54="Material",IFERROR(SUMIFS(MATERIAL_MASTER!$P:$P,MATERIAL_MASTER!$A:$A,$D54)*IF(SUMIFS(MATERIAL_TARIFF_RULES!$F:$F,MATERIAL_TARIFF_RULES!$A:$A,$D54,MATERIAL_TARIFF_RULES!$C:$C,$B54)="",SUMIFS(TARIFF_PROFILES!$H:$H,TARIFF_PROFILES!$A:$A,$B54),SUMIFS(MATERIAL_TARIFF_RULES!$F:$F,MATERIAL_TARIFF_RULES!$A:$A,$D54,MATERIAL_TARIFF_RULES!$C:$C,$B54)),1),1))</f>
        <v/>
      </c>
      <c r="L54" s="22" t="str">
        <f t="shared" si="4"/>
        <v/>
      </c>
      <c r="M54" s="22" t="str">
        <f t="shared" si="5"/>
        <v/>
      </c>
      <c r="N54" s="22" t="str">
        <f t="shared" si="6"/>
        <v/>
      </c>
      <c r="O54" s="4" t="str">
        <f t="shared" si="7"/>
        <v/>
      </c>
    </row>
    <row r="55" spans="1:15" x14ac:dyDescent="0.3">
      <c r="A55" s="4"/>
      <c r="B55" s="4"/>
      <c r="C55" s="4"/>
      <c r="D55" s="4"/>
      <c r="E55" s="4"/>
      <c r="F55" s="4" t="str">
        <f>IF($C55="","",IF($C55="Work",IFERROR(IF(SUMIFS(WORK_TARIFF_RULES!$G:$G,WORK_TARIFF_RULES!$A:$A,$D55,WORK_TARIFF_RULES!$C:$C,$B55)&lt;&gt;"",SUMIFS(WORK_TARIFF_RULES!$G:$G,WORK_TARIFF_RULES!$A:$A,$D55,WORK_TARIFF_RULES!$C:$C,$B55),SUMIFS(WORK_MASTER!$C:$C,WORK_MASTER!$A:$A,$D55)),""),IF($C55="Material",IFERROR(IF(SUMIFS(MATERIAL_TARIFF_RULES!$G:$G,MATERIAL_TARIFF_RULES!$A:$A,$D55,MATERIAL_TARIFF_RULES!$C:$C,$B55)&lt;&gt;"",SUMIFS(MATERIAL_TARIFF_RULES!$G:$G,MATERIAL_TARIFF_RULES!$A:$A,$D55,MATERIAL_TARIFF_RULES!$C:$C,$B55),SUMIFS(MATERIAL_VARIANTS!$J:$J,MATERIAL_VARIANTS!$A:$A,$E55)),""),"")))</f>
        <v/>
      </c>
      <c r="G55" s="22"/>
      <c r="H55" s="22" t="str">
        <f>IF($C55="","",IF($C55="Work",IFERROR(SUMIFS(WORK_MASTER!$I:$I,WORK_MASTER!$A:$A,$D55),""),IF($C55="Material",IFERROR(SUMIFS(MATERIAL_VARIANTS!$I:$I,MATERIAL_VARIANTS!$A:$A,$E55),""),"")))</f>
        <v/>
      </c>
      <c r="I55" s="22" t="str">
        <f>IF($C55="","",IF($C55="Work",IFERROR(SUMIFS(WORK_FACTOR_APPLICABILITY!$O:$O,WORK_FACTOR_APPLICABILITY!$A:$A,$D55,WORK_FACTOR_APPLICABILITY!$N:$N,$A55),1),IF($C55="Material",IFERROR(ROUND(1+SUMIFS(MATERIAL_FACTOR_APPLICABILITY!$D:$D,MATERIAL_FACTOR_APPLICABILITY!$A:$A,SUMIFS(MATERIAL_MASTER!$O:$O,MATERIAL_MASTER!$A:$A,$D55),MATERIAL_FACTOR_APPLICABILITY!$B:$B,"GeometryComplexity")*(SUMIFS(OBJECT_CONDITIONS!$W:$W,OBJECT_CONDITIONS!$A:$A,$A55)-1),3),1),"")))</f>
        <v/>
      </c>
      <c r="J55" s="22" t="str">
        <f>IF($C55="","",IF($C55="Work",IFERROR(IF(SUMIFS(WORK_TARIFF_RULES!$F:$F,WORK_TARIFF_RULES!$A:$A,$D55,WORK_TARIFF_RULES!$C:$C,$B55)&lt;&gt;"",SUMIFS(WORK_TARIFF_RULES!$F:$F,WORK_TARIFF_RULES!$A:$A,$D55,WORK_TARIFF_RULES!$C:$C,$B55),SUMIFS(TARIFF_PROFILES!$D:$D,TARIFF_PROFILES!$A:$A,$B55)),1),IF($C55="Material",IFERROR(IF(SUMIFS(MATERIAL_TARIFF_RULES!$E:$E,MATERIAL_TARIFF_RULES!$A:$A,$D55,MATERIAL_TARIFF_RULES!$C:$C,$B55)&lt;&gt;"",SUMIFS(MATERIAL_TARIFF_RULES!$E:$E,MATERIAL_TARIFF_RULES!$A:$A,$D55,MATERIAL_TARIFF_RULES!$C:$C,$B55),SUMIFS(TARIFF_PROFILES!$E:$E,TARIFF_PROFILES!$A:$A,$B55)),1),"")))</f>
        <v/>
      </c>
      <c r="K55" s="22" t="str">
        <f>IF($C55="","",IF($C55="Material",IFERROR(SUMIFS(MATERIAL_MASTER!$P:$P,MATERIAL_MASTER!$A:$A,$D55)*IF(SUMIFS(MATERIAL_TARIFF_RULES!$F:$F,MATERIAL_TARIFF_RULES!$A:$A,$D55,MATERIAL_TARIFF_RULES!$C:$C,$B55)="",SUMIFS(TARIFF_PROFILES!$H:$H,TARIFF_PROFILES!$A:$A,$B55),SUMIFS(MATERIAL_TARIFF_RULES!$F:$F,MATERIAL_TARIFF_RULES!$A:$A,$D55,MATERIAL_TARIFF_RULES!$C:$C,$B55)),1),1))</f>
        <v/>
      </c>
      <c r="L55" s="22" t="str">
        <f t="shared" si="4"/>
        <v/>
      </c>
      <c r="M55" s="22" t="str">
        <f t="shared" si="5"/>
        <v/>
      </c>
      <c r="N55" s="22" t="str">
        <f t="shared" si="6"/>
        <v/>
      </c>
      <c r="O55" s="4" t="str">
        <f t="shared" si="7"/>
        <v/>
      </c>
    </row>
    <row r="56" spans="1:15" x14ac:dyDescent="0.3">
      <c r="A56" s="4"/>
      <c r="B56" s="4"/>
      <c r="C56" s="4"/>
      <c r="D56" s="4"/>
      <c r="E56" s="4"/>
      <c r="F56" s="4" t="str">
        <f>IF($C56="","",IF($C56="Work",IFERROR(IF(SUMIFS(WORK_TARIFF_RULES!$G:$G,WORK_TARIFF_RULES!$A:$A,$D56,WORK_TARIFF_RULES!$C:$C,$B56)&lt;&gt;"",SUMIFS(WORK_TARIFF_RULES!$G:$G,WORK_TARIFF_RULES!$A:$A,$D56,WORK_TARIFF_RULES!$C:$C,$B56),SUMIFS(WORK_MASTER!$C:$C,WORK_MASTER!$A:$A,$D56)),""),IF($C56="Material",IFERROR(IF(SUMIFS(MATERIAL_TARIFF_RULES!$G:$G,MATERIAL_TARIFF_RULES!$A:$A,$D56,MATERIAL_TARIFF_RULES!$C:$C,$B56)&lt;&gt;"",SUMIFS(MATERIAL_TARIFF_RULES!$G:$G,MATERIAL_TARIFF_RULES!$A:$A,$D56,MATERIAL_TARIFF_RULES!$C:$C,$B56),SUMIFS(MATERIAL_VARIANTS!$J:$J,MATERIAL_VARIANTS!$A:$A,$E56)),""),"")))</f>
        <v/>
      </c>
      <c r="G56" s="22"/>
      <c r="H56" s="22" t="str">
        <f>IF($C56="","",IF($C56="Work",IFERROR(SUMIFS(WORK_MASTER!$I:$I,WORK_MASTER!$A:$A,$D56),""),IF($C56="Material",IFERROR(SUMIFS(MATERIAL_VARIANTS!$I:$I,MATERIAL_VARIANTS!$A:$A,$E56),""),"")))</f>
        <v/>
      </c>
      <c r="I56" s="22" t="str">
        <f>IF($C56="","",IF($C56="Work",IFERROR(SUMIFS(WORK_FACTOR_APPLICABILITY!$O:$O,WORK_FACTOR_APPLICABILITY!$A:$A,$D56,WORK_FACTOR_APPLICABILITY!$N:$N,$A56),1),IF($C56="Material",IFERROR(ROUND(1+SUMIFS(MATERIAL_FACTOR_APPLICABILITY!$D:$D,MATERIAL_FACTOR_APPLICABILITY!$A:$A,SUMIFS(MATERIAL_MASTER!$O:$O,MATERIAL_MASTER!$A:$A,$D56),MATERIAL_FACTOR_APPLICABILITY!$B:$B,"GeometryComplexity")*(SUMIFS(OBJECT_CONDITIONS!$W:$W,OBJECT_CONDITIONS!$A:$A,$A56)-1),3),1),"")))</f>
        <v/>
      </c>
      <c r="J56" s="22" t="str">
        <f>IF($C56="","",IF($C56="Work",IFERROR(IF(SUMIFS(WORK_TARIFF_RULES!$F:$F,WORK_TARIFF_RULES!$A:$A,$D56,WORK_TARIFF_RULES!$C:$C,$B56)&lt;&gt;"",SUMIFS(WORK_TARIFF_RULES!$F:$F,WORK_TARIFF_RULES!$A:$A,$D56,WORK_TARIFF_RULES!$C:$C,$B56),SUMIFS(TARIFF_PROFILES!$D:$D,TARIFF_PROFILES!$A:$A,$B56)),1),IF($C56="Material",IFERROR(IF(SUMIFS(MATERIAL_TARIFF_RULES!$E:$E,MATERIAL_TARIFF_RULES!$A:$A,$D56,MATERIAL_TARIFF_RULES!$C:$C,$B56)&lt;&gt;"",SUMIFS(MATERIAL_TARIFF_RULES!$E:$E,MATERIAL_TARIFF_RULES!$A:$A,$D56,MATERIAL_TARIFF_RULES!$C:$C,$B56),SUMIFS(TARIFF_PROFILES!$E:$E,TARIFF_PROFILES!$A:$A,$B56)),1),"")))</f>
        <v/>
      </c>
      <c r="K56" s="22" t="str">
        <f>IF($C56="","",IF($C56="Material",IFERROR(SUMIFS(MATERIAL_MASTER!$P:$P,MATERIAL_MASTER!$A:$A,$D56)*IF(SUMIFS(MATERIAL_TARIFF_RULES!$F:$F,MATERIAL_TARIFF_RULES!$A:$A,$D56,MATERIAL_TARIFF_RULES!$C:$C,$B56)="",SUMIFS(TARIFF_PROFILES!$H:$H,TARIFF_PROFILES!$A:$A,$B56),SUMIFS(MATERIAL_TARIFF_RULES!$F:$F,MATERIAL_TARIFF_RULES!$A:$A,$D56,MATERIAL_TARIFF_RULES!$C:$C,$B56)),1),1))</f>
        <v/>
      </c>
      <c r="L56" s="22" t="str">
        <f t="shared" si="4"/>
        <v/>
      </c>
      <c r="M56" s="22" t="str">
        <f t="shared" si="5"/>
        <v/>
      </c>
      <c r="N56" s="22" t="str">
        <f t="shared" si="6"/>
        <v/>
      </c>
      <c r="O56" s="4" t="str">
        <f t="shared" si="7"/>
        <v/>
      </c>
    </row>
    <row r="57" spans="1:15" x14ac:dyDescent="0.3">
      <c r="A57" s="4"/>
      <c r="B57" s="4"/>
      <c r="C57" s="4"/>
      <c r="D57" s="4"/>
      <c r="E57" s="4"/>
      <c r="F57" s="4" t="str">
        <f>IF($C57="","",IF($C57="Work",IFERROR(IF(SUMIFS(WORK_TARIFF_RULES!$G:$G,WORK_TARIFF_RULES!$A:$A,$D57,WORK_TARIFF_RULES!$C:$C,$B57)&lt;&gt;"",SUMIFS(WORK_TARIFF_RULES!$G:$G,WORK_TARIFF_RULES!$A:$A,$D57,WORK_TARIFF_RULES!$C:$C,$B57),SUMIFS(WORK_MASTER!$C:$C,WORK_MASTER!$A:$A,$D57)),""),IF($C57="Material",IFERROR(IF(SUMIFS(MATERIAL_TARIFF_RULES!$G:$G,MATERIAL_TARIFF_RULES!$A:$A,$D57,MATERIAL_TARIFF_RULES!$C:$C,$B57)&lt;&gt;"",SUMIFS(MATERIAL_TARIFF_RULES!$G:$G,MATERIAL_TARIFF_RULES!$A:$A,$D57,MATERIAL_TARIFF_RULES!$C:$C,$B57),SUMIFS(MATERIAL_VARIANTS!$J:$J,MATERIAL_VARIANTS!$A:$A,$E57)),""),"")))</f>
        <v/>
      </c>
      <c r="G57" s="22"/>
      <c r="H57" s="22" t="str">
        <f>IF($C57="","",IF($C57="Work",IFERROR(SUMIFS(WORK_MASTER!$I:$I,WORK_MASTER!$A:$A,$D57),""),IF($C57="Material",IFERROR(SUMIFS(MATERIAL_VARIANTS!$I:$I,MATERIAL_VARIANTS!$A:$A,$E57),""),"")))</f>
        <v/>
      </c>
      <c r="I57" s="22" t="str">
        <f>IF($C57="","",IF($C57="Work",IFERROR(SUMIFS(WORK_FACTOR_APPLICABILITY!$O:$O,WORK_FACTOR_APPLICABILITY!$A:$A,$D57,WORK_FACTOR_APPLICABILITY!$N:$N,$A57),1),IF($C57="Material",IFERROR(ROUND(1+SUMIFS(MATERIAL_FACTOR_APPLICABILITY!$D:$D,MATERIAL_FACTOR_APPLICABILITY!$A:$A,SUMIFS(MATERIAL_MASTER!$O:$O,MATERIAL_MASTER!$A:$A,$D57),MATERIAL_FACTOR_APPLICABILITY!$B:$B,"GeometryComplexity")*(SUMIFS(OBJECT_CONDITIONS!$W:$W,OBJECT_CONDITIONS!$A:$A,$A57)-1),3),1),"")))</f>
        <v/>
      </c>
      <c r="J57" s="22" t="str">
        <f>IF($C57="","",IF($C57="Work",IFERROR(IF(SUMIFS(WORK_TARIFF_RULES!$F:$F,WORK_TARIFF_RULES!$A:$A,$D57,WORK_TARIFF_RULES!$C:$C,$B57)&lt;&gt;"",SUMIFS(WORK_TARIFF_RULES!$F:$F,WORK_TARIFF_RULES!$A:$A,$D57,WORK_TARIFF_RULES!$C:$C,$B57),SUMIFS(TARIFF_PROFILES!$D:$D,TARIFF_PROFILES!$A:$A,$B57)),1),IF($C57="Material",IFERROR(IF(SUMIFS(MATERIAL_TARIFF_RULES!$E:$E,MATERIAL_TARIFF_RULES!$A:$A,$D57,MATERIAL_TARIFF_RULES!$C:$C,$B57)&lt;&gt;"",SUMIFS(MATERIAL_TARIFF_RULES!$E:$E,MATERIAL_TARIFF_RULES!$A:$A,$D57,MATERIAL_TARIFF_RULES!$C:$C,$B57),SUMIFS(TARIFF_PROFILES!$E:$E,TARIFF_PROFILES!$A:$A,$B57)),1),"")))</f>
        <v/>
      </c>
      <c r="K57" s="22" t="str">
        <f>IF($C57="","",IF($C57="Material",IFERROR(SUMIFS(MATERIAL_MASTER!$P:$P,MATERIAL_MASTER!$A:$A,$D57)*IF(SUMIFS(MATERIAL_TARIFF_RULES!$F:$F,MATERIAL_TARIFF_RULES!$A:$A,$D57,MATERIAL_TARIFF_RULES!$C:$C,$B57)="",SUMIFS(TARIFF_PROFILES!$H:$H,TARIFF_PROFILES!$A:$A,$B57),SUMIFS(MATERIAL_TARIFF_RULES!$F:$F,MATERIAL_TARIFF_RULES!$A:$A,$D57,MATERIAL_TARIFF_RULES!$C:$C,$B57)),1),1))</f>
        <v/>
      </c>
      <c r="L57" s="22" t="str">
        <f t="shared" si="4"/>
        <v/>
      </c>
      <c r="M57" s="22" t="str">
        <f t="shared" si="5"/>
        <v/>
      </c>
      <c r="N57" s="22" t="str">
        <f t="shared" si="6"/>
        <v/>
      </c>
      <c r="O57" s="4" t="str">
        <f t="shared" si="7"/>
        <v/>
      </c>
    </row>
    <row r="58" spans="1:15" x14ac:dyDescent="0.3">
      <c r="A58" s="4"/>
      <c r="B58" s="4"/>
      <c r="C58" s="4"/>
      <c r="D58" s="4"/>
      <c r="E58" s="4"/>
      <c r="F58" s="4" t="str">
        <f>IF($C58="","",IF($C58="Work",IFERROR(IF(SUMIFS(WORK_TARIFF_RULES!$G:$G,WORK_TARIFF_RULES!$A:$A,$D58,WORK_TARIFF_RULES!$C:$C,$B58)&lt;&gt;"",SUMIFS(WORK_TARIFF_RULES!$G:$G,WORK_TARIFF_RULES!$A:$A,$D58,WORK_TARIFF_RULES!$C:$C,$B58),SUMIFS(WORK_MASTER!$C:$C,WORK_MASTER!$A:$A,$D58)),""),IF($C58="Material",IFERROR(IF(SUMIFS(MATERIAL_TARIFF_RULES!$G:$G,MATERIAL_TARIFF_RULES!$A:$A,$D58,MATERIAL_TARIFF_RULES!$C:$C,$B58)&lt;&gt;"",SUMIFS(MATERIAL_TARIFF_RULES!$G:$G,MATERIAL_TARIFF_RULES!$A:$A,$D58,MATERIAL_TARIFF_RULES!$C:$C,$B58),SUMIFS(MATERIAL_VARIANTS!$J:$J,MATERIAL_VARIANTS!$A:$A,$E58)),""),"")))</f>
        <v/>
      </c>
      <c r="G58" s="22"/>
      <c r="H58" s="22" t="str">
        <f>IF($C58="","",IF($C58="Work",IFERROR(SUMIFS(WORK_MASTER!$I:$I,WORK_MASTER!$A:$A,$D58),""),IF($C58="Material",IFERROR(SUMIFS(MATERIAL_VARIANTS!$I:$I,MATERIAL_VARIANTS!$A:$A,$E58),""),"")))</f>
        <v/>
      </c>
      <c r="I58" s="22" t="str">
        <f>IF($C58="","",IF($C58="Work",IFERROR(SUMIFS(WORK_FACTOR_APPLICABILITY!$O:$O,WORK_FACTOR_APPLICABILITY!$A:$A,$D58,WORK_FACTOR_APPLICABILITY!$N:$N,$A58),1),IF($C58="Material",IFERROR(ROUND(1+SUMIFS(MATERIAL_FACTOR_APPLICABILITY!$D:$D,MATERIAL_FACTOR_APPLICABILITY!$A:$A,SUMIFS(MATERIAL_MASTER!$O:$O,MATERIAL_MASTER!$A:$A,$D58),MATERIAL_FACTOR_APPLICABILITY!$B:$B,"GeometryComplexity")*(SUMIFS(OBJECT_CONDITIONS!$W:$W,OBJECT_CONDITIONS!$A:$A,$A58)-1),3),1),"")))</f>
        <v/>
      </c>
      <c r="J58" s="22" t="str">
        <f>IF($C58="","",IF($C58="Work",IFERROR(IF(SUMIFS(WORK_TARIFF_RULES!$F:$F,WORK_TARIFF_RULES!$A:$A,$D58,WORK_TARIFF_RULES!$C:$C,$B58)&lt;&gt;"",SUMIFS(WORK_TARIFF_RULES!$F:$F,WORK_TARIFF_RULES!$A:$A,$D58,WORK_TARIFF_RULES!$C:$C,$B58),SUMIFS(TARIFF_PROFILES!$D:$D,TARIFF_PROFILES!$A:$A,$B58)),1),IF($C58="Material",IFERROR(IF(SUMIFS(MATERIAL_TARIFF_RULES!$E:$E,MATERIAL_TARIFF_RULES!$A:$A,$D58,MATERIAL_TARIFF_RULES!$C:$C,$B58)&lt;&gt;"",SUMIFS(MATERIAL_TARIFF_RULES!$E:$E,MATERIAL_TARIFF_RULES!$A:$A,$D58,MATERIAL_TARIFF_RULES!$C:$C,$B58),SUMIFS(TARIFF_PROFILES!$E:$E,TARIFF_PROFILES!$A:$A,$B58)),1),"")))</f>
        <v/>
      </c>
      <c r="K58" s="22" t="str">
        <f>IF($C58="","",IF($C58="Material",IFERROR(SUMIFS(MATERIAL_MASTER!$P:$P,MATERIAL_MASTER!$A:$A,$D58)*IF(SUMIFS(MATERIAL_TARIFF_RULES!$F:$F,MATERIAL_TARIFF_RULES!$A:$A,$D58,MATERIAL_TARIFF_RULES!$C:$C,$B58)="",SUMIFS(TARIFF_PROFILES!$H:$H,TARIFF_PROFILES!$A:$A,$B58),SUMIFS(MATERIAL_TARIFF_RULES!$F:$F,MATERIAL_TARIFF_RULES!$A:$A,$D58,MATERIAL_TARIFF_RULES!$C:$C,$B58)),1),1))</f>
        <v/>
      </c>
      <c r="L58" s="22" t="str">
        <f t="shared" si="4"/>
        <v/>
      </c>
      <c r="M58" s="22" t="str">
        <f t="shared" si="5"/>
        <v/>
      </c>
      <c r="N58" s="22" t="str">
        <f t="shared" si="6"/>
        <v/>
      </c>
      <c r="O58" s="4" t="str">
        <f t="shared" si="7"/>
        <v/>
      </c>
    </row>
    <row r="59" spans="1:15" x14ac:dyDescent="0.3">
      <c r="A59" s="4"/>
      <c r="B59" s="4"/>
      <c r="C59" s="4"/>
      <c r="D59" s="4"/>
      <c r="E59" s="4"/>
      <c r="F59" s="4" t="str">
        <f>IF($C59="","",IF($C59="Work",IFERROR(IF(SUMIFS(WORK_TARIFF_RULES!$G:$G,WORK_TARIFF_RULES!$A:$A,$D59,WORK_TARIFF_RULES!$C:$C,$B59)&lt;&gt;"",SUMIFS(WORK_TARIFF_RULES!$G:$G,WORK_TARIFF_RULES!$A:$A,$D59,WORK_TARIFF_RULES!$C:$C,$B59),SUMIFS(WORK_MASTER!$C:$C,WORK_MASTER!$A:$A,$D59)),""),IF($C59="Material",IFERROR(IF(SUMIFS(MATERIAL_TARIFF_RULES!$G:$G,MATERIAL_TARIFF_RULES!$A:$A,$D59,MATERIAL_TARIFF_RULES!$C:$C,$B59)&lt;&gt;"",SUMIFS(MATERIAL_TARIFF_RULES!$G:$G,MATERIAL_TARIFF_RULES!$A:$A,$D59,MATERIAL_TARIFF_RULES!$C:$C,$B59),SUMIFS(MATERIAL_VARIANTS!$J:$J,MATERIAL_VARIANTS!$A:$A,$E59)),""),"")))</f>
        <v/>
      </c>
      <c r="G59" s="22"/>
      <c r="H59" s="22" t="str">
        <f>IF($C59="","",IF($C59="Work",IFERROR(SUMIFS(WORK_MASTER!$I:$I,WORK_MASTER!$A:$A,$D59),""),IF($C59="Material",IFERROR(SUMIFS(MATERIAL_VARIANTS!$I:$I,MATERIAL_VARIANTS!$A:$A,$E59),""),"")))</f>
        <v/>
      </c>
      <c r="I59" s="22" t="str">
        <f>IF($C59="","",IF($C59="Work",IFERROR(SUMIFS(WORK_FACTOR_APPLICABILITY!$O:$O,WORK_FACTOR_APPLICABILITY!$A:$A,$D59,WORK_FACTOR_APPLICABILITY!$N:$N,$A59),1),IF($C59="Material",IFERROR(ROUND(1+SUMIFS(MATERIAL_FACTOR_APPLICABILITY!$D:$D,MATERIAL_FACTOR_APPLICABILITY!$A:$A,SUMIFS(MATERIAL_MASTER!$O:$O,MATERIAL_MASTER!$A:$A,$D59),MATERIAL_FACTOR_APPLICABILITY!$B:$B,"GeometryComplexity")*(SUMIFS(OBJECT_CONDITIONS!$W:$W,OBJECT_CONDITIONS!$A:$A,$A59)-1),3),1),"")))</f>
        <v/>
      </c>
      <c r="J59" s="22" t="str">
        <f>IF($C59="","",IF($C59="Work",IFERROR(IF(SUMIFS(WORK_TARIFF_RULES!$F:$F,WORK_TARIFF_RULES!$A:$A,$D59,WORK_TARIFF_RULES!$C:$C,$B59)&lt;&gt;"",SUMIFS(WORK_TARIFF_RULES!$F:$F,WORK_TARIFF_RULES!$A:$A,$D59,WORK_TARIFF_RULES!$C:$C,$B59),SUMIFS(TARIFF_PROFILES!$D:$D,TARIFF_PROFILES!$A:$A,$B59)),1),IF($C59="Material",IFERROR(IF(SUMIFS(MATERIAL_TARIFF_RULES!$E:$E,MATERIAL_TARIFF_RULES!$A:$A,$D59,MATERIAL_TARIFF_RULES!$C:$C,$B59)&lt;&gt;"",SUMIFS(MATERIAL_TARIFF_RULES!$E:$E,MATERIAL_TARIFF_RULES!$A:$A,$D59,MATERIAL_TARIFF_RULES!$C:$C,$B59),SUMIFS(TARIFF_PROFILES!$E:$E,TARIFF_PROFILES!$A:$A,$B59)),1),"")))</f>
        <v/>
      </c>
      <c r="K59" s="22" t="str">
        <f>IF($C59="","",IF($C59="Material",IFERROR(SUMIFS(MATERIAL_MASTER!$P:$P,MATERIAL_MASTER!$A:$A,$D59)*IF(SUMIFS(MATERIAL_TARIFF_RULES!$F:$F,MATERIAL_TARIFF_RULES!$A:$A,$D59,MATERIAL_TARIFF_RULES!$C:$C,$B59)="",SUMIFS(TARIFF_PROFILES!$H:$H,TARIFF_PROFILES!$A:$A,$B59),SUMIFS(MATERIAL_TARIFF_RULES!$F:$F,MATERIAL_TARIFF_RULES!$A:$A,$D59,MATERIAL_TARIFF_RULES!$C:$C,$B59)),1),1))</f>
        <v/>
      </c>
      <c r="L59" s="22" t="str">
        <f t="shared" si="4"/>
        <v/>
      </c>
      <c r="M59" s="22" t="str">
        <f t="shared" si="5"/>
        <v/>
      </c>
      <c r="N59" s="22" t="str">
        <f t="shared" si="6"/>
        <v/>
      </c>
      <c r="O59" s="4" t="str">
        <f t="shared" si="7"/>
        <v/>
      </c>
    </row>
    <row r="60" spans="1:15" x14ac:dyDescent="0.3">
      <c r="A60" s="4"/>
      <c r="B60" s="4"/>
      <c r="C60" s="4"/>
      <c r="D60" s="4"/>
      <c r="E60" s="4"/>
      <c r="F60" s="4" t="str">
        <f>IF($C60="","",IF($C60="Work",IFERROR(IF(SUMIFS(WORK_TARIFF_RULES!$G:$G,WORK_TARIFF_RULES!$A:$A,$D60,WORK_TARIFF_RULES!$C:$C,$B60)&lt;&gt;"",SUMIFS(WORK_TARIFF_RULES!$G:$G,WORK_TARIFF_RULES!$A:$A,$D60,WORK_TARIFF_RULES!$C:$C,$B60),SUMIFS(WORK_MASTER!$C:$C,WORK_MASTER!$A:$A,$D60)),""),IF($C60="Material",IFERROR(IF(SUMIFS(MATERIAL_TARIFF_RULES!$G:$G,MATERIAL_TARIFF_RULES!$A:$A,$D60,MATERIAL_TARIFF_RULES!$C:$C,$B60)&lt;&gt;"",SUMIFS(MATERIAL_TARIFF_RULES!$G:$G,MATERIAL_TARIFF_RULES!$A:$A,$D60,MATERIAL_TARIFF_RULES!$C:$C,$B60),SUMIFS(MATERIAL_VARIANTS!$J:$J,MATERIAL_VARIANTS!$A:$A,$E60)),""),"")))</f>
        <v/>
      </c>
      <c r="G60" s="22"/>
      <c r="H60" s="22" t="str">
        <f>IF($C60="","",IF($C60="Work",IFERROR(SUMIFS(WORK_MASTER!$I:$I,WORK_MASTER!$A:$A,$D60),""),IF($C60="Material",IFERROR(SUMIFS(MATERIAL_VARIANTS!$I:$I,MATERIAL_VARIANTS!$A:$A,$E60),""),"")))</f>
        <v/>
      </c>
      <c r="I60" s="22" t="str">
        <f>IF($C60="","",IF($C60="Work",IFERROR(SUMIFS(WORK_FACTOR_APPLICABILITY!$O:$O,WORK_FACTOR_APPLICABILITY!$A:$A,$D60,WORK_FACTOR_APPLICABILITY!$N:$N,$A60),1),IF($C60="Material",IFERROR(ROUND(1+SUMIFS(MATERIAL_FACTOR_APPLICABILITY!$D:$D,MATERIAL_FACTOR_APPLICABILITY!$A:$A,SUMIFS(MATERIAL_MASTER!$O:$O,MATERIAL_MASTER!$A:$A,$D60),MATERIAL_FACTOR_APPLICABILITY!$B:$B,"GeometryComplexity")*(SUMIFS(OBJECT_CONDITIONS!$W:$W,OBJECT_CONDITIONS!$A:$A,$A60)-1),3),1),"")))</f>
        <v/>
      </c>
      <c r="J60" s="22" t="str">
        <f>IF($C60="","",IF($C60="Work",IFERROR(IF(SUMIFS(WORK_TARIFF_RULES!$F:$F,WORK_TARIFF_RULES!$A:$A,$D60,WORK_TARIFF_RULES!$C:$C,$B60)&lt;&gt;"",SUMIFS(WORK_TARIFF_RULES!$F:$F,WORK_TARIFF_RULES!$A:$A,$D60,WORK_TARIFF_RULES!$C:$C,$B60),SUMIFS(TARIFF_PROFILES!$D:$D,TARIFF_PROFILES!$A:$A,$B60)),1),IF($C60="Material",IFERROR(IF(SUMIFS(MATERIAL_TARIFF_RULES!$E:$E,MATERIAL_TARIFF_RULES!$A:$A,$D60,MATERIAL_TARIFF_RULES!$C:$C,$B60)&lt;&gt;"",SUMIFS(MATERIAL_TARIFF_RULES!$E:$E,MATERIAL_TARIFF_RULES!$A:$A,$D60,MATERIAL_TARIFF_RULES!$C:$C,$B60),SUMIFS(TARIFF_PROFILES!$E:$E,TARIFF_PROFILES!$A:$A,$B60)),1),"")))</f>
        <v/>
      </c>
      <c r="K60" s="22" t="str">
        <f>IF($C60="","",IF($C60="Material",IFERROR(SUMIFS(MATERIAL_MASTER!$P:$P,MATERIAL_MASTER!$A:$A,$D60)*IF(SUMIFS(MATERIAL_TARIFF_RULES!$F:$F,MATERIAL_TARIFF_RULES!$A:$A,$D60,MATERIAL_TARIFF_RULES!$C:$C,$B60)="",SUMIFS(TARIFF_PROFILES!$H:$H,TARIFF_PROFILES!$A:$A,$B60),SUMIFS(MATERIAL_TARIFF_RULES!$F:$F,MATERIAL_TARIFF_RULES!$A:$A,$D60,MATERIAL_TARIFF_RULES!$C:$C,$B60)),1),1))</f>
        <v/>
      </c>
      <c r="L60" s="22" t="str">
        <f t="shared" si="4"/>
        <v/>
      </c>
      <c r="M60" s="22" t="str">
        <f t="shared" si="5"/>
        <v/>
      </c>
      <c r="N60" s="22" t="str">
        <f t="shared" si="6"/>
        <v/>
      </c>
      <c r="O60" s="4" t="str">
        <f t="shared" si="7"/>
        <v/>
      </c>
    </row>
    <row r="61" spans="1:15" x14ac:dyDescent="0.3">
      <c r="A61" s="4"/>
      <c r="B61" s="4"/>
      <c r="C61" s="4"/>
      <c r="D61" s="4"/>
      <c r="E61" s="4"/>
      <c r="F61" s="4" t="str">
        <f>IF($C61="","",IF($C61="Work",IFERROR(IF(SUMIFS(WORK_TARIFF_RULES!$G:$G,WORK_TARIFF_RULES!$A:$A,$D61,WORK_TARIFF_RULES!$C:$C,$B61)&lt;&gt;"",SUMIFS(WORK_TARIFF_RULES!$G:$G,WORK_TARIFF_RULES!$A:$A,$D61,WORK_TARIFF_RULES!$C:$C,$B61),SUMIFS(WORK_MASTER!$C:$C,WORK_MASTER!$A:$A,$D61)),""),IF($C61="Material",IFERROR(IF(SUMIFS(MATERIAL_TARIFF_RULES!$G:$G,MATERIAL_TARIFF_RULES!$A:$A,$D61,MATERIAL_TARIFF_RULES!$C:$C,$B61)&lt;&gt;"",SUMIFS(MATERIAL_TARIFF_RULES!$G:$G,MATERIAL_TARIFF_RULES!$A:$A,$D61,MATERIAL_TARIFF_RULES!$C:$C,$B61),SUMIFS(MATERIAL_VARIANTS!$J:$J,MATERIAL_VARIANTS!$A:$A,$E61)),""),"")))</f>
        <v/>
      </c>
      <c r="G61" s="22"/>
      <c r="H61" s="22" t="str">
        <f>IF($C61="","",IF($C61="Work",IFERROR(SUMIFS(WORK_MASTER!$I:$I,WORK_MASTER!$A:$A,$D61),""),IF($C61="Material",IFERROR(SUMIFS(MATERIAL_VARIANTS!$I:$I,MATERIAL_VARIANTS!$A:$A,$E61),""),"")))</f>
        <v/>
      </c>
      <c r="I61" s="22" t="str">
        <f>IF($C61="","",IF($C61="Work",IFERROR(SUMIFS(WORK_FACTOR_APPLICABILITY!$O:$O,WORK_FACTOR_APPLICABILITY!$A:$A,$D61,WORK_FACTOR_APPLICABILITY!$N:$N,$A61),1),IF($C61="Material",IFERROR(ROUND(1+SUMIFS(MATERIAL_FACTOR_APPLICABILITY!$D:$D,MATERIAL_FACTOR_APPLICABILITY!$A:$A,SUMIFS(MATERIAL_MASTER!$O:$O,MATERIAL_MASTER!$A:$A,$D61),MATERIAL_FACTOR_APPLICABILITY!$B:$B,"GeometryComplexity")*(SUMIFS(OBJECT_CONDITIONS!$W:$W,OBJECT_CONDITIONS!$A:$A,$A61)-1),3),1),"")))</f>
        <v/>
      </c>
      <c r="J61" s="22" t="str">
        <f>IF($C61="","",IF($C61="Work",IFERROR(IF(SUMIFS(WORK_TARIFF_RULES!$F:$F,WORK_TARIFF_RULES!$A:$A,$D61,WORK_TARIFF_RULES!$C:$C,$B61)&lt;&gt;"",SUMIFS(WORK_TARIFF_RULES!$F:$F,WORK_TARIFF_RULES!$A:$A,$D61,WORK_TARIFF_RULES!$C:$C,$B61),SUMIFS(TARIFF_PROFILES!$D:$D,TARIFF_PROFILES!$A:$A,$B61)),1),IF($C61="Material",IFERROR(IF(SUMIFS(MATERIAL_TARIFF_RULES!$E:$E,MATERIAL_TARIFF_RULES!$A:$A,$D61,MATERIAL_TARIFF_RULES!$C:$C,$B61)&lt;&gt;"",SUMIFS(MATERIAL_TARIFF_RULES!$E:$E,MATERIAL_TARIFF_RULES!$A:$A,$D61,MATERIAL_TARIFF_RULES!$C:$C,$B61),SUMIFS(TARIFF_PROFILES!$E:$E,TARIFF_PROFILES!$A:$A,$B61)),1),"")))</f>
        <v/>
      </c>
      <c r="K61" s="22" t="str">
        <f>IF($C61="","",IF($C61="Material",IFERROR(SUMIFS(MATERIAL_MASTER!$P:$P,MATERIAL_MASTER!$A:$A,$D61)*IF(SUMIFS(MATERIAL_TARIFF_RULES!$F:$F,MATERIAL_TARIFF_RULES!$A:$A,$D61,MATERIAL_TARIFF_RULES!$C:$C,$B61)="",SUMIFS(TARIFF_PROFILES!$H:$H,TARIFF_PROFILES!$A:$A,$B61),SUMIFS(MATERIAL_TARIFF_RULES!$F:$F,MATERIAL_TARIFF_RULES!$A:$A,$D61,MATERIAL_TARIFF_RULES!$C:$C,$B61)),1),1))</f>
        <v/>
      </c>
      <c r="L61" s="22" t="str">
        <f t="shared" si="4"/>
        <v/>
      </c>
      <c r="M61" s="22" t="str">
        <f t="shared" si="5"/>
        <v/>
      </c>
      <c r="N61" s="22" t="str">
        <f t="shared" si="6"/>
        <v/>
      </c>
      <c r="O61" s="4" t="str">
        <f t="shared" si="7"/>
        <v/>
      </c>
    </row>
    <row r="62" spans="1:15" x14ac:dyDescent="0.3">
      <c r="A62" s="4"/>
      <c r="B62" s="4"/>
      <c r="C62" s="4"/>
      <c r="D62" s="4"/>
      <c r="E62" s="4"/>
      <c r="F62" s="4" t="str">
        <f>IF($C62="","",IF($C62="Work",IFERROR(IF(SUMIFS(WORK_TARIFF_RULES!$G:$G,WORK_TARIFF_RULES!$A:$A,$D62,WORK_TARIFF_RULES!$C:$C,$B62)&lt;&gt;"",SUMIFS(WORK_TARIFF_RULES!$G:$G,WORK_TARIFF_RULES!$A:$A,$D62,WORK_TARIFF_RULES!$C:$C,$B62),SUMIFS(WORK_MASTER!$C:$C,WORK_MASTER!$A:$A,$D62)),""),IF($C62="Material",IFERROR(IF(SUMIFS(MATERIAL_TARIFF_RULES!$G:$G,MATERIAL_TARIFF_RULES!$A:$A,$D62,MATERIAL_TARIFF_RULES!$C:$C,$B62)&lt;&gt;"",SUMIFS(MATERIAL_TARIFF_RULES!$G:$G,MATERIAL_TARIFF_RULES!$A:$A,$D62,MATERIAL_TARIFF_RULES!$C:$C,$B62),SUMIFS(MATERIAL_VARIANTS!$J:$J,MATERIAL_VARIANTS!$A:$A,$E62)),""),"")))</f>
        <v/>
      </c>
      <c r="G62" s="22"/>
      <c r="H62" s="22" t="str">
        <f>IF($C62="","",IF($C62="Work",IFERROR(SUMIFS(WORK_MASTER!$I:$I,WORK_MASTER!$A:$A,$D62),""),IF($C62="Material",IFERROR(SUMIFS(MATERIAL_VARIANTS!$I:$I,MATERIAL_VARIANTS!$A:$A,$E62),""),"")))</f>
        <v/>
      </c>
      <c r="I62" s="22" t="str">
        <f>IF($C62="","",IF($C62="Work",IFERROR(SUMIFS(WORK_FACTOR_APPLICABILITY!$O:$O,WORK_FACTOR_APPLICABILITY!$A:$A,$D62,WORK_FACTOR_APPLICABILITY!$N:$N,$A62),1),IF($C62="Material",IFERROR(ROUND(1+SUMIFS(MATERIAL_FACTOR_APPLICABILITY!$D:$D,MATERIAL_FACTOR_APPLICABILITY!$A:$A,SUMIFS(MATERIAL_MASTER!$O:$O,MATERIAL_MASTER!$A:$A,$D62),MATERIAL_FACTOR_APPLICABILITY!$B:$B,"GeometryComplexity")*(SUMIFS(OBJECT_CONDITIONS!$W:$W,OBJECT_CONDITIONS!$A:$A,$A62)-1),3),1),"")))</f>
        <v/>
      </c>
      <c r="J62" s="22" t="str">
        <f>IF($C62="","",IF($C62="Work",IFERROR(IF(SUMIFS(WORK_TARIFF_RULES!$F:$F,WORK_TARIFF_RULES!$A:$A,$D62,WORK_TARIFF_RULES!$C:$C,$B62)&lt;&gt;"",SUMIFS(WORK_TARIFF_RULES!$F:$F,WORK_TARIFF_RULES!$A:$A,$D62,WORK_TARIFF_RULES!$C:$C,$B62),SUMIFS(TARIFF_PROFILES!$D:$D,TARIFF_PROFILES!$A:$A,$B62)),1),IF($C62="Material",IFERROR(IF(SUMIFS(MATERIAL_TARIFF_RULES!$E:$E,MATERIAL_TARIFF_RULES!$A:$A,$D62,MATERIAL_TARIFF_RULES!$C:$C,$B62)&lt;&gt;"",SUMIFS(MATERIAL_TARIFF_RULES!$E:$E,MATERIAL_TARIFF_RULES!$A:$A,$D62,MATERIAL_TARIFF_RULES!$C:$C,$B62),SUMIFS(TARIFF_PROFILES!$E:$E,TARIFF_PROFILES!$A:$A,$B62)),1),"")))</f>
        <v/>
      </c>
      <c r="K62" s="22" t="str">
        <f>IF($C62="","",IF($C62="Material",IFERROR(SUMIFS(MATERIAL_MASTER!$P:$P,MATERIAL_MASTER!$A:$A,$D62)*IF(SUMIFS(MATERIAL_TARIFF_RULES!$F:$F,MATERIAL_TARIFF_RULES!$A:$A,$D62,MATERIAL_TARIFF_RULES!$C:$C,$B62)="",SUMIFS(TARIFF_PROFILES!$H:$H,TARIFF_PROFILES!$A:$A,$B62),SUMIFS(MATERIAL_TARIFF_RULES!$F:$F,MATERIAL_TARIFF_RULES!$A:$A,$D62,MATERIAL_TARIFF_RULES!$C:$C,$B62)),1),1))</f>
        <v/>
      </c>
      <c r="L62" s="22" t="str">
        <f t="shared" si="4"/>
        <v/>
      </c>
      <c r="M62" s="22" t="str">
        <f t="shared" si="5"/>
        <v/>
      </c>
      <c r="N62" s="22" t="str">
        <f t="shared" si="6"/>
        <v/>
      </c>
      <c r="O62" s="4" t="str">
        <f t="shared" si="7"/>
        <v/>
      </c>
    </row>
    <row r="63" spans="1:15" x14ac:dyDescent="0.3">
      <c r="A63" s="4"/>
      <c r="B63" s="4"/>
      <c r="C63" s="4"/>
      <c r="D63" s="4"/>
      <c r="E63" s="4"/>
      <c r="F63" s="4" t="str">
        <f>IF($C63="","",IF($C63="Work",IFERROR(IF(SUMIFS(WORK_TARIFF_RULES!$G:$G,WORK_TARIFF_RULES!$A:$A,$D63,WORK_TARIFF_RULES!$C:$C,$B63)&lt;&gt;"",SUMIFS(WORK_TARIFF_RULES!$G:$G,WORK_TARIFF_RULES!$A:$A,$D63,WORK_TARIFF_RULES!$C:$C,$B63),SUMIFS(WORK_MASTER!$C:$C,WORK_MASTER!$A:$A,$D63)),""),IF($C63="Material",IFERROR(IF(SUMIFS(MATERIAL_TARIFF_RULES!$G:$G,MATERIAL_TARIFF_RULES!$A:$A,$D63,MATERIAL_TARIFF_RULES!$C:$C,$B63)&lt;&gt;"",SUMIFS(MATERIAL_TARIFF_RULES!$G:$G,MATERIAL_TARIFF_RULES!$A:$A,$D63,MATERIAL_TARIFF_RULES!$C:$C,$B63),SUMIFS(MATERIAL_VARIANTS!$J:$J,MATERIAL_VARIANTS!$A:$A,$E63)),""),"")))</f>
        <v/>
      </c>
      <c r="G63" s="22"/>
      <c r="H63" s="22" t="str">
        <f>IF($C63="","",IF($C63="Work",IFERROR(SUMIFS(WORK_MASTER!$I:$I,WORK_MASTER!$A:$A,$D63),""),IF($C63="Material",IFERROR(SUMIFS(MATERIAL_VARIANTS!$I:$I,MATERIAL_VARIANTS!$A:$A,$E63),""),"")))</f>
        <v/>
      </c>
      <c r="I63" s="22" t="str">
        <f>IF($C63="","",IF($C63="Work",IFERROR(SUMIFS(WORK_FACTOR_APPLICABILITY!$O:$O,WORK_FACTOR_APPLICABILITY!$A:$A,$D63,WORK_FACTOR_APPLICABILITY!$N:$N,$A63),1),IF($C63="Material",IFERROR(ROUND(1+SUMIFS(MATERIAL_FACTOR_APPLICABILITY!$D:$D,MATERIAL_FACTOR_APPLICABILITY!$A:$A,SUMIFS(MATERIAL_MASTER!$O:$O,MATERIAL_MASTER!$A:$A,$D63),MATERIAL_FACTOR_APPLICABILITY!$B:$B,"GeometryComplexity")*(SUMIFS(OBJECT_CONDITIONS!$W:$W,OBJECT_CONDITIONS!$A:$A,$A63)-1),3),1),"")))</f>
        <v/>
      </c>
      <c r="J63" s="22" t="str">
        <f>IF($C63="","",IF($C63="Work",IFERROR(IF(SUMIFS(WORK_TARIFF_RULES!$F:$F,WORK_TARIFF_RULES!$A:$A,$D63,WORK_TARIFF_RULES!$C:$C,$B63)&lt;&gt;"",SUMIFS(WORK_TARIFF_RULES!$F:$F,WORK_TARIFF_RULES!$A:$A,$D63,WORK_TARIFF_RULES!$C:$C,$B63),SUMIFS(TARIFF_PROFILES!$D:$D,TARIFF_PROFILES!$A:$A,$B63)),1),IF($C63="Material",IFERROR(IF(SUMIFS(MATERIAL_TARIFF_RULES!$E:$E,MATERIAL_TARIFF_RULES!$A:$A,$D63,MATERIAL_TARIFF_RULES!$C:$C,$B63)&lt;&gt;"",SUMIFS(MATERIAL_TARIFF_RULES!$E:$E,MATERIAL_TARIFF_RULES!$A:$A,$D63,MATERIAL_TARIFF_RULES!$C:$C,$B63),SUMIFS(TARIFF_PROFILES!$E:$E,TARIFF_PROFILES!$A:$A,$B63)),1),"")))</f>
        <v/>
      </c>
      <c r="K63" s="22" t="str">
        <f>IF($C63="","",IF($C63="Material",IFERROR(SUMIFS(MATERIAL_MASTER!$P:$P,MATERIAL_MASTER!$A:$A,$D63)*IF(SUMIFS(MATERIAL_TARIFF_RULES!$F:$F,MATERIAL_TARIFF_RULES!$A:$A,$D63,MATERIAL_TARIFF_RULES!$C:$C,$B63)="",SUMIFS(TARIFF_PROFILES!$H:$H,TARIFF_PROFILES!$A:$A,$B63),SUMIFS(MATERIAL_TARIFF_RULES!$F:$F,MATERIAL_TARIFF_RULES!$A:$A,$D63,MATERIAL_TARIFF_RULES!$C:$C,$B63)),1),1))</f>
        <v/>
      </c>
      <c r="L63" s="22" t="str">
        <f t="shared" si="4"/>
        <v/>
      </c>
      <c r="M63" s="22" t="str">
        <f t="shared" si="5"/>
        <v/>
      </c>
      <c r="N63" s="22" t="str">
        <f t="shared" si="6"/>
        <v/>
      </c>
      <c r="O63" s="4" t="str">
        <f t="shared" si="7"/>
        <v/>
      </c>
    </row>
    <row r="64" spans="1:15" x14ac:dyDescent="0.3">
      <c r="A64" s="4"/>
      <c r="B64" s="4"/>
      <c r="C64" s="4"/>
      <c r="D64" s="4"/>
      <c r="E64" s="4"/>
      <c r="F64" s="4" t="str">
        <f>IF($C64="","",IF($C64="Work",IFERROR(IF(SUMIFS(WORK_TARIFF_RULES!$G:$G,WORK_TARIFF_RULES!$A:$A,$D64,WORK_TARIFF_RULES!$C:$C,$B64)&lt;&gt;"",SUMIFS(WORK_TARIFF_RULES!$G:$G,WORK_TARIFF_RULES!$A:$A,$D64,WORK_TARIFF_RULES!$C:$C,$B64),SUMIFS(WORK_MASTER!$C:$C,WORK_MASTER!$A:$A,$D64)),""),IF($C64="Material",IFERROR(IF(SUMIFS(MATERIAL_TARIFF_RULES!$G:$G,MATERIAL_TARIFF_RULES!$A:$A,$D64,MATERIAL_TARIFF_RULES!$C:$C,$B64)&lt;&gt;"",SUMIFS(MATERIAL_TARIFF_RULES!$G:$G,MATERIAL_TARIFF_RULES!$A:$A,$D64,MATERIAL_TARIFF_RULES!$C:$C,$B64),SUMIFS(MATERIAL_VARIANTS!$J:$J,MATERIAL_VARIANTS!$A:$A,$E64)),""),"")))</f>
        <v/>
      </c>
      <c r="G64" s="22"/>
      <c r="H64" s="22" t="str">
        <f>IF($C64="","",IF($C64="Work",IFERROR(SUMIFS(WORK_MASTER!$I:$I,WORK_MASTER!$A:$A,$D64),""),IF($C64="Material",IFERROR(SUMIFS(MATERIAL_VARIANTS!$I:$I,MATERIAL_VARIANTS!$A:$A,$E64),""),"")))</f>
        <v/>
      </c>
      <c r="I64" s="22" t="str">
        <f>IF($C64="","",IF($C64="Work",IFERROR(SUMIFS(WORK_FACTOR_APPLICABILITY!$O:$O,WORK_FACTOR_APPLICABILITY!$A:$A,$D64,WORK_FACTOR_APPLICABILITY!$N:$N,$A64),1),IF($C64="Material",IFERROR(ROUND(1+SUMIFS(MATERIAL_FACTOR_APPLICABILITY!$D:$D,MATERIAL_FACTOR_APPLICABILITY!$A:$A,SUMIFS(MATERIAL_MASTER!$O:$O,MATERIAL_MASTER!$A:$A,$D64),MATERIAL_FACTOR_APPLICABILITY!$B:$B,"GeometryComplexity")*(SUMIFS(OBJECT_CONDITIONS!$W:$W,OBJECT_CONDITIONS!$A:$A,$A64)-1),3),1),"")))</f>
        <v/>
      </c>
      <c r="J64" s="22" t="str">
        <f>IF($C64="","",IF($C64="Work",IFERROR(IF(SUMIFS(WORK_TARIFF_RULES!$F:$F,WORK_TARIFF_RULES!$A:$A,$D64,WORK_TARIFF_RULES!$C:$C,$B64)&lt;&gt;"",SUMIFS(WORK_TARIFF_RULES!$F:$F,WORK_TARIFF_RULES!$A:$A,$D64,WORK_TARIFF_RULES!$C:$C,$B64),SUMIFS(TARIFF_PROFILES!$D:$D,TARIFF_PROFILES!$A:$A,$B64)),1),IF($C64="Material",IFERROR(IF(SUMIFS(MATERIAL_TARIFF_RULES!$E:$E,MATERIAL_TARIFF_RULES!$A:$A,$D64,MATERIAL_TARIFF_RULES!$C:$C,$B64)&lt;&gt;"",SUMIFS(MATERIAL_TARIFF_RULES!$E:$E,MATERIAL_TARIFF_RULES!$A:$A,$D64,MATERIAL_TARIFF_RULES!$C:$C,$B64),SUMIFS(TARIFF_PROFILES!$E:$E,TARIFF_PROFILES!$A:$A,$B64)),1),"")))</f>
        <v/>
      </c>
      <c r="K64" s="22" t="str">
        <f>IF($C64="","",IF($C64="Material",IFERROR(SUMIFS(MATERIAL_MASTER!$P:$P,MATERIAL_MASTER!$A:$A,$D64)*IF(SUMIFS(MATERIAL_TARIFF_RULES!$F:$F,MATERIAL_TARIFF_RULES!$A:$A,$D64,MATERIAL_TARIFF_RULES!$C:$C,$B64)="",SUMIFS(TARIFF_PROFILES!$H:$H,TARIFF_PROFILES!$A:$A,$B64),SUMIFS(MATERIAL_TARIFF_RULES!$F:$F,MATERIAL_TARIFF_RULES!$A:$A,$D64,MATERIAL_TARIFF_RULES!$C:$C,$B64)),1),1))</f>
        <v/>
      </c>
      <c r="L64" s="22" t="str">
        <f t="shared" si="4"/>
        <v/>
      </c>
      <c r="M64" s="22" t="str">
        <f t="shared" si="5"/>
        <v/>
      </c>
      <c r="N64" s="22" t="str">
        <f t="shared" si="6"/>
        <v/>
      </c>
      <c r="O64" s="4" t="str">
        <f t="shared" si="7"/>
        <v/>
      </c>
    </row>
    <row r="65" spans="1:15" x14ac:dyDescent="0.3">
      <c r="A65" s="4"/>
      <c r="B65" s="4"/>
      <c r="C65" s="4"/>
      <c r="D65" s="4"/>
      <c r="E65" s="4"/>
      <c r="F65" s="4" t="str">
        <f>IF($C65="","",IF($C65="Work",IFERROR(IF(SUMIFS(WORK_TARIFF_RULES!$G:$G,WORK_TARIFF_RULES!$A:$A,$D65,WORK_TARIFF_RULES!$C:$C,$B65)&lt;&gt;"",SUMIFS(WORK_TARIFF_RULES!$G:$G,WORK_TARIFF_RULES!$A:$A,$D65,WORK_TARIFF_RULES!$C:$C,$B65),SUMIFS(WORK_MASTER!$C:$C,WORK_MASTER!$A:$A,$D65)),""),IF($C65="Material",IFERROR(IF(SUMIFS(MATERIAL_TARIFF_RULES!$G:$G,MATERIAL_TARIFF_RULES!$A:$A,$D65,MATERIAL_TARIFF_RULES!$C:$C,$B65)&lt;&gt;"",SUMIFS(MATERIAL_TARIFF_RULES!$G:$G,MATERIAL_TARIFF_RULES!$A:$A,$D65,MATERIAL_TARIFF_RULES!$C:$C,$B65),SUMIFS(MATERIAL_VARIANTS!$J:$J,MATERIAL_VARIANTS!$A:$A,$E65)),""),"")))</f>
        <v/>
      </c>
      <c r="G65" s="22"/>
      <c r="H65" s="22" t="str">
        <f>IF($C65="","",IF($C65="Work",IFERROR(SUMIFS(WORK_MASTER!$I:$I,WORK_MASTER!$A:$A,$D65),""),IF($C65="Material",IFERROR(SUMIFS(MATERIAL_VARIANTS!$I:$I,MATERIAL_VARIANTS!$A:$A,$E65),""),"")))</f>
        <v/>
      </c>
      <c r="I65" s="22" t="str">
        <f>IF($C65="","",IF($C65="Work",IFERROR(SUMIFS(WORK_FACTOR_APPLICABILITY!$O:$O,WORK_FACTOR_APPLICABILITY!$A:$A,$D65,WORK_FACTOR_APPLICABILITY!$N:$N,$A65),1),IF($C65="Material",IFERROR(ROUND(1+SUMIFS(MATERIAL_FACTOR_APPLICABILITY!$D:$D,MATERIAL_FACTOR_APPLICABILITY!$A:$A,SUMIFS(MATERIAL_MASTER!$O:$O,MATERIAL_MASTER!$A:$A,$D65),MATERIAL_FACTOR_APPLICABILITY!$B:$B,"GeometryComplexity")*(SUMIFS(OBJECT_CONDITIONS!$W:$W,OBJECT_CONDITIONS!$A:$A,$A65)-1),3),1),"")))</f>
        <v/>
      </c>
      <c r="J65" s="22" t="str">
        <f>IF($C65="","",IF($C65="Work",IFERROR(IF(SUMIFS(WORK_TARIFF_RULES!$F:$F,WORK_TARIFF_RULES!$A:$A,$D65,WORK_TARIFF_RULES!$C:$C,$B65)&lt;&gt;"",SUMIFS(WORK_TARIFF_RULES!$F:$F,WORK_TARIFF_RULES!$A:$A,$D65,WORK_TARIFF_RULES!$C:$C,$B65),SUMIFS(TARIFF_PROFILES!$D:$D,TARIFF_PROFILES!$A:$A,$B65)),1),IF($C65="Material",IFERROR(IF(SUMIFS(MATERIAL_TARIFF_RULES!$E:$E,MATERIAL_TARIFF_RULES!$A:$A,$D65,MATERIAL_TARIFF_RULES!$C:$C,$B65)&lt;&gt;"",SUMIFS(MATERIAL_TARIFF_RULES!$E:$E,MATERIAL_TARIFF_RULES!$A:$A,$D65,MATERIAL_TARIFF_RULES!$C:$C,$B65),SUMIFS(TARIFF_PROFILES!$E:$E,TARIFF_PROFILES!$A:$A,$B65)),1),"")))</f>
        <v/>
      </c>
      <c r="K65" s="22" t="str">
        <f>IF($C65="","",IF($C65="Material",IFERROR(SUMIFS(MATERIAL_MASTER!$P:$P,MATERIAL_MASTER!$A:$A,$D65)*IF(SUMIFS(MATERIAL_TARIFF_RULES!$F:$F,MATERIAL_TARIFF_RULES!$A:$A,$D65,MATERIAL_TARIFF_RULES!$C:$C,$B65)="",SUMIFS(TARIFF_PROFILES!$H:$H,TARIFF_PROFILES!$A:$A,$B65),SUMIFS(MATERIAL_TARIFF_RULES!$F:$F,MATERIAL_TARIFF_RULES!$A:$A,$D65,MATERIAL_TARIFF_RULES!$C:$C,$B65)),1),1))</f>
        <v/>
      </c>
      <c r="L65" s="22" t="str">
        <f t="shared" si="4"/>
        <v/>
      </c>
      <c r="M65" s="22" t="str">
        <f t="shared" si="5"/>
        <v/>
      </c>
      <c r="N65" s="22" t="str">
        <f t="shared" si="6"/>
        <v/>
      </c>
      <c r="O65" s="4" t="str">
        <f t="shared" si="7"/>
        <v/>
      </c>
    </row>
    <row r="66" spans="1:15" x14ac:dyDescent="0.3">
      <c r="A66" s="4"/>
      <c r="B66" s="4"/>
      <c r="C66" s="4"/>
      <c r="D66" s="4"/>
      <c r="E66" s="4"/>
      <c r="F66" s="4" t="str">
        <f>IF($C66="","",IF($C66="Work",IFERROR(IF(SUMIFS(WORK_TARIFF_RULES!$G:$G,WORK_TARIFF_RULES!$A:$A,$D66,WORK_TARIFF_RULES!$C:$C,$B66)&lt;&gt;"",SUMIFS(WORK_TARIFF_RULES!$G:$G,WORK_TARIFF_RULES!$A:$A,$D66,WORK_TARIFF_RULES!$C:$C,$B66),SUMIFS(WORK_MASTER!$C:$C,WORK_MASTER!$A:$A,$D66)),""),IF($C66="Material",IFERROR(IF(SUMIFS(MATERIAL_TARIFF_RULES!$G:$G,MATERIAL_TARIFF_RULES!$A:$A,$D66,MATERIAL_TARIFF_RULES!$C:$C,$B66)&lt;&gt;"",SUMIFS(MATERIAL_TARIFF_RULES!$G:$G,MATERIAL_TARIFF_RULES!$A:$A,$D66,MATERIAL_TARIFF_RULES!$C:$C,$B66),SUMIFS(MATERIAL_VARIANTS!$J:$J,MATERIAL_VARIANTS!$A:$A,$E66)),""),"")))</f>
        <v/>
      </c>
      <c r="G66" s="22"/>
      <c r="H66" s="22" t="str">
        <f>IF($C66="","",IF($C66="Work",IFERROR(SUMIFS(WORK_MASTER!$I:$I,WORK_MASTER!$A:$A,$D66),""),IF($C66="Material",IFERROR(SUMIFS(MATERIAL_VARIANTS!$I:$I,MATERIAL_VARIANTS!$A:$A,$E66),""),"")))</f>
        <v/>
      </c>
      <c r="I66" s="22" t="str">
        <f>IF($C66="","",IF($C66="Work",IFERROR(SUMIFS(WORK_FACTOR_APPLICABILITY!$O:$O,WORK_FACTOR_APPLICABILITY!$A:$A,$D66,WORK_FACTOR_APPLICABILITY!$N:$N,$A66),1),IF($C66="Material",IFERROR(ROUND(1+SUMIFS(MATERIAL_FACTOR_APPLICABILITY!$D:$D,MATERIAL_FACTOR_APPLICABILITY!$A:$A,SUMIFS(MATERIAL_MASTER!$O:$O,MATERIAL_MASTER!$A:$A,$D66),MATERIAL_FACTOR_APPLICABILITY!$B:$B,"GeometryComplexity")*(SUMIFS(OBJECT_CONDITIONS!$W:$W,OBJECT_CONDITIONS!$A:$A,$A66)-1),3),1),"")))</f>
        <v/>
      </c>
      <c r="J66" s="22" t="str">
        <f>IF($C66="","",IF($C66="Work",IFERROR(IF(SUMIFS(WORK_TARIFF_RULES!$F:$F,WORK_TARIFF_RULES!$A:$A,$D66,WORK_TARIFF_RULES!$C:$C,$B66)&lt;&gt;"",SUMIFS(WORK_TARIFF_RULES!$F:$F,WORK_TARIFF_RULES!$A:$A,$D66,WORK_TARIFF_RULES!$C:$C,$B66),SUMIFS(TARIFF_PROFILES!$D:$D,TARIFF_PROFILES!$A:$A,$B66)),1),IF($C66="Material",IFERROR(IF(SUMIFS(MATERIAL_TARIFF_RULES!$E:$E,MATERIAL_TARIFF_RULES!$A:$A,$D66,MATERIAL_TARIFF_RULES!$C:$C,$B66)&lt;&gt;"",SUMIFS(MATERIAL_TARIFF_RULES!$E:$E,MATERIAL_TARIFF_RULES!$A:$A,$D66,MATERIAL_TARIFF_RULES!$C:$C,$B66),SUMIFS(TARIFF_PROFILES!$E:$E,TARIFF_PROFILES!$A:$A,$B66)),1),"")))</f>
        <v/>
      </c>
      <c r="K66" s="22" t="str">
        <f>IF($C66="","",IF($C66="Material",IFERROR(SUMIFS(MATERIAL_MASTER!$P:$P,MATERIAL_MASTER!$A:$A,$D66)*IF(SUMIFS(MATERIAL_TARIFF_RULES!$F:$F,MATERIAL_TARIFF_RULES!$A:$A,$D66,MATERIAL_TARIFF_RULES!$C:$C,$B66)="",SUMIFS(TARIFF_PROFILES!$H:$H,TARIFF_PROFILES!$A:$A,$B66),SUMIFS(MATERIAL_TARIFF_RULES!$F:$F,MATERIAL_TARIFF_RULES!$A:$A,$D66,MATERIAL_TARIFF_RULES!$C:$C,$B66)),1),1))</f>
        <v/>
      </c>
      <c r="L66" s="22" t="str">
        <f t="shared" ref="L66:L100" si="8">IF($C66="","",IF($C66="Work",N($H66)*N($I66)*N($J66),IF($C66="Material",N($H66)*N($I66)*N($J66),"")))</f>
        <v/>
      </c>
      <c r="M66" s="22" t="str">
        <f t="shared" ref="M66:M100" si="9">IF($C66="","",IF($C66="Material",N($G66)*N($K66),N($G66)))</f>
        <v/>
      </c>
      <c r="N66" s="22" t="str">
        <f t="shared" ref="N66:N100" si="10">IF($C66="","",N($L66)*N($M66))</f>
        <v/>
      </c>
      <c r="O66" s="4" t="str">
        <f t="shared" ref="O66:O100" si="11">IF($C66="","",IF($C66="Work","Тариф влияет на способ/детализацию и коэффициент работ",IF($C66="Material","Тариф влияет на вариант, качество, запас и показ материала","")))</f>
        <v/>
      </c>
    </row>
    <row r="67" spans="1:15" x14ac:dyDescent="0.3">
      <c r="A67" s="4"/>
      <c r="B67" s="4"/>
      <c r="C67" s="4"/>
      <c r="D67" s="4"/>
      <c r="E67" s="4"/>
      <c r="F67" s="4" t="str">
        <f>IF($C67="","",IF($C67="Work",IFERROR(IF(SUMIFS(WORK_TARIFF_RULES!$G:$G,WORK_TARIFF_RULES!$A:$A,$D67,WORK_TARIFF_RULES!$C:$C,$B67)&lt;&gt;"",SUMIFS(WORK_TARIFF_RULES!$G:$G,WORK_TARIFF_RULES!$A:$A,$D67,WORK_TARIFF_RULES!$C:$C,$B67),SUMIFS(WORK_MASTER!$C:$C,WORK_MASTER!$A:$A,$D67)),""),IF($C67="Material",IFERROR(IF(SUMIFS(MATERIAL_TARIFF_RULES!$G:$G,MATERIAL_TARIFF_RULES!$A:$A,$D67,MATERIAL_TARIFF_RULES!$C:$C,$B67)&lt;&gt;"",SUMIFS(MATERIAL_TARIFF_RULES!$G:$G,MATERIAL_TARIFF_RULES!$A:$A,$D67,MATERIAL_TARIFF_RULES!$C:$C,$B67),SUMIFS(MATERIAL_VARIANTS!$J:$J,MATERIAL_VARIANTS!$A:$A,$E67)),""),"")))</f>
        <v/>
      </c>
      <c r="G67" s="22"/>
      <c r="H67" s="22" t="str">
        <f>IF($C67="","",IF($C67="Work",IFERROR(SUMIFS(WORK_MASTER!$I:$I,WORK_MASTER!$A:$A,$D67),""),IF($C67="Material",IFERROR(SUMIFS(MATERIAL_VARIANTS!$I:$I,MATERIAL_VARIANTS!$A:$A,$E67),""),"")))</f>
        <v/>
      </c>
      <c r="I67" s="22" t="str">
        <f>IF($C67="","",IF($C67="Work",IFERROR(SUMIFS(WORK_FACTOR_APPLICABILITY!$O:$O,WORK_FACTOR_APPLICABILITY!$A:$A,$D67,WORK_FACTOR_APPLICABILITY!$N:$N,$A67),1),IF($C67="Material",IFERROR(ROUND(1+SUMIFS(MATERIAL_FACTOR_APPLICABILITY!$D:$D,MATERIAL_FACTOR_APPLICABILITY!$A:$A,SUMIFS(MATERIAL_MASTER!$O:$O,MATERIAL_MASTER!$A:$A,$D67),MATERIAL_FACTOR_APPLICABILITY!$B:$B,"GeometryComplexity")*(SUMIFS(OBJECT_CONDITIONS!$W:$W,OBJECT_CONDITIONS!$A:$A,$A67)-1),3),1),"")))</f>
        <v/>
      </c>
      <c r="J67" s="22" t="str">
        <f>IF($C67="","",IF($C67="Work",IFERROR(IF(SUMIFS(WORK_TARIFF_RULES!$F:$F,WORK_TARIFF_RULES!$A:$A,$D67,WORK_TARIFF_RULES!$C:$C,$B67)&lt;&gt;"",SUMIFS(WORK_TARIFF_RULES!$F:$F,WORK_TARIFF_RULES!$A:$A,$D67,WORK_TARIFF_RULES!$C:$C,$B67),SUMIFS(TARIFF_PROFILES!$D:$D,TARIFF_PROFILES!$A:$A,$B67)),1),IF($C67="Material",IFERROR(IF(SUMIFS(MATERIAL_TARIFF_RULES!$E:$E,MATERIAL_TARIFF_RULES!$A:$A,$D67,MATERIAL_TARIFF_RULES!$C:$C,$B67)&lt;&gt;"",SUMIFS(MATERIAL_TARIFF_RULES!$E:$E,MATERIAL_TARIFF_RULES!$A:$A,$D67,MATERIAL_TARIFF_RULES!$C:$C,$B67),SUMIFS(TARIFF_PROFILES!$E:$E,TARIFF_PROFILES!$A:$A,$B67)),1),"")))</f>
        <v/>
      </c>
      <c r="K67" s="22" t="str">
        <f>IF($C67="","",IF($C67="Material",IFERROR(SUMIFS(MATERIAL_MASTER!$P:$P,MATERIAL_MASTER!$A:$A,$D67)*IF(SUMIFS(MATERIAL_TARIFF_RULES!$F:$F,MATERIAL_TARIFF_RULES!$A:$A,$D67,MATERIAL_TARIFF_RULES!$C:$C,$B67)="",SUMIFS(TARIFF_PROFILES!$H:$H,TARIFF_PROFILES!$A:$A,$B67),SUMIFS(MATERIAL_TARIFF_RULES!$F:$F,MATERIAL_TARIFF_RULES!$A:$A,$D67,MATERIAL_TARIFF_RULES!$C:$C,$B67)),1),1))</f>
        <v/>
      </c>
      <c r="L67" s="22" t="str">
        <f t="shared" si="8"/>
        <v/>
      </c>
      <c r="M67" s="22" t="str">
        <f t="shared" si="9"/>
        <v/>
      </c>
      <c r="N67" s="22" t="str">
        <f t="shared" si="10"/>
        <v/>
      </c>
      <c r="O67" s="4" t="str">
        <f t="shared" si="11"/>
        <v/>
      </c>
    </row>
    <row r="68" spans="1:15" x14ac:dyDescent="0.3">
      <c r="A68" s="4"/>
      <c r="B68" s="4"/>
      <c r="C68" s="4"/>
      <c r="D68" s="4"/>
      <c r="E68" s="4"/>
      <c r="F68" s="4" t="str">
        <f>IF($C68="","",IF($C68="Work",IFERROR(IF(SUMIFS(WORK_TARIFF_RULES!$G:$G,WORK_TARIFF_RULES!$A:$A,$D68,WORK_TARIFF_RULES!$C:$C,$B68)&lt;&gt;"",SUMIFS(WORK_TARIFF_RULES!$G:$G,WORK_TARIFF_RULES!$A:$A,$D68,WORK_TARIFF_RULES!$C:$C,$B68),SUMIFS(WORK_MASTER!$C:$C,WORK_MASTER!$A:$A,$D68)),""),IF($C68="Material",IFERROR(IF(SUMIFS(MATERIAL_TARIFF_RULES!$G:$G,MATERIAL_TARIFF_RULES!$A:$A,$D68,MATERIAL_TARIFF_RULES!$C:$C,$B68)&lt;&gt;"",SUMIFS(MATERIAL_TARIFF_RULES!$G:$G,MATERIAL_TARIFF_RULES!$A:$A,$D68,MATERIAL_TARIFF_RULES!$C:$C,$B68),SUMIFS(MATERIAL_VARIANTS!$J:$J,MATERIAL_VARIANTS!$A:$A,$E68)),""),"")))</f>
        <v/>
      </c>
      <c r="G68" s="22"/>
      <c r="H68" s="22" t="str">
        <f>IF($C68="","",IF($C68="Work",IFERROR(SUMIFS(WORK_MASTER!$I:$I,WORK_MASTER!$A:$A,$D68),""),IF($C68="Material",IFERROR(SUMIFS(MATERIAL_VARIANTS!$I:$I,MATERIAL_VARIANTS!$A:$A,$E68),""),"")))</f>
        <v/>
      </c>
      <c r="I68" s="22" t="str">
        <f>IF($C68="","",IF($C68="Work",IFERROR(SUMIFS(WORK_FACTOR_APPLICABILITY!$O:$O,WORK_FACTOR_APPLICABILITY!$A:$A,$D68,WORK_FACTOR_APPLICABILITY!$N:$N,$A68),1),IF($C68="Material",IFERROR(ROUND(1+SUMIFS(MATERIAL_FACTOR_APPLICABILITY!$D:$D,MATERIAL_FACTOR_APPLICABILITY!$A:$A,SUMIFS(MATERIAL_MASTER!$O:$O,MATERIAL_MASTER!$A:$A,$D68),MATERIAL_FACTOR_APPLICABILITY!$B:$B,"GeometryComplexity")*(SUMIFS(OBJECT_CONDITIONS!$W:$W,OBJECT_CONDITIONS!$A:$A,$A68)-1),3),1),"")))</f>
        <v/>
      </c>
      <c r="J68" s="22" t="str">
        <f>IF($C68="","",IF($C68="Work",IFERROR(IF(SUMIFS(WORK_TARIFF_RULES!$F:$F,WORK_TARIFF_RULES!$A:$A,$D68,WORK_TARIFF_RULES!$C:$C,$B68)&lt;&gt;"",SUMIFS(WORK_TARIFF_RULES!$F:$F,WORK_TARIFF_RULES!$A:$A,$D68,WORK_TARIFF_RULES!$C:$C,$B68),SUMIFS(TARIFF_PROFILES!$D:$D,TARIFF_PROFILES!$A:$A,$B68)),1),IF($C68="Material",IFERROR(IF(SUMIFS(MATERIAL_TARIFF_RULES!$E:$E,MATERIAL_TARIFF_RULES!$A:$A,$D68,MATERIAL_TARIFF_RULES!$C:$C,$B68)&lt;&gt;"",SUMIFS(MATERIAL_TARIFF_RULES!$E:$E,MATERIAL_TARIFF_RULES!$A:$A,$D68,MATERIAL_TARIFF_RULES!$C:$C,$B68),SUMIFS(TARIFF_PROFILES!$E:$E,TARIFF_PROFILES!$A:$A,$B68)),1),"")))</f>
        <v/>
      </c>
      <c r="K68" s="22" t="str">
        <f>IF($C68="","",IF($C68="Material",IFERROR(SUMIFS(MATERIAL_MASTER!$P:$P,MATERIAL_MASTER!$A:$A,$D68)*IF(SUMIFS(MATERIAL_TARIFF_RULES!$F:$F,MATERIAL_TARIFF_RULES!$A:$A,$D68,MATERIAL_TARIFF_RULES!$C:$C,$B68)="",SUMIFS(TARIFF_PROFILES!$H:$H,TARIFF_PROFILES!$A:$A,$B68),SUMIFS(MATERIAL_TARIFF_RULES!$F:$F,MATERIAL_TARIFF_RULES!$A:$A,$D68,MATERIAL_TARIFF_RULES!$C:$C,$B68)),1),1))</f>
        <v/>
      </c>
      <c r="L68" s="22" t="str">
        <f t="shared" si="8"/>
        <v/>
      </c>
      <c r="M68" s="22" t="str">
        <f t="shared" si="9"/>
        <v/>
      </c>
      <c r="N68" s="22" t="str">
        <f t="shared" si="10"/>
        <v/>
      </c>
      <c r="O68" s="4" t="str">
        <f t="shared" si="11"/>
        <v/>
      </c>
    </row>
    <row r="69" spans="1:15" x14ac:dyDescent="0.3">
      <c r="A69" s="4"/>
      <c r="B69" s="4"/>
      <c r="C69" s="4"/>
      <c r="D69" s="4"/>
      <c r="E69" s="4"/>
      <c r="F69" s="4" t="str">
        <f>IF($C69="","",IF($C69="Work",IFERROR(IF(SUMIFS(WORK_TARIFF_RULES!$G:$G,WORK_TARIFF_RULES!$A:$A,$D69,WORK_TARIFF_RULES!$C:$C,$B69)&lt;&gt;"",SUMIFS(WORK_TARIFF_RULES!$G:$G,WORK_TARIFF_RULES!$A:$A,$D69,WORK_TARIFF_RULES!$C:$C,$B69),SUMIFS(WORK_MASTER!$C:$C,WORK_MASTER!$A:$A,$D69)),""),IF($C69="Material",IFERROR(IF(SUMIFS(MATERIAL_TARIFF_RULES!$G:$G,MATERIAL_TARIFF_RULES!$A:$A,$D69,MATERIAL_TARIFF_RULES!$C:$C,$B69)&lt;&gt;"",SUMIFS(MATERIAL_TARIFF_RULES!$G:$G,MATERIAL_TARIFF_RULES!$A:$A,$D69,MATERIAL_TARIFF_RULES!$C:$C,$B69),SUMIFS(MATERIAL_VARIANTS!$J:$J,MATERIAL_VARIANTS!$A:$A,$E69)),""),"")))</f>
        <v/>
      </c>
      <c r="G69" s="22"/>
      <c r="H69" s="22" t="str">
        <f>IF($C69="","",IF($C69="Work",IFERROR(SUMIFS(WORK_MASTER!$I:$I,WORK_MASTER!$A:$A,$D69),""),IF($C69="Material",IFERROR(SUMIFS(MATERIAL_VARIANTS!$I:$I,MATERIAL_VARIANTS!$A:$A,$E69),""),"")))</f>
        <v/>
      </c>
      <c r="I69" s="22" t="str">
        <f>IF($C69="","",IF($C69="Work",IFERROR(SUMIFS(WORK_FACTOR_APPLICABILITY!$O:$O,WORK_FACTOR_APPLICABILITY!$A:$A,$D69,WORK_FACTOR_APPLICABILITY!$N:$N,$A69),1),IF($C69="Material",IFERROR(ROUND(1+SUMIFS(MATERIAL_FACTOR_APPLICABILITY!$D:$D,MATERIAL_FACTOR_APPLICABILITY!$A:$A,SUMIFS(MATERIAL_MASTER!$O:$O,MATERIAL_MASTER!$A:$A,$D69),MATERIAL_FACTOR_APPLICABILITY!$B:$B,"GeometryComplexity")*(SUMIFS(OBJECT_CONDITIONS!$W:$W,OBJECT_CONDITIONS!$A:$A,$A69)-1),3),1),"")))</f>
        <v/>
      </c>
      <c r="J69" s="22" t="str">
        <f>IF($C69="","",IF($C69="Work",IFERROR(IF(SUMIFS(WORK_TARIFF_RULES!$F:$F,WORK_TARIFF_RULES!$A:$A,$D69,WORK_TARIFF_RULES!$C:$C,$B69)&lt;&gt;"",SUMIFS(WORK_TARIFF_RULES!$F:$F,WORK_TARIFF_RULES!$A:$A,$D69,WORK_TARIFF_RULES!$C:$C,$B69),SUMIFS(TARIFF_PROFILES!$D:$D,TARIFF_PROFILES!$A:$A,$B69)),1),IF($C69="Material",IFERROR(IF(SUMIFS(MATERIAL_TARIFF_RULES!$E:$E,MATERIAL_TARIFF_RULES!$A:$A,$D69,MATERIAL_TARIFF_RULES!$C:$C,$B69)&lt;&gt;"",SUMIFS(MATERIAL_TARIFF_RULES!$E:$E,MATERIAL_TARIFF_RULES!$A:$A,$D69,MATERIAL_TARIFF_RULES!$C:$C,$B69),SUMIFS(TARIFF_PROFILES!$E:$E,TARIFF_PROFILES!$A:$A,$B69)),1),"")))</f>
        <v/>
      </c>
      <c r="K69" s="22" t="str">
        <f>IF($C69="","",IF($C69="Material",IFERROR(SUMIFS(MATERIAL_MASTER!$P:$P,MATERIAL_MASTER!$A:$A,$D69)*IF(SUMIFS(MATERIAL_TARIFF_RULES!$F:$F,MATERIAL_TARIFF_RULES!$A:$A,$D69,MATERIAL_TARIFF_RULES!$C:$C,$B69)="",SUMIFS(TARIFF_PROFILES!$H:$H,TARIFF_PROFILES!$A:$A,$B69),SUMIFS(MATERIAL_TARIFF_RULES!$F:$F,MATERIAL_TARIFF_RULES!$A:$A,$D69,MATERIAL_TARIFF_RULES!$C:$C,$B69)),1),1))</f>
        <v/>
      </c>
      <c r="L69" s="22" t="str">
        <f t="shared" si="8"/>
        <v/>
      </c>
      <c r="M69" s="22" t="str">
        <f t="shared" si="9"/>
        <v/>
      </c>
      <c r="N69" s="22" t="str">
        <f t="shared" si="10"/>
        <v/>
      </c>
      <c r="O69" s="4" t="str">
        <f t="shared" si="11"/>
        <v/>
      </c>
    </row>
    <row r="70" spans="1:15" x14ac:dyDescent="0.3">
      <c r="A70" s="4"/>
      <c r="B70" s="4"/>
      <c r="C70" s="4"/>
      <c r="D70" s="4"/>
      <c r="E70" s="4"/>
      <c r="F70" s="4" t="str">
        <f>IF($C70="","",IF($C70="Work",IFERROR(IF(SUMIFS(WORK_TARIFF_RULES!$G:$G,WORK_TARIFF_RULES!$A:$A,$D70,WORK_TARIFF_RULES!$C:$C,$B70)&lt;&gt;"",SUMIFS(WORK_TARIFF_RULES!$G:$G,WORK_TARIFF_RULES!$A:$A,$D70,WORK_TARIFF_RULES!$C:$C,$B70),SUMIFS(WORK_MASTER!$C:$C,WORK_MASTER!$A:$A,$D70)),""),IF($C70="Material",IFERROR(IF(SUMIFS(MATERIAL_TARIFF_RULES!$G:$G,MATERIAL_TARIFF_RULES!$A:$A,$D70,MATERIAL_TARIFF_RULES!$C:$C,$B70)&lt;&gt;"",SUMIFS(MATERIAL_TARIFF_RULES!$G:$G,MATERIAL_TARIFF_RULES!$A:$A,$D70,MATERIAL_TARIFF_RULES!$C:$C,$B70),SUMIFS(MATERIAL_VARIANTS!$J:$J,MATERIAL_VARIANTS!$A:$A,$E70)),""),"")))</f>
        <v/>
      </c>
      <c r="G70" s="22"/>
      <c r="H70" s="22" t="str">
        <f>IF($C70="","",IF($C70="Work",IFERROR(SUMIFS(WORK_MASTER!$I:$I,WORK_MASTER!$A:$A,$D70),""),IF($C70="Material",IFERROR(SUMIFS(MATERIAL_VARIANTS!$I:$I,MATERIAL_VARIANTS!$A:$A,$E70),""),"")))</f>
        <v/>
      </c>
      <c r="I70" s="22" t="str">
        <f>IF($C70="","",IF($C70="Work",IFERROR(SUMIFS(WORK_FACTOR_APPLICABILITY!$O:$O,WORK_FACTOR_APPLICABILITY!$A:$A,$D70,WORK_FACTOR_APPLICABILITY!$N:$N,$A70),1),IF($C70="Material",IFERROR(ROUND(1+SUMIFS(MATERIAL_FACTOR_APPLICABILITY!$D:$D,MATERIAL_FACTOR_APPLICABILITY!$A:$A,SUMIFS(MATERIAL_MASTER!$O:$O,MATERIAL_MASTER!$A:$A,$D70),MATERIAL_FACTOR_APPLICABILITY!$B:$B,"GeometryComplexity")*(SUMIFS(OBJECT_CONDITIONS!$W:$W,OBJECT_CONDITIONS!$A:$A,$A70)-1),3),1),"")))</f>
        <v/>
      </c>
      <c r="J70" s="22" t="str">
        <f>IF($C70="","",IF($C70="Work",IFERROR(IF(SUMIFS(WORK_TARIFF_RULES!$F:$F,WORK_TARIFF_RULES!$A:$A,$D70,WORK_TARIFF_RULES!$C:$C,$B70)&lt;&gt;"",SUMIFS(WORK_TARIFF_RULES!$F:$F,WORK_TARIFF_RULES!$A:$A,$D70,WORK_TARIFF_RULES!$C:$C,$B70),SUMIFS(TARIFF_PROFILES!$D:$D,TARIFF_PROFILES!$A:$A,$B70)),1),IF($C70="Material",IFERROR(IF(SUMIFS(MATERIAL_TARIFF_RULES!$E:$E,MATERIAL_TARIFF_RULES!$A:$A,$D70,MATERIAL_TARIFF_RULES!$C:$C,$B70)&lt;&gt;"",SUMIFS(MATERIAL_TARIFF_RULES!$E:$E,MATERIAL_TARIFF_RULES!$A:$A,$D70,MATERIAL_TARIFF_RULES!$C:$C,$B70),SUMIFS(TARIFF_PROFILES!$E:$E,TARIFF_PROFILES!$A:$A,$B70)),1),"")))</f>
        <v/>
      </c>
      <c r="K70" s="22" t="str">
        <f>IF($C70="","",IF($C70="Material",IFERROR(SUMIFS(MATERIAL_MASTER!$P:$P,MATERIAL_MASTER!$A:$A,$D70)*IF(SUMIFS(MATERIAL_TARIFF_RULES!$F:$F,MATERIAL_TARIFF_RULES!$A:$A,$D70,MATERIAL_TARIFF_RULES!$C:$C,$B70)="",SUMIFS(TARIFF_PROFILES!$H:$H,TARIFF_PROFILES!$A:$A,$B70),SUMIFS(MATERIAL_TARIFF_RULES!$F:$F,MATERIAL_TARIFF_RULES!$A:$A,$D70,MATERIAL_TARIFF_RULES!$C:$C,$B70)),1),1))</f>
        <v/>
      </c>
      <c r="L70" s="22" t="str">
        <f t="shared" si="8"/>
        <v/>
      </c>
      <c r="M70" s="22" t="str">
        <f t="shared" si="9"/>
        <v/>
      </c>
      <c r="N70" s="22" t="str">
        <f t="shared" si="10"/>
        <v/>
      </c>
      <c r="O70" s="4" t="str">
        <f t="shared" si="11"/>
        <v/>
      </c>
    </row>
    <row r="71" spans="1:15" x14ac:dyDescent="0.3">
      <c r="A71" s="4"/>
      <c r="B71" s="4"/>
      <c r="C71" s="4"/>
      <c r="D71" s="4"/>
      <c r="E71" s="4"/>
      <c r="F71" s="4" t="str">
        <f>IF($C71="","",IF($C71="Work",IFERROR(IF(SUMIFS(WORK_TARIFF_RULES!$G:$G,WORK_TARIFF_RULES!$A:$A,$D71,WORK_TARIFF_RULES!$C:$C,$B71)&lt;&gt;"",SUMIFS(WORK_TARIFF_RULES!$G:$G,WORK_TARIFF_RULES!$A:$A,$D71,WORK_TARIFF_RULES!$C:$C,$B71),SUMIFS(WORK_MASTER!$C:$C,WORK_MASTER!$A:$A,$D71)),""),IF($C71="Material",IFERROR(IF(SUMIFS(MATERIAL_TARIFF_RULES!$G:$G,MATERIAL_TARIFF_RULES!$A:$A,$D71,MATERIAL_TARIFF_RULES!$C:$C,$B71)&lt;&gt;"",SUMIFS(MATERIAL_TARIFF_RULES!$G:$G,MATERIAL_TARIFF_RULES!$A:$A,$D71,MATERIAL_TARIFF_RULES!$C:$C,$B71),SUMIFS(MATERIAL_VARIANTS!$J:$J,MATERIAL_VARIANTS!$A:$A,$E71)),""),"")))</f>
        <v/>
      </c>
      <c r="G71" s="22"/>
      <c r="H71" s="22" t="str">
        <f>IF($C71="","",IF($C71="Work",IFERROR(SUMIFS(WORK_MASTER!$I:$I,WORK_MASTER!$A:$A,$D71),""),IF($C71="Material",IFERROR(SUMIFS(MATERIAL_VARIANTS!$I:$I,MATERIAL_VARIANTS!$A:$A,$E71),""),"")))</f>
        <v/>
      </c>
      <c r="I71" s="22" t="str">
        <f>IF($C71="","",IF($C71="Work",IFERROR(SUMIFS(WORK_FACTOR_APPLICABILITY!$O:$O,WORK_FACTOR_APPLICABILITY!$A:$A,$D71,WORK_FACTOR_APPLICABILITY!$N:$N,$A71),1),IF($C71="Material",IFERROR(ROUND(1+SUMIFS(MATERIAL_FACTOR_APPLICABILITY!$D:$D,MATERIAL_FACTOR_APPLICABILITY!$A:$A,SUMIFS(MATERIAL_MASTER!$O:$O,MATERIAL_MASTER!$A:$A,$D71),MATERIAL_FACTOR_APPLICABILITY!$B:$B,"GeometryComplexity")*(SUMIFS(OBJECT_CONDITIONS!$W:$W,OBJECT_CONDITIONS!$A:$A,$A71)-1),3),1),"")))</f>
        <v/>
      </c>
      <c r="J71" s="22" t="str">
        <f>IF($C71="","",IF($C71="Work",IFERROR(IF(SUMIFS(WORK_TARIFF_RULES!$F:$F,WORK_TARIFF_RULES!$A:$A,$D71,WORK_TARIFF_RULES!$C:$C,$B71)&lt;&gt;"",SUMIFS(WORK_TARIFF_RULES!$F:$F,WORK_TARIFF_RULES!$A:$A,$D71,WORK_TARIFF_RULES!$C:$C,$B71),SUMIFS(TARIFF_PROFILES!$D:$D,TARIFF_PROFILES!$A:$A,$B71)),1),IF($C71="Material",IFERROR(IF(SUMIFS(MATERIAL_TARIFF_RULES!$E:$E,MATERIAL_TARIFF_RULES!$A:$A,$D71,MATERIAL_TARIFF_RULES!$C:$C,$B71)&lt;&gt;"",SUMIFS(MATERIAL_TARIFF_RULES!$E:$E,MATERIAL_TARIFF_RULES!$A:$A,$D71,MATERIAL_TARIFF_RULES!$C:$C,$B71),SUMIFS(TARIFF_PROFILES!$E:$E,TARIFF_PROFILES!$A:$A,$B71)),1),"")))</f>
        <v/>
      </c>
      <c r="K71" s="22" t="str">
        <f>IF($C71="","",IF($C71="Material",IFERROR(SUMIFS(MATERIAL_MASTER!$P:$P,MATERIAL_MASTER!$A:$A,$D71)*IF(SUMIFS(MATERIAL_TARIFF_RULES!$F:$F,MATERIAL_TARIFF_RULES!$A:$A,$D71,MATERIAL_TARIFF_RULES!$C:$C,$B71)="",SUMIFS(TARIFF_PROFILES!$H:$H,TARIFF_PROFILES!$A:$A,$B71),SUMIFS(MATERIAL_TARIFF_RULES!$F:$F,MATERIAL_TARIFF_RULES!$A:$A,$D71,MATERIAL_TARIFF_RULES!$C:$C,$B71)),1),1))</f>
        <v/>
      </c>
      <c r="L71" s="22" t="str">
        <f t="shared" si="8"/>
        <v/>
      </c>
      <c r="M71" s="22" t="str">
        <f t="shared" si="9"/>
        <v/>
      </c>
      <c r="N71" s="22" t="str">
        <f t="shared" si="10"/>
        <v/>
      </c>
      <c r="O71" s="4" t="str">
        <f t="shared" si="11"/>
        <v/>
      </c>
    </row>
    <row r="72" spans="1:15" x14ac:dyDescent="0.3">
      <c r="A72" s="4"/>
      <c r="B72" s="4"/>
      <c r="C72" s="4"/>
      <c r="D72" s="4"/>
      <c r="E72" s="4"/>
      <c r="F72" s="4" t="str">
        <f>IF($C72="","",IF($C72="Work",IFERROR(IF(SUMIFS(WORK_TARIFF_RULES!$G:$G,WORK_TARIFF_RULES!$A:$A,$D72,WORK_TARIFF_RULES!$C:$C,$B72)&lt;&gt;"",SUMIFS(WORK_TARIFF_RULES!$G:$G,WORK_TARIFF_RULES!$A:$A,$D72,WORK_TARIFF_RULES!$C:$C,$B72),SUMIFS(WORK_MASTER!$C:$C,WORK_MASTER!$A:$A,$D72)),""),IF($C72="Material",IFERROR(IF(SUMIFS(MATERIAL_TARIFF_RULES!$G:$G,MATERIAL_TARIFF_RULES!$A:$A,$D72,MATERIAL_TARIFF_RULES!$C:$C,$B72)&lt;&gt;"",SUMIFS(MATERIAL_TARIFF_RULES!$G:$G,MATERIAL_TARIFF_RULES!$A:$A,$D72,MATERIAL_TARIFF_RULES!$C:$C,$B72),SUMIFS(MATERIAL_VARIANTS!$J:$J,MATERIAL_VARIANTS!$A:$A,$E72)),""),"")))</f>
        <v/>
      </c>
      <c r="G72" s="22"/>
      <c r="H72" s="22" t="str">
        <f>IF($C72="","",IF($C72="Work",IFERROR(SUMIFS(WORK_MASTER!$I:$I,WORK_MASTER!$A:$A,$D72),""),IF($C72="Material",IFERROR(SUMIFS(MATERIAL_VARIANTS!$I:$I,MATERIAL_VARIANTS!$A:$A,$E72),""),"")))</f>
        <v/>
      </c>
      <c r="I72" s="22" t="str">
        <f>IF($C72="","",IF($C72="Work",IFERROR(SUMIFS(WORK_FACTOR_APPLICABILITY!$O:$O,WORK_FACTOR_APPLICABILITY!$A:$A,$D72,WORK_FACTOR_APPLICABILITY!$N:$N,$A72),1),IF($C72="Material",IFERROR(ROUND(1+SUMIFS(MATERIAL_FACTOR_APPLICABILITY!$D:$D,MATERIAL_FACTOR_APPLICABILITY!$A:$A,SUMIFS(MATERIAL_MASTER!$O:$O,MATERIAL_MASTER!$A:$A,$D72),MATERIAL_FACTOR_APPLICABILITY!$B:$B,"GeometryComplexity")*(SUMIFS(OBJECT_CONDITIONS!$W:$W,OBJECT_CONDITIONS!$A:$A,$A72)-1),3),1),"")))</f>
        <v/>
      </c>
      <c r="J72" s="22" t="str">
        <f>IF($C72="","",IF($C72="Work",IFERROR(IF(SUMIFS(WORK_TARIFF_RULES!$F:$F,WORK_TARIFF_RULES!$A:$A,$D72,WORK_TARIFF_RULES!$C:$C,$B72)&lt;&gt;"",SUMIFS(WORK_TARIFF_RULES!$F:$F,WORK_TARIFF_RULES!$A:$A,$D72,WORK_TARIFF_RULES!$C:$C,$B72),SUMIFS(TARIFF_PROFILES!$D:$D,TARIFF_PROFILES!$A:$A,$B72)),1),IF($C72="Material",IFERROR(IF(SUMIFS(MATERIAL_TARIFF_RULES!$E:$E,MATERIAL_TARIFF_RULES!$A:$A,$D72,MATERIAL_TARIFF_RULES!$C:$C,$B72)&lt;&gt;"",SUMIFS(MATERIAL_TARIFF_RULES!$E:$E,MATERIAL_TARIFF_RULES!$A:$A,$D72,MATERIAL_TARIFF_RULES!$C:$C,$B72),SUMIFS(TARIFF_PROFILES!$E:$E,TARIFF_PROFILES!$A:$A,$B72)),1),"")))</f>
        <v/>
      </c>
      <c r="K72" s="22" t="str">
        <f>IF($C72="","",IF($C72="Material",IFERROR(SUMIFS(MATERIAL_MASTER!$P:$P,MATERIAL_MASTER!$A:$A,$D72)*IF(SUMIFS(MATERIAL_TARIFF_RULES!$F:$F,MATERIAL_TARIFF_RULES!$A:$A,$D72,MATERIAL_TARIFF_RULES!$C:$C,$B72)="",SUMIFS(TARIFF_PROFILES!$H:$H,TARIFF_PROFILES!$A:$A,$B72),SUMIFS(MATERIAL_TARIFF_RULES!$F:$F,MATERIAL_TARIFF_RULES!$A:$A,$D72,MATERIAL_TARIFF_RULES!$C:$C,$B72)),1),1))</f>
        <v/>
      </c>
      <c r="L72" s="22" t="str">
        <f t="shared" si="8"/>
        <v/>
      </c>
      <c r="M72" s="22" t="str">
        <f t="shared" si="9"/>
        <v/>
      </c>
      <c r="N72" s="22" t="str">
        <f t="shared" si="10"/>
        <v/>
      </c>
      <c r="O72" s="4" t="str">
        <f t="shared" si="11"/>
        <v/>
      </c>
    </row>
    <row r="73" spans="1:15" x14ac:dyDescent="0.3">
      <c r="A73" s="4"/>
      <c r="B73" s="4"/>
      <c r="C73" s="4"/>
      <c r="D73" s="4"/>
      <c r="E73" s="4"/>
      <c r="F73" s="4" t="str">
        <f>IF($C73="","",IF($C73="Work",IFERROR(IF(SUMIFS(WORK_TARIFF_RULES!$G:$G,WORK_TARIFF_RULES!$A:$A,$D73,WORK_TARIFF_RULES!$C:$C,$B73)&lt;&gt;"",SUMIFS(WORK_TARIFF_RULES!$G:$G,WORK_TARIFF_RULES!$A:$A,$D73,WORK_TARIFF_RULES!$C:$C,$B73),SUMIFS(WORK_MASTER!$C:$C,WORK_MASTER!$A:$A,$D73)),""),IF($C73="Material",IFERROR(IF(SUMIFS(MATERIAL_TARIFF_RULES!$G:$G,MATERIAL_TARIFF_RULES!$A:$A,$D73,MATERIAL_TARIFF_RULES!$C:$C,$B73)&lt;&gt;"",SUMIFS(MATERIAL_TARIFF_RULES!$G:$G,MATERIAL_TARIFF_RULES!$A:$A,$D73,MATERIAL_TARIFF_RULES!$C:$C,$B73),SUMIFS(MATERIAL_VARIANTS!$J:$J,MATERIAL_VARIANTS!$A:$A,$E73)),""),"")))</f>
        <v/>
      </c>
      <c r="G73" s="22"/>
      <c r="H73" s="22" t="str">
        <f>IF($C73="","",IF($C73="Work",IFERROR(SUMIFS(WORK_MASTER!$I:$I,WORK_MASTER!$A:$A,$D73),""),IF($C73="Material",IFERROR(SUMIFS(MATERIAL_VARIANTS!$I:$I,MATERIAL_VARIANTS!$A:$A,$E73),""),"")))</f>
        <v/>
      </c>
      <c r="I73" s="22" t="str">
        <f>IF($C73="","",IF($C73="Work",IFERROR(SUMIFS(WORK_FACTOR_APPLICABILITY!$O:$O,WORK_FACTOR_APPLICABILITY!$A:$A,$D73,WORK_FACTOR_APPLICABILITY!$N:$N,$A73),1),IF($C73="Material",IFERROR(ROUND(1+SUMIFS(MATERIAL_FACTOR_APPLICABILITY!$D:$D,MATERIAL_FACTOR_APPLICABILITY!$A:$A,SUMIFS(MATERIAL_MASTER!$O:$O,MATERIAL_MASTER!$A:$A,$D73),MATERIAL_FACTOR_APPLICABILITY!$B:$B,"GeometryComplexity")*(SUMIFS(OBJECT_CONDITIONS!$W:$W,OBJECT_CONDITIONS!$A:$A,$A73)-1),3),1),"")))</f>
        <v/>
      </c>
      <c r="J73" s="22" t="str">
        <f>IF($C73="","",IF($C73="Work",IFERROR(IF(SUMIFS(WORK_TARIFF_RULES!$F:$F,WORK_TARIFF_RULES!$A:$A,$D73,WORK_TARIFF_RULES!$C:$C,$B73)&lt;&gt;"",SUMIFS(WORK_TARIFF_RULES!$F:$F,WORK_TARIFF_RULES!$A:$A,$D73,WORK_TARIFF_RULES!$C:$C,$B73),SUMIFS(TARIFF_PROFILES!$D:$D,TARIFF_PROFILES!$A:$A,$B73)),1),IF($C73="Material",IFERROR(IF(SUMIFS(MATERIAL_TARIFF_RULES!$E:$E,MATERIAL_TARIFF_RULES!$A:$A,$D73,MATERIAL_TARIFF_RULES!$C:$C,$B73)&lt;&gt;"",SUMIFS(MATERIAL_TARIFF_RULES!$E:$E,MATERIAL_TARIFF_RULES!$A:$A,$D73,MATERIAL_TARIFF_RULES!$C:$C,$B73),SUMIFS(TARIFF_PROFILES!$E:$E,TARIFF_PROFILES!$A:$A,$B73)),1),"")))</f>
        <v/>
      </c>
      <c r="K73" s="22" t="str">
        <f>IF($C73="","",IF($C73="Material",IFERROR(SUMIFS(MATERIAL_MASTER!$P:$P,MATERIAL_MASTER!$A:$A,$D73)*IF(SUMIFS(MATERIAL_TARIFF_RULES!$F:$F,MATERIAL_TARIFF_RULES!$A:$A,$D73,MATERIAL_TARIFF_RULES!$C:$C,$B73)="",SUMIFS(TARIFF_PROFILES!$H:$H,TARIFF_PROFILES!$A:$A,$B73),SUMIFS(MATERIAL_TARIFF_RULES!$F:$F,MATERIAL_TARIFF_RULES!$A:$A,$D73,MATERIAL_TARIFF_RULES!$C:$C,$B73)),1),1))</f>
        <v/>
      </c>
      <c r="L73" s="22" t="str">
        <f t="shared" si="8"/>
        <v/>
      </c>
      <c r="M73" s="22" t="str">
        <f t="shared" si="9"/>
        <v/>
      </c>
      <c r="N73" s="22" t="str">
        <f t="shared" si="10"/>
        <v/>
      </c>
      <c r="O73" s="4" t="str">
        <f t="shared" si="11"/>
        <v/>
      </c>
    </row>
    <row r="74" spans="1:15" x14ac:dyDescent="0.3">
      <c r="A74" s="4"/>
      <c r="B74" s="4"/>
      <c r="C74" s="4"/>
      <c r="D74" s="4"/>
      <c r="E74" s="4"/>
      <c r="F74" s="4" t="str">
        <f>IF($C74="","",IF($C74="Work",IFERROR(IF(SUMIFS(WORK_TARIFF_RULES!$G:$G,WORK_TARIFF_RULES!$A:$A,$D74,WORK_TARIFF_RULES!$C:$C,$B74)&lt;&gt;"",SUMIFS(WORK_TARIFF_RULES!$G:$G,WORK_TARIFF_RULES!$A:$A,$D74,WORK_TARIFF_RULES!$C:$C,$B74),SUMIFS(WORK_MASTER!$C:$C,WORK_MASTER!$A:$A,$D74)),""),IF($C74="Material",IFERROR(IF(SUMIFS(MATERIAL_TARIFF_RULES!$G:$G,MATERIAL_TARIFF_RULES!$A:$A,$D74,MATERIAL_TARIFF_RULES!$C:$C,$B74)&lt;&gt;"",SUMIFS(MATERIAL_TARIFF_RULES!$G:$G,MATERIAL_TARIFF_RULES!$A:$A,$D74,MATERIAL_TARIFF_RULES!$C:$C,$B74),SUMIFS(MATERIAL_VARIANTS!$J:$J,MATERIAL_VARIANTS!$A:$A,$E74)),""),"")))</f>
        <v/>
      </c>
      <c r="G74" s="22"/>
      <c r="H74" s="22" t="str">
        <f>IF($C74="","",IF($C74="Work",IFERROR(SUMIFS(WORK_MASTER!$I:$I,WORK_MASTER!$A:$A,$D74),""),IF($C74="Material",IFERROR(SUMIFS(MATERIAL_VARIANTS!$I:$I,MATERIAL_VARIANTS!$A:$A,$E74),""),"")))</f>
        <v/>
      </c>
      <c r="I74" s="22" t="str">
        <f>IF($C74="","",IF($C74="Work",IFERROR(SUMIFS(WORK_FACTOR_APPLICABILITY!$O:$O,WORK_FACTOR_APPLICABILITY!$A:$A,$D74,WORK_FACTOR_APPLICABILITY!$N:$N,$A74),1),IF($C74="Material",IFERROR(ROUND(1+SUMIFS(MATERIAL_FACTOR_APPLICABILITY!$D:$D,MATERIAL_FACTOR_APPLICABILITY!$A:$A,SUMIFS(MATERIAL_MASTER!$O:$O,MATERIAL_MASTER!$A:$A,$D74),MATERIAL_FACTOR_APPLICABILITY!$B:$B,"GeometryComplexity")*(SUMIFS(OBJECT_CONDITIONS!$W:$W,OBJECT_CONDITIONS!$A:$A,$A74)-1),3),1),"")))</f>
        <v/>
      </c>
      <c r="J74" s="22" t="str">
        <f>IF($C74="","",IF($C74="Work",IFERROR(IF(SUMIFS(WORK_TARIFF_RULES!$F:$F,WORK_TARIFF_RULES!$A:$A,$D74,WORK_TARIFF_RULES!$C:$C,$B74)&lt;&gt;"",SUMIFS(WORK_TARIFF_RULES!$F:$F,WORK_TARIFF_RULES!$A:$A,$D74,WORK_TARIFF_RULES!$C:$C,$B74),SUMIFS(TARIFF_PROFILES!$D:$D,TARIFF_PROFILES!$A:$A,$B74)),1),IF($C74="Material",IFERROR(IF(SUMIFS(MATERIAL_TARIFF_RULES!$E:$E,MATERIAL_TARIFF_RULES!$A:$A,$D74,MATERIAL_TARIFF_RULES!$C:$C,$B74)&lt;&gt;"",SUMIFS(MATERIAL_TARIFF_RULES!$E:$E,MATERIAL_TARIFF_RULES!$A:$A,$D74,MATERIAL_TARIFF_RULES!$C:$C,$B74),SUMIFS(TARIFF_PROFILES!$E:$E,TARIFF_PROFILES!$A:$A,$B74)),1),"")))</f>
        <v/>
      </c>
      <c r="K74" s="22" t="str">
        <f>IF($C74="","",IF($C74="Material",IFERROR(SUMIFS(MATERIAL_MASTER!$P:$P,MATERIAL_MASTER!$A:$A,$D74)*IF(SUMIFS(MATERIAL_TARIFF_RULES!$F:$F,MATERIAL_TARIFF_RULES!$A:$A,$D74,MATERIAL_TARIFF_RULES!$C:$C,$B74)="",SUMIFS(TARIFF_PROFILES!$H:$H,TARIFF_PROFILES!$A:$A,$B74),SUMIFS(MATERIAL_TARIFF_RULES!$F:$F,MATERIAL_TARIFF_RULES!$A:$A,$D74,MATERIAL_TARIFF_RULES!$C:$C,$B74)),1),1))</f>
        <v/>
      </c>
      <c r="L74" s="22" t="str">
        <f t="shared" si="8"/>
        <v/>
      </c>
      <c r="M74" s="22" t="str">
        <f t="shared" si="9"/>
        <v/>
      </c>
      <c r="N74" s="22" t="str">
        <f t="shared" si="10"/>
        <v/>
      </c>
      <c r="O74" s="4" t="str">
        <f t="shared" si="11"/>
        <v/>
      </c>
    </row>
    <row r="75" spans="1:15" x14ac:dyDescent="0.3">
      <c r="A75" s="4"/>
      <c r="B75" s="4"/>
      <c r="C75" s="4"/>
      <c r="D75" s="4"/>
      <c r="E75" s="4"/>
      <c r="F75" s="4" t="str">
        <f>IF($C75="","",IF($C75="Work",IFERROR(IF(SUMIFS(WORK_TARIFF_RULES!$G:$G,WORK_TARIFF_RULES!$A:$A,$D75,WORK_TARIFF_RULES!$C:$C,$B75)&lt;&gt;"",SUMIFS(WORK_TARIFF_RULES!$G:$G,WORK_TARIFF_RULES!$A:$A,$D75,WORK_TARIFF_RULES!$C:$C,$B75),SUMIFS(WORK_MASTER!$C:$C,WORK_MASTER!$A:$A,$D75)),""),IF($C75="Material",IFERROR(IF(SUMIFS(MATERIAL_TARIFF_RULES!$G:$G,MATERIAL_TARIFF_RULES!$A:$A,$D75,MATERIAL_TARIFF_RULES!$C:$C,$B75)&lt;&gt;"",SUMIFS(MATERIAL_TARIFF_RULES!$G:$G,MATERIAL_TARIFF_RULES!$A:$A,$D75,MATERIAL_TARIFF_RULES!$C:$C,$B75),SUMIFS(MATERIAL_VARIANTS!$J:$J,MATERIAL_VARIANTS!$A:$A,$E75)),""),"")))</f>
        <v/>
      </c>
      <c r="G75" s="22"/>
      <c r="H75" s="22" t="str">
        <f>IF($C75="","",IF($C75="Work",IFERROR(SUMIFS(WORK_MASTER!$I:$I,WORK_MASTER!$A:$A,$D75),""),IF($C75="Material",IFERROR(SUMIFS(MATERIAL_VARIANTS!$I:$I,MATERIAL_VARIANTS!$A:$A,$E75),""),"")))</f>
        <v/>
      </c>
      <c r="I75" s="22" t="str">
        <f>IF($C75="","",IF($C75="Work",IFERROR(SUMIFS(WORK_FACTOR_APPLICABILITY!$O:$O,WORK_FACTOR_APPLICABILITY!$A:$A,$D75,WORK_FACTOR_APPLICABILITY!$N:$N,$A75),1),IF($C75="Material",IFERROR(ROUND(1+SUMIFS(MATERIAL_FACTOR_APPLICABILITY!$D:$D,MATERIAL_FACTOR_APPLICABILITY!$A:$A,SUMIFS(MATERIAL_MASTER!$O:$O,MATERIAL_MASTER!$A:$A,$D75),MATERIAL_FACTOR_APPLICABILITY!$B:$B,"GeometryComplexity")*(SUMIFS(OBJECT_CONDITIONS!$W:$W,OBJECT_CONDITIONS!$A:$A,$A75)-1),3),1),"")))</f>
        <v/>
      </c>
      <c r="J75" s="22" t="str">
        <f>IF($C75="","",IF($C75="Work",IFERROR(IF(SUMIFS(WORK_TARIFF_RULES!$F:$F,WORK_TARIFF_RULES!$A:$A,$D75,WORK_TARIFF_RULES!$C:$C,$B75)&lt;&gt;"",SUMIFS(WORK_TARIFF_RULES!$F:$F,WORK_TARIFF_RULES!$A:$A,$D75,WORK_TARIFF_RULES!$C:$C,$B75),SUMIFS(TARIFF_PROFILES!$D:$D,TARIFF_PROFILES!$A:$A,$B75)),1),IF($C75="Material",IFERROR(IF(SUMIFS(MATERIAL_TARIFF_RULES!$E:$E,MATERIAL_TARIFF_RULES!$A:$A,$D75,MATERIAL_TARIFF_RULES!$C:$C,$B75)&lt;&gt;"",SUMIFS(MATERIAL_TARIFF_RULES!$E:$E,MATERIAL_TARIFF_RULES!$A:$A,$D75,MATERIAL_TARIFF_RULES!$C:$C,$B75),SUMIFS(TARIFF_PROFILES!$E:$E,TARIFF_PROFILES!$A:$A,$B75)),1),"")))</f>
        <v/>
      </c>
      <c r="K75" s="22" t="str">
        <f>IF($C75="","",IF($C75="Material",IFERROR(SUMIFS(MATERIAL_MASTER!$P:$P,MATERIAL_MASTER!$A:$A,$D75)*IF(SUMIFS(MATERIAL_TARIFF_RULES!$F:$F,MATERIAL_TARIFF_RULES!$A:$A,$D75,MATERIAL_TARIFF_RULES!$C:$C,$B75)="",SUMIFS(TARIFF_PROFILES!$H:$H,TARIFF_PROFILES!$A:$A,$B75),SUMIFS(MATERIAL_TARIFF_RULES!$F:$F,MATERIAL_TARIFF_RULES!$A:$A,$D75,MATERIAL_TARIFF_RULES!$C:$C,$B75)),1),1))</f>
        <v/>
      </c>
      <c r="L75" s="22" t="str">
        <f t="shared" si="8"/>
        <v/>
      </c>
      <c r="M75" s="22" t="str">
        <f t="shared" si="9"/>
        <v/>
      </c>
      <c r="N75" s="22" t="str">
        <f t="shared" si="10"/>
        <v/>
      </c>
      <c r="O75" s="4" t="str">
        <f t="shared" si="11"/>
        <v/>
      </c>
    </row>
    <row r="76" spans="1:15" x14ac:dyDescent="0.3">
      <c r="A76" s="4"/>
      <c r="B76" s="4"/>
      <c r="C76" s="4"/>
      <c r="D76" s="4"/>
      <c r="E76" s="4"/>
      <c r="F76" s="4" t="str">
        <f>IF($C76="","",IF($C76="Work",IFERROR(IF(SUMIFS(WORK_TARIFF_RULES!$G:$G,WORK_TARIFF_RULES!$A:$A,$D76,WORK_TARIFF_RULES!$C:$C,$B76)&lt;&gt;"",SUMIFS(WORK_TARIFF_RULES!$G:$G,WORK_TARIFF_RULES!$A:$A,$D76,WORK_TARIFF_RULES!$C:$C,$B76),SUMIFS(WORK_MASTER!$C:$C,WORK_MASTER!$A:$A,$D76)),""),IF($C76="Material",IFERROR(IF(SUMIFS(MATERIAL_TARIFF_RULES!$G:$G,MATERIAL_TARIFF_RULES!$A:$A,$D76,MATERIAL_TARIFF_RULES!$C:$C,$B76)&lt;&gt;"",SUMIFS(MATERIAL_TARIFF_RULES!$G:$G,MATERIAL_TARIFF_RULES!$A:$A,$D76,MATERIAL_TARIFF_RULES!$C:$C,$B76),SUMIFS(MATERIAL_VARIANTS!$J:$J,MATERIAL_VARIANTS!$A:$A,$E76)),""),"")))</f>
        <v/>
      </c>
      <c r="G76" s="22"/>
      <c r="H76" s="22" t="str">
        <f>IF($C76="","",IF($C76="Work",IFERROR(SUMIFS(WORK_MASTER!$I:$I,WORK_MASTER!$A:$A,$D76),""),IF($C76="Material",IFERROR(SUMIFS(MATERIAL_VARIANTS!$I:$I,MATERIAL_VARIANTS!$A:$A,$E76),""),"")))</f>
        <v/>
      </c>
      <c r="I76" s="22" t="str">
        <f>IF($C76="","",IF($C76="Work",IFERROR(SUMIFS(WORK_FACTOR_APPLICABILITY!$O:$O,WORK_FACTOR_APPLICABILITY!$A:$A,$D76,WORK_FACTOR_APPLICABILITY!$N:$N,$A76),1),IF($C76="Material",IFERROR(ROUND(1+SUMIFS(MATERIAL_FACTOR_APPLICABILITY!$D:$D,MATERIAL_FACTOR_APPLICABILITY!$A:$A,SUMIFS(MATERIAL_MASTER!$O:$O,MATERIAL_MASTER!$A:$A,$D76),MATERIAL_FACTOR_APPLICABILITY!$B:$B,"GeometryComplexity")*(SUMIFS(OBJECT_CONDITIONS!$W:$W,OBJECT_CONDITIONS!$A:$A,$A76)-1),3),1),"")))</f>
        <v/>
      </c>
      <c r="J76" s="22" t="str">
        <f>IF($C76="","",IF($C76="Work",IFERROR(IF(SUMIFS(WORK_TARIFF_RULES!$F:$F,WORK_TARIFF_RULES!$A:$A,$D76,WORK_TARIFF_RULES!$C:$C,$B76)&lt;&gt;"",SUMIFS(WORK_TARIFF_RULES!$F:$F,WORK_TARIFF_RULES!$A:$A,$D76,WORK_TARIFF_RULES!$C:$C,$B76),SUMIFS(TARIFF_PROFILES!$D:$D,TARIFF_PROFILES!$A:$A,$B76)),1),IF($C76="Material",IFERROR(IF(SUMIFS(MATERIAL_TARIFF_RULES!$E:$E,MATERIAL_TARIFF_RULES!$A:$A,$D76,MATERIAL_TARIFF_RULES!$C:$C,$B76)&lt;&gt;"",SUMIFS(MATERIAL_TARIFF_RULES!$E:$E,MATERIAL_TARIFF_RULES!$A:$A,$D76,MATERIAL_TARIFF_RULES!$C:$C,$B76),SUMIFS(TARIFF_PROFILES!$E:$E,TARIFF_PROFILES!$A:$A,$B76)),1),"")))</f>
        <v/>
      </c>
      <c r="K76" s="22" t="str">
        <f>IF($C76="","",IF($C76="Material",IFERROR(SUMIFS(MATERIAL_MASTER!$P:$P,MATERIAL_MASTER!$A:$A,$D76)*IF(SUMIFS(MATERIAL_TARIFF_RULES!$F:$F,MATERIAL_TARIFF_RULES!$A:$A,$D76,MATERIAL_TARIFF_RULES!$C:$C,$B76)="",SUMIFS(TARIFF_PROFILES!$H:$H,TARIFF_PROFILES!$A:$A,$B76),SUMIFS(MATERIAL_TARIFF_RULES!$F:$F,MATERIAL_TARIFF_RULES!$A:$A,$D76,MATERIAL_TARIFF_RULES!$C:$C,$B76)),1),1))</f>
        <v/>
      </c>
      <c r="L76" s="22" t="str">
        <f t="shared" si="8"/>
        <v/>
      </c>
      <c r="M76" s="22" t="str">
        <f t="shared" si="9"/>
        <v/>
      </c>
      <c r="N76" s="22" t="str">
        <f t="shared" si="10"/>
        <v/>
      </c>
      <c r="O76" s="4" t="str">
        <f t="shared" si="11"/>
        <v/>
      </c>
    </row>
    <row r="77" spans="1:15" x14ac:dyDescent="0.3">
      <c r="A77" s="4"/>
      <c r="B77" s="4"/>
      <c r="C77" s="4"/>
      <c r="D77" s="4"/>
      <c r="E77" s="4"/>
      <c r="F77" s="4" t="str">
        <f>IF($C77="","",IF($C77="Work",IFERROR(IF(SUMIFS(WORK_TARIFF_RULES!$G:$G,WORK_TARIFF_RULES!$A:$A,$D77,WORK_TARIFF_RULES!$C:$C,$B77)&lt;&gt;"",SUMIFS(WORK_TARIFF_RULES!$G:$G,WORK_TARIFF_RULES!$A:$A,$D77,WORK_TARIFF_RULES!$C:$C,$B77),SUMIFS(WORK_MASTER!$C:$C,WORK_MASTER!$A:$A,$D77)),""),IF($C77="Material",IFERROR(IF(SUMIFS(MATERIAL_TARIFF_RULES!$G:$G,MATERIAL_TARIFF_RULES!$A:$A,$D77,MATERIAL_TARIFF_RULES!$C:$C,$B77)&lt;&gt;"",SUMIFS(MATERIAL_TARIFF_RULES!$G:$G,MATERIAL_TARIFF_RULES!$A:$A,$D77,MATERIAL_TARIFF_RULES!$C:$C,$B77),SUMIFS(MATERIAL_VARIANTS!$J:$J,MATERIAL_VARIANTS!$A:$A,$E77)),""),"")))</f>
        <v/>
      </c>
      <c r="G77" s="22"/>
      <c r="H77" s="22" t="str">
        <f>IF($C77="","",IF($C77="Work",IFERROR(SUMIFS(WORK_MASTER!$I:$I,WORK_MASTER!$A:$A,$D77),""),IF($C77="Material",IFERROR(SUMIFS(MATERIAL_VARIANTS!$I:$I,MATERIAL_VARIANTS!$A:$A,$E77),""),"")))</f>
        <v/>
      </c>
      <c r="I77" s="22" t="str">
        <f>IF($C77="","",IF($C77="Work",IFERROR(SUMIFS(WORK_FACTOR_APPLICABILITY!$O:$O,WORK_FACTOR_APPLICABILITY!$A:$A,$D77,WORK_FACTOR_APPLICABILITY!$N:$N,$A77),1),IF($C77="Material",IFERROR(ROUND(1+SUMIFS(MATERIAL_FACTOR_APPLICABILITY!$D:$D,MATERIAL_FACTOR_APPLICABILITY!$A:$A,SUMIFS(MATERIAL_MASTER!$O:$O,MATERIAL_MASTER!$A:$A,$D77),MATERIAL_FACTOR_APPLICABILITY!$B:$B,"GeometryComplexity")*(SUMIFS(OBJECT_CONDITIONS!$W:$W,OBJECT_CONDITIONS!$A:$A,$A77)-1),3),1),"")))</f>
        <v/>
      </c>
      <c r="J77" s="22" t="str">
        <f>IF($C77="","",IF($C77="Work",IFERROR(IF(SUMIFS(WORK_TARIFF_RULES!$F:$F,WORK_TARIFF_RULES!$A:$A,$D77,WORK_TARIFF_RULES!$C:$C,$B77)&lt;&gt;"",SUMIFS(WORK_TARIFF_RULES!$F:$F,WORK_TARIFF_RULES!$A:$A,$D77,WORK_TARIFF_RULES!$C:$C,$B77),SUMIFS(TARIFF_PROFILES!$D:$D,TARIFF_PROFILES!$A:$A,$B77)),1),IF($C77="Material",IFERROR(IF(SUMIFS(MATERIAL_TARIFF_RULES!$E:$E,MATERIAL_TARIFF_RULES!$A:$A,$D77,MATERIAL_TARIFF_RULES!$C:$C,$B77)&lt;&gt;"",SUMIFS(MATERIAL_TARIFF_RULES!$E:$E,MATERIAL_TARIFF_RULES!$A:$A,$D77,MATERIAL_TARIFF_RULES!$C:$C,$B77),SUMIFS(TARIFF_PROFILES!$E:$E,TARIFF_PROFILES!$A:$A,$B77)),1),"")))</f>
        <v/>
      </c>
      <c r="K77" s="22" t="str">
        <f>IF($C77="","",IF($C77="Material",IFERROR(SUMIFS(MATERIAL_MASTER!$P:$P,MATERIAL_MASTER!$A:$A,$D77)*IF(SUMIFS(MATERIAL_TARIFF_RULES!$F:$F,MATERIAL_TARIFF_RULES!$A:$A,$D77,MATERIAL_TARIFF_RULES!$C:$C,$B77)="",SUMIFS(TARIFF_PROFILES!$H:$H,TARIFF_PROFILES!$A:$A,$B77),SUMIFS(MATERIAL_TARIFF_RULES!$F:$F,MATERIAL_TARIFF_RULES!$A:$A,$D77,MATERIAL_TARIFF_RULES!$C:$C,$B77)),1),1))</f>
        <v/>
      </c>
      <c r="L77" s="22" t="str">
        <f t="shared" si="8"/>
        <v/>
      </c>
      <c r="M77" s="22" t="str">
        <f t="shared" si="9"/>
        <v/>
      </c>
      <c r="N77" s="22" t="str">
        <f t="shared" si="10"/>
        <v/>
      </c>
      <c r="O77" s="4" t="str">
        <f t="shared" si="11"/>
        <v/>
      </c>
    </row>
    <row r="78" spans="1:15" x14ac:dyDescent="0.3">
      <c r="A78" s="4"/>
      <c r="B78" s="4"/>
      <c r="C78" s="4"/>
      <c r="D78" s="4"/>
      <c r="E78" s="4"/>
      <c r="F78" s="4" t="str">
        <f>IF($C78="","",IF($C78="Work",IFERROR(IF(SUMIFS(WORK_TARIFF_RULES!$G:$G,WORK_TARIFF_RULES!$A:$A,$D78,WORK_TARIFF_RULES!$C:$C,$B78)&lt;&gt;"",SUMIFS(WORK_TARIFF_RULES!$G:$G,WORK_TARIFF_RULES!$A:$A,$D78,WORK_TARIFF_RULES!$C:$C,$B78),SUMIFS(WORK_MASTER!$C:$C,WORK_MASTER!$A:$A,$D78)),""),IF($C78="Material",IFERROR(IF(SUMIFS(MATERIAL_TARIFF_RULES!$G:$G,MATERIAL_TARIFF_RULES!$A:$A,$D78,MATERIAL_TARIFF_RULES!$C:$C,$B78)&lt;&gt;"",SUMIFS(MATERIAL_TARIFF_RULES!$G:$G,MATERIAL_TARIFF_RULES!$A:$A,$D78,MATERIAL_TARIFF_RULES!$C:$C,$B78),SUMIFS(MATERIAL_VARIANTS!$J:$J,MATERIAL_VARIANTS!$A:$A,$E78)),""),"")))</f>
        <v/>
      </c>
      <c r="G78" s="22"/>
      <c r="H78" s="22" t="str">
        <f>IF($C78="","",IF($C78="Work",IFERROR(SUMIFS(WORK_MASTER!$I:$I,WORK_MASTER!$A:$A,$D78),""),IF($C78="Material",IFERROR(SUMIFS(MATERIAL_VARIANTS!$I:$I,MATERIAL_VARIANTS!$A:$A,$E78),""),"")))</f>
        <v/>
      </c>
      <c r="I78" s="22" t="str">
        <f>IF($C78="","",IF($C78="Work",IFERROR(SUMIFS(WORK_FACTOR_APPLICABILITY!$O:$O,WORK_FACTOR_APPLICABILITY!$A:$A,$D78,WORK_FACTOR_APPLICABILITY!$N:$N,$A78),1),IF($C78="Material",IFERROR(ROUND(1+SUMIFS(MATERIAL_FACTOR_APPLICABILITY!$D:$D,MATERIAL_FACTOR_APPLICABILITY!$A:$A,SUMIFS(MATERIAL_MASTER!$O:$O,MATERIAL_MASTER!$A:$A,$D78),MATERIAL_FACTOR_APPLICABILITY!$B:$B,"GeometryComplexity")*(SUMIFS(OBJECT_CONDITIONS!$W:$W,OBJECT_CONDITIONS!$A:$A,$A78)-1),3),1),"")))</f>
        <v/>
      </c>
      <c r="J78" s="22" t="str">
        <f>IF($C78="","",IF($C78="Work",IFERROR(IF(SUMIFS(WORK_TARIFF_RULES!$F:$F,WORK_TARIFF_RULES!$A:$A,$D78,WORK_TARIFF_RULES!$C:$C,$B78)&lt;&gt;"",SUMIFS(WORK_TARIFF_RULES!$F:$F,WORK_TARIFF_RULES!$A:$A,$D78,WORK_TARIFF_RULES!$C:$C,$B78),SUMIFS(TARIFF_PROFILES!$D:$D,TARIFF_PROFILES!$A:$A,$B78)),1),IF($C78="Material",IFERROR(IF(SUMIFS(MATERIAL_TARIFF_RULES!$E:$E,MATERIAL_TARIFF_RULES!$A:$A,$D78,MATERIAL_TARIFF_RULES!$C:$C,$B78)&lt;&gt;"",SUMIFS(MATERIAL_TARIFF_RULES!$E:$E,MATERIAL_TARIFF_RULES!$A:$A,$D78,MATERIAL_TARIFF_RULES!$C:$C,$B78),SUMIFS(TARIFF_PROFILES!$E:$E,TARIFF_PROFILES!$A:$A,$B78)),1),"")))</f>
        <v/>
      </c>
      <c r="K78" s="22" t="str">
        <f>IF($C78="","",IF($C78="Material",IFERROR(SUMIFS(MATERIAL_MASTER!$P:$P,MATERIAL_MASTER!$A:$A,$D78)*IF(SUMIFS(MATERIAL_TARIFF_RULES!$F:$F,MATERIAL_TARIFF_RULES!$A:$A,$D78,MATERIAL_TARIFF_RULES!$C:$C,$B78)="",SUMIFS(TARIFF_PROFILES!$H:$H,TARIFF_PROFILES!$A:$A,$B78),SUMIFS(MATERIAL_TARIFF_RULES!$F:$F,MATERIAL_TARIFF_RULES!$A:$A,$D78,MATERIAL_TARIFF_RULES!$C:$C,$B78)),1),1))</f>
        <v/>
      </c>
      <c r="L78" s="22" t="str">
        <f t="shared" si="8"/>
        <v/>
      </c>
      <c r="M78" s="22" t="str">
        <f t="shared" si="9"/>
        <v/>
      </c>
      <c r="N78" s="22" t="str">
        <f t="shared" si="10"/>
        <v/>
      </c>
      <c r="O78" s="4" t="str">
        <f t="shared" si="11"/>
        <v/>
      </c>
    </row>
    <row r="79" spans="1:15" x14ac:dyDescent="0.3">
      <c r="A79" s="4"/>
      <c r="B79" s="4"/>
      <c r="C79" s="4"/>
      <c r="D79" s="4"/>
      <c r="E79" s="4"/>
      <c r="F79" s="4" t="str">
        <f>IF($C79="","",IF($C79="Work",IFERROR(IF(SUMIFS(WORK_TARIFF_RULES!$G:$G,WORK_TARIFF_RULES!$A:$A,$D79,WORK_TARIFF_RULES!$C:$C,$B79)&lt;&gt;"",SUMIFS(WORK_TARIFF_RULES!$G:$G,WORK_TARIFF_RULES!$A:$A,$D79,WORK_TARIFF_RULES!$C:$C,$B79),SUMIFS(WORK_MASTER!$C:$C,WORK_MASTER!$A:$A,$D79)),""),IF($C79="Material",IFERROR(IF(SUMIFS(MATERIAL_TARIFF_RULES!$G:$G,MATERIAL_TARIFF_RULES!$A:$A,$D79,MATERIAL_TARIFF_RULES!$C:$C,$B79)&lt;&gt;"",SUMIFS(MATERIAL_TARIFF_RULES!$G:$G,MATERIAL_TARIFF_RULES!$A:$A,$D79,MATERIAL_TARIFF_RULES!$C:$C,$B79),SUMIFS(MATERIAL_VARIANTS!$J:$J,MATERIAL_VARIANTS!$A:$A,$E79)),""),"")))</f>
        <v/>
      </c>
      <c r="G79" s="22"/>
      <c r="H79" s="22" t="str">
        <f>IF($C79="","",IF($C79="Work",IFERROR(SUMIFS(WORK_MASTER!$I:$I,WORK_MASTER!$A:$A,$D79),""),IF($C79="Material",IFERROR(SUMIFS(MATERIAL_VARIANTS!$I:$I,MATERIAL_VARIANTS!$A:$A,$E79),""),"")))</f>
        <v/>
      </c>
      <c r="I79" s="22" t="str">
        <f>IF($C79="","",IF($C79="Work",IFERROR(SUMIFS(WORK_FACTOR_APPLICABILITY!$O:$O,WORK_FACTOR_APPLICABILITY!$A:$A,$D79,WORK_FACTOR_APPLICABILITY!$N:$N,$A79),1),IF($C79="Material",IFERROR(ROUND(1+SUMIFS(MATERIAL_FACTOR_APPLICABILITY!$D:$D,MATERIAL_FACTOR_APPLICABILITY!$A:$A,SUMIFS(MATERIAL_MASTER!$O:$O,MATERIAL_MASTER!$A:$A,$D79),MATERIAL_FACTOR_APPLICABILITY!$B:$B,"GeometryComplexity")*(SUMIFS(OBJECT_CONDITIONS!$W:$W,OBJECT_CONDITIONS!$A:$A,$A79)-1),3),1),"")))</f>
        <v/>
      </c>
      <c r="J79" s="22" t="str">
        <f>IF($C79="","",IF($C79="Work",IFERROR(IF(SUMIFS(WORK_TARIFF_RULES!$F:$F,WORK_TARIFF_RULES!$A:$A,$D79,WORK_TARIFF_RULES!$C:$C,$B79)&lt;&gt;"",SUMIFS(WORK_TARIFF_RULES!$F:$F,WORK_TARIFF_RULES!$A:$A,$D79,WORK_TARIFF_RULES!$C:$C,$B79),SUMIFS(TARIFF_PROFILES!$D:$D,TARIFF_PROFILES!$A:$A,$B79)),1),IF($C79="Material",IFERROR(IF(SUMIFS(MATERIAL_TARIFF_RULES!$E:$E,MATERIAL_TARIFF_RULES!$A:$A,$D79,MATERIAL_TARIFF_RULES!$C:$C,$B79)&lt;&gt;"",SUMIFS(MATERIAL_TARIFF_RULES!$E:$E,MATERIAL_TARIFF_RULES!$A:$A,$D79,MATERIAL_TARIFF_RULES!$C:$C,$B79),SUMIFS(TARIFF_PROFILES!$E:$E,TARIFF_PROFILES!$A:$A,$B79)),1),"")))</f>
        <v/>
      </c>
      <c r="K79" s="22" t="str">
        <f>IF($C79="","",IF($C79="Material",IFERROR(SUMIFS(MATERIAL_MASTER!$P:$P,MATERIAL_MASTER!$A:$A,$D79)*IF(SUMIFS(MATERIAL_TARIFF_RULES!$F:$F,MATERIAL_TARIFF_RULES!$A:$A,$D79,MATERIAL_TARIFF_RULES!$C:$C,$B79)="",SUMIFS(TARIFF_PROFILES!$H:$H,TARIFF_PROFILES!$A:$A,$B79),SUMIFS(MATERIAL_TARIFF_RULES!$F:$F,MATERIAL_TARIFF_RULES!$A:$A,$D79,MATERIAL_TARIFF_RULES!$C:$C,$B79)),1),1))</f>
        <v/>
      </c>
      <c r="L79" s="22" t="str">
        <f t="shared" si="8"/>
        <v/>
      </c>
      <c r="M79" s="22" t="str">
        <f t="shared" si="9"/>
        <v/>
      </c>
      <c r="N79" s="22" t="str">
        <f t="shared" si="10"/>
        <v/>
      </c>
      <c r="O79" s="4" t="str">
        <f t="shared" si="11"/>
        <v/>
      </c>
    </row>
    <row r="80" spans="1:15" x14ac:dyDescent="0.3">
      <c r="A80" s="4"/>
      <c r="B80" s="4"/>
      <c r="C80" s="4"/>
      <c r="D80" s="4"/>
      <c r="E80" s="4"/>
      <c r="F80" s="4" t="str">
        <f>IF($C80="","",IF($C80="Work",IFERROR(IF(SUMIFS(WORK_TARIFF_RULES!$G:$G,WORK_TARIFF_RULES!$A:$A,$D80,WORK_TARIFF_RULES!$C:$C,$B80)&lt;&gt;"",SUMIFS(WORK_TARIFF_RULES!$G:$G,WORK_TARIFF_RULES!$A:$A,$D80,WORK_TARIFF_RULES!$C:$C,$B80),SUMIFS(WORK_MASTER!$C:$C,WORK_MASTER!$A:$A,$D80)),""),IF($C80="Material",IFERROR(IF(SUMIFS(MATERIAL_TARIFF_RULES!$G:$G,MATERIAL_TARIFF_RULES!$A:$A,$D80,MATERIAL_TARIFF_RULES!$C:$C,$B80)&lt;&gt;"",SUMIFS(MATERIAL_TARIFF_RULES!$G:$G,MATERIAL_TARIFF_RULES!$A:$A,$D80,MATERIAL_TARIFF_RULES!$C:$C,$B80),SUMIFS(MATERIAL_VARIANTS!$J:$J,MATERIAL_VARIANTS!$A:$A,$E80)),""),"")))</f>
        <v/>
      </c>
      <c r="G80" s="22"/>
      <c r="H80" s="22" t="str">
        <f>IF($C80="","",IF($C80="Work",IFERROR(SUMIFS(WORK_MASTER!$I:$I,WORK_MASTER!$A:$A,$D80),""),IF($C80="Material",IFERROR(SUMIFS(MATERIAL_VARIANTS!$I:$I,MATERIAL_VARIANTS!$A:$A,$E80),""),"")))</f>
        <v/>
      </c>
      <c r="I80" s="22" t="str">
        <f>IF($C80="","",IF($C80="Work",IFERROR(SUMIFS(WORK_FACTOR_APPLICABILITY!$O:$O,WORK_FACTOR_APPLICABILITY!$A:$A,$D80,WORK_FACTOR_APPLICABILITY!$N:$N,$A80),1),IF($C80="Material",IFERROR(ROUND(1+SUMIFS(MATERIAL_FACTOR_APPLICABILITY!$D:$D,MATERIAL_FACTOR_APPLICABILITY!$A:$A,SUMIFS(MATERIAL_MASTER!$O:$O,MATERIAL_MASTER!$A:$A,$D80),MATERIAL_FACTOR_APPLICABILITY!$B:$B,"GeometryComplexity")*(SUMIFS(OBJECT_CONDITIONS!$W:$W,OBJECT_CONDITIONS!$A:$A,$A80)-1),3),1),"")))</f>
        <v/>
      </c>
      <c r="J80" s="22" t="str">
        <f>IF($C80="","",IF($C80="Work",IFERROR(IF(SUMIFS(WORK_TARIFF_RULES!$F:$F,WORK_TARIFF_RULES!$A:$A,$D80,WORK_TARIFF_RULES!$C:$C,$B80)&lt;&gt;"",SUMIFS(WORK_TARIFF_RULES!$F:$F,WORK_TARIFF_RULES!$A:$A,$D80,WORK_TARIFF_RULES!$C:$C,$B80),SUMIFS(TARIFF_PROFILES!$D:$D,TARIFF_PROFILES!$A:$A,$B80)),1),IF($C80="Material",IFERROR(IF(SUMIFS(MATERIAL_TARIFF_RULES!$E:$E,MATERIAL_TARIFF_RULES!$A:$A,$D80,MATERIAL_TARIFF_RULES!$C:$C,$B80)&lt;&gt;"",SUMIFS(MATERIAL_TARIFF_RULES!$E:$E,MATERIAL_TARIFF_RULES!$A:$A,$D80,MATERIAL_TARIFF_RULES!$C:$C,$B80),SUMIFS(TARIFF_PROFILES!$E:$E,TARIFF_PROFILES!$A:$A,$B80)),1),"")))</f>
        <v/>
      </c>
      <c r="K80" s="22" t="str">
        <f>IF($C80="","",IF($C80="Material",IFERROR(SUMIFS(MATERIAL_MASTER!$P:$P,MATERIAL_MASTER!$A:$A,$D80)*IF(SUMIFS(MATERIAL_TARIFF_RULES!$F:$F,MATERIAL_TARIFF_RULES!$A:$A,$D80,MATERIAL_TARIFF_RULES!$C:$C,$B80)="",SUMIFS(TARIFF_PROFILES!$H:$H,TARIFF_PROFILES!$A:$A,$B80),SUMIFS(MATERIAL_TARIFF_RULES!$F:$F,MATERIAL_TARIFF_RULES!$A:$A,$D80,MATERIAL_TARIFF_RULES!$C:$C,$B80)),1),1))</f>
        <v/>
      </c>
      <c r="L80" s="22" t="str">
        <f t="shared" si="8"/>
        <v/>
      </c>
      <c r="M80" s="22" t="str">
        <f t="shared" si="9"/>
        <v/>
      </c>
      <c r="N80" s="22" t="str">
        <f t="shared" si="10"/>
        <v/>
      </c>
      <c r="O80" s="4" t="str">
        <f t="shared" si="11"/>
        <v/>
      </c>
    </row>
    <row r="81" spans="1:15" x14ac:dyDescent="0.3">
      <c r="A81" s="4"/>
      <c r="B81" s="4"/>
      <c r="C81" s="4"/>
      <c r="D81" s="4"/>
      <c r="E81" s="4"/>
      <c r="F81" s="4" t="str">
        <f>IF($C81="","",IF($C81="Work",IFERROR(IF(SUMIFS(WORK_TARIFF_RULES!$G:$G,WORK_TARIFF_RULES!$A:$A,$D81,WORK_TARIFF_RULES!$C:$C,$B81)&lt;&gt;"",SUMIFS(WORK_TARIFF_RULES!$G:$G,WORK_TARIFF_RULES!$A:$A,$D81,WORK_TARIFF_RULES!$C:$C,$B81),SUMIFS(WORK_MASTER!$C:$C,WORK_MASTER!$A:$A,$D81)),""),IF($C81="Material",IFERROR(IF(SUMIFS(MATERIAL_TARIFF_RULES!$G:$G,MATERIAL_TARIFF_RULES!$A:$A,$D81,MATERIAL_TARIFF_RULES!$C:$C,$B81)&lt;&gt;"",SUMIFS(MATERIAL_TARIFF_RULES!$G:$G,MATERIAL_TARIFF_RULES!$A:$A,$D81,MATERIAL_TARIFF_RULES!$C:$C,$B81),SUMIFS(MATERIAL_VARIANTS!$J:$J,MATERIAL_VARIANTS!$A:$A,$E81)),""),"")))</f>
        <v/>
      </c>
      <c r="G81" s="22"/>
      <c r="H81" s="22" t="str">
        <f>IF($C81="","",IF($C81="Work",IFERROR(SUMIFS(WORK_MASTER!$I:$I,WORK_MASTER!$A:$A,$D81),""),IF($C81="Material",IFERROR(SUMIFS(MATERIAL_VARIANTS!$I:$I,MATERIAL_VARIANTS!$A:$A,$E81),""),"")))</f>
        <v/>
      </c>
      <c r="I81" s="22" t="str">
        <f>IF($C81="","",IF($C81="Work",IFERROR(SUMIFS(WORK_FACTOR_APPLICABILITY!$O:$O,WORK_FACTOR_APPLICABILITY!$A:$A,$D81,WORK_FACTOR_APPLICABILITY!$N:$N,$A81),1),IF($C81="Material",IFERROR(ROUND(1+SUMIFS(MATERIAL_FACTOR_APPLICABILITY!$D:$D,MATERIAL_FACTOR_APPLICABILITY!$A:$A,SUMIFS(MATERIAL_MASTER!$O:$O,MATERIAL_MASTER!$A:$A,$D81),MATERIAL_FACTOR_APPLICABILITY!$B:$B,"GeometryComplexity")*(SUMIFS(OBJECT_CONDITIONS!$W:$W,OBJECT_CONDITIONS!$A:$A,$A81)-1),3),1),"")))</f>
        <v/>
      </c>
      <c r="J81" s="22" t="str">
        <f>IF($C81="","",IF($C81="Work",IFERROR(IF(SUMIFS(WORK_TARIFF_RULES!$F:$F,WORK_TARIFF_RULES!$A:$A,$D81,WORK_TARIFF_RULES!$C:$C,$B81)&lt;&gt;"",SUMIFS(WORK_TARIFF_RULES!$F:$F,WORK_TARIFF_RULES!$A:$A,$D81,WORK_TARIFF_RULES!$C:$C,$B81),SUMIFS(TARIFF_PROFILES!$D:$D,TARIFF_PROFILES!$A:$A,$B81)),1),IF($C81="Material",IFERROR(IF(SUMIFS(MATERIAL_TARIFF_RULES!$E:$E,MATERIAL_TARIFF_RULES!$A:$A,$D81,MATERIAL_TARIFF_RULES!$C:$C,$B81)&lt;&gt;"",SUMIFS(MATERIAL_TARIFF_RULES!$E:$E,MATERIAL_TARIFF_RULES!$A:$A,$D81,MATERIAL_TARIFF_RULES!$C:$C,$B81),SUMIFS(TARIFF_PROFILES!$E:$E,TARIFF_PROFILES!$A:$A,$B81)),1),"")))</f>
        <v/>
      </c>
      <c r="K81" s="22" t="str">
        <f>IF($C81="","",IF($C81="Material",IFERROR(SUMIFS(MATERIAL_MASTER!$P:$P,MATERIAL_MASTER!$A:$A,$D81)*IF(SUMIFS(MATERIAL_TARIFF_RULES!$F:$F,MATERIAL_TARIFF_RULES!$A:$A,$D81,MATERIAL_TARIFF_RULES!$C:$C,$B81)="",SUMIFS(TARIFF_PROFILES!$H:$H,TARIFF_PROFILES!$A:$A,$B81),SUMIFS(MATERIAL_TARIFF_RULES!$F:$F,MATERIAL_TARIFF_RULES!$A:$A,$D81,MATERIAL_TARIFF_RULES!$C:$C,$B81)),1),1))</f>
        <v/>
      </c>
      <c r="L81" s="22" t="str">
        <f t="shared" si="8"/>
        <v/>
      </c>
      <c r="M81" s="22" t="str">
        <f t="shared" si="9"/>
        <v/>
      </c>
      <c r="N81" s="22" t="str">
        <f t="shared" si="10"/>
        <v/>
      </c>
      <c r="O81" s="4" t="str">
        <f t="shared" si="11"/>
        <v/>
      </c>
    </row>
    <row r="82" spans="1:15" x14ac:dyDescent="0.3">
      <c r="A82" s="4"/>
      <c r="B82" s="4"/>
      <c r="C82" s="4"/>
      <c r="D82" s="4"/>
      <c r="E82" s="4"/>
      <c r="F82" s="4" t="str">
        <f>IF($C82="","",IF($C82="Work",IFERROR(IF(SUMIFS(WORK_TARIFF_RULES!$G:$G,WORK_TARIFF_RULES!$A:$A,$D82,WORK_TARIFF_RULES!$C:$C,$B82)&lt;&gt;"",SUMIFS(WORK_TARIFF_RULES!$G:$G,WORK_TARIFF_RULES!$A:$A,$D82,WORK_TARIFF_RULES!$C:$C,$B82),SUMIFS(WORK_MASTER!$C:$C,WORK_MASTER!$A:$A,$D82)),""),IF($C82="Material",IFERROR(IF(SUMIFS(MATERIAL_TARIFF_RULES!$G:$G,MATERIAL_TARIFF_RULES!$A:$A,$D82,MATERIAL_TARIFF_RULES!$C:$C,$B82)&lt;&gt;"",SUMIFS(MATERIAL_TARIFF_RULES!$G:$G,MATERIAL_TARIFF_RULES!$A:$A,$D82,MATERIAL_TARIFF_RULES!$C:$C,$B82),SUMIFS(MATERIAL_VARIANTS!$J:$J,MATERIAL_VARIANTS!$A:$A,$E82)),""),"")))</f>
        <v/>
      </c>
      <c r="G82" s="22"/>
      <c r="H82" s="22" t="str">
        <f>IF($C82="","",IF($C82="Work",IFERROR(SUMIFS(WORK_MASTER!$I:$I,WORK_MASTER!$A:$A,$D82),""),IF($C82="Material",IFERROR(SUMIFS(MATERIAL_VARIANTS!$I:$I,MATERIAL_VARIANTS!$A:$A,$E82),""),"")))</f>
        <v/>
      </c>
      <c r="I82" s="22" t="str">
        <f>IF($C82="","",IF($C82="Work",IFERROR(SUMIFS(WORK_FACTOR_APPLICABILITY!$O:$O,WORK_FACTOR_APPLICABILITY!$A:$A,$D82,WORK_FACTOR_APPLICABILITY!$N:$N,$A82),1),IF($C82="Material",IFERROR(ROUND(1+SUMIFS(MATERIAL_FACTOR_APPLICABILITY!$D:$D,MATERIAL_FACTOR_APPLICABILITY!$A:$A,SUMIFS(MATERIAL_MASTER!$O:$O,MATERIAL_MASTER!$A:$A,$D82),MATERIAL_FACTOR_APPLICABILITY!$B:$B,"GeometryComplexity")*(SUMIFS(OBJECT_CONDITIONS!$W:$W,OBJECT_CONDITIONS!$A:$A,$A82)-1),3),1),"")))</f>
        <v/>
      </c>
      <c r="J82" s="22" t="str">
        <f>IF($C82="","",IF($C82="Work",IFERROR(IF(SUMIFS(WORK_TARIFF_RULES!$F:$F,WORK_TARIFF_RULES!$A:$A,$D82,WORK_TARIFF_RULES!$C:$C,$B82)&lt;&gt;"",SUMIFS(WORK_TARIFF_RULES!$F:$F,WORK_TARIFF_RULES!$A:$A,$D82,WORK_TARIFF_RULES!$C:$C,$B82),SUMIFS(TARIFF_PROFILES!$D:$D,TARIFF_PROFILES!$A:$A,$B82)),1),IF($C82="Material",IFERROR(IF(SUMIFS(MATERIAL_TARIFF_RULES!$E:$E,MATERIAL_TARIFF_RULES!$A:$A,$D82,MATERIAL_TARIFF_RULES!$C:$C,$B82)&lt;&gt;"",SUMIFS(MATERIAL_TARIFF_RULES!$E:$E,MATERIAL_TARIFF_RULES!$A:$A,$D82,MATERIAL_TARIFF_RULES!$C:$C,$B82),SUMIFS(TARIFF_PROFILES!$E:$E,TARIFF_PROFILES!$A:$A,$B82)),1),"")))</f>
        <v/>
      </c>
      <c r="K82" s="22" t="str">
        <f>IF($C82="","",IF($C82="Material",IFERROR(SUMIFS(MATERIAL_MASTER!$P:$P,MATERIAL_MASTER!$A:$A,$D82)*IF(SUMIFS(MATERIAL_TARIFF_RULES!$F:$F,MATERIAL_TARIFF_RULES!$A:$A,$D82,MATERIAL_TARIFF_RULES!$C:$C,$B82)="",SUMIFS(TARIFF_PROFILES!$H:$H,TARIFF_PROFILES!$A:$A,$B82),SUMIFS(MATERIAL_TARIFF_RULES!$F:$F,MATERIAL_TARIFF_RULES!$A:$A,$D82,MATERIAL_TARIFF_RULES!$C:$C,$B82)),1),1))</f>
        <v/>
      </c>
      <c r="L82" s="22" t="str">
        <f t="shared" si="8"/>
        <v/>
      </c>
      <c r="M82" s="22" t="str">
        <f t="shared" si="9"/>
        <v/>
      </c>
      <c r="N82" s="22" t="str">
        <f t="shared" si="10"/>
        <v/>
      </c>
      <c r="O82" s="4" t="str">
        <f t="shared" si="11"/>
        <v/>
      </c>
    </row>
    <row r="83" spans="1:15" x14ac:dyDescent="0.3">
      <c r="A83" s="4"/>
      <c r="B83" s="4"/>
      <c r="C83" s="4"/>
      <c r="D83" s="4"/>
      <c r="E83" s="4"/>
      <c r="F83" s="4" t="str">
        <f>IF($C83="","",IF($C83="Work",IFERROR(IF(SUMIFS(WORK_TARIFF_RULES!$G:$G,WORK_TARIFF_RULES!$A:$A,$D83,WORK_TARIFF_RULES!$C:$C,$B83)&lt;&gt;"",SUMIFS(WORK_TARIFF_RULES!$G:$G,WORK_TARIFF_RULES!$A:$A,$D83,WORK_TARIFF_RULES!$C:$C,$B83),SUMIFS(WORK_MASTER!$C:$C,WORK_MASTER!$A:$A,$D83)),""),IF($C83="Material",IFERROR(IF(SUMIFS(MATERIAL_TARIFF_RULES!$G:$G,MATERIAL_TARIFF_RULES!$A:$A,$D83,MATERIAL_TARIFF_RULES!$C:$C,$B83)&lt;&gt;"",SUMIFS(MATERIAL_TARIFF_RULES!$G:$G,MATERIAL_TARIFF_RULES!$A:$A,$D83,MATERIAL_TARIFF_RULES!$C:$C,$B83),SUMIFS(MATERIAL_VARIANTS!$J:$J,MATERIAL_VARIANTS!$A:$A,$E83)),""),"")))</f>
        <v/>
      </c>
      <c r="G83" s="22"/>
      <c r="H83" s="22" t="str">
        <f>IF($C83="","",IF($C83="Work",IFERROR(SUMIFS(WORK_MASTER!$I:$I,WORK_MASTER!$A:$A,$D83),""),IF($C83="Material",IFERROR(SUMIFS(MATERIAL_VARIANTS!$I:$I,MATERIAL_VARIANTS!$A:$A,$E83),""),"")))</f>
        <v/>
      </c>
      <c r="I83" s="22" t="str">
        <f>IF($C83="","",IF($C83="Work",IFERROR(SUMIFS(WORK_FACTOR_APPLICABILITY!$O:$O,WORK_FACTOR_APPLICABILITY!$A:$A,$D83,WORK_FACTOR_APPLICABILITY!$N:$N,$A83),1),IF($C83="Material",IFERROR(ROUND(1+SUMIFS(MATERIAL_FACTOR_APPLICABILITY!$D:$D,MATERIAL_FACTOR_APPLICABILITY!$A:$A,SUMIFS(MATERIAL_MASTER!$O:$O,MATERIAL_MASTER!$A:$A,$D83),MATERIAL_FACTOR_APPLICABILITY!$B:$B,"GeometryComplexity")*(SUMIFS(OBJECT_CONDITIONS!$W:$W,OBJECT_CONDITIONS!$A:$A,$A83)-1),3),1),"")))</f>
        <v/>
      </c>
      <c r="J83" s="22" t="str">
        <f>IF($C83="","",IF($C83="Work",IFERROR(IF(SUMIFS(WORK_TARIFF_RULES!$F:$F,WORK_TARIFF_RULES!$A:$A,$D83,WORK_TARIFF_RULES!$C:$C,$B83)&lt;&gt;"",SUMIFS(WORK_TARIFF_RULES!$F:$F,WORK_TARIFF_RULES!$A:$A,$D83,WORK_TARIFF_RULES!$C:$C,$B83),SUMIFS(TARIFF_PROFILES!$D:$D,TARIFF_PROFILES!$A:$A,$B83)),1),IF($C83="Material",IFERROR(IF(SUMIFS(MATERIAL_TARIFF_RULES!$E:$E,MATERIAL_TARIFF_RULES!$A:$A,$D83,MATERIAL_TARIFF_RULES!$C:$C,$B83)&lt;&gt;"",SUMIFS(MATERIAL_TARIFF_RULES!$E:$E,MATERIAL_TARIFF_RULES!$A:$A,$D83,MATERIAL_TARIFF_RULES!$C:$C,$B83),SUMIFS(TARIFF_PROFILES!$E:$E,TARIFF_PROFILES!$A:$A,$B83)),1),"")))</f>
        <v/>
      </c>
      <c r="K83" s="22" t="str">
        <f>IF($C83="","",IF($C83="Material",IFERROR(SUMIFS(MATERIAL_MASTER!$P:$P,MATERIAL_MASTER!$A:$A,$D83)*IF(SUMIFS(MATERIAL_TARIFF_RULES!$F:$F,MATERIAL_TARIFF_RULES!$A:$A,$D83,MATERIAL_TARIFF_RULES!$C:$C,$B83)="",SUMIFS(TARIFF_PROFILES!$H:$H,TARIFF_PROFILES!$A:$A,$B83),SUMIFS(MATERIAL_TARIFF_RULES!$F:$F,MATERIAL_TARIFF_RULES!$A:$A,$D83,MATERIAL_TARIFF_RULES!$C:$C,$B83)),1),1))</f>
        <v/>
      </c>
      <c r="L83" s="22" t="str">
        <f t="shared" si="8"/>
        <v/>
      </c>
      <c r="M83" s="22" t="str">
        <f t="shared" si="9"/>
        <v/>
      </c>
      <c r="N83" s="22" t="str">
        <f t="shared" si="10"/>
        <v/>
      </c>
      <c r="O83" s="4" t="str">
        <f t="shared" si="11"/>
        <v/>
      </c>
    </row>
    <row r="84" spans="1:15" x14ac:dyDescent="0.3">
      <c r="A84" s="4"/>
      <c r="B84" s="4"/>
      <c r="C84" s="4"/>
      <c r="D84" s="4"/>
      <c r="E84" s="4"/>
      <c r="F84" s="4" t="str">
        <f>IF($C84="","",IF($C84="Work",IFERROR(IF(SUMIFS(WORK_TARIFF_RULES!$G:$G,WORK_TARIFF_RULES!$A:$A,$D84,WORK_TARIFF_RULES!$C:$C,$B84)&lt;&gt;"",SUMIFS(WORK_TARIFF_RULES!$G:$G,WORK_TARIFF_RULES!$A:$A,$D84,WORK_TARIFF_RULES!$C:$C,$B84),SUMIFS(WORK_MASTER!$C:$C,WORK_MASTER!$A:$A,$D84)),""),IF($C84="Material",IFERROR(IF(SUMIFS(MATERIAL_TARIFF_RULES!$G:$G,MATERIAL_TARIFF_RULES!$A:$A,$D84,MATERIAL_TARIFF_RULES!$C:$C,$B84)&lt;&gt;"",SUMIFS(MATERIAL_TARIFF_RULES!$G:$G,MATERIAL_TARIFF_RULES!$A:$A,$D84,MATERIAL_TARIFF_RULES!$C:$C,$B84),SUMIFS(MATERIAL_VARIANTS!$J:$J,MATERIAL_VARIANTS!$A:$A,$E84)),""),"")))</f>
        <v/>
      </c>
      <c r="G84" s="22"/>
      <c r="H84" s="22" t="str">
        <f>IF($C84="","",IF($C84="Work",IFERROR(SUMIFS(WORK_MASTER!$I:$I,WORK_MASTER!$A:$A,$D84),""),IF($C84="Material",IFERROR(SUMIFS(MATERIAL_VARIANTS!$I:$I,MATERIAL_VARIANTS!$A:$A,$E84),""),"")))</f>
        <v/>
      </c>
      <c r="I84" s="22" t="str">
        <f>IF($C84="","",IF($C84="Work",IFERROR(SUMIFS(WORK_FACTOR_APPLICABILITY!$O:$O,WORK_FACTOR_APPLICABILITY!$A:$A,$D84,WORK_FACTOR_APPLICABILITY!$N:$N,$A84),1),IF($C84="Material",IFERROR(ROUND(1+SUMIFS(MATERIAL_FACTOR_APPLICABILITY!$D:$D,MATERIAL_FACTOR_APPLICABILITY!$A:$A,SUMIFS(MATERIAL_MASTER!$O:$O,MATERIAL_MASTER!$A:$A,$D84),MATERIAL_FACTOR_APPLICABILITY!$B:$B,"GeometryComplexity")*(SUMIFS(OBJECT_CONDITIONS!$W:$W,OBJECT_CONDITIONS!$A:$A,$A84)-1),3),1),"")))</f>
        <v/>
      </c>
      <c r="J84" s="22" t="str">
        <f>IF($C84="","",IF($C84="Work",IFERROR(IF(SUMIFS(WORK_TARIFF_RULES!$F:$F,WORK_TARIFF_RULES!$A:$A,$D84,WORK_TARIFF_RULES!$C:$C,$B84)&lt;&gt;"",SUMIFS(WORK_TARIFF_RULES!$F:$F,WORK_TARIFF_RULES!$A:$A,$D84,WORK_TARIFF_RULES!$C:$C,$B84),SUMIFS(TARIFF_PROFILES!$D:$D,TARIFF_PROFILES!$A:$A,$B84)),1),IF($C84="Material",IFERROR(IF(SUMIFS(MATERIAL_TARIFF_RULES!$E:$E,MATERIAL_TARIFF_RULES!$A:$A,$D84,MATERIAL_TARIFF_RULES!$C:$C,$B84)&lt;&gt;"",SUMIFS(MATERIAL_TARIFF_RULES!$E:$E,MATERIAL_TARIFF_RULES!$A:$A,$D84,MATERIAL_TARIFF_RULES!$C:$C,$B84),SUMIFS(TARIFF_PROFILES!$E:$E,TARIFF_PROFILES!$A:$A,$B84)),1),"")))</f>
        <v/>
      </c>
      <c r="K84" s="22" t="str">
        <f>IF($C84="","",IF($C84="Material",IFERROR(SUMIFS(MATERIAL_MASTER!$P:$P,MATERIAL_MASTER!$A:$A,$D84)*IF(SUMIFS(MATERIAL_TARIFF_RULES!$F:$F,MATERIAL_TARIFF_RULES!$A:$A,$D84,MATERIAL_TARIFF_RULES!$C:$C,$B84)="",SUMIFS(TARIFF_PROFILES!$H:$H,TARIFF_PROFILES!$A:$A,$B84),SUMIFS(MATERIAL_TARIFF_RULES!$F:$F,MATERIAL_TARIFF_RULES!$A:$A,$D84,MATERIAL_TARIFF_RULES!$C:$C,$B84)),1),1))</f>
        <v/>
      </c>
      <c r="L84" s="22" t="str">
        <f t="shared" si="8"/>
        <v/>
      </c>
      <c r="M84" s="22" t="str">
        <f t="shared" si="9"/>
        <v/>
      </c>
      <c r="N84" s="22" t="str">
        <f t="shared" si="10"/>
        <v/>
      </c>
      <c r="O84" s="4" t="str">
        <f t="shared" si="11"/>
        <v/>
      </c>
    </row>
    <row r="85" spans="1:15" x14ac:dyDescent="0.3">
      <c r="A85" s="4"/>
      <c r="B85" s="4"/>
      <c r="C85" s="4"/>
      <c r="D85" s="4"/>
      <c r="E85" s="4"/>
      <c r="F85" s="4" t="str">
        <f>IF($C85="","",IF($C85="Work",IFERROR(IF(SUMIFS(WORK_TARIFF_RULES!$G:$G,WORK_TARIFF_RULES!$A:$A,$D85,WORK_TARIFF_RULES!$C:$C,$B85)&lt;&gt;"",SUMIFS(WORK_TARIFF_RULES!$G:$G,WORK_TARIFF_RULES!$A:$A,$D85,WORK_TARIFF_RULES!$C:$C,$B85),SUMIFS(WORK_MASTER!$C:$C,WORK_MASTER!$A:$A,$D85)),""),IF($C85="Material",IFERROR(IF(SUMIFS(MATERIAL_TARIFF_RULES!$G:$G,MATERIAL_TARIFF_RULES!$A:$A,$D85,MATERIAL_TARIFF_RULES!$C:$C,$B85)&lt;&gt;"",SUMIFS(MATERIAL_TARIFF_RULES!$G:$G,MATERIAL_TARIFF_RULES!$A:$A,$D85,MATERIAL_TARIFF_RULES!$C:$C,$B85),SUMIFS(MATERIAL_VARIANTS!$J:$J,MATERIAL_VARIANTS!$A:$A,$E85)),""),"")))</f>
        <v/>
      </c>
      <c r="G85" s="22"/>
      <c r="H85" s="22" t="str">
        <f>IF($C85="","",IF($C85="Work",IFERROR(SUMIFS(WORK_MASTER!$I:$I,WORK_MASTER!$A:$A,$D85),""),IF($C85="Material",IFERROR(SUMIFS(MATERIAL_VARIANTS!$I:$I,MATERIAL_VARIANTS!$A:$A,$E85),""),"")))</f>
        <v/>
      </c>
      <c r="I85" s="22" t="str">
        <f>IF($C85="","",IF($C85="Work",IFERROR(SUMIFS(WORK_FACTOR_APPLICABILITY!$O:$O,WORK_FACTOR_APPLICABILITY!$A:$A,$D85,WORK_FACTOR_APPLICABILITY!$N:$N,$A85),1),IF($C85="Material",IFERROR(ROUND(1+SUMIFS(MATERIAL_FACTOR_APPLICABILITY!$D:$D,MATERIAL_FACTOR_APPLICABILITY!$A:$A,SUMIFS(MATERIAL_MASTER!$O:$O,MATERIAL_MASTER!$A:$A,$D85),MATERIAL_FACTOR_APPLICABILITY!$B:$B,"GeometryComplexity")*(SUMIFS(OBJECT_CONDITIONS!$W:$W,OBJECT_CONDITIONS!$A:$A,$A85)-1),3),1),"")))</f>
        <v/>
      </c>
      <c r="J85" s="22" t="str">
        <f>IF($C85="","",IF($C85="Work",IFERROR(IF(SUMIFS(WORK_TARIFF_RULES!$F:$F,WORK_TARIFF_RULES!$A:$A,$D85,WORK_TARIFF_RULES!$C:$C,$B85)&lt;&gt;"",SUMIFS(WORK_TARIFF_RULES!$F:$F,WORK_TARIFF_RULES!$A:$A,$D85,WORK_TARIFF_RULES!$C:$C,$B85),SUMIFS(TARIFF_PROFILES!$D:$D,TARIFF_PROFILES!$A:$A,$B85)),1),IF($C85="Material",IFERROR(IF(SUMIFS(MATERIAL_TARIFF_RULES!$E:$E,MATERIAL_TARIFF_RULES!$A:$A,$D85,MATERIAL_TARIFF_RULES!$C:$C,$B85)&lt;&gt;"",SUMIFS(MATERIAL_TARIFF_RULES!$E:$E,MATERIAL_TARIFF_RULES!$A:$A,$D85,MATERIAL_TARIFF_RULES!$C:$C,$B85),SUMIFS(TARIFF_PROFILES!$E:$E,TARIFF_PROFILES!$A:$A,$B85)),1),"")))</f>
        <v/>
      </c>
      <c r="K85" s="22" t="str">
        <f>IF($C85="","",IF($C85="Material",IFERROR(SUMIFS(MATERIAL_MASTER!$P:$P,MATERIAL_MASTER!$A:$A,$D85)*IF(SUMIFS(MATERIAL_TARIFF_RULES!$F:$F,MATERIAL_TARIFF_RULES!$A:$A,$D85,MATERIAL_TARIFF_RULES!$C:$C,$B85)="",SUMIFS(TARIFF_PROFILES!$H:$H,TARIFF_PROFILES!$A:$A,$B85),SUMIFS(MATERIAL_TARIFF_RULES!$F:$F,MATERIAL_TARIFF_RULES!$A:$A,$D85,MATERIAL_TARIFF_RULES!$C:$C,$B85)),1),1))</f>
        <v/>
      </c>
      <c r="L85" s="22" t="str">
        <f t="shared" si="8"/>
        <v/>
      </c>
      <c r="M85" s="22" t="str">
        <f t="shared" si="9"/>
        <v/>
      </c>
      <c r="N85" s="22" t="str">
        <f t="shared" si="10"/>
        <v/>
      </c>
      <c r="O85" s="4" t="str">
        <f t="shared" si="11"/>
        <v/>
      </c>
    </row>
    <row r="86" spans="1:15" x14ac:dyDescent="0.3">
      <c r="A86" s="4"/>
      <c r="B86" s="4"/>
      <c r="C86" s="4"/>
      <c r="D86" s="4"/>
      <c r="E86" s="4"/>
      <c r="F86" s="4" t="str">
        <f>IF($C86="","",IF($C86="Work",IFERROR(IF(SUMIFS(WORK_TARIFF_RULES!$G:$G,WORK_TARIFF_RULES!$A:$A,$D86,WORK_TARIFF_RULES!$C:$C,$B86)&lt;&gt;"",SUMIFS(WORK_TARIFF_RULES!$G:$G,WORK_TARIFF_RULES!$A:$A,$D86,WORK_TARIFF_RULES!$C:$C,$B86),SUMIFS(WORK_MASTER!$C:$C,WORK_MASTER!$A:$A,$D86)),""),IF($C86="Material",IFERROR(IF(SUMIFS(MATERIAL_TARIFF_RULES!$G:$G,MATERIAL_TARIFF_RULES!$A:$A,$D86,MATERIAL_TARIFF_RULES!$C:$C,$B86)&lt;&gt;"",SUMIFS(MATERIAL_TARIFF_RULES!$G:$G,MATERIAL_TARIFF_RULES!$A:$A,$D86,MATERIAL_TARIFF_RULES!$C:$C,$B86),SUMIFS(MATERIAL_VARIANTS!$J:$J,MATERIAL_VARIANTS!$A:$A,$E86)),""),"")))</f>
        <v/>
      </c>
      <c r="G86" s="22"/>
      <c r="H86" s="22" t="str">
        <f>IF($C86="","",IF($C86="Work",IFERROR(SUMIFS(WORK_MASTER!$I:$I,WORK_MASTER!$A:$A,$D86),""),IF($C86="Material",IFERROR(SUMIFS(MATERIAL_VARIANTS!$I:$I,MATERIAL_VARIANTS!$A:$A,$E86),""),"")))</f>
        <v/>
      </c>
      <c r="I86" s="22" t="str">
        <f>IF($C86="","",IF($C86="Work",IFERROR(SUMIFS(WORK_FACTOR_APPLICABILITY!$O:$O,WORK_FACTOR_APPLICABILITY!$A:$A,$D86,WORK_FACTOR_APPLICABILITY!$N:$N,$A86),1),IF($C86="Material",IFERROR(ROUND(1+SUMIFS(MATERIAL_FACTOR_APPLICABILITY!$D:$D,MATERIAL_FACTOR_APPLICABILITY!$A:$A,SUMIFS(MATERIAL_MASTER!$O:$O,MATERIAL_MASTER!$A:$A,$D86),MATERIAL_FACTOR_APPLICABILITY!$B:$B,"GeometryComplexity")*(SUMIFS(OBJECT_CONDITIONS!$W:$W,OBJECT_CONDITIONS!$A:$A,$A86)-1),3),1),"")))</f>
        <v/>
      </c>
      <c r="J86" s="22" t="str">
        <f>IF($C86="","",IF($C86="Work",IFERROR(IF(SUMIFS(WORK_TARIFF_RULES!$F:$F,WORK_TARIFF_RULES!$A:$A,$D86,WORK_TARIFF_RULES!$C:$C,$B86)&lt;&gt;"",SUMIFS(WORK_TARIFF_RULES!$F:$F,WORK_TARIFF_RULES!$A:$A,$D86,WORK_TARIFF_RULES!$C:$C,$B86),SUMIFS(TARIFF_PROFILES!$D:$D,TARIFF_PROFILES!$A:$A,$B86)),1),IF($C86="Material",IFERROR(IF(SUMIFS(MATERIAL_TARIFF_RULES!$E:$E,MATERIAL_TARIFF_RULES!$A:$A,$D86,MATERIAL_TARIFF_RULES!$C:$C,$B86)&lt;&gt;"",SUMIFS(MATERIAL_TARIFF_RULES!$E:$E,MATERIAL_TARIFF_RULES!$A:$A,$D86,MATERIAL_TARIFF_RULES!$C:$C,$B86),SUMIFS(TARIFF_PROFILES!$E:$E,TARIFF_PROFILES!$A:$A,$B86)),1),"")))</f>
        <v/>
      </c>
      <c r="K86" s="22" t="str">
        <f>IF($C86="","",IF($C86="Material",IFERROR(SUMIFS(MATERIAL_MASTER!$P:$P,MATERIAL_MASTER!$A:$A,$D86)*IF(SUMIFS(MATERIAL_TARIFF_RULES!$F:$F,MATERIAL_TARIFF_RULES!$A:$A,$D86,MATERIAL_TARIFF_RULES!$C:$C,$B86)="",SUMIFS(TARIFF_PROFILES!$H:$H,TARIFF_PROFILES!$A:$A,$B86),SUMIFS(MATERIAL_TARIFF_RULES!$F:$F,MATERIAL_TARIFF_RULES!$A:$A,$D86,MATERIAL_TARIFF_RULES!$C:$C,$B86)),1),1))</f>
        <v/>
      </c>
      <c r="L86" s="22" t="str">
        <f t="shared" si="8"/>
        <v/>
      </c>
      <c r="M86" s="22" t="str">
        <f t="shared" si="9"/>
        <v/>
      </c>
      <c r="N86" s="22" t="str">
        <f t="shared" si="10"/>
        <v/>
      </c>
      <c r="O86" s="4" t="str">
        <f t="shared" si="11"/>
        <v/>
      </c>
    </row>
    <row r="87" spans="1:15" x14ac:dyDescent="0.3">
      <c r="A87" s="4"/>
      <c r="B87" s="4"/>
      <c r="C87" s="4"/>
      <c r="D87" s="4"/>
      <c r="E87" s="4"/>
      <c r="F87" s="4" t="str">
        <f>IF($C87="","",IF($C87="Work",IFERROR(IF(SUMIFS(WORK_TARIFF_RULES!$G:$G,WORK_TARIFF_RULES!$A:$A,$D87,WORK_TARIFF_RULES!$C:$C,$B87)&lt;&gt;"",SUMIFS(WORK_TARIFF_RULES!$G:$G,WORK_TARIFF_RULES!$A:$A,$D87,WORK_TARIFF_RULES!$C:$C,$B87),SUMIFS(WORK_MASTER!$C:$C,WORK_MASTER!$A:$A,$D87)),""),IF($C87="Material",IFERROR(IF(SUMIFS(MATERIAL_TARIFF_RULES!$G:$G,MATERIAL_TARIFF_RULES!$A:$A,$D87,MATERIAL_TARIFF_RULES!$C:$C,$B87)&lt;&gt;"",SUMIFS(MATERIAL_TARIFF_RULES!$G:$G,MATERIAL_TARIFF_RULES!$A:$A,$D87,MATERIAL_TARIFF_RULES!$C:$C,$B87),SUMIFS(MATERIAL_VARIANTS!$J:$J,MATERIAL_VARIANTS!$A:$A,$E87)),""),"")))</f>
        <v/>
      </c>
      <c r="G87" s="22"/>
      <c r="H87" s="22" t="str">
        <f>IF($C87="","",IF($C87="Work",IFERROR(SUMIFS(WORK_MASTER!$I:$I,WORK_MASTER!$A:$A,$D87),""),IF($C87="Material",IFERROR(SUMIFS(MATERIAL_VARIANTS!$I:$I,MATERIAL_VARIANTS!$A:$A,$E87),""),"")))</f>
        <v/>
      </c>
      <c r="I87" s="22" t="str">
        <f>IF($C87="","",IF($C87="Work",IFERROR(SUMIFS(WORK_FACTOR_APPLICABILITY!$O:$O,WORK_FACTOR_APPLICABILITY!$A:$A,$D87,WORK_FACTOR_APPLICABILITY!$N:$N,$A87),1),IF($C87="Material",IFERROR(ROUND(1+SUMIFS(MATERIAL_FACTOR_APPLICABILITY!$D:$D,MATERIAL_FACTOR_APPLICABILITY!$A:$A,SUMIFS(MATERIAL_MASTER!$O:$O,MATERIAL_MASTER!$A:$A,$D87),MATERIAL_FACTOR_APPLICABILITY!$B:$B,"GeometryComplexity")*(SUMIFS(OBJECT_CONDITIONS!$W:$W,OBJECT_CONDITIONS!$A:$A,$A87)-1),3),1),"")))</f>
        <v/>
      </c>
      <c r="J87" s="22" t="str">
        <f>IF($C87="","",IF($C87="Work",IFERROR(IF(SUMIFS(WORK_TARIFF_RULES!$F:$F,WORK_TARIFF_RULES!$A:$A,$D87,WORK_TARIFF_RULES!$C:$C,$B87)&lt;&gt;"",SUMIFS(WORK_TARIFF_RULES!$F:$F,WORK_TARIFF_RULES!$A:$A,$D87,WORK_TARIFF_RULES!$C:$C,$B87),SUMIFS(TARIFF_PROFILES!$D:$D,TARIFF_PROFILES!$A:$A,$B87)),1),IF($C87="Material",IFERROR(IF(SUMIFS(MATERIAL_TARIFF_RULES!$E:$E,MATERIAL_TARIFF_RULES!$A:$A,$D87,MATERIAL_TARIFF_RULES!$C:$C,$B87)&lt;&gt;"",SUMIFS(MATERIAL_TARIFF_RULES!$E:$E,MATERIAL_TARIFF_RULES!$A:$A,$D87,MATERIAL_TARIFF_RULES!$C:$C,$B87),SUMIFS(TARIFF_PROFILES!$E:$E,TARIFF_PROFILES!$A:$A,$B87)),1),"")))</f>
        <v/>
      </c>
      <c r="K87" s="22" t="str">
        <f>IF($C87="","",IF($C87="Material",IFERROR(SUMIFS(MATERIAL_MASTER!$P:$P,MATERIAL_MASTER!$A:$A,$D87)*IF(SUMIFS(MATERIAL_TARIFF_RULES!$F:$F,MATERIAL_TARIFF_RULES!$A:$A,$D87,MATERIAL_TARIFF_RULES!$C:$C,$B87)="",SUMIFS(TARIFF_PROFILES!$H:$H,TARIFF_PROFILES!$A:$A,$B87),SUMIFS(MATERIAL_TARIFF_RULES!$F:$F,MATERIAL_TARIFF_RULES!$A:$A,$D87,MATERIAL_TARIFF_RULES!$C:$C,$B87)),1),1))</f>
        <v/>
      </c>
      <c r="L87" s="22" t="str">
        <f t="shared" si="8"/>
        <v/>
      </c>
      <c r="M87" s="22" t="str">
        <f t="shared" si="9"/>
        <v/>
      </c>
      <c r="N87" s="22" t="str">
        <f t="shared" si="10"/>
        <v/>
      </c>
      <c r="O87" s="4" t="str">
        <f t="shared" si="11"/>
        <v/>
      </c>
    </row>
    <row r="88" spans="1:15" x14ac:dyDescent="0.3">
      <c r="A88" s="4"/>
      <c r="B88" s="4"/>
      <c r="C88" s="4"/>
      <c r="D88" s="4"/>
      <c r="E88" s="4"/>
      <c r="F88" s="4" t="str">
        <f>IF($C88="","",IF($C88="Work",IFERROR(IF(SUMIFS(WORK_TARIFF_RULES!$G:$G,WORK_TARIFF_RULES!$A:$A,$D88,WORK_TARIFF_RULES!$C:$C,$B88)&lt;&gt;"",SUMIFS(WORK_TARIFF_RULES!$G:$G,WORK_TARIFF_RULES!$A:$A,$D88,WORK_TARIFF_RULES!$C:$C,$B88),SUMIFS(WORK_MASTER!$C:$C,WORK_MASTER!$A:$A,$D88)),""),IF($C88="Material",IFERROR(IF(SUMIFS(MATERIAL_TARIFF_RULES!$G:$G,MATERIAL_TARIFF_RULES!$A:$A,$D88,MATERIAL_TARIFF_RULES!$C:$C,$B88)&lt;&gt;"",SUMIFS(MATERIAL_TARIFF_RULES!$G:$G,MATERIAL_TARIFF_RULES!$A:$A,$D88,MATERIAL_TARIFF_RULES!$C:$C,$B88),SUMIFS(MATERIAL_VARIANTS!$J:$J,MATERIAL_VARIANTS!$A:$A,$E88)),""),"")))</f>
        <v/>
      </c>
      <c r="G88" s="22"/>
      <c r="H88" s="22" t="str">
        <f>IF($C88="","",IF($C88="Work",IFERROR(SUMIFS(WORK_MASTER!$I:$I,WORK_MASTER!$A:$A,$D88),""),IF($C88="Material",IFERROR(SUMIFS(MATERIAL_VARIANTS!$I:$I,MATERIAL_VARIANTS!$A:$A,$E88),""),"")))</f>
        <v/>
      </c>
      <c r="I88" s="22" t="str">
        <f>IF($C88="","",IF($C88="Work",IFERROR(SUMIFS(WORK_FACTOR_APPLICABILITY!$O:$O,WORK_FACTOR_APPLICABILITY!$A:$A,$D88,WORK_FACTOR_APPLICABILITY!$N:$N,$A88),1),IF($C88="Material",IFERROR(ROUND(1+SUMIFS(MATERIAL_FACTOR_APPLICABILITY!$D:$D,MATERIAL_FACTOR_APPLICABILITY!$A:$A,SUMIFS(MATERIAL_MASTER!$O:$O,MATERIAL_MASTER!$A:$A,$D88),MATERIAL_FACTOR_APPLICABILITY!$B:$B,"GeometryComplexity")*(SUMIFS(OBJECT_CONDITIONS!$W:$W,OBJECT_CONDITIONS!$A:$A,$A88)-1),3),1),"")))</f>
        <v/>
      </c>
      <c r="J88" s="22" t="str">
        <f>IF($C88="","",IF($C88="Work",IFERROR(IF(SUMIFS(WORK_TARIFF_RULES!$F:$F,WORK_TARIFF_RULES!$A:$A,$D88,WORK_TARIFF_RULES!$C:$C,$B88)&lt;&gt;"",SUMIFS(WORK_TARIFF_RULES!$F:$F,WORK_TARIFF_RULES!$A:$A,$D88,WORK_TARIFF_RULES!$C:$C,$B88),SUMIFS(TARIFF_PROFILES!$D:$D,TARIFF_PROFILES!$A:$A,$B88)),1),IF($C88="Material",IFERROR(IF(SUMIFS(MATERIAL_TARIFF_RULES!$E:$E,MATERIAL_TARIFF_RULES!$A:$A,$D88,MATERIAL_TARIFF_RULES!$C:$C,$B88)&lt;&gt;"",SUMIFS(MATERIAL_TARIFF_RULES!$E:$E,MATERIAL_TARIFF_RULES!$A:$A,$D88,MATERIAL_TARIFF_RULES!$C:$C,$B88),SUMIFS(TARIFF_PROFILES!$E:$E,TARIFF_PROFILES!$A:$A,$B88)),1),"")))</f>
        <v/>
      </c>
      <c r="K88" s="22" t="str">
        <f>IF($C88="","",IF($C88="Material",IFERROR(SUMIFS(MATERIAL_MASTER!$P:$P,MATERIAL_MASTER!$A:$A,$D88)*IF(SUMIFS(MATERIAL_TARIFF_RULES!$F:$F,MATERIAL_TARIFF_RULES!$A:$A,$D88,MATERIAL_TARIFF_RULES!$C:$C,$B88)="",SUMIFS(TARIFF_PROFILES!$H:$H,TARIFF_PROFILES!$A:$A,$B88),SUMIFS(MATERIAL_TARIFF_RULES!$F:$F,MATERIAL_TARIFF_RULES!$A:$A,$D88,MATERIAL_TARIFF_RULES!$C:$C,$B88)),1),1))</f>
        <v/>
      </c>
      <c r="L88" s="22" t="str">
        <f t="shared" si="8"/>
        <v/>
      </c>
      <c r="M88" s="22" t="str">
        <f t="shared" si="9"/>
        <v/>
      </c>
      <c r="N88" s="22" t="str">
        <f t="shared" si="10"/>
        <v/>
      </c>
      <c r="O88" s="4" t="str">
        <f t="shared" si="11"/>
        <v/>
      </c>
    </row>
    <row r="89" spans="1:15" x14ac:dyDescent="0.3">
      <c r="A89" s="4"/>
      <c r="B89" s="4"/>
      <c r="C89" s="4"/>
      <c r="D89" s="4"/>
      <c r="E89" s="4"/>
      <c r="F89" s="4" t="str">
        <f>IF($C89="","",IF($C89="Work",IFERROR(IF(SUMIFS(WORK_TARIFF_RULES!$G:$G,WORK_TARIFF_RULES!$A:$A,$D89,WORK_TARIFF_RULES!$C:$C,$B89)&lt;&gt;"",SUMIFS(WORK_TARIFF_RULES!$G:$G,WORK_TARIFF_RULES!$A:$A,$D89,WORK_TARIFF_RULES!$C:$C,$B89),SUMIFS(WORK_MASTER!$C:$C,WORK_MASTER!$A:$A,$D89)),""),IF($C89="Material",IFERROR(IF(SUMIFS(MATERIAL_TARIFF_RULES!$G:$G,MATERIAL_TARIFF_RULES!$A:$A,$D89,MATERIAL_TARIFF_RULES!$C:$C,$B89)&lt;&gt;"",SUMIFS(MATERIAL_TARIFF_RULES!$G:$G,MATERIAL_TARIFF_RULES!$A:$A,$D89,MATERIAL_TARIFF_RULES!$C:$C,$B89),SUMIFS(MATERIAL_VARIANTS!$J:$J,MATERIAL_VARIANTS!$A:$A,$E89)),""),"")))</f>
        <v/>
      </c>
      <c r="G89" s="22"/>
      <c r="H89" s="22" t="str">
        <f>IF($C89="","",IF($C89="Work",IFERROR(SUMIFS(WORK_MASTER!$I:$I,WORK_MASTER!$A:$A,$D89),""),IF($C89="Material",IFERROR(SUMIFS(MATERIAL_VARIANTS!$I:$I,MATERIAL_VARIANTS!$A:$A,$E89),""),"")))</f>
        <v/>
      </c>
      <c r="I89" s="22" t="str">
        <f>IF($C89="","",IF($C89="Work",IFERROR(SUMIFS(WORK_FACTOR_APPLICABILITY!$O:$O,WORK_FACTOR_APPLICABILITY!$A:$A,$D89,WORK_FACTOR_APPLICABILITY!$N:$N,$A89),1),IF($C89="Material",IFERROR(ROUND(1+SUMIFS(MATERIAL_FACTOR_APPLICABILITY!$D:$D,MATERIAL_FACTOR_APPLICABILITY!$A:$A,SUMIFS(MATERIAL_MASTER!$O:$O,MATERIAL_MASTER!$A:$A,$D89),MATERIAL_FACTOR_APPLICABILITY!$B:$B,"GeometryComplexity")*(SUMIFS(OBJECT_CONDITIONS!$W:$W,OBJECT_CONDITIONS!$A:$A,$A89)-1),3),1),"")))</f>
        <v/>
      </c>
      <c r="J89" s="22" t="str">
        <f>IF($C89="","",IF($C89="Work",IFERROR(IF(SUMIFS(WORK_TARIFF_RULES!$F:$F,WORK_TARIFF_RULES!$A:$A,$D89,WORK_TARIFF_RULES!$C:$C,$B89)&lt;&gt;"",SUMIFS(WORK_TARIFF_RULES!$F:$F,WORK_TARIFF_RULES!$A:$A,$D89,WORK_TARIFF_RULES!$C:$C,$B89),SUMIFS(TARIFF_PROFILES!$D:$D,TARIFF_PROFILES!$A:$A,$B89)),1),IF($C89="Material",IFERROR(IF(SUMIFS(MATERIAL_TARIFF_RULES!$E:$E,MATERIAL_TARIFF_RULES!$A:$A,$D89,MATERIAL_TARIFF_RULES!$C:$C,$B89)&lt;&gt;"",SUMIFS(MATERIAL_TARIFF_RULES!$E:$E,MATERIAL_TARIFF_RULES!$A:$A,$D89,MATERIAL_TARIFF_RULES!$C:$C,$B89),SUMIFS(TARIFF_PROFILES!$E:$E,TARIFF_PROFILES!$A:$A,$B89)),1),"")))</f>
        <v/>
      </c>
      <c r="K89" s="22" t="str">
        <f>IF($C89="","",IF($C89="Material",IFERROR(SUMIFS(MATERIAL_MASTER!$P:$P,MATERIAL_MASTER!$A:$A,$D89)*IF(SUMIFS(MATERIAL_TARIFF_RULES!$F:$F,MATERIAL_TARIFF_RULES!$A:$A,$D89,MATERIAL_TARIFF_RULES!$C:$C,$B89)="",SUMIFS(TARIFF_PROFILES!$H:$H,TARIFF_PROFILES!$A:$A,$B89),SUMIFS(MATERIAL_TARIFF_RULES!$F:$F,MATERIAL_TARIFF_RULES!$A:$A,$D89,MATERIAL_TARIFF_RULES!$C:$C,$B89)),1),1))</f>
        <v/>
      </c>
      <c r="L89" s="22" t="str">
        <f t="shared" si="8"/>
        <v/>
      </c>
      <c r="M89" s="22" t="str">
        <f t="shared" si="9"/>
        <v/>
      </c>
      <c r="N89" s="22" t="str">
        <f t="shared" si="10"/>
        <v/>
      </c>
      <c r="O89" s="4" t="str">
        <f t="shared" si="11"/>
        <v/>
      </c>
    </row>
    <row r="90" spans="1:15" x14ac:dyDescent="0.3">
      <c r="A90" s="4"/>
      <c r="B90" s="4"/>
      <c r="C90" s="4"/>
      <c r="D90" s="4"/>
      <c r="E90" s="4"/>
      <c r="F90" s="4" t="str">
        <f>IF($C90="","",IF($C90="Work",IFERROR(IF(SUMIFS(WORK_TARIFF_RULES!$G:$G,WORK_TARIFF_RULES!$A:$A,$D90,WORK_TARIFF_RULES!$C:$C,$B90)&lt;&gt;"",SUMIFS(WORK_TARIFF_RULES!$G:$G,WORK_TARIFF_RULES!$A:$A,$D90,WORK_TARIFF_RULES!$C:$C,$B90),SUMIFS(WORK_MASTER!$C:$C,WORK_MASTER!$A:$A,$D90)),""),IF($C90="Material",IFERROR(IF(SUMIFS(MATERIAL_TARIFF_RULES!$G:$G,MATERIAL_TARIFF_RULES!$A:$A,$D90,MATERIAL_TARIFF_RULES!$C:$C,$B90)&lt;&gt;"",SUMIFS(MATERIAL_TARIFF_RULES!$G:$G,MATERIAL_TARIFF_RULES!$A:$A,$D90,MATERIAL_TARIFF_RULES!$C:$C,$B90),SUMIFS(MATERIAL_VARIANTS!$J:$J,MATERIAL_VARIANTS!$A:$A,$E90)),""),"")))</f>
        <v/>
      </c>
      <c r="G90" s="22"/>
      <c r="H90" s="22" t="str">
        <f>IF($C90="","",IF($C90="Work",IFERROR(SUMIFS(WORK_MASTER!$I:$I,WORK_MASTER!$A:$A,$D90),""),IF($C90="Material",IFERROR(SUMIFS(MATERIAL_VARIANTS!$I:$I,MATERIAL_VARIANTS!$A:$A,$E90),""),"")))</f>
        <v/>
      </c>
      <c r="I90" s="22" t="str">
        <f>IF($C90="","",IF($C90="Work",IFERROR(SUMIFS(WORK_FACTOR_APPLICABILITY!$O:$O,WORK_FACTOR_APPLICABILITY!$A:$A,$D90,WORK_FACTOR_APPLICABILITY!$N:$N,$A90),1),IF($C90="Material",IFERROR(ROUND(1+SUMIFS(MATERIAL_FACTOR_APPLICABILITY!$D:$D,MATERIAL_FACTOR_APPLICABILITY!$A:$A,SUMIFS(MATERIAL_MASTER!$O:$O,MATERIAL_MASTER!$A:$A,$D90),MATERIAL_FACTOR_APPLICABILITY!$B:$B,"GeometryComplexity")*(SUMIFS(OBJECT_CONDITIONS!$W:$W,OBJECT_CONDITIONS!$A:$A,$A90)-1),3),1),"")))</f>
        <v/>
      </c>
      <c r="J90" s="22" t="str">
        <f>IF($C90="","",IF($C90="Work",IFERROR(IF(SUMIFS(WORK_TARIFF_RULES!$F:$F,WORK_TARIFF_RULES!$A:$A,$D90,WORK_TARIFF_RULES!$C:$C,$B90)&lt;&gt;"",SUMIFS(WORK_TARIFF_RULES!$F:$F,WORK_TARIFF_RULES!$A:$A,$D90,WORK_TARIFF_RULES!$C:$C,$B90),SUMIFS(TARIFF_PROFILES!$D:$D,TARIFF_PROFILES!$A:$A,$B90)),1),IF($C90="Material",IFERROR(IF(SUMIFS(MATERIAL_TARIFF_RULES!$E:$E,MATERIAL_TARIFF_RULES!$A:$A,$D90,MATERIAL_TARIFF_RULES!$C:$C,$B90)&lt;&gt;"",SUMIFS(MATERIAL_TARIFF_RULES!$E:$E,MATERIAL_TARIFF_RULES!$A:$A,$D90,MATERIAL_TARIFF_RULES!$C:$C,$B90),SUMIFS(TARIFF_PROFILES!$E:$E,TARIFF_PROFILES!$A:$A,$B90)),1),"")))</f>
        <v/>
      </c>
      <c r="K90" s="22" t="str">
        <f>IF($C90="","",IF($C90="Material",IFERROR(SUMIFS(MATERIAL_MASTER!$P:$P,MATERIAL_MASTER!$A:$A,$D90)*IF(SUMIFS(MATERIAL_TARIFF_RULES!$F:$F,MATERIAL_TARIFF_RULES!$A:$A,$D90,MATERIAL_TARIFF_RULES!$C:$C,$B90)="",SUMIFS(TARIFF_PROFILES!$H:$H,TARIFF_PROFILES!$A:$A,$B90),SUMIFS(MATERIAL_TARIFF_RULES!$F:$F,MATERIAL_TARIFF_RULES!$A:$A,$D90,MATERIAL_TARIFF_RULES!$C:$C,$B90)),1),1))</f>
        <v/>
      </c>
      <c r="L90" s="22" t="str">
        <f t="shared" si="8"/>
        <v/>
      </c>
      <c r="M90" s="22" t="str">
        <f t="shared" si="9"/>
        <v/>
      </c>
      <c r="N90" s="22" t="str">
        <f t="shared" si="10"/>
        <v/>
      </c>
      <c r="O90" s="4" t="str">
        <f t="shared" si="11"/>
        <v/>
      </c>
    </row>
    <row r="91" spans="1:15" x14ac:dyDescent="0.3">
      <c r="A91" s="4"/>
      <c r="B91" s="4"/>
      <c r="C91" s="4"/>
      <c r="D91" s="4"/>
      <c r="E91" s="4"/>
      <c r="F91" s="4" t="str">
        <f>IF($C91="","",IF($C91="Work",IFERROR(IF(SUMIFS(WORK_TARIFF_RULES!$G:$G,WORK_TARIFF_RULES!$A:$A,$D91,WORK_TARIFF_RULES!$C:$C,$B91)&lt;&gt;"",SUMIFS(WORK_TARIFF_RULES!$G:$G,WORK_TARIFF_RULES!$A:$A,$D91,WORK_TARIFF_RULES!$C:$C,$B91),SUMIFS(WORK_MASTER!$C:$C,WORK_MASTER!$A:$A,$D91)),""),IF($C91="Material",IFERROR(IF(SUMIFS(MATERIAL_TARIFF_RULES!$G:$G,MATERIAL_TARIFF_RULES!$A:$A,$D91,MATERIAL_TARIFF_RULES!$C:$C,$B91)&lt;&gt;"",SUMIFS(MATERIAL_TARIFF_RULES!$G:$G,MATERIAL_TARIFF_RULES!$A:$A,$D91,MATERIAL_TARIFF_RULES!$C:$C,$B91),SUMIFS(MATERIAL_VARIANTS!$J:$J,MATERIAL_VARIANTS!$A:$A,$E91)),""),"")))</f>
        <v/>
      </c>
      <c r="G91" s="22"/>
      <c r="H91" s="22" t="str">
        <f>IF($C91="","",IF($C91="Work",IFERROR(SUMIFS(WORK_MASTER!$I:$I,WORK_MASTER!$A:$A,$D91),""),IF($C91="Material",IFERROR(SUMIFS(MATERIAL_VARIANTS!$I:$I,MATERIAL_VARIANTS!$A:$A,$E91),""),"")))</f>
        <v/>
      </c>
      <c r="I91" s="22" t="str">
        <f>IF($C91="","",IF($C91="Work",IFERROR(SUMIFS(WORK_FACTOR_APPLICABILITY!$O:$O,WORK_FACTOR_APPLICABILITY!$A:$A,$D91,WORK_FACTOR_APPLICABILITY!$N:$N,$A91),1),IF($C91="Material",IFERROR(ROUND(1+SUMIFS(MATERIAL_FACTOR_APPLICABILITY!$D:$D,MATERIAL_FACTOR_APPLICABILITY!$A:$A,SUMIFS(MATERIAL_MASTER!$O:$O,MATERIAL_MASTER!$A:$A,$D91),MATERIAL_FACTOR_APPLICABILITY!$B:$B,"GeometryComplexity")*(SUMIFS(OBJECT_CONDITIONS!$W:$W,OBJECT_CONDITIONS!$A:$A,$A91)-1),3),1),"")))</f>
        <v/>
      </c>
      <c r="J91" s="22" t="str">
        <f>IF($C91="","",IF($C91="Work",IFERROR(IF(SUMIFS(WORK_TARIFF_RULES!$F:$F,WORK_TARIFF_RULES!$A:$A,$D91,WORK_TARIFF_RULES!$C:$C,$B91)&lt;&gt;"",SUMIFS(WORK_TARIFF_RULES!$F:$F,WORK_TARIFF_RULES!$A:$A,$D91,WORK_TARIFF_RULES!$C:$C,$B91),SUMIFS(TARIFF_PROFILES!$D:$D,TARIFF_PROFILES!$A:$A,$B91)),1),IF($C91="Material",IFERROR(IF(SUMIFS(MATERIAL_TARIFF_RULES!$E:$E,MATERIAL_TARIFF_RULES!$A:$A,$D91,MATERIAL_TARIFF_RULES!$C:$C,$B91)&lt;&gt;"",SUMIFS(MATERIAL_TARIFF_RULES!$E:$E,MATERIAL_TARIFF_RULES!$A:$A,$D91,MATERIAL_TARIFF_RULES!$C:$C,$B91),SUMIFS(TARIFF_PROFILES!$E:$E,TARIFF_PROFILES!$A:$A,$B91)),1),"")))</f>
        <v/>
      </c>
      <c r="K91" s="22" t="str">
        <f>IF($C91="","",IF($C91="Material",IFERROR(SUMIFS(MATERIAL_MASTER!$P:$P,MATERIAL_MASTER!$A:$A,$D91)*IF(SUMIFS(MATERIAL_TARIFF_RULES!$F:$F,MATERIAL_TARIFF_RULES!$A:$A,$D91,MATERIAL_TARIFF_RULES!$C:$C,$B91)="",SUMIFS(TARIFF_PROFILES!$H:$H,TARIFF_PROFILES!$A:$A,$B91),SUMIFS(MATERIAL_TARIFF_RULES!$F:$F,MATERIAL_TARIFF_RULES!$A:$A,$D91,MATERIAL_TARIFF_RULES!$C:$C,$B91)),1),1))</f>
        <v/>
      </c>
      <c r="L91" s="22" t="str">
        <f t="shared" si="8"/>
        <v/>
      </c>
      <c r="M91" s="22" t="str">
        <f t="shared" si="9"/>
        <v/>
      </c>
      <c r="N91" s="22" t="str">
        <f t="shared" si="10"/>
        <v/>
      </c>
      <c r="O91" s="4" t="str">
        <f t="shared" si="11"/>
        <v/>
      </c>
    </row>
    <row r="92" spans="1:15" x14ac:dyDescent="0.3">
      <c r="A92" s="4"/>
      <c r="B92" s="4"/>
      <c r="C92" s="4"/>
      <c r="D92" s="4"/>
      <c r="E92" s="4"/>
      <c r="F92" s="4" t="str">
        <f>IF($C92="","",IF($C92="Work",IFERROR(IF(SUMIFS(WORK_TARIFF_RULES!$G:$G,WORK_TARIFF_RULES!$A:$A,$D92,WORK_TARIFF_RULES!$C:$C,$B92)&lt;&gt;"",SUMIFS(WORK_TARIFF_RULES!$G:$G,WORK_TARIFF_RULES!$A:$A,$D92,WORK_TARIFF_RULES!$C:$C,$B92),SUMIFS(WORK_MASTER!$C:$C,WORK_MASTER!$A:$A,$D92)),""),IF($C92="Material",IFERROR(IF(SUMIFS(MATERIAL_TARIFF_RULES!$G:$G,MATERIAL_TARIFF_RULES!$A:$A,$D92,MATERIAL_TARIFF_RULES!$C:$C,$B92)&lt;&gt;"",SUMIFS(MATERIAL_TARIFF_RULES!$G:$G,MATERIAL_TARIFF_RULES!$A:$A,$D92,MATERIAL_TARIFF_RULES!$C:$C,$B92),SUMIFS(MATERIAL_VARIANTS!$J:$J,MATERIAL_VARIANTS!$A:$A,$E92)),""),"")))</f>
        <v/>
      </c>
      <c r="G92" s="22"/>
      <c r="H92" s="22" t="str">
        <f>IF($C92="","",IF($C92="Work",IFERROR(SUMIFS(WORK_MASTER!$I:$I,WORK_MASTER!$A:$A,$D92),""),IF($C92="Material",IFERROR(SUMIFS(MATERIAL_VARIANTS!$I:$I,MATERIAL_VARIANTS!$A:$A,$E92),""),"")))</f>
        <v/>
      </c>
      <c r="I92" s="22" t="str">
        <f>IF($C92="","",IF($C92="Work",IFERROR(SUMIFS(WORK_FACTOR_APPLICABILITY!$O:$O,WORK_FACTOR_APPLICABILITY!$A:$A,$D92,WORK_FACTOR_APPLICABILITY!$N:$N,$A92),1),IF($C92="Material",IFERROR(ROUND(1+SUMIFS(MATERIAL_FACTOR_APPLICABILITY!$D:$D,MATERIAL_FACTOR_APPLICABILITY!$A:$A,SUMIFS(MATERIAL_MASTER!$O:$O,MATERIAL_MASTER!$A:$A,$D92),MATERIAL_FACTOR_APPLICABILITY!$B:$B,"GeometryComplexity")*(SUMIFS(OBJECT_CONDITIONS!$W:$W,OBJECT_CONDITIONS!$A:$A,$A92)-1),3),1),"")))</f>
        <v/>
      </c>
      <c r="J92" s="22" t="str">
        <f>IF($C92="","",IF($C92="Work",IFERROR(IF(SUMIFS(WORK_TARIFF_RULES!$F:$F,WORK_TARIFF_RULES!$A:$A,$D92,WORK_TARIFF_RULES!$C:$C,$B92)&lt;&gt;"",SUMIFS(WORK_TARIFF_RULES!$F:$F,WORK_TARIFF_RULES!$A:$A,$D92,WORK_TARIFF_RULES!$C:$C,$B92),SUMIFS(TARIFF_PROFILES!$D:$D,TARIFF_PROFILES!$A:$A,$B92)),1),IF($C92="Material",IFERROR(IF(SUMIFS(MATERIAL_TARIFF_RULES!$E:$E,MATERIAL_TARIFF_RULES!$A:$A,$D92,MATERIAL_TARIFF_RULES!$C:$C,$B92)&lt;&gt;"",SUMIFS(MATERIAL_TARIFF_RULES!$E:$E,MATERIAL_TARIFF_RULES!$A:$A,$D92,MATERIAL_TARIFF_RULES!$C:$C,$B92),SUMIFS(TARIFF_PROFILES!$E:$E,TARIFF_PROFILES!$A:$A,$B92)),1),"")))</f>
        <v/>
      </c>
      <c r="K92" s="22" t="str">
        <f>IF($C92="","",IF($C92="Material",IFERROR(SUMIFS(MATERIAL_MASTER!$P:$P,MATERIAL_MASTER!$A:$A,$D92)*IF(SUMIFS(MATERIAL_TARIFF_RULES!$F:$F,MATERIAL_TARIFF_RULES!$A:$A,$D92,MATERIAL_TARIFF_RULES!$C:$C,$B92)="",SUMIFS(TARIFF_PROFILES!$H:$H,TARIFF_PROFILES!$A:$A,$B92),SUMIFS(MATERIAL_TARIFF_RULES!$F:$F,MATERIAL_TARIFF_RULES!$A:$A,$D92,MATERIAL_TARIFF_RULES!$C:$C,$B92)),1),1))</f>
        <v/>
      </c>
      <c r="L92" s="22" t="str">
        <f t="shared" si="8"/>
        <v/>
      </c>
      <c r="M92" s="22" t="str">
        <f t="shared" si="9"/>
        <v/>
      </c>
      <c r="N92" s="22" t="str">
        <f t="shared" si="10"/>
        <v/>
      </c>
      <c r="O92" s="4" t="str">
        <f t="shared" si="11"/>
        <v/>
      </c>
    </row>
    <row r="93" spans="1:15" x14ac:dyDescent="0.3">
      <c r="A93" s="4"/>
      <c r="B93" s="4"/>
      <c r="C93" s="4"/>
      <c r="D93" s="4"/>
      <c r="E93" s="4"/>
      <c r="F93" s="4" t="str">
        <f>IF($C93="","",IF($C93="Work",IFERROR(IF(SUMIFS(WORK_TARIFF_RULES!$G:$G,WORK_TARIFF_RULES!$A:$A,$D93,WORK_TARIFF_RULES!$C:$C,$B93)&lt;&gt;"",SUMIFS(WORK_TARIFF_RULES!$G:$G,WORK_TARIFF_RULES!$A:$A,$D93,WORK_TARIFF_RULES!$C:$C,$B93),SUMIFS(WORK_MASTER!$C:$C,WORK_MASTER!$A:$A,$D93)),""),IF($C93="Material",IFERROR(IF(SUMIFS(MATERIAL_TARIFF_RULES!$G:$G,MATERIAL_TARIFF_RULES!$A:$A,$D93,MATERIAL_TARIFF_RULES!$C:$C,$B93)&lt;&gt;"",SUMIFS(MATERIAL_TARIFF_RULES!$G:$G,MATERIAL_TARIFF_RULES!$A:$A,$D93,MATERIAL_TARIFF_RULES!$C:$C,$B93),SUMIFS(MATERIAL_VARIANTS!$J:$J,MATERIAL_VARIANTS!$A:$A,$E93)),""),"")))</f>
        <v/>
      </c>
      <c r="G93" s="22"/>
      <c r="H93" s="22" t="str">
        <f>IF($C93="","",IF($C93="Work",IFERROR(SUMIFS(WORK_MASTER!$I:$I,WORK_MASTER!$A:$A,$D93),""),IF($C93="Material",IFERROR(SUMIFS(MATERIAL_VARIANTS!$I:$I,MATERIAL_VARIANTS!$A:$A,$E93),""),"")))</f>
        <v/>
      </c>
      <c r="I93" s="22" t="str">
        <f>IF($C93="","",IF($C93="Work",IFERROR(SUMIFS(WORK_FACTOR_APPLICABILITY!$O:$O,WORK_FACTOR_APPLICABILITY!$A:$A,$D93,WORK_FACTOR_APPLICABILITY!$N:$N,$A93),1),IF($C93="Material",IFERROR(ROUND(1+SUMIFS(MATERIAL_FACTOR_APPLICABILITY!$D:$D,MATERIAL_FACTOR_APPLICABILITY!$A:$A,SUMIFS(MATERIAL_MASTER!$O:$O,MATERIAL_MASTER!$A:$A,$D93),MATERIAL_FACTOR_APPLICABILITY!$B:$B,"GeometryComplexity")*(SUMIFS(OBJECT_CONDITIONS!$W:$W,OBJECT_CONDITIONS!$A:$A,$A93)-1),3),1),"")))</f>
        <v/>
      </c>
      <c r="J93" s="22" t="str">
        <f>IF($C93="","",IF($C93="Work",IFERROR(IF(SUMIFS(WORK_TARIFF_RULES!$F:$F,WORK_TARIFF_RULES!$A:$A,$D93,WORK_TARIFF_RULES!$C:$C,$B93)&lt;&gt;"",SUMIFS(WORK_TARIFF_RULES!$F:$F,WORK_TARIFF_RULES!$A:$A,$D93,WORK_TARIFF_RULES!$C:$C,$B93),SUMIFS(TARIFF_PROFILES!$D:$D,TARIFF_PROFILES!$A:$A,$B93)),1),IF($C93="Material",IFERROR(IF(SUMIFS(MATERIAL_TARIFF_RULES!$E:$E,MATERIAL_TARIFF_RULES!$A:$A,$D93,MATERIAL_TARIFF_RULES!$C:$C,$B93)&lt;&gt;"",SUMIFS(MATERIAL_TARIFF_RULES!$E:$E,MATERIAL_TARIFF_RULES!$A:$A,$D93,MATERIAL_TARIFF_RULES!$C:$C,$B93),SUMIFS(TARIFF_PROFILES!$E:$E,TARIFF_PROFILES!$A:$A,$B93)),1),"")))</f>
        <v/>
      </c>
      <c r="K93" s="22" t="str">
        <f>IF($C93="","",IF($C93="Material",IFERROR(SUMIFS(MATERIAL_MASTER!$P:$P,MATERIAL_MASTER!$A:$A,$D93)*IF(SUMIFS(MATERIAL_TARIFF_RULES!$F:$F,MATERIAL_TARIFF_RULES!$A:$A,$D93,MATERIAL_TARIFF_RULES!$C:$C,$B93)="",SUMIFS(TARIFF_PROFILES!$H:$H,TARIFF_PROFILES!$A:$A,$B93),SUMIFS(MATERIAL_TARIFF_RULES!$F:$F,MATERIAL_TARIFF_RULES!$A:$A,$D93,MATERIAL_TARIFF_RULES!$C:$C,$B93)),1),1))</f>
        <v/>
      </c>
      <c r="L93" s="22" t="str">
        <f t="shared" si="8"/>
        <v/>
      </c>
      <c r="M93" s="22" t="str">
        <f t="shared" si="9"/>
        <v/>
      </c>
      <c r="N93" s="22" t="str">
        <f t="shared" si="10"/>
        <v/>
      </c>
      <c r="O93" s="4" t="str">
        <f t="shared" si="11"/>
        <v/>
      </c>
    </row>
    <row r="94" spans="1:15" x14ac:dyDescent="0.3">
      <c r="A94" s="4"/>
      <c r="B94" s="4"/>
      <c r="C94" s="4"/>
      <c r="D94" s="4"/>
      <c r="E94" s="4"/>
      <c r="F94" s="4" t="str">
        <f>IF($C94="","",IF($C94="Work",IFERROR(IF(SUMIFS(WORK_TARIFF_RULES!$G:$G,WORK_TARIFF_RULES!$A:$A,$D94,WORK_TARIFF_RULES!$C:$C,$B94)&lt;&gt;"",SUMIFS(WORK_TARIFF_RULES!$G:$G,WORK_TARIFF_RULES!$A:$A,$D94,WORK_TARIFF_RULES!$C:$C,$B94),SUMIFS(WORK_MASTER!$C:$C,WORK_MASTER!$A:$A,$D94)),""),IF($C94="Material",IFERROR(IF(SUMIFS(MATERIAL_TARIFF_RULES!$G:$G,MATERIAL_TARIFF_RULES!$A:$A,$D94,MATERIAL_TARIFF_RULES!$C:$C,$B94)&lt;&gt;"",SUMIFS(MATERIAL_TARIFF_RULES!$G:$G,MATERIAL_TARIFF_RULES!$A:$A,$D94,MATERIAL_TARIFF_RULES!$C:$C,$B94),SUMIFS(MATERIAL_VARIANTS!$J:$J,MATERIAL_VARIANTS!$A:$A,$E94)),""),"")))</f>
        <v/>
      </c>
      <c r="G94" s="22"/>
      <c r="H94" s="22" t="str">
        <f>IF($C94="","",IF($C94="Work",IFERROR(SUMIFS(WORK_MASTER!$I:$I,WORK_MASTER!$A:$A,$D94),""),IF($C94="Material",IFERROR(SUMIFS(MATERIAL_VARIANTS!$I:$I,MATERIAL_VARIANTS!$A:$A,$E94),""),"")))</f>
        <v/>
      </c>
      <c r="I94" s="22" t="str">
        <f>IF($C94="","",IF($C94="Work",IFERROR(SUMIFS(WORK_FACTOR_APPLICABILITY!$O:$O,WORK_FACTOR_APPLICABILITY!$A:$A,$D94,WORK_FACTOR_APPLICABILITY!$N:$N,$A94),1),IF($C94="Material",IFERROR(ROUND(1+SUMIFS(MATERIAL_FACTOR_APPLICABILITY!$D:$D,MATERIAL_FACTOR_APPLICABILITY!$A:$A,SUMIFS(MATERIAL_MASTER!$O:$O,MATERIAL_MASTER!$A:$A,$D94),MATERIAL_FACTOR_APPLICABILITY!$B:$B,"GeometryComplexity")*(SUMIFS(OBJECT_CONDITIONS!$W:$W,OBJECT_CONDITIONS!$A:$A,$A94)-1),3),1),"")))</f>
        <v/>
      </c>
      <c r="J94" s="22" t="str">
        <f>IF($C94="","",IF($C94="Work",IFERROR(IF(SUMIFS(WORK_TARIFF_RULES!$F:$F,WORK_TARIFF_RULES!$A:$A,$D94,WORK_TARIFF_RULES!$C:$C,$B94)&lt;&gt;"",SUMIFS(WORK_TARIFF_RULES!$F:$F,WORK_TARIFF_RULES!$A:$A,$D94,WORK_TARIFF_RULES!$C:$C,$B94),SUMIFS(TARIFF_PROFILES!$D:$D,TARIFF_PROFILES!$A:$A,$B94)),1),IF($C94="Material",IFERROR(IF(SUMIFS(MATERIAL_TARIFF_RULES!$E:$E,MATERIAL_TARIFF_RULES!$A:$A,$D94,MATERIAL_TARIFF_RULES!$C:$C,$B94)&lt;&gt;"",SUMIFS(MATERIAL_TARIFF_RULES!$E:$E,MATERIAL_TARIFF_RULES!$A:$A,$D94,MATERIAL_TARIFF_RULES!$C:$C,$B94),SUMIFS(TARIFF_PROFILES!$E:$E,TARIFF_PROFILES!$A:$A,$B94)),1),"")))</f>
        <v/>
      </c>
      <c r="K94" s="22" t="str">
        <f>IF($C94="","",IF($C94="Material",IFERROR(SUMIFS(MATERIAL_MASTER!$P:$P,MATERIAL_MASTER!$A:$A,$D94)*IF(SUMIFS(MATERIAL_TARIFF_RULES!$F:$F,MATERIAL_TARIFF_RULES!$A:$A,$D94,MATERIAL_TARIFF_RULES!$C:$C,$B94)="",SUMIFS(TARIFF_PROFILES!$H:$H,TARIFF_PROFILES!$A:$A,$B94),SUMIFS(MATERIAL_TARIFF_RULES!$F:$F,MATERIAL_TARIFF_RULES!$A:$A,$D94,MATERIAL_TARIFF_RULES!$C:$C,$B94)),1),1))</f>
        <v/>
      </c>
      <c r="L94" s="22" t="str">
        <f t="shared" si="8"/>
        <v/>
      </c>
      <c r="M94" s="22" t="str">
        <f t="shared" si="9"/>
        <v/>
      </c>
      <c r="N94" s="22" t="str">
        <f t="shared" si="10"/>
        <v/>
      </c>
      <c r="O94" s="4" t="str">
        <f t="shared" si="11"/>
        <v/>
      </c>
    </row>
    <row r="95" spans="1:15" x14ac:dyDescent="0.3">
      <c r="A95" s="4"/>
      <c r="B95" s="4"/>
      <c r="C95" s="4"/>
      <c r="D95" s="4"/>
      <c r="E95" s="4"/>
      <c r="F95" s="4" t="str">
        <f>IF($C95="","",IF($C95="Work",IFERROR(IF(SUMIFS(WORK_TARIFF_RULES!$G:$G,WORK_TARIFF_RULES!$A:$A,$D95,WORK_TARIFF_RULES!$C:$C,$B95)&lt;&gt;"",SUMIFS(WORK_TARIFF_RULES!$G:$G,WORK_TARIFF_RULES!$A:$A,$D95,WORK_TARIFF_RULES!$C:$C,$B95),SUMIFS(WORK_MASTER!$C:$C,WORK_MASTER!$A:$A,$D95)),""),IF($C95="Material",IFERROR(IF(SUMIFS(MATERIAL_TARIFF_RULES!$G:$G,MATERIAL_TARIFF_RULES!$A:$A,$D95,MATERIAL_TARIFF_RULES!$C:$C,$B95)&lt;&gt;"",SUMIFS(MATERIAL_TARIFF_RULES!$G:$G,MATERIAL_TARIFF_RULES!$A:$A,$D95,MATERIAL_TARIFF_RULES!$C:$C,$B95),SUMIFS(MATERIAL_VARIANTS!$J:$J,MATERIAL_VARIANTS!$A:$A,$E95)),""),"")))</f>
        <v/>
      </c>
      <c r="G95" s="22"/>
      <c r="H95" s="22" t="str">
        <f>IF($C95="","",IF($C95="Work",IFERROR(SUMIFS(WORK_MASTER!$I:$I,WORK_MASTER!$A:$A,$D95),""),IF($C95="Material",IFERROR(SUMIFS(MATERIAL_VARIANTS!$I:$I,MATERIAL_VARIANTS!$A:$A,$E95),""),"")))</f>
        <v/>
      </c>
      <c r="I95" s="22" t="str">
        <f>IF($C95="","",IF($C95="Work",IFERROR(SUMIFS(WORK_FACTOR_APPLICABILITY!$O:$O,WORK_FACTOR_APPLICABILITY!$A:$A,$D95,WORK_FACTOR_APPLICABILITY!$N:$N,$A95),1),IF($C95="Material",IFERROR(ROUND(1+SUMIFS(MATERIAL_FACTOR_APPLICABILITY!$D:$D,MATERIAL_FACTOR_APPLICABILITY!$A:$A,SUMIFS(MATERIAL_MASTER!$O:$O,MATERIAL_MASTER!$A:$A,$D95),MATERIAL_FACTOR_APPLICABILITY!$B:$B,"GeometryComplexity")*(SUMIFS(OBJECT_CONDITIONS!$W:$W,OBJECT_CONDITIONS!$A:$A,$A95)-1),3),1),"")))</f>
        <v/>
      </c>
      <c r="J95" s="22" t="str">
        <f>IF($C95="","",IF($C95="Work",IFERROR(IF(SUMIFS(WORK_TARIFF_RULES!$F:$F,WORK_TARIFF_RULES!$A:$A,$D95,WORK_TARIFF_RULES!$C:$C,$B95)&lt;&gt;"",SUMIFS(WORK_TARIFF_RULES!$F:$F,WORK_TARIFF_RULES!$A:$A,$D95,WORK_TARIFF_RULES!$C:$C,$B95),SUMIFS(TARIFF_PROFILES!$D:$D,TARIFF_PROFILES!$A:$A,$B95)),1),IF($C95="Material",IFERROR(IF(SUMIFS(MATERIAL_TARIFF_RULES!$E:$E,MATERIAL_TARIFF_RULES!$A:$A,$D95,MATERIAL_TARIFF_RULES!$C:$C,$B95)&lt;&gt;"",SUMIFS(MATERIAL_TARIFF_RULES!$E:$E,MATERIAL_TARIFF_RULES!$A:$A,$D95,MATERIAL_TARIFF_RULES!$C:$C,$B95),SUMIFS(TARIFF_PROFILES!$E:$E,TARIFF_PROFILES!$A:$A,$B95)),1),"")))</f>
        <v/>
      </c>
      <c r="K95" s="22" t="str">
        <f>IF($C95="","",IF($C95="Material",IFERROR(SUMIFS(MATERIAL_MASTER!$P:$P,MATERIAL_MASTER!$A:$A,$D95)*IF(SUMIFS(MATERIAL_TARIFF_RULES!$F:$F,MATERIAL_TARIFF_RULES!$A:$A,$D95,MATERIAL_TARIFF_RULES!$C:$C,$B95)="",SUMIFS(TARIFF_PROFILES!$H:$H,TARIFF_PROFILES!$A:$A,$B95),SUMIFS(MATERIAL_TARIFF_RULES!$F:$F,MATERIAL_TARIFF_RULES!$A:$A,$D95,MATERIAL_TARIFF_RULES!$C:$C,$B95)),1),1))</f>
        <v/>
      </c>
      <c r="L95" s="22" t="str">
        <f t="shared" si="8"/>
        <v/>
      </c>
      <c r="M95" s="22" t="str">
        <f t="shared" si="9"/>
        <v/>
      </c>
      <c r="N95" s="22" t="str">
        <f t="shared" si="10"/>
        <v/>
      </c>
      <c r="O95" s="4" t="str">
        <f t="shared" si="11"/>
        <v/>
      </c>
    </row>
    <row r="96" spans="1:15" x14ac:dyDescent="0.3">
      <c r="A96" s="4"/>
      <c r="B96" s="4"/>
      <c r="C96" s="4"/>
      <c r="D96" s="4"/>
      <c r="E96" s="4"/>
      <c r="F96" s="4" t="str">
        <f>IF($C96="","",IF($C96="Work",IFERROR(IF(SUMIFS(WORK_TARIFF_RULES!$G:$G,WORK_TARIFF_RULES!$A:$A,$D96,WORK_TARIFF_RULES!$C:$C,$B96)&lt;&gt;"",SUMIFS(WORK_TARIFF_RULES!$G:$G,WORK_TARIFF_RULES!$A:$A,$D96,WORK_TARIFF_RULES!$C:$C,$B96),SUMIFS(WORK_MASTER!$C:$C,WORK_MASTER!$A:$A,$D96)),""),IF($C96="Material",IFERROR(IF(SUMIFS(MATERIAL_TARIFF_RULES!$G:$G,MATERIAL_TARIFF_RULES!$A:$A,$D96,MATERIAL_TARIFF_RULES!$C:$C,$B96)&lt;&gt;"",SUMIFS(MATERIAL_TARIFF_RULES!$G:$G,MATERIAL_TARIFF_RULES!$A:$A,$D96,MATERIAL_TARIFF_RULES!$C:$C,$B96),SUMIFS(MATERIAL_VARIANTS!$J:$J,MATERIAL_VARIANTS!$A:$A,$E96)),""),"")))</f>
        <v/>
      </c>
      <c r="G96" s="22"/>
      <c r="H96" s="22" t="str">
        <f>IF($C96="","",IF($C96="Work",IFERROR(SUMIFS(WORK_MASTER!$I:$I,WORK_MASTER!$A:$A,$D96),""),IF($C96="Material",IFERROR(SUMIFS(MATERIAL_VARIANTS!$I:$I,MATERIAL_VARIANTS!$A:$A,$E96),""),"")))</f>
        <v/>
      </c>
      <c r="I96" s="22" t="str">
        <f>IF($C96="","",IF($C96="Work",IFERROR(SUMIFS(WORK_FACTOR_APPLICABILITY!$O:$O,WORK_FACTOR_APPLICABILITY!$A:$A,$D96,WORK_FACTOR_APPLICABILITY!$N:$N,$A96),1),IF($C96="Material",IFERROR(ROUND(1+SUMIFS(MATERIAL_FACTOR_APPLICABILITY!$D:$D,MATERIAL_FACTOR_APPLICABILITY!$A:$A,SUMIFS(MATERIAL_MASTER!$O:$O,MATERIAL_MASTER!$A:$A,$D96),MATERIAL_FACTOR_APPLICABILITY!$B:$B,"GeometryComplexity")*(SUMIFS(OBJECT_CONDITIONS!$W:$W,OBJECT_CONDITIONS!$A:$A,$A96)-1),3),1),"")))</f>
        <v/>
      </c>
      <c r="J96" s="22" t="str">
        <f>IF($C96="","",IF($C96="Work",IFERROR(IF(SUMIFS(WORK_TARIFF_RULES!$F:$F,WORK_TARIFF_RULES!$A:$A,$D96,WORK_TARIFF_RULES!$C:$C,$B96)&lt;&gt;"",SUMIFS(WORK_TARIFF_RULES!$F:$F,WORK_TARIFF_RULES!$A:$A,$D96,WORK_TARIFF_RULES!$C:$C,$B96),SUMIFS(TARIFF_PROFILES!$D:$D,TARIFF_PROFILES!$A:$A,$B96)),1),IF($C96="Material",IFERROR(IF(SUMIFS(MATERIAL_TARIFF_RULES!$E:$E,MATERIAL_TARIFF_RULES!$A:$A,$D96,MATERIAL_TARIFF_RULES!$C:$C,$B96)&lt;&gt;"",SUMIFS(MATERIAL_TARIFF_RULES!$E:$E,MATERIAL_TARIFF_RULES!$A:$A,$D96,MATERIAL_TARIFF_RULES!$C:$C,$B96),SUMIFS(TARIFF_PROFILES!$E:$E,TARIFF_PROFILES!$A:$A,$B96)),1),"")))</f>
        <v/>
      </c>
      <c r="K96" s="22" t="str">
        <f>IF($C96="","",IF($C96="Material",IFERROR(SUMIFS(MATERIAL_MASTER!$P:$P,MATERIAL_MASTER!$A:$A,$D96)*IF(SUMIFS(MATERIAL_TARIFF_RULES!$F:$F,MATERIAL_TARIFF_RULES!$A:$A,$D96,MATERIAL_TARIFF_RULES!$C:$C,$B96)="",SUMIFS(TARIFF_PROFILES!$H:$H,TARIFF_PROFILES!$A:$A,$B96),SUMIFS(MATERIAL_TARIFF_RULES!$F:$F,MATERIAL_TARIFF_RULES!$A:$A,$D96,MATERIAL_TARIFF_RULES!$C:$C,$B96)),1),1))</f>
        <v/>
      </c>
      <c r="L96" s="22" t="str">
        <f t="shared" si="8"/>
        <v/>
      </c>
      <c r="M96" s="22" t="str">
        <f t="shared" si="9"/>
        <v/>
      </c>
      <c r="N96" s="22" t="str">
        <f t="shared" si="10"/>
        <v/>
      </c>
      <c r="O96" s="4" t="str">
        <f t="shared" si="11"/>
        <v/>
      </c>
    </row>
    <row r="97" spans="1:15" x14ac:dyDescent="0.3">
      <c r="A97" s="4"/>
      <c r="B97" s="4"/>
      <c r="C97" s="4"/>
      <c r="D97" s="4"/>
      <c r="E97" s="4"/>
      <c r="F97" s="4" t="str">
        <f>IF($C97="","",IF($C97="Work",IFERROR(IF(SUMIFS(WORK_TARIFF_RULES!$G:$G,WORK_TARIFF_RULES!$A:$A,$D97,WORK_TARIFF_RULES!$C:$C,$B97)&lt;&gt;"",SUMIFS(WORK_TARIFF_RULES!$G:$G,WORK_TARIFF_RULES!$A:$A,$D97,WORK_TARIFF_RULES!$C:$C,$B97),SUMIFS(WORK_MASTER!$C:$C,WORK_MASTER!$A:$A,$D97)),""),IF($C97="Material",IFERROR(IF(SUMIFS(MATERIAL_TARIFF_RULES!$G:$G,MATERIAL_TARIFF_RULES!$A:$A,$D97,MATERIAL_TARIFF_RULES!$C:$C,$B97)&lt;&gt;"",SUMIFS(MATERIAL_TARIFF_RULES!$G:$G,MATERIAL_TARIFF_RULES!$A:$A,$D97,MATERIAL_TARIFF_RULES!$C:$C,$B97),SUMIFS(MATERIAL_VARIANTS!$J:$J,MATERIAL_VARIANTS!$A:$A,$E97)),""),"")))</f>
        <v/>
      </c>
      <c r="G97" s="22"/>
      <c r="H97" s="22" t="str">
        <f>IF($C97="","",IF($C97="Work",IFERROR(SUMIFS(WORK_MASTER!$I:$I,WORK_MASTER!$A:$A,$D97),""),IF($C97="Material",IFERROR(SUMIFS(MATERIAL_VARIANTS!$I:$I,MATERIAL_VARIANTS!$A:$A,$E97),""),"")))</f>
        <v/>
      </c>
      <c r="I97" s="22" t="str">
        <f>IF($C97="","",IF($C97="Work",IFERROR(SUMIFS(WORK_FACTOR_APPLICABILITY!$O:$O,WORK_FACTOR_APPLICABILITY!$A:$A,$D97,WORK_FACTOR_APPLICABILITY!$N:$N,$A97),1),IF($C97="Material",IFERROR(ROUND(1+SUMIFS(MATERIAL_FACTOR_APPLICABILITY!$D:$D,MATERIAL_FACTOR_APPLICABILITY!$A:$A,SUMIFS(MATERIAL_MASTER!$O:$O,MATERIAL_MASTER!$A:$A,$D97),MATERIAL_FACTOR_APPLICABILITY!$B:$B,"GeometryComplexity")*(SUMIFS(OBJECT_CONDITIONS!$W:$W,OBJECT_CONDITIONS!$A:$A,$A97)-1),3),1),"")))</f>
        <v/>
      </c>
      <c r="J97" s="22" t="str">
        <f>IF($C97="","",IF($C97="Work",IFERROR(IF(SUMIFS(WORK_TARIFF_RULES!$F:$F,WORK_TARIFF_RULES!$A:$A,$D97,WORK_TARIFF_RULES!$C:$C,$B97)&lt;&gt;"",SUMIFS(WORK_TARIFF_RULES!$F:$F,WORK_TARIFF_RULES!$A:$A,$D97,WORK_TARIFF_RULES!$C:$C,$B97),SUMIFS(TARIFF_PROFILES!$D:$D,TARIFF_PROFILES!$A:$A,$B97)),1),IF($C97="Material",IFERROR(IF(SUMIFS(MATERIAL_TARIFF_RULES!$E:$E,MATERIAL_TARIFF_RULES!$A:$A,$D97,MATERIAL_TARIFF_RULES!$C:$C,$B97)&lt;&gt;"",SUMIFS(MATERIAL_TARIFF_RULES!$E:$E,MATERIAL_TARIFF_RULES!$A:$A,$D97,MATERIAL_TARIFF_RULES!$C:$C,$B97),SUMIFS(TARIFF_PROFILES!$E:$E,TARIFF_PROFILES!$A:$A,$B97)),1),"")))</f>
        <v/>
      </c>
      <c r="K97" s="22" t="str">
        <f>IF($C97="","",IF($C97="Material",IFERROR(SUMIFS(MATERIAL_MASTER!$P:$P,MATERIAL_MASTER!$A:$A,$D97)*IF(SUMIFS(MATERIAL_TARIFF_RULES!$F:$F,MATERIAL_TARIFF_RULES!$A:$A,$D97,MATERIAL_TARIFF_RULES!$C:$C,$B97)="",SUMIFS(TARIFF_PROFILES!$H:$H,TARIFF_PROFILES!$A:$A,$B97),SUMIFS(MATERIAL_TARIFF_RULES!$F:$F,MATERIAL_TARIFF_RULES!$A:$A,$D97,MATERIAL_TARIFF_RULES!$C:$C,$B97)),1),1))</f>
        <v/>
      </c>
      <c r="L97" s="22" t="str">
        <f t="shared" si="8"/>
        <v/>
      </c>
      <c r="M97" s="22" t="str">
        <f t="shared" si="9"/>
        <v/>
      </c>
      <c r="N97" s="22" t="str">
        <f t="shared" si="10"/>
        <v/>
      </c>
      <c r="O97" s="4" t="str">
        <f t="shared" si="11"/>
        <v/>
      </c>
    </row>
    <row r="98" spans="1:15" x14ac:dyDescent="0.3">
      <c r="A98" s="4"/>
      <c r="B98" s="4"/>
      <c r="C98" s="4"/>
      <c r="D98" s="4"/>
      <c r="E98" s="4"/>
      <c r="F98" s="4" t="str">
        <f>IF($C98="","",IF($C98="Work",IFERROR(IF(SUMIFS(WORK_TARIFF_RULES!$G:$G,WORK_TARIFF_RULES!$A:$A,$D98,WORK_TARIFF_RULES!$C:$C,$B98)&lt;&gt;"",SUMIFS(WORK_TARIFF_RULES!$G:$G,WORK_TARIFF_RULES!$A:$A,$D98,WORK_TARIFF_RULES!$C:$C,$B98),SUMIFS(WORK_MASTER!$C:$C,WORK_MASTER!$A:$A,$D98)),""),IF($C98="Material",IFERROR(IF(SUMIFS(MATERIAL_TARIFF_RULES!$G:$G,MATERIAL_TARIFF_RULES!$A:$A,$D98,MATERIAL_TARIFF_RULES!$C:$C,$B98)&lt;&gt;"",SUMIFS(MATERIAL_TARIFF_RULES!$G:$G,MATERIAL_TARIFF_RULES!$A:$A,$D98,MATERIAL_TARIFF_RULES!$C:$C,$B98),SUMIFS(MATERIAL_VARIANTS!$J:$J,MATERIAL_VARIANTS!$A:$A,$E98)),""),"")))</f>
        <v/>
      </c>
      <c r="G98" s="22"/>
      <c r="H98" s="22" t="str">
        <f>IF($C98="","",IF($C98="Work",IFERROR(SUMIFS(WORK_MASTER!$I:$I,WORK_MASTER!$A:$A,$D98),""),IF($C98="Material",IFERROR(SUMIFS(MATERIAL_VARIANTS!$I:$I,MATERIAL_VARIANTS!$A:$A,$E98),""),"")))</f>
        <v/>
      </c>
      <c r="I98" s="22" t="str">
        <f>IF($C98="","",IF($C98="Work",IFERROR(SUMIFS(WORK_FACTOR_APPLICABILITY!$O:$O,WORK_FACTOR_APPLICABILITY!$A:$A,$D98,WORK_FACTOR_APPLICABILITY!$N:$N,$A98),1),IF($C98="Material",IFERROR(ROUND(1+SUMIFS(MATERIAL_FACTOR_APPLICABILITY!$D:$D,MATERIAL_FACTOR_APPLICABILITY!$A:$A,SUMIFS(MATERIAL_MASTER!$O:$O,MATERIAL_MASTER!$A:$A,$D98),MATERIAL_FACTOR_APPLICABILITY!$B:$B,"GeometryComplexity")*(SUMIFS(OBJECT_CONDITIONS!$W:$W,OBJECT_CONDITIONS!$A:$A,$A98)-1),3),1),"")))</f>
        <v/>
      </c>
      <c r="J98" s="22" t="str">
        <f>IF($C98="","",IF($C98="Work",IFERROR(IF(SUMIFS(WORK_TARIFF_RULES!$F:$F,WORK_TARIFF_RULES!$A:$A,$D98,WORK_TARIFF_RULES!$C:$C,$B98)&lt;&gt;"",SUMIFS(WORK_TARIFF_RULES!$F:$F,WORK_TARIFF_RULES!$A:$A,$D98,WORK_TARIFF_RULES!$C:$C,$B98),SUMIFS(TARIFF_PROFILES!$D:$D,TARIFF_PROFILES!$A:$A,$B98)),1),IF($C98="Material",IFERROR(IF(SUMIFS(MATERIAL_TARIFF_RULES!$E:$E,MATERIAL_TARIFF_RULES!$A:$A,$D98,MATERIAL_TARIFF_RULES!$C:$C,$B98)&lt;&gt;"",SUMIFS(MATERIAL_TARIFF_RULES!$E:$E,MATERIAL_TARIFF_RULES!$A:$A,$D98,MATERIAL_TARIFF_RULES!$C:$C,$B98),SUMIFS(TARIFF_PROFILES!$E:$E,TARIFF_PROFILES!$A:$A,$B98)),1),"")))</f>
        <v/>
      </c>
      <c r="K98" s="22" t="str">
        <f>IF($C98="","",IF($C98="Material",IFERROR(SUMIFS(MATERIAL_MASTER!$P:$P,MATERIAL_MASTER!$A:$A,$D98)*IF(SUMIFS(MATERIAL_TARIFF_RULES!$F:$F,MATERIAL_TARIFF_RULES!$A:$A,$D98,MATERIAL_TARIFF_RULES!$C:$C,$B98)="",SUMIFS(TARIFF_PROFILES!$H:$H,TARIFF_PROFILES!$A:$A,$B98),SUMIFS(MATERIAL_TARIFF_RULES!$F:$F,MATERIAL_TARIFF_RULES!$A:$A,$D98,MATERIAL_TARIFF_RULES!$C:$C,$B98)),1),1))</f>
        <v/>
      </c>
      <c r="L98" s="22" t="str">
        <f t="shared" si="8"/>
        <v/>
      </c>
      <c r="M98" s="22" t="str">
        <f t="shared" si="9"/>
        <v/>
      </c>
      <c r="N98" s="22" t="str">
        <f t="shared" si="10"/>
        <v/>
      </c>
      <c r="O98" s="4" t="str">
        <f t="shared" si="11"/>
        <v/>
      </c>
    </row>
    <row r="99" spans="1:15" x14ac:dyDescent="0.3">
      <c r="A99" s="4"/>
      <c r="B99" s="4"/>
      <c r="C99" s="4"/>
      <c r="D99" s="4"/>
      <c r="E99" s="4"/>
      <c r="F99" s="4" t="str">
        <f>IF($C99="","",IF($C99="Work",IFERROR(IF(SUMIFS(WORK_TARIFF_RULES!$G:$G,WORK_TARIFF_RULES!$A:$A,$D99,WORK_TARIFF_RULES!$C:$C,$B99)&lt;&gt;"",SUMIFS(WORK_TARIFF_RULES!$G:$G,WORK_TARIFF_RULES!$A:$A,$D99,WORK_TARIFF_RULES!$C:$C,$B99),SUMIFS(WORK_MASTER!$C:$C,WORK_MASTER!$A:$A,$D99)),""),IF($C99="Material",IFERROR(IF(SUMIFS(MATERIAL_TARIFF_RULES!$G:$G,MATERIAL_TARIFF_RULES!$A:$A,$D99,MATERIAL_TARIFF_RULES!$C:$C,$B99)&lt;&gt;"",SUMIFS(MATERIAL_TARIFF_RULES!$G:$G,MATERIAL_TARIFF_RULES!$A:$A,$D99,MATERIAL_TARIFF_RULES!$C:$C,$B99),SUMIFS(MATERIAL_VARIANTS!$J:$J,MATERIAL_VARIANTS!$A:$A,$E99)),""),"")))</f>
        <v/>
      </c>
      <c r="G99" s="22"/>
      <c r="H99" s="22" t="str">
        <f>IF($C99="","",IF($C99="Work",IFERROR(SUMIFS(WORK_MASTER!$I:$I,WORK_MASTER!$A:$A,$D99),""),IF($C99="Material",IFERROR(SUMIFS(MATERIAL_VARIANTS!$I:$I,MATERIAL_VARIANTS!$A:$A,$E99),""),"")))</f>
        <v/>
      </c>
      <c r="I99" s="22" t="str">
        <f>IF($C99="","",IF($C99="Work",IFERROR(SUMIFS(WORK_FACTOR_APPLICABILITY!$O:$O,WORK_FACTOR_APPLICABILITY!$A:$A,$D99,WORK_FACTOR_APPLICABILITY!$N:$N,$A99),1),IF($C99="Material",IFERROR(ROUND(1+SUMIFS(MATERIAL_FACTOR_APPLICABILITY!$D:$D,MATERIAL_FACTOR_APPLICABILITY!$A:$A,SUMIFS(MATERIAL_MASTER!$O:$O,MATERIAL_MASTER!$A:$A,$D99),MATERIAL_FACTOR_APPLICABILITY!$B:$B,"GeometryComplexity")*(SUMIFS(OBJECT_CONDITIONS!$W:$W,OBJECT_CONDITIONS!$A:$A,$A99)-1),3),1),"")))</f>
        <v/>
      </c>
      <c r="J99" s="22" t="str">
        <f>IF($C99="","",IF($C99="Work",IFERROR(IF(SUMIFS(WORK_TARIFF_RULES!$F:$F,WORK_TARIFF_RULES!$A:$A,$D99,WORK_TARIFF_RULES!$C:$C,$B99)&lt;&gt;"",SUMIFS(WORK_TARIFF_RULES!$F:$F,WORK_TARIFF_RULES!$A:$A,$D99,WORK_TARIFF_RULES!$C:$C,$B99),SUMIFS(TARIFF_PROFILES!$D:$D,TARIFF_PROFILES!$A:$A,$B99)),1),IF($C99="Material",IFERROR(IF(SUMIFS(MATERIAL_TARIFF_RULES!$E:$E,MATERIAL_TARIFF_RULES!$A:$A,$D99,MATERIAL_TARIFF_RULES!$C:$C,$B99)&lt;&gt;"",SUMIFS(MATERIAL_TARIFF_RULES!$E:$E,MATERIAL_TARIFF_RULES!$A:$A,$D99,MATERIAL_TARIFF_RULES!$C:$C,$B99),SUMIFS(TARIFF_PROFILES!$E:$E,TARIFF_PROFILES!$A:$A,$B99)),1),"")))</f>
        <v/>
      </c>
      <c r="K99" s="22" t="str">
        <f>IF($C99="","",IF($C99="Material",IFERROR(SUMIFS(MATERIAL_MASTER!$P:$P,MATERIAL_MASTER!$A:$A,$D99)*IF(SUMIFS(MATERIAL_TARIFF_RULES!$F:$F,MATERIAL_TARIFF_RULES!$A:$A,$D99,MATERIAL_TARIFF_RULES!$C:$C,$B99)="",SUMIFS(TARIFF_PROFILES!$H:$H,TARIFF_PROFILES!$A:$A,$B99),SUMIFS(MATERIAL_TARIFF_RULES!$F:$F,MATERIAL_TARIFF_RULES!$A:$A,$D99,MATERIAL_TARIFF_RULES!$C:$C,$B99)),1),1))</f>
        <v/>
      </c>
      <c r="L99" s="22" t="str">
        <f t="shared" si="8"/>
        <v/>
      </c>
      <c r="M99" s="22" t="str">
        <f t="shared" si="9"/>
        <v/>
      </c>
      <c r="N99" s="22" t="str">
        <f t="shared" si="10"/>
        <v/>
      </c>
      <c r="O99" s="4" t="str">
        <f t="shared" si="11"/>
        <v/>
      </c>
    </row>
    <row r="100" spans="1:15" x14ac:dyDescent="0.3">
      <c r="A100" s="4"/>
      <c r="B100" s="4"/>
      <c r="C100" s="4"/>
      <c r="D100" s="4"/>
      <c r="E100" s="4"/>
      <c r="F100" s="4" t="str">
        <f>IF($C100="","",IF($C100="Work",IFERROR(IF(SUMIFS(WORK_TARIFF_RULES!$G:$G,WORK_TARIFF_RULES!$A:$A,$D100,WORK_TARIFF_RULES!$C:$C,$B100)&lt;&gt;"",SUMIFS(WORK_TARIFF_RULES!$G:$G,WORK_TARIFF_RULES!$A:$A,$D100,WORK_TARIFF_RULES!$C:$C,$B100),SUMIFS(WORK_MASTER!$C:$C,WORK_MASTER!$A:$A,$D100)),""),IF($C100="Material",IFERROR(IF(SUMIFS(MATERIAL_TARIFF_RULES!$G:$G,MATERIAL_TARIFF_RULES!$A:$A,$D100,MATERIAL_TARIFF_RULES!$C:$C,$B100)&lt;&gt;"",SUMIFS(MATERIAL_TARIFF_RULES!$G:$G,MATERIAL_TARIFF_RULES!$A:$A,$D100,MATERIAL_TARIFF_RULES!$C:$C,$B100),SUMIFS(MATERIAL_VARIANTS!$J:$J,MATERIAL_VARIANTS!$A:$A,$E100)),""),"")))</f>
        <v/>
      </c>
      <c r="G100" s="22"/>
      <c r="H100" s="22" t="str">
        <f>IF($C100="","",IF($C100="Work",IFERROR(SUMIFS(WORK_MASTER!$I:$I,WORK_MASTER!$A:$A,$D100),""),IF($C100="Material",IFERROR(SUMIFS(MATERIAL_VARIANTS!$I:$I,MATERIAL_VARIANTS!$A:$A,$E100),""),"")))</f>
        <v/>
      </c>
      <c r="I100" s="22" t="str">
        <f>IF($C100="","",IF($C100="Work",IFERROR(SUMIFS(WORK_FACTOR_APPLICABILITY!$O:$O,WORK_FACTOR_APPLICABILITY!$A:$A,$D100,WORK_FACTOR_APPLICABILITY!$N:$N,$A100),1),IF($C100="Material",IFERROR(ROUND(1+SUMIFS(MATERIAL_FACTOR_APPLICABILITY!$D:$D,MATERIAL_FACTOR_APPLICABILITY!$A:$A,SUMIFS(MATERIAL_MASTER!$O:$O,MATERIAL_MASTER!$A:$A,$D100),MATERIAL_FACTOR_APPLICABILITY!$B:$B,"GeometryComplexity")*(SUMIFS(OBJECT_CONDITIONS!$W:$W,OBJECT_CONDITIONS!$A:$A,$A100)-1),3),1),"")))</f>
        <v/>
      </c>
      <c r="J100" s="22" t="str">
        <f>IF($C100="","",IF($C100="Work",IFERROR(IF(SUMIFS(WORK_TARIFF_RULES!$F:$F,WORK_TARIFF_RULES!$A:$A,$D100,WORK_TARIFF_RULES!$C:$C,$B100)&lt;&gt;"",SUMIFS(WORK_TARIFF_RULES!$F:$F,WORK_TARIFF_RULES!$A:$A,$D100,WORK_TARIFF_RULES!$C:$C,$B100),SUMIFS(TARIFF_PROFILES!$D:$D,TARIFF_PROFILES!$A:$A,$B100)),1),IF($C100="Material",IFERROR(IF(SUMIFS(MATERIAL_TARIFF_RULES!$E:$E,MATERIAL_TARIFF_RULES!$A:$A,$D100,MATERIAL_TARIFF_RULES!$C:$C,$B100)&lt;&gt;"",SUMIFS(MATERIAL_TARIFF_RULES!$E:$E,MATERIAL_TARIFF_RULES!$A:$A,$D100,MATERIAL_TARIFF_RULES!$C:$C,$B100),SUMIFS(TARIFF_PROFILES!$E:$E,TARIFF_PROFILES!$A:$A,$B100)),1),"")))</f>
        <v/>
      </c>
      <c r="K100" s="22" t="str">
        <f>IF($C100="","",IF($C100="Material",IFERROR(SUMIFS(MATERIAL_MASTER!$P:$P,MATERIAL_MASTER!$A:$A,$D100)*IF(SUMIFS(MATERIAL_TARIFF_RULES!$F:$F,MATERIAL_TARIFF_RULES!$A:$A,$D100,MATERIAL_TARIFF_RULES!$C:$C,$B100)="",SUMIFS(TARIFF_PROFILES!$H:$H,TARIFF_PROFILES!$A:$A,$B100),SUMIFS(MATERIAL_TARIFF_RULES!$F:$F,MATERIAL_TARIFF_RULES!$A:$A,$D100,MATERIAL_TARIFF_RULES!$C:$C,$B100)),1),1))</f>
        <v/>
      </c>
      <c r="L100" s="22" t="str">
        <f t="shared" si="8"/>
        <v/>
      </c>
      <c r="M100" s="22" t="str">
        <f t="shared" si="9"/>
        <v/>
      </c>
      <c r="N100" s="22" t="str">
        <f t="shared" si="10"/>
        <v/>
      </c>
      <c r="O100" s="4" t="str">
        <f t="shared" si="11"/>
        <v/>
      </c>
    </row>
    <row r="101" spans="1:15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  <row r="135" spans="1:15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</row>
    <row r="136" spans="1:15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</row>
    <row r="137" spans="1:15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</row>
    <row r="138" spans="1:15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</row>
    <row r="140" spans="1:15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</row>
    <row r="141" spans="1:15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</row>
    <row r="142" spans="1:15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</row>
    <row r="144" spans="1:15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</row>
    <row r="145" spans="1:15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</row>
    <row r="146" spans="1:15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</row>
    <row r="147" spans="1:15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</row>
    <row r="149" spans="1:15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</row>
    <row r="150" spans="1:15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</row>
  </sheetData>
  <autoFilter ref="A1:O150" xr:uid="{00000000-0009-0000-0000-00001D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D00-000000000000}">
          <x14:formula1>
            <xm:f>OBJECT_CONDITIONS!$A$2:$A$1000</xm:f>
          </x14:formula1>
          <xm:sqref>A2:A1000</xm:sqref>
        </x14:dataValidation>
        <x14:dataValidation type="list" allowBlank="1" xr:uid="{00000000-0002-0000-1D00-000001000000}">
          <x14:formula1>
            <xm:f>DICTIONARIES!$AJ$2:$AJ$4</xm:f>
          </x14:formula1>
          <xm:sqref>B2:B1000</xm:sqref>
        </x14:dataValidation>
        <x14:dataValidation type="list" allowBlank="1" xr:uid="{00000000-0002-0000-1D00-000002000000}">
          <x14:formula1>
            <xm:f>DICTIONARIES!$H$2:$H$3</xm:f>
          </x14:formula1>
          <xm:sqref>C2:C1000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U6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3" width="12" customWidth="1"/>
    <col min="4" max="4" width="14" customWidth="1"/>
    <col min="5" max="5" width="12" customWidth="1"/>
    <col min="6" max="6" width="28" customWidth="1"/>
    <col min="7" max="8" width="10" customWidth="1"/>
    <col min="9" max="9" width="16" customWidth="1"/>
    <col min="10" max="10" width="18" customWidth="1"/>
    <col min="11" max="11" width="12" customWidth="1"/>
    <col min="12" max="12" width="14" customWidth="1"/>
    <col min="13" max="14" width="12" customWidth="1"/>
    <col min="15" max="15" width="18" customWidth="1"/>
    <col min="16" max="17" width="16" customWidth="1"/>
    <col min="18" max="18" width="14" customWidth="1"/>
    <col min="19" max="19" width="10" customWidth="1"/>
    <col min="20" max="20" width="16" customWidth="1"/>
    <col min="21" max="21" width="36" customWidth="1"/>
  </cols>
  <sheetData>
    <row r="1" spans="1:21" ht="28.8" x14ac:dyDescent="0.3">
      <c r="A1" s="3" t="s">
        <v>610</v>
      </c>
      <c r="B1" s="3" t="s">
        <v>883</v>
      </c>
      <c r="C1" s="3" t="s">
        <v>990</v>
      </c>
      <c r="D1" s="3" t="s">
        <v>991</v>
      </c>
      <c r="E1" s="3" t="s">
        <v>467</v>
      </c>
      <c r="F1" s="3" t="s">
        <v>885</v>
      </c>
      <c r="G1" s="3" t="s">
        <v>869</v>
      </c>
      <c r="H1" s="3" t="s">
        <v>870</v>
      </c>
      <c r="I1" s="3" t="s">
        <v>997</v>
      </c>
      <c r="J1" s="3" t="s">
        <v>998</v>
      </c>
      <c r="K1" s="3" t="s">
        <v>135</v>
      </c>
      <c r="L1" s="3" t="s">
        <v>142</v>
      </c>
      <c r="M1" s="3" t="s">
        <v>993</v>
      </c>
      <c r="N1" s="3" t="s">
        <v>156</v>
      </c>
      <c r="O1" s="3" t="s">
        <v>999</v>
      </c>
      <c r="P1" s="3" t="s">
        <v>1000</v>
      </c>
      <c r="Q1" s="3" t="s">
        <v>1001</v>
      </c>
      <c r="R1" s="3" t="s">
        <v>441</v>
      </c>
      <c r="S1" s="3" t="s">
        <v>650</v>
      </c>
      <c r="T1" s="3" t="s">
        <v>1002</v>
      </c>
      <c r="U1" s="3" t="s">
        <v>1003</v>
      </c>
    </row>
    <row r="2" spans="1:21" ht="28.8" x14ac:dyDescent="0.3">
      <c r="A2" s="17" t="s">
        <v>617</v>
      </c>
      <c r="B2" s="17" t="s">
        <v>346</v>
      </c>
      <c r="C2" s="17" t="s">
        <v>246</v>
      </c>
      <c r="D2" s="17" t="s">
        <v>451</v>
      </c>
      <c r="E2" s="17" t="s">
        <v>477</v>
      </c>
      <c r="F2" s="17">
        <f>IF($C2="","",IF($C2="Work",IFERROR(IF(SUMIFS(WORK_TARIFF_RULES!$G:$G,WORK_TARIFF_RULES!$A:$A,$D2,WORK_TARIFF_RULES!$C:$C,$B2)&lt;&gt;"",SUMIFS(WORK_TARIFF_RULES!$G:$G,WORK_TARIFF_RULES!$A:$A,$D2,WORK_TARIFF_RULES!$C:$C,$B2),SUMIFS(WORK_MASTER!$C:$C,WORK_MASTER!$A:$A,$D2)),""),IF($C2="Material",IFERROR(IF(SUMIFS(MATERIAL_TARIFF_RULES!$G:$G,MATERIAL_TARIFF_RULES!$A:$A,$D2,MATERIAL_TARIFF_RULES!$C:$C,$B2)&lt;&gt;"",SUMIFS(MATERIAL_TARIFF_RULES!$G:$G,MATERIAL_TARIFF_RULES!$A:$A,$D2,MATERIAL_TARIFF_RULES!$C:$C,$B2),SUMIFS(MATERIAL_VARIANTS!$J:$J,MATERIAL_VARIANTS!$A:$A,$E2)),""),IF($C2="Logistics","Мобилизация и логистика объекта",""))))</f>
        <v>0</v>
      </c>
      <c r="G2" s="17">
        <v>120</v>
      </c>
      <c r="H2" s="17" t="s">
        <v>241</v>
      </c>
      <c r="I2" s="31">
        <f>IF($C2="","",IF($C2="Work",IFERROR(SUMIFS(WORK_MASTER!$I:$I,WORK_MASTER!$A:$A,$D2),0),IF($C2="Material",IFERROR(SUMIFS(MATERIAL_VARIANTS!$I:$I,MATERIAL_VARIANTS!$A:$A,$E2),0),0)))</f>
        <v>320</v>
      </c>
      <c r="J2" s="31">
        <f>IF($C2="","",IF($C2="Work",IF($E2&lt;&gt;"",IFERROR(SUMIFS(WORK_VARIANTS!$H:$H,WORK_VARIANTS!$A:$A,$E2),1),1),1))</f>
        <v>0</v>
      </c>
      <c r="K2" s="31">
        <f>IF($C2="","",IF($C2="Work",IFERROR(SUMIFS(WORK_FACTOR_APPLICABILITY!$O:$O,WORK_FACTOR_APPLICABILITY!$A:$A,$D2,WORK_FACTOR_APPLICABILITY!$N:$N,$A2),1),IF($C2="Material",IFERROR(INDEX(MATERIAL_QUANTITY_EXAMPLE!$N:$N,MATCH(1,(MATERIAL_QUANTITY_EXAMPLE!$A:$A=MATERIAL_QUANTITY_EXAMPLE!$A:$A)*(MATERIAL_QUANTITY_EXAMPLE!$B:$B=$A2)*(MATERIAL_QUANTITY_EXAMPLE!$C:$C=$D2),0)),1),1)))</f>
        <v>1.278</v>
      </c>
      <c r="L2" s="31">
        <f>IF($A2="","",IF($C2="Material",1,IFERROR(INDEX(OBJECT_CONDITIONS!$AH:$AH,MATCH($A2,OBJECT_CONDITIONS!$A:$A,0))*INDEX(OBJECT_CONDITIONS!$AJ:$AJ,MATCH($A2,OBJECT_CONDITIONS!$A:$A,0))*INDEX(OBJECT_CONDITIONS!$AL:$AL,MATCH($A2,OBJECT_CONDITIONS!$A:$A,0)),1)))</f>
        <v>1.2942720000000003</v>
      </c>
      <c r="M2" s="31">
        <f>IF($B2="","",IF($C2="Work",IFERROR(IF(SUMIFS(WORK_TARIFF_RULES!$F:$F,WORK_TARIFF_RULES!$A:$A,$D2,WORK_TARIFF_RULES!$C:$C,$B2)&lt;&gt;"",SUMIFS(WORK_TARIFF_RULES!$F:$F,WORK_TARIFF_RULES!$A:$A,$D2,WORK_TARIFF_RULES!$C:$C,$B2),SUMIFS(TARIFF_PROFILES!$D:$D,TARIFF_PROFILES!$A:$A,$B2)),1),IF($C2="Material",IFERROR(IF(SUMIFS(MATERIAL_TARIFF_RULES!$E:$E,MATERIAL_TARIFF_RULES!$A:$A,$D2,MATERIAL_TARIFF_RULES!$C:$C,$B2)&lt;&gt;"",SUMIFS(MATERIAL_TARIFF_RULES!$E:$E,MATERIAL_TARIFF_RULES!$A:$A,$D2,MATERIAL_TARIFF_RULES!$C:$C,$B2),SUMIFS(TARIFF_PROFILES!$E:$E,TARIFF_PROFILES!$A:$A,$B2)),1),SUMIFS(TARIFF_PROFILES!$F:$F,TARIFF_PROFILES!$A:$A,$B2))))</f>
        <v>0</v>
      </c>
      <c r="N2" s="31">
        <f>IF($C2="Material",IFERROR(SUMIFS(MATERIAL_MASTER!$P:$P,MATERIAL_MASTER!$A:$A,$D2)*IF(SUMIFS(MATERIAL_TARIFF_RULES!$F:$F,MATERIAL_TARIFF_RULES!$A:$A,$D2,MATERIAL_TARIFF_RULES!$C:$C,$B2)="",SUMIFS(TARIFF_PROFILES!$H:$H,TARIFF_PROFILES!$A:$A,$B2),SUMIFS(MATERIAL_TARIFF_RULES!$F:$F,MATERIAL_TARIFF_RULES!$A:$A,$D2,MATERIAL_TARIFF_RULES!$C:$C,$B2)),1),1)</f>
        <v>1</v>
      </c>
      <c r="O2" s="17">
        <f t="shared" ref="O2:O33" si="0">IF($C2="","",IF($C2="Material",ROUNDUP(N($G2)*N($N2),0),N($G2)))</f>
        <v>120</v>
      </c>
      <c r="P2" s="17">
        <f>IF(ROW()=2,MAX(0,INDEX(COMMERCIAL_POLICY!$B:$B,MATCH($B2,COMMERCIAL_POLICY!$A:$A,0))-SUM($Q$2:$Q$60)),0)</f>
        <v>376703.10399999999</v>
      </c>
      <c r="Q2" s="33">
        <f>IF($C2="","",IF($C2="Material",N($I2)*N($K2)*N($M2)*N($O2),IF($C2="Logistics",INDEX(COMMERCIAL_POLICY!$D:$D,MATCH($B2,COMMERCIAL_POLICY!$A:$A,0))*N($L2),N($I2)*N($J2)*N($K2)*N($L2)*N($M2)*N($G2))))</f>
        <v>0</v>
      </c>
      <c r="R2" s="17" t="str">
        <f>IF($A2="","",INDEX(OBJECT_CONDITIONS!$AM:$AM,MATCH($A2,OBJECT_CONDITIONS!$A:$A,0)))</f>
        <v>С НДС 20%</v>
      </c>
      <c r="S2" s="31">
        <f>IF($R2="","",INDEX(TAX_MODES!$B:$B,MATCH($R2,TAX_MODES!$A:$A,0)))</f>
        <v>0.2</v>
      </c>
      <c r="T2" s="33">
        <f t="shared" ref="T2:T33" si="1">IF($Q2="","",N($Q2)*(1+N($S2)))</f>
        <v>0</v>
      </c>
      <c r="U2" s="17" t="str">
        <f t="shared" ref="U2:U33" si="2">IF($C2="","",IF($C2="Material","Net x reserve x rounded purchase logic",IF($C2="Logistics","Mobilization from COMMERCIAL_POLICY x operating coeff","Base x method/variant x site x operating x tariff")) )</f>
        <v>Base x method/variant x site x operating x tariff</v>
      </c>
    </row>
    <row r="3" spans="1:21" x14ac:dyDescent="0.3">
      <c r="A3" s="17" t="s">
        <v>617</v>
      </c>
      <c r="B3" s="17" t="s">
        <v>346</v>
      </c>
      <c r="C3" s="17" t="s">
        <v>286</v>
      </c>
      <c r="D3" s="17" t="s">
        <v>493</v>
      </c>
      <c r="E3" s="17" t="s">
        <v>543</v>
      </c>
      <c r="F3" s="17">
        <f>IF($C3="","",IF($C3="Work",IFERROR(IF(SUMIFS(WORK_TARIFF_RULES!$G:$G,WORK_TARIFF_RULES!$A:$A,$D3,WORK_TARIFF_RULES!$C:$C,$B3)&lt;&gt;"",SUMIFS(WORK_TARIFF_RULES!$G:$G,WORK_TARIFF_RULES!$A:$A,$D3,WORK_TARIFF_RULES!$C:$C,$B3),SUMIFS(WORK_MASTER!$C:$C,WORK_MASTER!$A:$A,$D3)),""),IF($C3="Material",IFERROR(IF(SUMIFS(MATERIAL_TARIFF_RULES!$G:$G,MATERIAL_TARIFF_RULES!$A:$A,$D3,MATERIAL_TARIFF_RULES!$C:$C,$B3)&lt;&gt;"",SUMIFS(MATERIAL_TARIFF_RULES!$G:$G,MATERIAL_TARIFF_RULES!$A:$A,$D3,MATERIAL_TARIFF_RULES!$C:$C,$B3),SUMIFS(MATERIAL_VARIANTS!$J:$J,MATERIAL_VARIANTS!$A:$A,$E3)),""),IF($C3="Logistics","Мобилизация и логистика объекта",""))))</f>
        <v>0</v>
      </c>
      <c r="G3" s="17">
        <v>120</v>
      </c>
      <c r="H3" s="17" t="s">
        <v>241</v>
      </c>
      <c r="I3" s="31">
        <f>IF($C3="","",IF($C3="Work",IFERROR(SUMIFS(WORK_MASTER!$I:$I,WORK_MASTER!$A:$A,$D3),0),IF($C3="Material",IFERROR(SUMIFS(MATERIAL_VARIANTS!$I:$I,MATERIAL_VARIANTS!$A:$A,$E3),0),0)))</f>
        <v>0</v>
      </c>
      <c r="J3" s="31">
        <f>IF($C3="","",IF($C3="Work",IF($E3&lt;&gt;"",IFERROR(SUMIFS(WORK_VARIANTS!$H:$H,WORK_VARIANTS!$A:$A,$E3),1),1),1))</f>
        <v>1</v>
      </c>
      <c r="K3" s="31">
        <f>IF($C3="","",IF($C3="Work",IFERROR(SUMIFS(WORK_FACTOR_APPLICABILITY!$O:$O,WORK_FACTOR_APPLICABILITY!$A:$A,$D3,WORK_FACTOR_APPLICABILITY!$N:$N,$A3),1),IF($C3="Material",IFERROR(INDEX(MATERIAL_QUANTITY_EXAMPLE!$N:$N,MATCH(1,(MATERIAL_QUANTITY_EXAMPLE!$A:$A=MATERIAL_QUANTITY_EXAMPLE!$A:$A)*(MATERIAL_QUANTITY_EXAMPLE!$B:$B=$A3)*(MATERIAL_QUANTITY_EXAMPLE!$C:$C=$D3),0)),1),1)))</f>
        <v>1</v>
      </c>
      <c r="L3" s="31">
        <f>IF($A3="","",IF($C3="Material",1,IFERROR(INDEX(OBJECT_CONDITIONS!$AH:$AH,MATCH($A3,OBJECT_CONDITIONS!$A:$A,0))*INDEX(OBJECT_CONDITIONS!$AJ:$AJ,MATCH($A3,OBJECT_CONDITIONS!$A:$A,0))*INDEX(OBJECT_CONDITIONS!$AL:$AL,MATCH($A3,OBJECT_CONDITIONS!$A:$A,0)),1)))</f>
        <v>1</v>
      </c>
      <c r="M3" s="31">
        <f>IF($B3="","",IF($C3="Work",IFERROR(IF(SUMIFS(WORK_TARIFF_RULES!$F:$F,WORK_TARIFF_RULES!$A:$A,$D3,WORK_TARIFF_RULES!$C:$C,$B3)&lt;&gt;"",SUMIFS(WORK_TARIFF_RULES!$F:$F,WORK_TARIFF_RULES!$A:$A,$D3,WORK_TARIFF_RULES!$C:$C,$B3),SUMIFS(TARIFF_PROFILES!$D:$D,TARIFF_PROFILES!$A:$A,$B3)),1),IF($C3="Material",IFERROR(IF(SUMIFS(MATERIAL_TARIFF_RULES!$E:$E,MATERIAL_TARIFF_RULES!$A:$A,$D3,MATERIAL_TARIFF_RULES!$C:$C,$B3)&lt;&gt;"",SUMIFS(MATERIAL_TARIFF_RULES!$E:$E,MATERIAL_TARIFF_RULES!$A:$A,$D3,MATERIAL_TARIFF_RULES!$C:$C,$B3),SUMIFS(TARIFF_PROFILES!$E:$E,TARIFF_PROFILES!$A:$A,$B3)),1),SUMIFS(TARIFF_PROFILES!$F:$F,TARIFF_PROFILES!$A:$A,$B3))))</f>
        <v>0</v>
      </c>
      <c r="N3" s="31">
        <f>IF($C3="Material",IFERROR(SUMIFS(MATERIAL_MASTER!$P:$P,MATERIAL_MASTER!$A:$A,$D3)*IF(SUMIFS(MATERIAL_TARIFF_RULES!$F:$F,MATERIAL_TARIFF_RULES!$A:$A,$D3,MATERIAL_TARIFF_RULES!$C:$C,$B3)="",SUMIFS(TARIFF_PROFILES!$H:$H,TARIFF_PROFILES!$A:$A,$B3),SUMIFS(MATERIAL_TARIFF_RULES!$F:$F,MATERIAL_TARIFF_RULES!$A:$A,$D3,MATERIAL_TARIFF_RULES!$C:$C,$B3)),1),1)</f>
        <v>0</v>
      </c>
      <c r="O3" s="17">
        <f t="shared" si="0"/>
        <v>0</v>
      </c>
      <c r="P3" s="17">
        <f>IF(ROW()=2,MAX(0,INDEX(COMMERCIAL_POLICY!$B:$B,MATCH($B3,COMMERCIAL_POLICY!$A:$A,0))-SUM($Q$2:$Q$60)),0)</f>
        <v>0</v>
      </c>
      <c r="Q3" s="33">
        <f>IF($C3="","",IF($C3="Material",N($I3)*N($K3)*N($M3)*N($O3),IF($C3="Logistics",INDEX(COMMERCIAL_POLICY!$D:$D,MATCH($B3,COMMERCIAL_POLICY!$A:$A,0))*N($L3),N($I3)*N($J3)*N($K3)*N($L3)*N($M3)*N($G3))))</f>
        <v>0</v>
      </c>
      <c r="R3" s="17" t="str">
        <f>IF($A3="","",INDEX(OBJECT_CONDITIONS!$AM:$AM,MATCH($A3,OBJECT_CONDITIONS!$A:$A,0)))</f>
        <v>С НДС 20%</v>
      </c>
      <c r="S3" s="31">
        <f>IF($R3="","",INDEX(TAX_MODES!$B:$B,MATCH($R3,TAX_MODES!$A:$A,0)))</f>
        <v>0.2</v>
      </c>
      <c r="T3" s="33">
        <f t="shared" si="1"/>
        <v>0</v>
      </c>
      <c r="U3" s="17" t="str">
        <f t="shared" si="2"/>
        <v>Net x reserve x rounded purchase logic</v>
      </c>
    </row>
    <row r="4" spans="1:21" ht="28.8" x14ac:dyDescent="0.3">
      <c r="A4" s="17" t="s">
        <v>617</v>
      </c>
      <c r="B4" s="17" t="s">
        <v>346</v>
      </c>
      <c r="C4" s="17" t="s">
        <v>355</v>
      </c>
      <c r="D4" s="17" t="s">
        <v>1004</v>
      </c>
      <c r="E4" s="17"/>
      <c r="F4" s="17" t="str">
        <f>IF($C4="","",IF($C4="Work",IFERROR(IF(SUMIFS(WORK_TARIFF_RULES!$G:$G,WORK_TARIFF_RULES!$A:$A,$D4,WORK_TARIFF_RULES!$C:$C,$B4)&lt;&gt;"",SUMIFS(WORK_TARIFF_RULES!$G:$G,WORK_TARIFF_RULES!$A:$A,$D4,WORK_TARIFF_RULES!$C:$C,$B4),SUMIFS(WORK_MASTER!$C:$C,WORK_MASTER!$A:$A,$D4)),""),IF($C4="Material",IFERROR(IF(SUMIFS(MATERIAL_TARIFF_RULES!$G:$G,MATERIAL_TARIFF_RULES!$A:$A,$D4,MATERIAL_TARIFF_RULES!$C:$C,$B4)&lt;&gt;"",SUMIFS(MATERIAL_TARIFF_RULES!$G:$G,MATERIAL_TARIFF_RULES!$A:$A,$D4,MATERIAL_TARIFF_RULES!$C:$C,$B4),SUMIFS(MATERIAL_VARIANTS!$J:$J,MATERIAL_VARIANTS!$A:$A,$E4)),""),IF($C4="Logistics","Мобилизация и логистика объекта",""))))</f>
        <v>Мобилизация и логистика объекта</v>
      </c>
      <c r="G4" s="17">
        <v>1</v>
      </c>
      <c r="H4" s="17" t="s">
        <v>388</v>
      </c>
      <c r="I4" s="31">
        <f>IF($C4="","",IF($C4="Work",IFERROR(SUMIFS(WORK_MASTER!$I:$I,WORK_MASTER!$A:$A,$D4),0),IF($C4="Material",IFERROR(SUMIFS(MATERIAL_VARIANTS!$I:$I,MATERIAL_VARIANTS!$A:$A,$E4),0),0)))</f>
        <v>0</v>
      </c>
      <c r="J4" s="31">
        <f>IF($C4="","",IF($C4="Work",IF($E4&lt;&gt;"",IFERROR(SUMIFS(WORK_VARIANTS!$H:$H,WORK_VARIANTS!$A:$A,$E4),1),1),1))</f>
        <v>1</v>
      </c>
      <c r="K4" s="31">
        <f>IF($C4="","",IF($C4="Work",IFERROR(SUMIFS(WORK_FACTOR_APPLICABILITY!$O:$O,WORK_FACTOR_APPLICABILITY!$A:$A,$D4,WORK_FACTOR_APPLICABILITY!$N:$N,$A4),1),IF($C4="Material",IFERROR(INDEX(MATERIAL_QUANTITY_EXAMPLE!$N:$N,MATCH(1,(MATERIAL_QUANTITY_EXAMPLE!$A:$A=MATERIAL_QUANTITY_EXAMPLE!$A:$A)*(MATERIAL_QUANTITY_EXAMPLE!$B:$B=$A4)*(MATERIAL_QUANTITY_EXAMPLE!$C:$C=$D4),0)),1),1)))</f>
        <v>1</v>
      </c>
      <c r="L4" s="31">
        <f>IF($A4="","",IF($C4="Material",1,IFERROR(INDEX(OBJECT_CONDITIONS!$AH:$AH,MATCH($A4,OBJECT_CONDITIONS!$A:$A,0))*INDEX(OBJECT_CONDITIONS!$AJ:$AJ,MATCH($A4,OBJECT_CONDITIONS!$A:$A,0))*INDEX(OBJECT_CONDITIONS!$AL:$AL,MATCH($A4,OBJECT_CONDITIONS!$A:$A,0)),1)))</f>
        <v>1.2942720000000003</v>
      </c>
      <c r="M4" s="31">
        <f>IF($B4="","",IF($C4="Work",IFERROR(IF(SUMIFS(WORK_TARIFF_RULES!$F:$F,WORK_TARIFF_RULES!$A:$A,$D4,WORK_TARIFF_RULES!$C:$C,$B4)&lt;&gt;"",SUMIFS(WORK_TARIFF_RULES!$F:$F,WORK_TARIFF_RULES!$A:$A,$D4,WORK_TARIFF_RULES!$C:$C,$B4),SUMIFS(TARIFF_PROFILES!$D:$D,TARIFF_PROFILES!$A:$A,$B4)),1),IF($C4="Material",IFERROR(IF(SUMIFS(MATERIAL_TARIFF_RULES!$E:$E,MATERIAL_TARIFF_RULES!$A:$A,$D4,MATERIAL_TARIFF_RULES!$C:$C,$B4)&lt;&gt;"",SUMIFS(MATERIAL_TARIFF_RULES!$E:$E,MATERIAL_TARIFF_RULES!$A:$A,$D4,MATERIAL_TARIFF_RULES!$C:$C,$B4),SUMIFS(TARIFF_PROFILES!$E:$E,TARIFF_PROFILES!$A:$A,$B4)),1),SUMIFS(TARIFF_PROFILES!$F:$F,TARIFF_PROFILES!$A:$A,$B4))))</f>
        <v>1.03</v>
      </c>
      <c r="N4" s="31">
        <f>IF($C4="Material",IFERROR(SUMIFS(MATERIAL_MASTER!$P:$P,MATERIAL_MASTER!$A:$A,$D4)*IF(SUMIFS(MATERIAL_TARIFF_RULES!$F:$F,MATERIAL_TARIFF_RULES!$A:$A,$D4,MATERIAL_TARIFF_RULES!$C:$C,$B4)="",SUMIFS(TARIFF_PROFILES!$H:$H,TARIFF_PROFILES!$A:$A,$B4),SUMIFS(MATERIAL_TARIFF_RULES!$F:$F,MATERIAL_TARIFF_RULES!$A:$A,$D4,MATERIAL_TARIFF_RULES!$C:$C,$B4)),1),1)</f>
        <v>1</v>
      </c>
      <c r="O4" s="17">
        <f t="shared" si="0"/>
        <v>1</v>
      </c>
      <c r="P4" s="17">
        <f>IF(ROW()=2,MAX(0,INDEX(COMMERCIAL_POLICY!$B:$B,MATCH($B4,COMMERCIAL_POLICY!$A:$A,0))-SUM($Q$2:$Q$60)),0)</f>
        <v>0</v>
      </c>
      <c r="Q4" s="33">
        <f>IF($C4="","",IF($C4="Material",N($I4)*N($K4)*N($M4)*N($O4),IF($C4="Logistics",INDEX(COMMERCIAL_POLICY!$D:$D,MATCH($B4,COMMERCIAL_POLICY!$A:$A,0))*N($L4),N($I4)*N($J4)*N($K4)*N($L4)*N($M4)*N($G4))))</f>
        <v>23296.896000000004</v>
      </c>
      <c r="R4" s="17" t="str">
        <f>IF($A4="","",INDEX(OBJECT_CONDITIONS!$AM:$AM,MATCH($A4,OBJECT_CONDITIONS!$A:$A,0)))</f>
        <v>С НДС 20%</v>
      </c>
      <c r="S4" s="31">
        <f>IF($R4="","",INDEX(TAX_MODES!$B:$B,MATCH($R4,TAX_MODES!$A:$A,0)))</f>
        <v>0.2</v>
      </c>
      <c r="T4" s="33">
        <f t="shared" si="1"/>
        <v>27956.275200000004</v>
      </c>
      <c r="U4" s="17" t="str">
        <f t="shared" si="2"/>
        <v>Mobilization from COMMERCIAL_POLICY x operating coeff</v>
      </c>
    </row>
    <row r="5" spans="1:21" ht="28.8" x14ac:dyDescent="0.3">
      <c r="A5" s="17" t="s">
        <v>655</v>
      </c>
      <c r="B5" s="17" t="s">
        <v>267</v>
      </c>
      <c r="C5" s="17" t="s">
        <v>246</v>
      </c>
      <c r="D5" s="17" t="s">
        <v>444</v>
      </c>
      <c r="E5" s="17" t="s">
        <v>475</v>
      </c>
      <c r="F5" s="17">
        <f>IF($C5="","",IF($C5="Work",IFERROR(IF(SUMIFS(WORK_TARIFF_RULES!$G:$G,WORK_TARIFF_RULES!$A:$A,$D5,WORK_TARIFF_RULES!$C:$C,$B5)&lt;&gt;"",SUMIFS(WORK_TARIFF_RULES!$G:$G,WORK_TARIFF_RULES!$A:$A,$D5,WORK_TARIFF_RULES!$C:$C,$B5),SUMIFS(WORK_MASTER!$C:$C,WORK_MASTER!$A:$A,$D5)),""),IF($C5="Material",IFERROR(IF(SUMIFS(MATERIAL_TARIFF_RULES!$G:$G,MATERIAL_TARIFF_RULES!$A:$A,$D5,MATERIAL_TARIFF_RULES!$C:$C,$B5)&lt;&gt;"",SUMIFS(MATERIAL_TARIFF_RULES!$G:$G,MATERIAL_TARIFF_RULES!$A:$A,$D5,MATERIAL_TARIFF_RULES!$C:$C,$B5),SUMIFS(MATERIAL_VARIANTS!$J:$J,MATERIAL_VARIANTS!$A:$A,$E5)),""),IF($C5="Logistics","Мобилизация и логистика объекта",""))))</f>
        <v>0</v>
      </c>
      <c r="G5" s="17">
        <v>200</v>
      </c>
      <c r="H5" s="17" t="s">
        <v>241</v>
      </c>
      <c r="I5" s="31">
        <f>IF($C5="","",IF($C5="Work",IFERROR(SUMIFS(WORK_MASTER!$I:$I,WORK_MASTER!$A:$A,$D5),0),IF($C5="Material",IFERROR(SUMIFS(MATERIAL_VARIANTS!$I:$I,MATERIAL_VARIANTS!$A:$A,$E5),0),0)))</f>
        <v>350</v>
      </c>
      <c r="J5" s="31">
        <f>IF($C5="","",IF($C5="Work",IF($E5&lt;&gt;"",IFERROR(SUMIFS(WORK_VARIANTS!$H:$H,WORK_VARIANTS!$A:$A,$E5),1),1),1))</f>
        <v>0</v>
      </c>
      <c r="K5" s="31">
        <f>IF($C5="","",IF($C5="Work",IFERROR(SUMIFS(WORK_FACTOR_APPLICABILITY!$O:$O,WORK_FACTOR_APPLICABILITY!$A:$A,$D5,WORK_FACTOR_APPLICABILITY!$N:$N,$A5),1),IF($C5="Material",IFERROR(INDEX(MATERIAL_QUANTITY_EXAMPLE!$N:$N,MATCH(1,(MATERIAL_QUANTITY_EXAMPLE!$A:$A=MATERIAL_QUANTITY_EXAMPLE!$A:$A)*(MATERIAL_QUANTITY_EXAMPLE!$B:$B=$A5)*(MATERIAL_QUANTITY_EXAMPLE!$C:$C=$D5),0)),1),1)))</f>
        <v>0</v>
      </c>
      <c r="L5" s="31">
        <f>IF($A5="","",IF($C5="Material",1,IFERROR(INDEX(OBJECT_CONDITIONS!$AH:$AH,MATCH($A5,OBJECT_CONDITIONS!$A:$A,0))*INDEX(OBJECT_CONDITIONS!$AJ:$AJ,MATCH($A5,OBJECT_CONDITIONS!$A:$A,0))*INDEX(OBJECT_CONDITIONS!$AL:$AL,MATCH($A5,OBJECT_CONDITIONS!$A:$A,0)),1)))</f>
        <v>1</v>
      </c>
      <c r="M5" s="31">
        <f>IF($B5="","",IF($C5="Work",IFERROR(IF(SUMIFS(WORK_TARIFF_RULES!$F:$F,WORK_TARIFF_RULES!$A:$A,$D5,WORK_TARIFF_RULES!$C:$C,$B5)&lt;&gt;"",SUMIFS(WORK_TARIFF_RULES!$F:$F,WORK_TARIFF_RULES!$A:$A,$D5,WORK_TARIFF_RULES!$C:$C,$B5),SUMIFS(TARIFF_PROFILES!$D:$D,TARIFF_PROFILES!$A:$A,$B5)),1),IF($C5="Material",IFERROR(IF(SUMIFS(MATERIAL_TARIFF_RULES!$E:$E,MATERIAL_TARIFF_RULES!$A:$A,$D5,MATERIAL_TARIFF_RULES!$C:$C,$B5)&lt;&gt;"",SUMIFS(MATERIAL_TARIFF_RULES!$E:$E,MATERIAL_TARIFF_RULES!$A:$A,$D5,MATERIAL_TARIFF_RULES!$C:$C,$B5),SUMIFS(TARIFF_PROFILES!$E:$E,TARIFF_PROFILES!$A:$A,$B5)),1),SUMIFS(TARIFF_PROFILES!$F:$F,TARIFF_PROFILES!$A:$A,$B5))))</f>
        <v>0</v>
      </c>
      <c r="N5" s="31">
        <f>IF($C5="Material",IFERROR(SUMIFS(MATERIAL_MASTER!$P:$P,MATERIAL_MASTER!$A:$A,$D5)*IF(SUMIFS(MATERIAL_TARIFF_RULES!$F:$F,MATERIAL_TARIFF_RULES!$A:$A,$D5,MATERIAL_TARIFF_RULES!$C:$C,$B5)="",SUMIFS(TARIFF_PROFILES!$H:$H,TARIFF_PROFILES!$A:$A,$B5),SUMIFS(MATERIAL_TARIFF_RULES!$F:$F,MATERIAL_TARIFF_RULES!$A:$A,$D5,MATERIAL_TARIFF_RULES!$C:$C,$B5)),1),1)</f>
        <v>1</v>
      </c>
      <c r="O5" s="17">
        <f t="shared" si="0"/>
        <v>200</v>
      </c>
      <c r="P5" s="17">
        <f>IF(ROW()=2,MAX(0,INDEX(COMMERCIAL_POLICY!$B:$B,MATCH($B5,COMMERCIAL_POLICY!$A:$A,0))-SUM($Q$2:$Q$60)),0)</f>
        <v>0</v>
      </c>
      <c r="Q5" s="33">
        <f>IF($C5="","",IF($C5="Material",N($I5)*N($K5)*N($M5)*N($O5),IF($C5="Logistics",INDEX(COMMERCIAL_POLICY!$D:$D,MATCH($B5,COMMERCIAL_POLICY!$A:$A,0))*N($L5),N($I5)*N($J5)*N($K5)*N($L5)*N($M5)*N($G5))))</f>
        <v>0</v>
      </c>
      <c r="R5" s="17" t="str">
        <f>IF($A5="","",INDEX(OBJECT_CONDITIONS!$AM:$AM,MATCH($A5,OBJECT_CONDITIONS!$A:$A,0)))</f>
        <v>Без НДС</v>
      </c>
      <c r="S5" s="31">
        <f>IF($R5="","",INDEX(TAX_MODES!$B:$B,MATCH($R5,TAX_MODES!$A:$A,0)))</f>
        <v>0</v>
      </c>
      <c r="T5" s="33">
        <f t="shared" si="1"/>
        <v>0</v>
      </c>
      <c r="U5" s="17" t="str">
        <f t="shared" si="2"/>
        <v>Base x method/variant x site x operating x tariff</v>
      </c>
    </row>
    <row r="6" spans="1:21" x14ac:dyDescent="0.3">
      <c r="A6" s="17"/>
      <c r="B6" s="17"/>
      <c r="C6" s="17"/>
      <c r="D6" s="17"/>
      <c r="E6" s="17"/>
      <c r="F6" s="17" t="str">
        <f>IF($C6="","",IF($C6="Work",IFERROR(IF(SUMIFS(WORK_TARIFF_RULES!$G:$G,WORK_TARIFF_RULES!$A:$A,$D6,WORK_TARIFF_RULES!$C:$C,$B6)&lt;&gt;"",SUMIFS(WORK_TARIFF_RULES!$G:$G,WORK_TARIFF_RULES!$A:$A,$D6,WORK_TARIFF_RULES!$C:$C,$B6),SUMIFS(WORK_MASTER!$C:$C,WORK_MASTER!$A:$A,$D6)),""),IF($C6="Material",IFERROR(IF(SUMIFS(MATERIAL_TARIFF_RULES!$G:$G,MATERIAL_TARIFF_RULES!$A:$A,$D6,MATERIAL_TARIFF_RULES!$C:$C,$B6)&lt;&gt;"",SUMIFS(MATERIAL_TARIFF_RULES!$G:$G,MATERIAL_TARIFF_RULES!$A:$A,$D6,MATERIAL_TARIFF_RULES!$C:$C,$B6),SUMIFS(MATERIAL_VARIANTS!$J:$J,MATERIAL_VARIANTS!$A:$A,$E6)),""),IF($C6="Logistics","Мобилизация и логистика объекта",""))))</f>
        <v/>
      </c>
      <c r="G6" s="17"/>
      <c r="H6" s="17"/>
      <c r="I6" s="31" t="str">
        <f>IF($C6="","",IF($C6="Work",IFERROR(SUMIFS(WORK_MASTER!$I:$I,WORK_MASTER!$A:$A,$D6),0),IF($C6="Material",IFERROR(SUMIFS(MATERIAL_VARIANTS!$I:$I,MATERIAL_VARIANTS!$A:$A,$E6),0),0)))</f>
        <v/>
      </c>
      <c r="J6" s="31" t="str">
        <f>IF($C6="","",IF($C6="Work",IF($E6&lt;&gt;"",IFERROR(SUMIFS(WORK_VARIANTS!$H:$H,WORK_VARIANTS!$A:$A,$E6),1),1),1))</f>
        <v/>
      </c>
      <c r="K6" s="31" t="str">
        <f>IF($C6="","",IF($C6="Work",IFERROR(SUMIFS(WORK_FACTOR_APPLICABILITY!$O:$O,WORK_FACTOR_APPLICABILITY!$A:$A,$D6,WORK_FACTOR_APPLICABILITY!$N:$N,$A6),1),IF($C6="Material",IFERROR(INDEX(MATERIAL_QUANTITY_EXAMPLE!$N:$N,MATCH(1,(MATERIAL_QUANTITY_EXAMPLE!$A:$A=MATERIAL_QUANTITY_EXAMPLE!$A:$A)*(MATERIAL_QUANTITY_EXAMPLE!$B:$B=$A6)*(MATERIAL_QUANTITY_EXAMPLE!$C:$C=$D6),0)),1),1)))</f>
        <v/>
      </c>
      <c r="L6" s="31" t="str">
        <f>IF($A6="","",IF($C6="Material",1,IFERROR(INDEX(OBJECT_CONDITIONS!$AH:$AH,MATCH($A6,OBJECT_CONDITIONS!$A:$A,0))*INDEX(OBJECT_CONDITIONS!$AJ:$AJ,MATCH($A6,OBJECT_CONDITIONS!$A:$A,0))*INDEX(OBJECT_CONDITIONS!$AL:$AL,MATCH($A6,OBJECT_CONDITIONS!$A:$A,0)),1)))</f>
        <v/>
      </c>
      <c r="M6" s="31" t="str">
        <f>IF($B6="","",IF($C6="Work",IFERROR(IF(SUMIFS(WORK_TARIFF_RULES!$F:$F,WORK_TARIFF_RULES!$A:$A,$D6,WORK_TARIFF_RULES!$C:$C,$B6)&lt;&gt;"",SUMIFS(WORK_TARIFF_RULES!$F:$F,WORK_TARIFF_RULES!$A:$A,$D6,WORK_TARIFF_RULES!$C:$C,$B6),SUMIFS(TARIFF_PROFILES!$D:$D,TARIFF_PROFILES!$A:$A,$B6)),1),IF($C6="Material",IFERROR(IF(SUMIFS(MATERIAL_TARIFF_RULES!$E:$E,MATERIAL_TARIFF_RULES!$A:$A,$D6,MATERIAL_TARIFF_RULES!$C:$C,$B6)&lt;&gt;"",SUMIFS(MATERIAL_TARIFF_RULES!$E:$E,MATERIAL_TARIFF_RULES!$A:$A,$D6,MATERIAL_TARIFF_RULES!$C:$C,$B6),SUMIFS(TARIFF_PROFILES!$E:$E,TARIFF_PROFILES!$A:$A,$B6)),1),SUMIFS(TARIFF_PROFILES!$F:$F,TARIFF_PROFILES!$A:$A,$B6))))</f>
        <v/>
      </c>
      <c r="N6" s="31">
        <f>IF($C6="Material",IFERROR(SUMIFS(MATERIAL_MASTER!$P:$P,MATERIAL_MASTER!$A:$A,$D6)*IF(SUMIFS(MATERIAL_TARIFF_RULES!$F:$F,MATERIAL_TARIFF_RULES!$A:$A,$D6,MATERIAL_TARIFF_RULES!$C:$C,$B6)="",SUMIFS(TARIFF_PROFILES!$H:$H,TARIFF_PROFILES!$A:$A,$B6),SUMIFS(MATERIAL_TARIFF_RULES!$F:$F,MATERIAL_TARIFF_RULES!$A:$A,$D6,MATERIAL_TARIFF_RULES!$C:$C,$B6)),1),1)</f>
        <v>1</v>
      </c>
      <c r="O6" s="17" t="str">
        <f t="shared" si="0"/>
        <v/>
      </c>
      <c r="P6" s="17">
        <f>IF(ROW()=2,MAX(0,INDEX(COMMERCIAL_POLICY!$B:$B,MATCH($B6,COMMERCIAL_POLICY!$A:$A,0))-SUM($Q$2:$Q$60)),0)</f>
        <v>0</v>
      </c>
      <c r="Q6" s="33" t="str">
        <f>IF($C6="","",IF($C6="Material",N($I6)*N($K6)*N($M6)*N($O6),IF($C6="Logistics",INDEX(COMMERCIAL_POLICY!$D:$D,MATCH($B6,COMMERCIAL_POLICY!$A:$A,0))*N($L6),N($I6)*N($J6)*N($K6)*N($L6)*N($M6)*N($G6))))</f>
        <v/>
      </c>
      <c r="R6" s="17" t="str">
        <f>IF($A6="","",INDEX(OBJECT_CONDITIONS!$AM:$AM,MATCH($A6,OBJECT_CONDITIONS!$A:$A,0)))</f>
        <v/>
      </c>
      <c r="S6" s="31" t="str">
        <f>IF($R6="","",INDEX(TAX_MODES!$B:$B,MATCH($R6,TAX_MODES!$A:$A,0)))</f>
        <v/>
      </c>
      <c r="T6" s="33" t="str">
        <f t="shared" si="1"/>
        <v/>
      </c>
      <c r="U6" s="17" t="str">
        <f t="shared" si="2"/>
        <v/>
      </c>
    </row>
    <row r="7" spans="1:21" x14ac:dyDescent="0.3">
      <c r="A7" s="17"/>
      <c r="B7" s="17"/>
      <c r="C7" s="17"/>
      <c r="D7" s="17"/>
      <c r="E7" s="17"/>
      <c r="F7" s="17" t="str">
        <f>IF($C7="","",IF($C7="Work",IFERROR(IF(SUMIFS(WORK_TARIFF_RULES!$G:$G,WORK_TARIFF_RULES!$A:$A,$D7,WORK_TARIFF_RULES!$C:$C,$B7)&lt;&gt;"",SUMIFS(WORK_TARIFF_RULES!$G:$G,WORK_TARIFF_RULES!$A:$A,$D7,WORK_TARIFF_RULES!$C:$C,$B7),SUMIFS(WORK_MASTER!$C:$C,WORK_MASTER!$A:$A,$D7)),""),IF($C7="Material",IFERROR(IF(SUMIFS(MATERIAL_TARIFF_RULES!$G:$G,MATERIAL_TARIFF_RULES!$A:$A,$D7,MATERIAL_TARIFF_RULES!$C:$C,$B7)&lt;&gt;"",SUMIFS(MATERIAL_TARIFF_RULES!$G:$G,MATERIAL_TARIFF_RULES!$A:$A,$D7,MATERIAL_TARIFF_RULES!$C:$C,$B7),SUMIFS(MATERIAL_VARIANTS!$J:$J,MATERIAL_VARIANTS!$A:$A,$E7)),""),IF($C7="Logistics","Мобилизация и логистика объекта",""))))</f>
        <v/>
      </c>
      <c r="G7" s="17"/>
      <c r="H7" s="17"/>
      <c r="I7" s="31" t="str">
        <f>IF($C7="","",IF($C7="Work",IFERROR(SUMIFS(WORK_MASTER!$I:$I,WORK_MASTER!$A:$A,$D7),0),IF($C7="Material",IFERROR(SUMIFS(MATERIAL_VARIANTS!$I:$I,MATERIAL_VARIANTS!$A:$A,$E7),0),0)))</f>
        <v/>
      </c>
      <c r="J7" s="31" t="str">
        <f>IF($C7="","",IF($C7="Work",IF($E7&lt;&gt;"",IFERROR(SUMIFS(WORK_VARIANTS!$H:$H,WORK_VARIANTS!$A:$A,$E7),1),1),1))</f>
        <v/>
      </c>
      <c r="K7" s="31" t="str">
        <f>IF($C7="","",IF($C7="Work",IFERROR(SUMIFS(WORK_FACTOR_APPLICABILITY!$O:$O,WORK_FACTOR_APPLICABILITY!$A:$A,$D7,WORK_FACTOR_APPLICABILITY!$N:$N,$A7),1),IF($C7="Material",IFERROR(INDEX(MATERIAL_QUANTITY_EXAMPLE!$N:$N,MATCH(1,(MATERIAL_QUANTITY_EXAMPLE!$A:$A=MATERIAL_QUANTITY_EXAMPLE!$A:$A)*(MATERIAL_QUANTITY_EXAMPLE!$B:$B=$A7)*(MATERIAL_QUANTITY_EXAMPLE!$C:$C=$D7),0)),1),1)))</f>
        <v/>
      </c>
      <c r="L7" s="31" t="str">
        <f>IF($A7="","",IF($C7="Material",1,IFERROR(INDEX(OBJECT_CONDITIONS!$AH:$AH,MATCH($A7,OBJECT_CONDITIONS!$A:$A,0))*INDEX(OBJECT_CONDITIONS!$AJ:$AJ,MATCH($A7,OBJECT_CONDITIONS!$A:$A,0))*INDEX(OBJECT_CONDITIONS!$AL:$AL,MATCH($A7,OBJECT_CONDITIONS!$A:$A,0)),1)))</f>
        <v/>
      </c>
      <c r="M7" s="31" t="str">
        <f>IF($B7="","",IF($C7="Work",IFERROR(IF(SUMIFS(WORK_TARIFF_RULES!$F:$F,WORK_TARIFF_RULES!$A:$A,$D7,WORK_TARIFF_RULES!$C:$C,$B7)&lt;&gt;"",SUMIFS(WORK_TARIFF_RULES!$F:$F,WORK_TARIFF_RULES!$A:$A,$D7,WORK_TARIFF_RULES!$C:$C,$B7),SUMIFS(TARIFF_PROFILES!$D:$D,TARIFF_PROFILES!$A:$A,$B7)),1),IF($C7="Material",IFERROR(IF(SUMIFS(MATERIAL_TARIFF_RULES!$E:$E,MATERIAL_TARIFF_RULES!$A:$A,$D7,MATERIAL_TARIFF_RULES!$C:$C,$B7)&lt;&gt;"",SUMIFS(MATERIAL_TARIFF_RULES!$E:$E,MATERIAL_TARIFF_RULES!$A:$A,$D7,MATERIAL_TARIFF_RULES!$C:$C,$B7),SUMIFS(TARIFF_PROFILES!$E:$E,TARIFF_PROFILES!$A:$A,$B7)),1),SUMIFS(TARIFF_PROFILES!$F:$F,TARIFF_PROFILES!$A:$A,$B7))))</f>
        <v/>
      </c>
      <c r="N7" s="31">
        <f>IF($C7="Material",IFERROR(SUMIFS(MATERIAL_MASTER!$P:$P,MATERIAL_MASTER!$A:$A,$D7)*IF(SUMIFS(MATERIAL_TARIFF_RULES!$F:$F,MATERIAL_TARIFF_RULES!$A:$A,$D7,MATERIAL_TARIFF_RULES!$C:$C,$B7)="",SUMIFS(TARIFF_PROFILES!$H:$H,TARIFF_PROFILES!$A:$A,$B7),SUMIFS(MATERIAL_TARIFF_RULES!$F:$F,MATERIAL_TARIFF_RULES!$A:$A,$D7,MATERIAL_TARIFF_RULES!$C:$C,$B7)),1),1)</f>
        <v>1</v>
      </c>
      <c r="O7" s="17" t="str">
        <f t="shared" si="0"/>
        <v/>
      </c>
      <c r="P7" s="17">
        <f>IF(ROW()=2,MAX(0,INDEX(COMMERCIAL_POLICY!$B:$B,MATCH($B7,COMMERCIAL_POLICY!$A:$A,0))-SUM($Q$2:$Q$60)),0)</f>
        <v>0</v>
      </c>
      <c r="Q7" s="33" t="str">
        <f>IF($C7="","",IF($C7="Material",N($I7)*N($K7)*N($M7)*N($O7),IF($C7="Logistics",INDEX(COMMERCIAL_POLICY!$D:$D,MATCH($B7,COMMERCIAL_POLICY!$A:$A,0))*N($L7),N($I7)*N($J7)*N($K7)*N($L7)*N($M7)*N($G7))))</f>
        <v/>
      </c>
      <c r="R7" s="17" t="str">
        <f>IF($A7="","",INDEX(OBJECT_CONDITIONS!$AM:$AM,MATCH($A7,OBJECT_CONDITIONS!$A:$A,0)))</f>
        <v/>
      </c>
      <c r="S7" s="31" t="str">
        <f>IF($R7="","",INDEX(TAX_MODES!$B:$B,MATCH($R7,TAX_MODES!$A:$A,0)))</f>
        <v/>
      </c>
      <c r="T7" s="33" t="str">
        <f t="shared" si="1"/>
        <v/>
      </c>
      <c r="U7" s="17" t="str">
        <f t="shared" si="2"/>
        <v/>
      </c>
    </row>
    <row r="8" spans="1:21" x14ac:dyDescent="0.3">
      <c r="A8" s="17"/>
      <c r="B8" s="17"/>
      <c r="C8" s="17"/>
      <c r="D8" s="17"/>
      <c r="E8" s="17"/>
      <c r="F8" s="17" t="str">
        <f>IF($C8="","",IF($C8="Work",IFERROR(IF(SUMIFS(WORK_TARIFF_RULES!$G:$G,WORK_TARIFF_RULES!$A:$A,$D8,WORK_TARIFF_RULES!$C:$C,$B8)&lt;&gt;"",SUMIFS(WORK_TARIFF_RULES!$G:$G,WORK_TARIFF_RULES!$A:$A,$D8,WORK_TARIFF_RULES!$C:$C,$B8),SUMIFS(WORK_MASTER!$C:$C,WORK_MASTER!$A:$A,$D8)),""),IF($C8="Material",IFERROR(IF(SUMIFS(MATERIAL_TARIFF_RULES!$G:$G,MATERIAL_TARIFF_RULES!$A:$A,$D8,MATERIAL_TARIFF_RULES!$C:$C,$B8)&lt;&gt;"",SUMIFS(MATERIAL_TARIFF_RULES!$G:$G,MATERIAL_TARIFF_RULES!$A:$A,$D8,MATERIAL_TARIFF_RULES!$C:$C,$B8),SUMIFS(MATERIAL_VARIANTS!$J:$J,MATERIAL_VARIANTS!$A:$A,$E8)),""),IF($C8="Logistics","Мобилизация и логистика объекта",""))))</f>
        <v/>
      </c>
      <c r="G8" s="17"/>
      <c r="H8" s="17"/>
      <c r="I8" s="31" t="str">
        <f>IF($C8="","",IF($C8="Work",IFERROR(SUMIFS(WORK_MASTER!$I:$I,WORK_MASTER!$A:$A,$D8),0),IF($C8="Material",IFERROR(SUMIFS(MATERIAL_VARIANTS!$I:$I,MATERIAL_VARIANTS!$A:$A,$E8),0),0)))</f>
        <v/>
      </c>
      <c r="J8" s="31" t="str">
        <f>IF($C8="","",IF($C8="Work",IF($E8&lt;&gt;"",IFERROR(SUMIFS(WORK_VARIANTS!$H:$H,WORK_VARIANTS!$A:$A,$E8),1),1),1))</f>
        <v/>
      </c>
      <c r="K8" s="31" t="str">
        <f>IF($C8="","",IF($C8="Work",IFERROR(SUMIFS(WORK_FACTOR_APPLICABILITY!$O:$O,WORK_FACTOR_APPLICABILITY!$A:$A,$D8,WORK_FACTOR_APPLICABILITY!$N:$N,$A8),1),IF($C8="Material",IFERROR(INDEX(MATERIAL_QUANTITY_EXAMPLE!$N:$N,MATCH(1,(MATERIAL_QUANTITY_EXAMPLE!$A:$A=MATERIAL_QUANTITY_EXAMPLE!$A:$A)*(MATERIAL_QUANTITY_EXAMPLE!$B:$B=$A8)*(MATERIAL_QUANTITY_EXAMPLE!$C:$C=$D8),0)),1),1)))</f>
        <v/>
      </c>
      <c r="L8" s="31" t="str">
        <f>IF($A8="","",IF($C8="Material",1,IFERROR(INDEX(OBJECT_CONDITIONS!$AH:$AH,MATCH($A8,OBJECT_CONDITIONS!$A:$A,0))*INDEX(OBJECT_CONDITIONS!$AJ:$AJ,MATCH($A8,OBJECT_CONDITIONS!$A:$A,0))*INDEX(OBJECT_CONDITIONS!$AL:$AL,MATCH($A8,OBJECT_CONDITIONS!$A:$A,0)),1)))</f>
        <v/>
      </c>
      <c r="M8" s="31" t="str">
        <f>IF($B8="","",IF($C8="Work",IFERROR(IF(SUMIFS(WORK_TARIFF_RULES!$F:$F,WORK_TARIFF_RULES!$A:$A,$D8,WORK_TARIFF_RULES!$C:$C,$B8)&lt;&gt;"",SUMIFS(WORK_TARIFF_RULES!$F:$F,WORK_TARIFF_RULES!$A:$A,$D8,WORK_TARIFF_RULES!$C:$C,$B8),SUMIFS(TARIFF_PROFILES!$D:$D,TARIFF_PROFILES!$A:$A,$B8)),1),IF($C8="Material",IFERROR(IF(SUMIFS(MATERIAL_TARIFF_RULES!$E:$E,MATERIAL_TARIFF_RULES!$A:$A,$D8,MATERIAL_TARIFF_RULES!$C:$C,$B8)&lt;&gt;"",SUMIFS(MATERIAL_TARIFF_RULES!$E:$E,MATERIAL_TARIFF_RULES!$A:$A,$D8,MATERIAL_TARIFF_RULES!$C:$C,$B8),SUMIFS(TARIFF_PROFILES!$E:$E,TARIFF_PROFILES!$A:$A,$B8)),1),SUMIFS(TARIFF_PROFILES!$F:$F,TARIFF_PROFILES!$A:$A,$B8))))</f>
        <v/>
      </c>
      <c r="N8" s="31">
        <f>IF($C8="Material",IFERROR(SUMIFS(MATERIAL_MASTER!$P:$P,MATERIAL_MASTER!$A:$A,$D8)*IF(SUMIFS(MATERIAL_TARIFF_RULES!$F:$F,MATERIAL_TARIFF_RULES!$A:$A,$D8,MATERIAL_TARIFF_RULES!$C:$C,$B8)="",SUMIFS(TARIFF_PROFILES!$H:$H,TARIFF_PROFILES!$A:$A,$B8),SUMIFS(MATERIAL_TARIFF_RULES!$F:$F,MATERIAL_TARIFF_RULES!$A:$A,$D8,MATERIAL_TARIFF_RULES!$C:$C,$B8)),1),1)</f>
        <v>1</v>
      </c>
      <c r="O8" s="17" t="str">
        <f t="shared" si="0"/>
        <v/>
      </c>
      <c r="P8" s="17">
        <f>IF(ROW()=2,MAX(0,INDEX(COMMERCIAL_POLICY!$B:$B,MATCH($B8,COMMERCIAL_POLICY!$A:$A,0))-SUM($Q$2:$Q$60)),0)</f>
        <v>0</v>
      </c>
      <c r="Q8" s="33" t="str">
        <f>IF($C8="","",IF($C8="Material",N($I8)*N($K8)*N($M8)*N($O8),IF($C8="Logistics",INDEX(COMMERCIAL_POLICY!$D:$D,MATCH($B8,COMMERCIAL_POLICY!$A:$A,0))*N($L8),N($I8)*N($J8)*N($K8)*N($L8)*N($M8)*N($G8))))</f>
        <v/>
      </c>
      <c r="R8" s="17" t="str">
        <f>IF($A8="","",INDEX(OBJECT_CONDITIONS!$AM:$AM,MATCH($A8,OBJECT_CONDITIONS!$A:$A,0)))</f>
        <v/>
      </c>
      <c r="S8" s="31" t="str">
        <f>IF($R8="","",INDEX(TAX_MODES!$B:$B,MATCH($R8,TAX_MODES!$A:$A,0)))</f>
        <v/>
      </c>
      <c r="T8" s="33" t="str">
        <f t="shared" si="1"/>
        <v/>
      </c>
      <c r="U8" s="17" t="str">
        <f t="shared" si="2"/>
        <v/>
      </c>
    </row>
    <row r="9" spans="1:21" x14ac:dyDescent="0.3">
      <c r="A9" s="17"/>
      <c r="B9" s="17"/>
      <c r="C9" s="17"/>
      <c r="D9" s="17"/>
      <c r="E9" s="17"/>
      <c r="F9" s="17" t="str">
        <f>IF($C9="","",IF($C9="Work",IFERROR(IF(SUMIFS(WORK_TARIFF_RULES!$G:$G,WORK_TARIFF_RULES!$A:$A,$D9,WORK_TARIFF_RULES!$C:$C,$B9)&lt;&gt;"",SUMIFS(WORK_TARIFF_RULES!$G:$G,WORK_TARIFF_RULES!$A:$A,$D9,WORK_TARIFF_RULES!$C:$C,$B9),SUMIFS(WORK_MASTER!$C:$C,WORK_MASTER!$A:$A,$D9)),""),IF($C9="Material",IFERROR(IF(SUMIFS(MATERIAL_TARIFF_RULES!$G:$G,MATERIAL_TARIFF_RULES!$A:$A,$D9,MATERIAL_TARIFF_RULES!$C:$C,$B9)&lt;&gt;"",SUMIFS(MATERIAL_TARIFF_RULES!$G:$G,MATERIAL_TARIFF_RULES!$A:$A,$D9,MATERIAL_TARIFF_RULES!$C:$C,$B9),SUMIFS(MATERIAL_VARIANTS!$J:$J,MATERIAL_VARIANTS!$A:$A,$E9)),""),IF($C9="Logistics","Мобилизация и логистика объекта",""))))</f>
        <v/>
      </c>
      <c r="G9" s="17"/>
      <c r="H9" s="17"/>
      <c r="I9" s="31" t="str">
        <f>IF($C9="","",IF($C9="Work",IFERROR(SUMIFS(WORK_MASTER!$I:$I,WORK_MASTER!$A:$A,$D9),0),IF($C9="Material",IFERROR(SUMIFS(MATERIAL_VARIANTS!$I:$I,MATERIAL_VARIANTS!$A:$A,$E9),0),0)))</f>
        <v/>
      </c>
      <c r="J9" s="31" t="str">
        <f>IF($C9="","",IF($C9="Work",IF($E9&lt;&gt;"",IFERROR(SUMIFS(WORK_VARIANTS!$H:$H,WORK_VARIANTS!$A:$A,$E9),1),1),1))</f>
        <v/>
      </c>
      <c r="K9" s="31" t="str">
        <f>IF($C9="","",IF($C9="Work",IFERROR(SUMIFS(WORK_FACTOR_APPLICABILITY!$O:$O,WORK_FACTOR_APPLICABILITY!$A:$A,$D9,WORK_FACTOR_APPLICABILITY!$N:$N,$A9),1),IF($C9="Material",IFERROR(INDEX(MATERIAL_QUANTITY_EXAMPLE!$N:$N,MATCH(1,(MATERIAL_QUANTITY_EXAMPLE!$A:$A=MATERIAL_QUANTITY_EXAMPLE!$A:$A)*(MATERIAL_QUANTITY_EXAMPLE!$B:$B=$A9)*(MATERIAL_QUANTITY_EXAMPLE!$C:$C=$D9),0)),1),1)))</f>
        <v/>
      </c>
      <c r="L9" s="31" t="str">
        <f>IF($A9="","",IF($C9="Material",1,IFERROR(INDEX(OBJECT_CONDITIONS!$AH:$AH,MATCH($A9,OBJECT_CONDITIONS!$A:$A,0))*INDEX(OBJECT_CONDITIONS!$AJ:$AJ,MATCH($A9,OBJECT_CONDITIONS!$A:$A,0))*INDEX(OBJECT_CONDITIONS!$AL:$AL,MATCH($A9,OBJECT_CONDITIONS!$A:$A,0)),1)))</f>
        <v/>
      </c>
      <c r="M9" s="31" t="str">
        <f>IF($B9="","",IF($C9="Work",IFERROR(IF(SUMIFS(WORK_TARIFF_RULES!$F:$F,WORK_TARIFF_RULES!$A:$A,$D9,WORK_TARIFF_RULES!$C:$C,$B9)&lt;&gt;"",SUMIFS(WORK_TARIFF_RULES!$F:$F,WORK_TARIFF_RULES!$A:$A,$D9,WORK_TARIFF_RULES!$C:$C,$B9),SUMIFS(TARIFF_PROFILES!$D:$D,TARIFF_PROFILES!$A:$A,$B9)),1),IF($C9="Material",IFERROR(IF(SUMIFS(MATERIAL_TARIFF_RULES!$E:$E,MATERIAL_TARIFF_RULES!$A:$A,$D9,MATERIAL_TARIFF_RULES!$C:$C,$B9)&lt;&gt;"",SUMIFS(MATERIAL_TARIFF_RULES!$E:$E,MATERIAL_TARIFF_RULES!$A:$A,$D9,MATERIAL_TARIFF_RULES!$C:$C,$B9),SUMIFS(TARIFF_PROFILES!$E:$E,TARIFF_PROFILES!$A:$A,$B9)),1),SUMIFS(TARIFF_PROFILES!$F:$F,TARIFF_PROFILES!$A:$A,$B9))))</f>
        <v/>
      </c>
      <c r="N9" s="31">
        <f>IF($C9="Material",IFERROR(SUMIFS(MATERIAL_MASTER!$P:$P,MATERIAL_MASTER!$A:$A,$D9)*IF(SUMIFS(MATERIAL_TARIFF_RULES!$F:$F,MATERIAL_TARIFF_RULES!$A:$A,$D9,MATERIAL_TARIFF_RULES!$C:$C,$B9)="",SUMIFS(TARIFF_PROFILES!$H:$H,TARIFF_PROFILES!$A:$A,$B9),SUMIFS(MATERIAL_TARIFF_RULES!$F:$F,MATERIAL_TARIFF_RULES!$A:$A,$D9,MATERIAL_TARIFF_RULES!$C:$C,$B9)),1),1)</f>
        <v>1</v>
      </c>
      <c r="O9" s="17" t="str">
        <f t="shared" si="0"/>
        <v/>
      </c>
      <c r="P9" s="17">
        <f>IF(ROW()=2,MAX(0,INDEX(COMMERCIAL_POLICY!$B:$B,MATCH($B9,COMMERCIAL_POLICY!$A:$A,0))-SUM($Q$2:$Q$60)),0)</f>
        <v>0</v>
      </c>
      <c r="Q9" s="33" t="str">
        <f>IF($C9="","",IF($C9="Material",N($I9)*N($K9)*N($M9)*N($O9),IF($C9="Logistics",INDEX(COMMERCIAL_POLICY!$D:$D,MATCH($B9,COMMERCIAL_POLICY!$A:$A,0))*N($L9),N($I9)*N($J9)*N($K9)*N($L9)*N($M9)*N($G9))))</f>
        <v/>
      </c>
      <c r="R9" s="17" t="str">
        <f>IF($A9="","",INDEX(OBJECT_CONDITIONS!$AM:$AM,MATCH($A9,OBJECT_CONDITIONS!$A:$A,0)))</f>
        <v/>
      </c>
      <c r="S9" s="31" t="str">
        <f>IF($R9="","",INDEX(TAX_MODES!$B:$B,MATCH($R9,TAX_MODES!$A:$A,0)))</f>
        <v/>
      </c>
      <c r="T9" s="33" t="str">
        <f t="shared" si="1"/>
        <v/>
      </c>
      <c r="U9" s="17" t="str">
        <f t="shared" si="2"/>
        <v/>
      </c>
    </row>
    <row r="10" spans="1:21" x14ac:dyDescent="0.3">
      <c r="A10" s="17"/>
      <c r="B10" s="17"/>
      <c r="C10" s="17"/>
      <c r="D10" s="17"/>
      <c r="E10" s="17"/>
      <c r="F10" s="17" t="str">
        <f>IF($C10="","",IF($C10="Work",IFERROR(IF(SUMIFS(WORK_TARIFF_RULES!$G:$G,WORK_TARIFF_RULES!$A:$A,$D10,WORK_TARIFF_RULES!$C:$C,$B10)&lt;&gt;"",SUMIFS(WORK_TARIFF_RULES!$G:$G,WORK_TARIFF_RULES!$A:$A,$D10,WORK_TARIFF_RULES!$C:$C,$B10),SUMIFS(WORK_MASTER!$C:$C,WORK_MASTER!$A:$A,$D10)),""),IF($C10="Material",IFERROR(IF(SUMIFS(MATERIAL_TARIFF_RULES!$G:$G,MATERIAL_TARIFF_RULES!$A:$A,$D10,MATERIAL_TARIFF_RULES!$C:$C,$B10)&lt;&gt;"",SUMIFS(MATERIAL_TARIFF_RULES!$G:$G,MATERIAL_TARIFF_RULES!$A:$A,$D10,MATERIAL_TARIFF_RULES!$C:$C,$B10),SUMIFS(MATERIAL_VARIANTS!$J:$J,MATERIAL_VARIANTS!$A:$A,$E10)),""),IF($C10="Logistics","Мобилизация и логистика объекта",""))))</f>
        <v/>
      </c>
      <c r="G10" s="17"/>
      <c r="H10" s="17"/>
      <c r="I10" s="31" t="str">
        <f>IF($C10="","",IF($C10="Work",IFERROR(SUMIFS(WORK_MASTER!$I:$I,WORK_MASTER!$A:$A,$D10),0),IF($C10="Material",IFERROR(SUMIFS(MATERIAL_VARIANTS!$I:$I,MATERIAL_VARIANTS!$A:$A,$E10),0),0)))</f>
        <v/>
      </c>
      <c r="J10" s="31" t="str">
        <f>IF($C10="","",IF($C10="Work",IF($E10&lt;&gt;"",IFERROR(SUMIFS(WORK_VARIANTS!$H:$H,WORK_VARIANTS!$A:$A,$E10),1),1),1))</f>
        <v/>
      </c>
      <c r="K10" s="31" t="str">
        <f>IF($C10="","",IF($C10="Work",IFERROR(SUMIFS(WORK_FACTOR_APPLICABILITY!$O:$O,WORK_FACTOR_APPLICABILITY!$A:$A,$D10,WORK_FACTOR_APPLICABILITY!$N:$N,$A10),1),IF($C10="Material",IFERROR(INDEX(MATERIAL_QUANTITY_EXAMPLE!$N:$N,MATCH(1,(MATERIAL_QUANTITY_EXAMPLE!$A:$A=MATERIAL_QUANTITY_EXAMPLE!$A:$A)*(MATERIAL_QUANTITY_EXAMPLE!$B:$B=$A10)*(MATERIAL_QUANTITY_EXAMPLE!$C:$C=$D10),0)),1),1)))</f>
        <v/>
      </c>
      <c r="L10" s="31" t="str">
        <f>IF($A10="","",IF($C10="Material",1,IFERROR(INDEX(OBJECT_CONDITIONS!$AH:$AH,MATCH($A10,OBJECT_CONDITIONS!$A:$A,0))*INDEX(OBJECT_CONDITIONS!$AJ:$AJ,MATCH($A10,OBJECT_CONDITIONS!$A:$A,0))*INDEX(OBJECT_CONDITIONS!$AL:$AL,MATCH($A10,OBJECT_CONDITIONS!$A:$A,0)),1)))</f>
        <v/>
      </c>
      <c r="M10" s="31" t="str">
        <f>IF($B10="","",IF($C10="Work",IFERROR(IF(SUMIFS(WORK_TARIFF_RULES!$F:$F,WORK_TARIFF_RULES!$A:$A,$D10,WORK_TARIFF_RULES!$C:$C,$B10)&lt;&gt;"",SUMIFS(WORK_TARIFF_RULES!$F:$F,WORK_TARIFF_RULES!$A:$A,$D10,WORK_TARIFF_RULES!$C:$C,$B10),SUMIFS(TARIFF_PROFILES!$D:$D,TARIFF_PROFILES!$A:$A,$B10)),1),IF($C10="Material",IFERROR(IF(SUMIFS(MATERIAL_TARIFF_RULES!$E:$E,MATERIAL_TARIFF_RULES!$A:$A,$D10,MATERIAL_TARIFF_RULES!$C:$C,$B10)&lt;&gt;"",SUMIFS(MATERIAL_TARIFF_RULES!$E:$E,MATERIAL_TARIFF_RULES!$A:$A,$D10,MATERIAL_TARIFF_RULES!$C:$C,$B10),SUMIFS(TARIFF_PROFILES!$E:$E,TARIFF_PROFILES!$A:$A,$B10)),1),SUMIFS(TARIFF_PROFILES!$F:$F,TARIFF_PROFILES!$A:$A,$B10))))</f>
        <v/>
      </c>
      <c r="N10" s="31">
        <f>IF($C10="Material",IFERROR(SUMIFS(MATERIAL_MASTER!$P:$P,MATERIAL_MASTER!$A:$A,$D10)*IF(SUMIFS(MATERIAL_TARIFF_RULES!$F:$F,MATERIAL_TARIFF_RULES!$A:$A,$D10,MATERIAL_TARIFF_RULES!$C:$C,$B10)="",SUMIFS(TARIFF_PROFILES!$H:$H,TARIFF_PROFILES!$A:$A,$B10),SUMIFS(MATERIAL_TARIFF_RULES!$F:$F,MATERIAL_TARIFF_RULES!$A:$A,$D10,MATERIAL_TARIFF_RULES!$C:$C,$B10)),1),1)</f>
        <v>1</v>
      </c>
      <c r="O10" s="17" t="str">
        <f t="shared" si="0"/>
        <v/>
      </c>
      <c r="P10" s="17">
        <f>IF(ROW()=2,MAX(0,INDEX(COMMERCIAL_POLICY!$B:$B,MATCH($B10,COMMERCIAL_POLICY!$A:$A,0))-SUM($Q$2:$Q$60)),0)</f>
        <v>0</v>
      </c>
      <c r="Q10" s="33" t="str">
        <f>IF($C10="","",IF($C10="Material",N($I10)*N($K10)*N($M10)*N($O10),IF($C10="Logistics",INDEX(COMMERCIAL_POLICY!$D:$D,MATCH($B10,COMMERCIAL_POLICY!$A:$A,0))*N($L10),N($I10)*N($J10)*N($K10)*N($L10)*N($M10)*N($G10))))</f>
        <v/>
      </c>
      <c r="R10" s="17" t="str">
        <f>IF($A10="","",INDEX(OBJECT_CONDITIONS!$AM:$AM,MATCH($A10,OBJECT_CONDITIONS!$A:$A,0)))</f>
        <v/>
      </c>
      <c r="S10" s="31" t="str">
        <f>IF($R10="","",INDEX(TAX_MODES!$B:$B,MATCH($R10,TAX_MODES!$A:$A,0)))</f>
        <v/>
      </c>
      <c r="T10" s="33" t="str">
        <f t="shared" si="1"/>
        <v/>
      </c>
      <c r="U10" s="17" t="str">
        <f t="shared" si="2"/>
        <v/>
      </c>
    </row>
    <row r="11" spans="1:21" x14ac:dyDescent="0.3">
      <c r="A11" s="17"/>
      <c r="B11" s="17"/>
      <c r="C11" s="17"/>
      <c r="D11" s="17"/>
      <c r="E11" s="17"/>
      <c r="F11" s="17" t="str">
        <f>IF($C11="","",IF($C11="Work",IFERROR(IF(SUMIFS(WORK_TARIFF_RULES!$G:$G,WORK_TARIFF_RULES!$A:$A,$D11,WORK_TARIFF_RULES!$C:$C,$B11)&lt;&gt;"",SUMIFS(WORK_TARIFF_RULES!$G:$G,WORK_TARIFF_RULES!$A:$A,$D11,WORK_TARIFF_RULES!$C:$C,$B11),SUMIFS(WORK_MASTER!$C:$C,WORK_MASTER!$A:$A,$D11)),""),IF($C11="Material",IFERROR(IF(SUMIFS(MATERIAL_TARIFF_RULES!$G:$G,MATERIAL_TARIFF_RULES!$A:$A,$D11,MATERIAL_TARIFF_RULES!$C:$C,$B11)&lt;&gt;"",SUMIFS(MATERIAL_TARIFF_RULES!$G:$G,MATERIAL_TARIFF_RULES!$A:$A,$D11,MATERIAL_TARIFF_RULES!$C:$C,$B11),SUMIFS(MATERIAL_VARIANTS!$J:$J,MATERIAL_VARIANTS!$A:$A,$E11)),""),IF($C11="Logistics","Мобилизация и логистика объекта",""))))</f>
        <v/>
      </c>
      <c r="G11" s="17"/>
      <c r="H11" s="17"/>
      <c r="I11" s="31" t="str">
        <f>IF($C11="","",IF($C11="Work",IFERROR(SUMIFS(WORK_MASTER!$I:$I,WORK_MASTER!$A:$A,$D11),0),IF($C11="Material",IFERROR(SUMIFS(MATERIAL_VARIANTS!$I:$I,MATERIAL_VARIANTS!$A:$A,$E11),0),0)))</f>
        <v/>
      </c>
      <c r="J11" s="31" t="str">
        <f>IF($C11="","",IF($C11="Work",IF($E11&lt;&gt;"",IFERROR(SUMIFS(WORK_VARIANTS!$H:$H,WORK_VARIANTS!$A:$A,$E11),1),1),1))</f>
        <v/>
      </c>
      <c r="K11" s="31" t="str">
        <f>IF($C11="","",IF($C11="Work",IFERROR(SUMIFS(WORK_FACTOR_APPLICABILITY!$O:$O,WORK_FACTOR_APPLICABILITY!$A:$A,$D11,WORK_FACTOR_APPLICABILITY!$N:$N,$A11),1),IF($C11="Material",IFERROR(INDEX(MATERIAL_QUANTITY_EXAMPLE!$N:$N,MATCH(1,(MATERIAL_QUANTITY_EXAMPLE!$A:$A=MATERIAL_QUANTITY_EXAMPLE!$A:$A)*(MATERIAL_QUANTITY_EXAMPLE!$B:$B=$A11)*(MATERIAL_QUANTITY_EXAMPLE!$C:$C=$D11),0)),1),1)))</f>
        <v/>
      </c>
      <c r="L11" s="31" t="str">
        <f>IF($A11="","",IF($C11="Material",1,IFERROR(INDEX(OBJECT_CONDITIONS!$AH:$AH,MATCH($A11,OBJECT_CONDITIONS!$A:$A,0))*INDEX(OBJECT_CONDITIONS!$AJ:$AJ,MATCH($A11,OBJECT_CONDITIONS!$A:$A,0))*INDEX(OBJECT_CONDITIONS!$AL:$AL,MATCH($A11,OBJECT_CONDITIONS!$A:$A,0)),1)))</f>
        <v/>
      </c>
      <c r="M11" s="31" t="str">
        <f>IF($B11="","",IF($C11="Work",IFERROR(IF(SUMIFS(WORK_TARIFF_RULES!$F:$F,WORK_TARIFF_RULES!$A:$A,$D11,WORK_TARIFF_RULES!$C:$C,$B11)&lt;&gt;"",SUMIFS(WORK_TARIFF_RULES!$F:$F,WORK_TARIFF_RULES!$A:$A,$D11,WORK_TARIFF_RULES!$C:$C,$B11),SUMIFS(TARIFF_PROFILES!$D:$D,TARIFF_PROFILES!$A:$A,$B11)),1),IF($C11="Material",IFERROR(IF(SUMIFS(MATERIAL_TARIFF_RULES!$E:$E,MATERIAL_TARIFF_RULES!$A:$A,$D11,MATERIAL_TARIFF_RULES!$C:$C,$B11)&lt;&gt;"",SUMIFS(MATERIAL_TARIFF_RULES!$E:$E,MATERIAL_TARIFF_RULES!$A:$A,$D11,MATERIAL_TARIFF_RULES!$C:$C,$B11),SUMIFS(TARIFF_PROFILES!$E:$E,TARIFF_PROFILES!$A:$A,$B11)),1),SUMIFS(TARIFF_PROFILES!$F:$F,TARIFF_PROFILES!$A:$A,$B11))))</f>
        <v/>
      </c>
      <c r="N11" s="31">
        <f>IF($C11="Material",IFERROR(SUMIFS(MATERIAL_MASTER!$P:$P,MATERIAL_MASTER!$A:$A,$D11)*IF(SUMIFS(MATERIAL_TARIFF_RULES!$F:$F,MATERIAL_TARIFF_RULES!$A:$A,$D11,MATERIAL_TARIFF_RULES!$C:$C,$B11)="",SUMIFS(TARIFF_PROFILES!$H:$H,TARIFF_PROFILES!$A:$A,$B11),SUMIFS(MATERIAL_TARIFF_RULES!$F:$F,MATERIAL_TARIFF_RULES!$A:$A,$D11,MATERIAL_TARIFF_RULES!$C:$C,$B11)),1),1)</f>
        <v>1</v>
      </c>
      <c r="O11" s="17" t="str">
        <f t="shared" si="0"/>
        <v/>
      </c>
      <c r="P11" s="17">
        <f>IF(ROW()=2,MAX(0,INDEX(COMMERCIAL_POLICY!$B:$B,MATCH($B11,COMMERCIAL_POLICY!$A:$A,0))-SUM($Q$2:$Q$60)),0)</f>
        <v>0</v>
      </c>
      <c r="Q11" s="33" t="str">
        <f>IF($C11="","",IF($C11="Material",N($I11)*N($K11)*N($M11)*N($O11),IF($C11="Logistics",INDEX(COMMERCIAL_POLICY!$D:$D,MATCH($B11,COMMERCIAL_POLICY!$A:$A,0))*N($L11),N($I11)*N($J11)*N($K11)*N($L11)*N($M11)*N($G11))))</f>
        <v/>
      </c>
      <c r="R11" s="17" t="str">
        <f>IF($A11="","",INDEX(OBJECT_CONDITIONS!$AM:$AM,MATCH($A11,OBJECT_CONDITIONS!$A:$A,0)))</f>
        <v/>
      </c>
      <c r="S11" s="31" t="str">
        <f>IF($R11="","",INDEX(TAX_MODES!$B:$B,MATCH($R11,TAX_MODES!$A:$A,0)))</f>
        <v/>
      </c>
      <c r="T11" s="33" t="str">
        <f t="shared" si="1"/>
        <v/>
      </c>
      <c r="U11" s="17" t="str">
        <f t="shared" si="2"/>
        <v/>
      </c>
    </row>
    <row r="12" spans="1:21" x14ac:dyDescent="0.3">
      <c r="A12" s="17"/>
      <c r="B12" s="17"/>
      <c r="C12" s="17"/>
      <c r="D12" s="17"/>
      <c r="E12" s="17"/>
      <c r="F12" s="17" t="str">
        <f>IF($C12="","",IF($C12="Work",IFERROR(IF(SUMIFS(WORK_TARIFF_RULES!$G:$G,WORK_TARIFF_RULES!$A:$A,$D12,WORK_TARIFF_RULES!$C:$C,$B12)&lt;&gt;"",SUMIFS(WORK_TARIFF_RULES!$G:$G,WORK_TARIFF_RULES!$A:$A,$D12,WORK_TARIFF_RULES!$C:$C,$B12),SUMIFS(WORK_MASTER!$C:$C,WORK_MASTER!$A:$A,$D12)),""),IF($C12="Material",IFERROR(IF(SUMIFS(MATERIAL_TARIFF_RULES!$G:$G,MATERIAL_TARIFF_RULES!$A:$A,$D12,MATERIAL_TARIFF_RULES!$C:$C,$B12)&lt;&gt;"",SUMIFS(MATERIAL_TARIFF_RULES!$G:$G,MATERIAL_TARIFF_RULES!$A:$A,$D12,MATERIAL_TARIFF_RULES!$C:$C,$B12),SUMIFS(MATERIAL_VARIANTS!$J:$J,MATERIAL_VARIANTS!$A:$A,$E12)),""),IF($C12="Logistics","Мобилизация и логистика объекта",""))))</f>
        <v/>
      </c>
      <c r="G12" s="17"/>
      <c r="H12" s="17"/>
      <c r="I12" s="31" t="str">
        <f>IF($C12="","",IF($C12="Work",IFERROR(SUMIFS(WORK_MASTER!$I:$I,WORK_MASTER!$A:$A,$D12),0),IF($C12="Material",IFERROR(SUMIFS(MATERIAL_VARIANTS!$I:$I,MATERIAL_VARIANTS!$A:$A,$E12),0),0)))</f>
        <v/>
      </c>
      <c r="J12" s="31" t="str">
        <f>IF($C12="","",IF($C12="Work",IF($E12&lt;&gt;"",IFERROR(SUMIFS(WORK_VARIANTS!$H:$H,WORK_VARIANTS!$A:$A,$E12),1),1),1))</f>
        <v/>
      </c>
      <c r="K12" s="31" t="str">
        <f>IF($C12="","",IF($C12="Work",IFERROR(SUMIFS(WORK_FACTOR_APPLICABILITY!$O:$O,WORK_FACTOR_APPLICABILITY!$A:$A,$D12,WORK_FACTOR_APPLICABILITY!$N:$N,$A12),1),IF($C12="Material",IFERROR(INDEX(MATERIAL_QUANTITY_EXAMPLE!$N:$N,MATCH(1,(MATERIAL_QUANTITY_EXAMPLE!$A:$A=MATERIAL_QUANTITY_EXAMPLE!$A:$A)*(MATERIAL_QUANTITY_EXAMPLE!$B:$B=$A12)*(MATERIAL_QUANTITY_EXAMPLE!$C:$C=$D12),0)),1),1)))</f>
        <v/>
      </c>
      <c r="L12" s="31" t="str">
        <f>IF($A12="","",IF($C12="Material",1,IFERROR(INDEX(OBJECT_CONDITIONS!$AH:$AH,MATCH($A12,OBJECT_CONDITIONS!$A:$A,0))*INDEX(OBJECT_CONDITIONS!$AJ:$AJ,MATCH($A12,OBJECT_CONDITIONS!$A:$A,0))*INDEX(OBJECT_CONDITIONS!$AL:$AL,MATCH($A12,OBJECT_CONDITIONS!$A:$A,0)),1)))</f>
        <v/>
      </c>
      <c r="M12" s="31" t="str">
        <f>IF($B12="","",IF($C12="Work",IFERROR(IF(SUMIFS(WORK_TARIFF_RULES!$F:$F,WORK_TARIFF_RULES!$A:$A,$D12,WORK_TARIFF_RULES!$C:$C,$B12)&lt;&gt;"",SUMIFS(WORK_TARIFF_RULES!$F:$F,WORK_TARIFF_RULES!$A:$A,$D12,WORK_TARIFF_RULES!$C:$C,$B12),SUMIFS(TARIFF_PROFILES!$D:$D,TARIFF_PROFILES!$A:$A,$B12)),1),IF($C12="Material",IFERROR(IF(SUMIFS(MATERIAL_TARIFF_RULES!$E:$E,MATERIAL_TARIFF_RULES!$A:$A,$D12,MATERIAL_TARIFF_RULES!$C:$C,$B12)&lt;&gt;"",SUMIFS(MATERIAL_TARIFF_RULES!$E:$E,MATERIAL_TARIFF_RULES!$A:$A,$D12,MATERIAL_TARIFF_RULES!$C:$C,$B12),SUMIFS(TARIFF_PROFILES!$E:$E,TARIFF_PROFILES!$A:$A,$B12)),1),SUMIFS(TARIFF_PROFILES!$F:$F,TARIFF_PROFILES!$A:$A,$B12))))</f>
        <v/>
      </c>
      <c r="N12" s="31">
        <f>IF($C12="Material",IFERROR(SUMIFS(MATERIAL_MASTER!$P:$P,MATERIAL_MASTER!$A:$A,$D12)*IF(SUMIFS(MATERIAL_TARIFF_RULES!$F:$F,MATERIAL_TARIFF_RULES!$A:$A,$D12,MATERIAL_TARIFF_RULES!$C:$C,$B12)="",SUMIFS(TARIFF_PROFILES!$H:$H,TARIFF_PROFILES!$A:$A,$B12),SUMIFS(MATERIAL_TARIFF_RULES!$F:$F,MATERIAL_TARIFF_RULES!$A:$A,$D12,MATERIAL_TARIFF_RULES!$C:$C,$B12)),1),1)</f>
        <v>1</v>
      </c>
      <c r="O12" s="17" t="str">
        <f t="shared" si="0"/>
        <v/>
      </c>
      <c r="P12" s="17">
        <f>IF(ROW()=2,MAX(0,INDEX(COMMERCIAL_POLICY!$B:$B,MATCH($B12,COMMERCIAL_POLICY!$A:$A,0))-SUM($Q$2:$Q$60)),0)</f>
        <v>0</v>
      </c>
      <c r="Q12" s="33" t="str">
        <f>IF($C12="","",IF($C12="Material",N($I12)*N($K12)*N($M12)*N($O12),IF($C12="Logistics",INDEX(COMMERCIAL_POLICY!$D:$D,MATCH($B12,COMMERCIAL_POLICY!$A:$A,0))*N($L12),N($I12)*N($J12)*N($K12)*N($L12)*N($M12)*N($G12))))</f>
        <v/>
      </c>
      <c r="R12" s="17" t="str">
        <f>IF($A12="","",INDEX(OBJECT_CONDITIONS!$AM:$AM,MATCH($A12,OBJECT_CONDITIONS!$A:$A,0)))</f>
        <v/>
      </c>
      <c r="S12" s="31" t="str">
        <f>IF($R12="","",INDEX(TAX_MODES!$B:$B,MATCH($R12,TAX_MODES!$A:$A,0)))</f>
        <v/>
      </c>
      <c r="T12" s="33" t="str">
        <f t="shared" si="1"/>
        <v/>
      </c>
      <c r="U12" s="17" t="str">
        <f t="shared" si="2"/>
        <v/>
      </c>
    </row>
    <row r="13" spans="1:21" x14ac:dyDescent="0.3">
      <c r="A13" s="17"/>
      <c r="B13" s="17"/>
      <c r="C13" s="17"/>
      <c r="D13" s="17"/>
      <c r="E13" s="17"/>
      <c r="F13" s="17" t="str">
        <f>IF($C13="","",IF($C13="Work",IFERROR(IF(SUMIFS(WORK_TARIFF_RULES!$G:$G,WORK_TARIFF_RULES!$A:$A,$D13,WORK_TARIFF_RULES!$C:$C,$B13)&lt;&gt;"",SUMIFS(WORK_TARIFF_RULES!$G:$G,WORK_TARIFF_RULES!$A:$A,$D13,WORK_TARIFF_RULES!$C:$C,$B13),SUMIFS(WORK_MASTER!$C:$C,WORK_MASTER!$A:$A,$D13)),""),IF($C13="Material",IFERROR(IF(SUMIFS(MATERIAL_TARIFF_RULES!$G:$G,MATERIAL_TARIFF_RULES!$A:$A,$D13,MATERIAL_TARIFF_RULES!$C:$C,$B13)&lt;&gt;"",SUMIFS(MATERIAL_TARIFF_RULES!$G:$G,MATERIAL_TARIFF_RULES!$A:$A,$D13,MATERIAL_TARIFF_RULES!$C:$C,$B13),SUMIFS(MATERIAL_VARIANTS!$J:$J,MATERIAL_VARIANTS!$A:$A,$E13)),""),IF($C13="Logistics","Мобилизация и логистика объекта",""))))</f>
        <v/>
      </c>
      <c r="G13" s="17"/>
      <c r="H13" s="17"/>
      <c r="I13" s="31" t="str">
        <f>IF($C13="","",IF($C13="Work",IFERROR(SUMIFS(WORK_MASTER!$I:$I,WORK_MASTER!$A:$A,$D13),0),IF($C13="Material",IFERROR(SUMIFS(MATERIAL_VARIANTS!$I:$I,MATERIAL_VARIANTS!$A:$A,$E13),0),0)))</f>
        <v/>
      </c>
      <c r="J13" s="31" t="str">
        <f>IF($C13="","",IF($C13="Work",IF($E13&lt;&gt;"",IFERROR(SUMIFS(WORK_VARIANTS!$H:$H,WORK_VARIANTS!$A:$A,$E13),1),1),1))</f>
        <v/>
      </c>
      <c r="K13" s="31" t="str">
        <f>IF($C13="","",IF($C13="Work",IFERROR(SUMIFS(WORK_FACTOR_APPLICABILITY!$O:$O,WORK_FACTOR_APPLICABILITY!$A:$A,$D13,WORK_FACTOR_APPLICABILITY!$N:$N,$A13),1),IF($C13="Material",IFERROR(INDEX(MATERIAL_QUANTITY_EXAMPLE!$N:$N,MATCH(1,(MATERIAL_QUANTITY_EXAMPLE!$A:$A=MATERIAL_QUANTITY_EXAMPLE!$A:$A)*(MATERIAL_QUANTITY_EXAMPLE!$B:$B=$A13)*(MATERIAL_QUANTITY_EXAMPLE!$C:$C=$D13),0)),1),1)))</f>
        <v/>
      </c>
      <c r="L13" s="31" t="str">
        <f>IF($A13="","",IF($C13="Material",1,IFERROR(INDEX(OBJECT_CONDITIONS!$AH:$AH,MATCH($A13,OBJECT_CONDITIONS!$A:$A,0))*INDEX(OBJECT_CONDITIONS!$AJ:$AJ,MATCH($A13,OBJECT_CONDITIONS!$A:$A,0))*INDEX(OBJECT_CONDITIONS!$AL:$AL,MATCH($A13,OBJECT_CONDITIONS!$A:$A,0)),1)))</f>
        <v/>
      </c>
      <c r="M13" s="31" t="str">
        <f>IF($B13="","",IF($C13="Work",IFERROR(IF(SUMIFS(WORK_TARIFF_RULES!$F:$F,WORK_TARIFF_RULES!$A:$A,$D13,WORK_TARIFF_RULES!$C:$C,$B13)&lt;&gt;"",SUMIFS(WORK_TARIFF_RULES!$F:$F,WORK_TARIFF_RULES!$A:$A,$D13,WORK_TARIFF_RULES!$C:$C,$B13),SUMIFS(TARIFF_PROFILES!$D:$D,TARIFF_PROFILES!$A:$A,$B13)),1),IF($C13="Material",IFERROR(IF(SUMIFS(MATERIAL_TARIFF_RULES!$E:$E,MATERIAL_TARIFF_RULES!$A:$A,$D13,MATERIAL_TARIFF_RULES!$C:$C,$B13)&lt;&gt;"",SUMIFS(MATERIAL_TARIFF_RULES!$E:$E,MATERIAL_TARIFF_RULES!$A:$A,$D13,MATERIAL_TARIFF_RULES!$C:$C,$B13),SUMIFS(TARIFF_PROFILES!$E:$E,TARIFF_PROFILES!$A:$A,$B13)),1),SUMIFS(TARIFF_PROFILES!$F:$F,TARIFF_PROFILES!$A:$A,$B13))))</f>
        <v/>
      </c>
      <c r="N13" s="31">
        <f>IF($C13="Material",IFERROR(SUMIFS(MATERIAL_MASTER!$P:$P,MATERIAL_MASTER!$A:$A,$D13)*IF(SUMIFS(MATERIAL_TARIFF_RULES!$F:$F,MATERIAL_TARIFF_RULES!$A:$A,$D13,MATERIAL_TARIFF_RULES!$C:$C,$B13)="",SUMIFS(TARIFF_PROFILES!$H:$H,TARIFF_PROFILES!$A:$A,$B13),SUMIFS(MATERIAL_TARIFF_RULES!$F:$F,MATERIAL_TARIFF_RULES!$A:$A,$D13,MATERIAL_TARIFF_RULES!$C:$C,$B13)),1),1)</f>
        <v>1</v>
      </c>
      <c r="O13" s="17" t="str">
        <f t="shared" si="0"/>
        <v/>
      </c>
      <c r="P13" s="17">
        <f>IF(ROW()=2,MAX(0,INDEX(COMMERCIAL_POLICY!$B:$B,MATCH($B13,COMMERCIAL_POLICY!$A:$A,0))-SUM($Q$2:$Q$60)),0)</f>
        <v>0</v>
      </c>
      <c r="Q13" s="33" t="str">
        <f>IF($C13="","",IF($C13="Material",N($I13)*N($K13)*N($M13)*N($O13),IF($C13="Logistics",INDEX(COMMERCIAL_POLICY!$D:$D,MATCH($B13,COMMERCIAL_POLICY!$A:$A,0))*N($L13),N($I13)*N($J13)*N($K13)*N($L13)*N($M13)*N($G13))))</f>
        <v/>
      </c>
      <c r="R13" s="17" t="str">
        <f>IF($A13="","",INDEX(OBJECT_CONDITIONS!$AM:$AM,MATCH($A13,OBJECT_CONDITIONS!$A:$A,0)))</f>
        <v/>
      </c>
      <c r="S13" s="31" t="str">
        <f>IF($R13="","",INDEX(TAX_MODES!$B:$B,MATCH($R13,TAX_MODES!$A:$A,0)))</f>
        <v/>
      </c>
      <c r="T13" s="33" t="str">
        <f t="shared" si="1"/>
        <v/>
      </c>
      <c r="U13" s="17" t="str">
        <f t="shared" si="2"/>
        <v/>
      </c>
    </row>
    <row r="14" spans="1:21" x14ac:dyDescent="0.3">
      <c r="A14" s="17"/>
      <c r="B14" s="17"/>
      <c r="C14" s="17"/>
      <c r="D14" s="17"/>
      <c r="E14" s="17"/>
      <c r="F14" s="17" t="str">
        <f>IF($C14="","",IF($C14="Work",IFERROR(IF(SUMIFS(WORK_TARIFF_RULES!$G:$G,WORK_TARIFF_RULES!$A:$A,$D14,WORK_TARIFF_RULES!$C:$C,$B14)&lt;&gt;"",SUMIFS(WORK_TARIFF_RULES!$G:$G,WORK_TARIFF_RULES!$A:$A,$D14,WORK_TARIFF_RULES!$C:$C,$B14),SUMIFS(WORK_MASTER!$C:$C,WORK_MASTER!$A:$A,$D14)),""),IF($C14="Material",IFERROR(IF(SUMIFS(MATERIAL_TARIFF_RULES!$G:$G,MATERIAL_TARIFF_RULES!$A:$A,$D14,MATERIAL_TARIFF_RULES!$C:$C,$B14)&lt;&gt;"",SUMIFS(MATERIAL_TARIFF_RULES!$G:$G,MATERIAL_TARIFF_RULES!$A:$A,$D14,MATERIAL_TARIFF_RULES!$C:$C,$B14),SUMIFS(MATERIAL_VARIANTS!$J:$J,MATERIAL_VARIANTS!$A:$A,$E14)),""),IF($C14="Logistics","Мобилизация и логистика объекта",""))))</f>
        <v/>
      </c>
      <c r="G14" s="17"/>
      <c r="H14" s="17"/>
      <c r="I14" s="31" t="str">
        <f>IF($C14="","",IF($C14="Work",IFERROR(SUMIFS(WORK_MASTER!$I:$I,WORK_MASTER!$A:$A,$D14),0),IF($C14="Material",IFERROR(SUMIFS(MATERIAL_VARIANTS!$I:$I,MATERIAL_VARIANTS!$A:$A,$E14),0),0)))</f>
        <v/>
      </c>
      <c r="J14" s="31" t="str">
        <f>IF($C14="","",IF($C14="Work",IF($E14&lt;&gt;"",IFERROR(SUMIFS(WORK_VARIANTS!$H:$H,WORK_VARIANTS!$A:$A,$E14),1),1),1))</f>
        <v/>
      </c>
      <c r="K14" s="31" t="str">
        <f>IF($C14="","",IF($C14="Work",IFERROR(SUMIFS(WORK_FACTOR_APPLICABILITY!$O:$O,WORK_FACTOR_APPLICABILITY!$A:$A,$D14,WORK_FACTOR_APPLICABILITY!$N:$N,$A14),1),IF($C14="Material",IFERROR(INDEX(MATERIAL_QUANTITY_EXAMPLE!$N:$N,MATCH(1,(MATERIAL_QUANTITY_EXAMPLE!$A:$A=MATERIAL_QUANTITY_EXAMPLE!$A:$A)*(MATERIAL_QUANTITY_EXAMPLE!$B:$B=$A14)*(MATERIAL_QUANTITY_EXAMPLE!$C:$C=$D14),0)),1),1)))</f>
        <v/>
      </c>
      <c r="L14" s="31" t="str">
        <f>IF($A14="","",IF($C14="Material",1,IFERROR(INDEX(OBJECT_CONDITIONS!$AH:$AH,MATCH($A14,OBJECT_CONDITIONS!$A:$A,0))*INDEX(OBJECT_CONDITIONS!$AJ:$AJ,MATCH($A14,OBJECT_CONDITIONS!$A:$A,0))*INDEX(OBJECT_CONDITIONS!$AL:$AL,MATCH($A14,OBJECT_CONDITIONS!$A:$A,0)),1)))</f>
        <v/>
      </c>
      <c r="M14" s="31" t="str">
        <f>IF($B14="","",IF($C14="Work",IFERROR(IF(SUMIFS(WORK_TARIFF_RULES!$F:$F,WORK_TARIFF_RULES!$A:$A,$D14,WORK_TARIFF_RULES!$C:$C,$B14)&lt;&gt;"",SUMIFS(WORK_TARIFF_RULES!$F:$F,WORK_TARIFF_RULES!$A:$A,$D14,WORK_TARIFF_RULES!$C:$C,$B14),SUMIFS(TARIFF_PROFILES!$D:$D,TARIFF_PROFILES!$A:$A,$B14)),1),IF($C14="Material",IFERROR(IF(SUMIFS(MATERIAL_TARIFF_RULES!$E:$E,MATERIAL_TARIFF_RULES!$A:$A,$D14,MATERIAL_TARIFF_RULES!$C:$C,$B14)&lt;&gt;"",SUMIFS(MATERIAL_TARIFF_RULES!$E:$E,MATERIAL_TARIFF_RULES!$A:$A,$D14,MATERIAL_TARIFF_RULES!$C:$C,$B14),SUMIFS(TARIFF_PROFILES!$E:$E,TARIFF_PROFILES!$A:$A,$B14)),1),SUMIFS(TARIFF_PROFILES!$F:$F,TARIFF_PROFILES!$A:$A,$B14))))</f>
        <v/>
      </c>
      <c r="N14" s="31">
        <f>IF($C14="Material",IFERROR(SUMIFS(MATERIAL_MASTER!$P:$P,MATERIAL_MASTER!$A:$A,$D14)*IF(SUMIFS(MATERIAL_TARIFF_RULES!$F:$F,MATERIAL_TARIFF_RULES!$A:$A,$D14,MATERIAL_TARIFF_RULES!$C:$C,$B14)="",SUMIFS(TARIFF_PROFILES!$H:$H,TARIFF_PROFILES!$A:$A,$B14),SUMIFS(MATERIAL_TARIFF_RULES!$F:$F,MATERIAL_TARIFF_RULES!$A:$A,$D14,MATERIAL_TARIFF_RULES!$C:$C,$B14)),1),1)</f>
        <v>1</v>
      </c>
      <c r="O14" s="17" t="str">
        <f t="shared" si="0"/>
        <v/>
      </c>
      <c r="P14" s="17">
        <f>IF(ROW()=2,MAX(0,INDEX(COMMERCIAL_POLICY!$B:$B,MATCH($B14,COMMERCIAL_POLICY!$A:$A,0))-SUM($Q$2:$Q$60)),0)</f>
        <v>0</v>
      </c>
      <c r="Q14" s="33" t="str">
        <f>IF($C14="","",IF($C14="Material",N($I14)*N($K14)*N($M14)*N($O14),IF($C14="Logistics",INDEX(COMMERCIAL_POLICY!$D:$D,MATCH($B14,COMMERCIAL_POLICY!$A:$A,0))*N($L14),N($I14)*N($J14)*N($K14)*N($L14)*N($M14)*N($G14))))</f>
        <v/>
      </c>
      <c r="R14" s="17" t="str">
        <f>IF($A14="","",INDEX(OBJECT_CONDITIONS!$AM:$AM,MATCH($A14,OBJECT_CONDITIONS!$A:$A,0)))</f>
        <v/>
      </c>
      <c r="S14" s="31" t="str">
        <f>IF($R14="","",INDEX(TAX_MODES!$B:$B,MATCH($R14,TAX_MODES!$A:$A,0)))</f>
        <v/>
      </c>
      <c r="T14" s="33" t="str">
        <f t="shared" si="1"/>
        <v/>
      </c>
      <c r="U14" s="17" t="str">
        <f t="shared" si="2"/>
        <v/>
      </c>
    </row>
    <row r="15" spans="1:21" x14ac:dyDescent="0.3">
      <c r="A15" s="17"/>
      <c r="B15" s="17"/>
      <c r="C15" s="17"/>
      <c r="D15" s="17"/>
      <c r="E15" s="17"/>
      <c r="F15" s="17" t="str">
        <f>IF($C15="","",IF($C15="Work",IFERROR(IF(SUMIFS(WORK_TARIFF_RULES!$G:$G,WORK_TARIFF_RULES!$A:$A,$D15,WORK_TARIFF_RULES!$C:$C,$B15)&lt;&gt;"",SUMIFS(WORK_TARIFF_RULES!$G:$G,WORK_TARIFF_RULES!$A:$A,$D15,WORK_TARIFF_RULES!$C:$C,$B15),SUMIFS(WORK_MASTER!$C:$C,WORK_MASTER!$A:$A,$D15)),""),IF($C15="Material",IFERROR(IF(SUMIFS(MATERIAL_TARIFF_RULES!$G:$G,MATERIAL_TARIFF_RULES!$A:$A,$D15,MATERIAL_TARIFF_RULES!$C:$C,$B15)&lt;&gt;"",SUMIFS(MATERIAL_TARIFF_RULES!$G:$G,MATERIAL_TARIFF_RULES!$A:$A,$D15,MATERIAL_TARIFF_RULES!$C:$C,$B15),SUMIFS(MATERIAL_VARIANTS!$J:$J,MATERIAL_VARIANTS!$A:$A,$E15)),""),IF($C15="Logistics","Мобилизация и логистика объекта",""))))</f>
        <v/>
      </c>
      <c r="G15" s="17"/>
      <c r="H15" s="17"/>
      <c r="I15" s="31" t="str">
        <f>IF($C15="","",IF($C15="Work",IFERROR(SUMIFS(WORK_MASTER!$I:$I,WORK_MASTER!$A:$A,$D15),0),IF($C15="Material",IFERROR(SUMIFS(MATERIAL_VARIANTS!$I:$I,MATERIAL_VARIANTS!$A:$A,$E15),0),0)))</f>
        <v/>
      </c>
      <c r="J15" s="31" t="str">
        <f>IF($C15="","",IF($C15="Work",IF($E15&lt;&gt;"",IFERROR(SUMIFS(WORK_VARIANTS!$H:$H,WORK_VARIANTS!$A:$A,$E15),1),1),1))</f>
        <v/>
      </c>
      <c r="K15" s="31" t="str">
        <f>IF($C15="","",IF($C15="Work",IFERROR(SUMIFS(WORK_FACTOR_APPLICABILITY!$O:$O,WORK_FACTOR_APPLICABILITY!$A:$A,$D15,WORK_FACTOR_APPLICABILITY!$N:$N,$A15),1),IF($C15="Material",IFERROR(INDEX(MATERIAL_QUANTITY_EXAMPLE!$N:$N,MATCH(1,(MATERIAL_QUANTITY_EXAMPLE!$A:$A=MATERIAL_QUANTITY_EXAMPLE!$A:$A)*(MATERIAL_QUANTITY_EXAMPLE!$B:$B=$A15)*(MATERIAL_QUANTITY_EXAMPLE!$C:$C=$D15),0)),1),1)))</f>
        <v/>
      </c>
      <c r="L15" s="31" t="str">
        <f>IF($A15="","",IF($C15="Material",1,IFERROR(INDEX(OBJECT_CONDITIONS!$AH:$AH,MATCH($A15,OBJECT_CONDITIONS!$A:$A,0))*INDEX(OBJECT_CONDITIONS!$AJ:$AJ,MATCH($A15,OBJECT_CONDITIONS!$A:$A,0))*INDEX(OBJECT_CONDITIONS!$AL:$AL,MATCH($A15,OBJECT_CONDITIONS!$A:$A,0)),1)))</f>
        <v/>
      </c>
      <c r="M15" s="31" t="str">
        <f>IF($B15="","",IF($C15="Work",IFERROR(IF(SUMIFS(WORK_TARIFF_RULES!$F:$F,WORK_TARIFF_RULES!$A:$A,$D15,WORK_TARIFF_RULES!$C:$C,$B15)&lt;&gt;"",SUMIFS(WORK_TARIFF_RULES!$F:$F,WORK_TARIFF_RULES!$A:$A,$D15,WORK_TARIFF_RULES!$C:$C,$B15),SUMIFS(TARIFF_PROFILES!$D:$D,TARIFF_PROFILES!$A:$A,$B15)),1),IF($C15="Material",IFERROR(IF(SUMIFS(MATERIAL_TARIFF_RULES!$E:$E,MATERIAL_TARIFF_RULES!$A:$A,$D15,MATERIAL_TARIFF_RULES!$C:$C,$B15)&lt;&gt;"",SUMIFS(MATERIAL_TARIFF_RULES!$E:$E,MATERIAL_TARIFF_RULES!$A:$A,$D15,MATERIAL_TARIFF_RULES!$C:$C,$B15),SUMIFS(TARIFF_PROFILES!$E:$E,TARIFF_PROFILES!$A:$A,$B15)),1),SUMIFS(TARIFF_PROFILES!$F:$F,TARIFF_PROFILES!$A:$A,$B15))))</f>
        <v/>
      </c>
      <c r="N15" s="31">
        <f>IF($C15="Material",IFERROR(SUMIFS(MATERIAL_MASTER!$P:$P,MATERIAL_MASTER!$A:$A,$D15)*IF(SUMIFS(MATERIAL_TARIFF_RULES!$F:$F,MATERIAL_TARIFF_RULES!$A:$A,$D15,MATERIAL_TARIFF_RULES!$C:$C,$B15)="",SUMIFS(TARIFF_PROFILES!$H:$H,TARIFF_PROFILES!$A:$A,$B15),SUMIFS(MATERIAL_TARIFF_RULES!$F:$F,MATERIAL_TARIFF_RULES!$A:$A,$D15,MATERIAL_TARIFF_RULES!$C:$C,$B15)),1),1)</f>
        <v>1</v>
      </c>
      <c r="O15" s="17" t="str">
        <f t="shared" si="0"/>
        <v/>
      </c>
      <c r="P15" s="17">
        <f>IF(ROW()=2,MAX(0,INDEX(COMMERCIAL_POLICY!$B:$B,MATCH($B15,COMMERCIAL_POLICY!$A:$A,0))-SUM($Q$2:$Q$60)),0)</f>
        <v>0</v>
      </c>
      <c r="Q15" s="33" t="str">
        <f>IF($C15="","",IF($C15="Material",N($I15)*N($K15)*N($M15)*N($O15),IF($C15="Logistics",INDEX(COMMERCIAL_POLICY!$D:$D,MATCH($B15,COMMERCIAL_POLICY!$A:$A,0))*N($L15),N($I15)*N($J15)*N($K15)*N($L15)*N($M15)*N($G15))))</f>
        <v/>
      </c>
      <c r="R15" s="17" t="str">
        <f>IF($A15="","",INDEX(OBJECT_CONDITIONS!$AM:$AM,MATCH($A15,OBJECT_CONDITIONS!$A:$A,0)))</f>
        <v/>
      </c>
      <c r="S15" s="31" t="str">
        <f>IF($R15="","",INDEX(TAX_MODES!$B:$B,MATCH($R15,TAX_MODES!$A:$A,0)))</f>
        <v/>
      </c>
      <c r="T15" s="33" t="str">
        <f t="shared" si="1"/>
        <v/>
      </c>
      <c r="U15" s="17" t="str">
        <f t="shared" si="2"/>
        <v/>
      </c>
    </row>
    <row r="16" spans="1:21" x14ac:dyDescent="0.3">
      <c r="A16" s="17"/>
      <c r="B16" s="17"/>
      <c r="C16" s="17"/>
      <c r="D16" s="17"/>
      <c r="E16" s="17"/>
      <c r="F16" s="17" t="str">
        <f>IF($C16="","",IF($C16="Work",IFERROR(IF(SUMIFS(WORK_TARIFF_RULES!$G:$G,WORK_TARIFF_RULES!$A:$A,$D16,WORK_TARIFF_RULES!$C:$C,$B16)&lt;&gt;"",SUMIFS(WORK_TARIFF_RULES!$G:$G,WORK_TARIFF_RULES!$A:$A,$D16,WORK_TARIFF_RULES!$C:$C,$B16),SUMIFS(WORK_MASTER!$C:$C,WORK_MASTER!$A:$A,$D16)),""),IF($C16="Material",IFERROR(IF(SUMIFS(MATERIAL_TARIFF_RULES!$G:$G,MATERIAL_TARIFF_RULES!$A:$A,$D16,MATERIAL_TARIFF_RULES!$C:$C,$B16)&lt;&gt;"",SUMIFS(MATERIAL_TARIFF_RULES!$G:$G,MATERIAL_TARIFF_RULES!$A:$A,$D16,MATERIAL_TARIFF_RULES!$C:$C,$B16),SUMIFS(MATERIAL_VARIANTS!$J:$J,MATERIAL_VARIANTS!$A:$A,$E16)),""),IF($C16="Logistics","Мобилизация и логистика объекта",""))))</f>
        <v/>
      </c>
      <c r="G16" s="17"/>
      <c r="H16" s="17"/>
      <c r="I16" s="31" t="str">
        <f>IF($C16="","",IF($C16="Work",IFERROR(SUMIFS(WORK_MASTER!$I:$I,WORK_MASTER!$A:$A,$D16),0),IF($C16="Material",IFERROR(SUMIFS(MATERIAL_VARIANTS!$I:$I,MATERIAL_VARIANTS!$A:$A,$E16),0),0)))</f>
        <v/>
      </c>
      <c r="J16" s="31" t="str">
        <f>IF($C16="","",IF($C16="Work",IF($E16&lt;&gt;"",IFERROR(SUMIFS(WORK_VARIANTS!$H:$H,WORK_VARIANTS!$A:$A,$E16),1),1),1))</f>
        <v/>
      </c>
      <c r="K16" s="31" t="str">
        <f>IF($C16="","",IF($C16="Work",IFERROR(SUMIFS(WORK_FACTOR_APPLICABILITY!$O:$O,WORK_FACTOR_APPLICABILITY!$A:$A,$D16,WORK_FACTOR_APPLICABILITY!$N:$N,$A16),1),IF($C16="Material",IFERROR(INDEX(MATERIAL_QUANTITY_EXAMPLE!$N:$N,MATCH(1,(MATERIAL_QUANTITY_EXAMPLE!$A:$A=MATERIAL_QUANTITY_EXAMPLE!$A:$A)*(MATERIAL_QUANTITY_EXAMPLE!$B:$B=$A16)*(MATERIAL_QUANTITY_EXAMPLE!$C:$C=$D16),0)),1),1)))</f>
        <v/>
      </c>
      <c r="L16" s="31" t="str">
        <f>IF($A16="","",IF($C16="Material",1,IFERROR(INDEX(OBJECT_CONDITIONS!$AH:$AH,MATCH($A16,OBJECT_CONDITIONS!$A:$A,0))*INDEX(OBJECT_CONDITIONS!$AJ:$AJ,MATCH($A16,OBJECT_CONDITIONS!$A:$A,0))*INDEX(OBJECT_CONDITIONS!$AL:$AL,MATCH($A16,OBJECT_CONDITIONS!$A:$A,0)),1)))</f>
        <v/>
      </c>
      <c r="M16" s="31" t="str">
        <f>IF($B16="","",IF($C16="Work",IFERROR(IF(SUMIFS(WORK_TARIFF_RULES!$F:$F,WORK_TARIFF_RULES!$A:$A,$D16,WORK_TARIFF_RULES!$C:$C,$B16)&lt;&gt;"",SUMIFS(WORK_TARIFF_RULES!$F:$F,WORK_TARIFF_RULES!$A:$A,$D16,WORK_TARIFF_RULES!$C:$C,$B16),SUMIFS(TARIFF_PROFILES!$D:$D,TARIFF_PROFILES!$A:$A,$B16)),1),IF($C16="Material",IFERROR(IF(SUMIFS(MATERIAL_TARIFF_RULES!$E:$E,MATERIAL_TARIFF_RULES!$A:$A,$D16,MATERIAL_TARIFF_RULES!$C:$C,$B16)&lt;&gt;"",SUMIFS(MATERIAL_TARIFF_RULES!$E:$E,MATERIAL_TARIFF_RULES!$A:$A,$D16,MATERIAL_TARIFF_RULES!$C:$C,$B16),SUMIFS(TARIFF_PROFILES!$E:$E,TARIFF_PROFILES!$A:$A,$B16)),1),SUMIFS(TARIFF_PROFILES!$F:$F,TARIFF_PROFILES!$A:$A,$B16))))</f>
        <v/>
      </c>
      <c r="N16" s="31">
        <f>IF($C16="Material",IFERROR(SUMIFS(MATERIAL_MASTER!$P:$P,MATERIAL_MASTER!$A:$A,$D16)*IF(SUMIFS(MATERIAL_TARIFF_RULES!$F:$F,MATERIAL_TARIFF_RULES!$A:$A,$D16,MATERIAL_TARIFF_RULES!$C:$C,$B16)="",SUMIFS(TARIFF_PROFILES!$H:$H,TARIFF_PROFILES!$A:$A,$B16),SUMIFS(MATERIAL_TARIFF_RULES!$F:$F,MATERIAL_TARIFF_RULES!$A:$A,$D16,MATERIAL_TARIFF_RULES!$C:$C,$B16)),1),1)</f>
        <v>1</v>
      </c>
      <c r="O16" s="17" t="str">
        <f t="shared" si="0"/>
        <v/>
      </c>
      <c r="P16" s="17">
        <f>IF(ROW()=2,MAX(0,INDEX(COMMERCIAL_POLICY!$B:$B,MATCH($B16,COMMERCIAL_POLICY!$A:$A,0))-SUM($Q$2:$Q$60)),0)</f>
        <v>0</v>
      </c>
      <c r="Q16" s="33" t="str">
        <f>IF($C16="","",IF($C16="Material",N($I16)*N($K16)*N($M16)*N($O16),IF($C16="Logistics",INDEX(COMMERCIAL_POLICY!$D:$D,MATCH($B16,COMMERCIAL_POLICY!$A:$A,0))*N($L16),N($I16)*N($J16)*N($K16)*N($L16)*N($M16)*N($G16))))</f>
        <v/>
      </c>
      <c r="R16" s="17" t="str">
        <f>IF($A16="","",INDEX(OBJECT_CONDITIONS!$AM:$AM,MATCH($A16,OBJECT_CONDITIONS!$A:$A,0)))</f>
        <v/>
      </c>
      <c r="S16" s="31" t="str">
        <f>IF($R16="","",INDEX(TAX_MODES!$B:$B,MATCH($R16,TAX_MODES!$A:$A,0)))</f>
        <v/>
      </c>
      <c r="T16" s="33" t="str">
        <f t="shared" si="1"/>
        <v/>
      </c>
      <c r="U16" s="17" t="str">
        <f t="shared" si="2"/>
        <v/>
      </c>
    </row>
    <row r="17" spans="1:21" x14ac:dyDescent="0.3">
      <c r="A17" s="17"/>
      <c r="B17" s="17"/>
      <c r="C17" s="17"/>
      <c r="D17" s="17"/>
      <c r="E17" s="17"/>
      <c r="F17" s="17" t="str">
        <f>IF($C17="","",IF($C17="Work",IFERROR(IF(SUMIFS(WORK_TARIFF_RULES!$G:$G,WORK_TARIFF_RULES!$A:$A,$D17,WORK_TARIFF_RULES!$C:$C,$B17)&lt;&gt;"",SUMIFS(WORK_TARIFF_RULES!$G:$G,WORK_TARIFF_RULES!$A:$A,$D17,WORK_TARIFF_RULES!$C:$C,$B17),SUMIFS(WORK_MASTER!$C:$C,WORK_MASTER!$A:$A,$D17)),""),IF($C17="Material",IFERROR(IF(SUMIFS(MATERIAL_TARIFF_RULES!$G:$G,MATERIAL_TARIFF_RULES!$A:$A,$D17,MATERIAL_TARIFF_RULES!$C:$C,$B17)&lt;&gt;"",SUMIFS(MATERIAL_TARIFF_RULES!$G:$G,MATERIAL_TARIFF_RULES!$A:$A,$D17,MATERIAL_TARIFF_RULES!$C:$C,$B17),SUMIFS(MATERIAL_VARIANTS!$J:$J,MATERIAL_VARIANTS!$A:$A,$E17)),""),IF($C17="Logistics","Мобилизация и логистика объекта",""))))</f>
        <v/>
      </c>
      <c r="G17" s="17"/>
      <c r="H17" s="17"/>
      <c r="I17" s="31" t="str">
        <f>IF($C17="","",IF($C17="Work",IFERROR(SUMIFS(WORK_MASTER!$I:$I,WORK_MASTER!$A:$A,$D17),0),IF($C17="Material",IFERROR(SUMIFS(MATERIAL_VARIANTS!$I:$I,MATERIAL_VARIANTS!$A:$A,$E17),0),0)))</f>
        <v/>
      </c>
      <c r="J17" s="31" t="str">
        <f>IF($C17="","",IF($C17="Work",IF($E17&lt;&gt;"",IFERROR(SUMIFS(WORK_VARIANTS!$H:$H,WORK_VARIANTS!$A:$A,$E17),1),1),1))</f>
        <v/>
      </c>
      <c r="K17" s="31" t="str">
        <f>IF($C17="","",IF($C17="Work",IFERROR(SUMIFS(WORK_FACTOR_APPLICABILITY!$O:$O,WORK_FACTOR_APPLICABILITY!$A:$A,$D17,WORK_FACTOR_APPLICABILITY!$N:$N,$A17),1),IF($C17="Material",IFERROR(INDEX(MATERIAL_QUANTITY_EXAMPLE!$N:$N,MATCH(1,(MATERIAL_QUANTITY_EXAMPLE!$A:$A=MATERIAL_QUANTITY_EXAMPLE!$A:$A)*(MATERIAL_QUANTITY_EXAMPLE!$B:$B=$A17)*(MATERIAL_QUANTITY_EXAMPLE!$C:$C=$D17),0)),1),1)))</f>
        <v/>
      </c>
      <c r="L17" s="31" t="str">
        <f>IF($A17="","",IF($C17="Material",1,IFERROR(INDEX(OBJECT_CONDITIONS!$AH:$AH,MATCH($A17,OBJECT_CONDITIONS!$A:$A,0))*INDEX(OBJECT_CONDITIONS!$AJ:$AJ,MATCH($A17,OBJECT_CONDITIONS!$A:$A,0))*INDEX(OBJECT_CONDITIONS!$AL:$AL,MATCH($A17,OBJECT_CONDITIONS!$A:$A,0)),1)))</f>
        <v/>
      </c>
      <c r="M17" s="31" t="str">
        <f>IF($B17="","",IF($C17="Work",IFERROR(IF(SUMIFS(WORK_TARIFF_RULES!$F:$F,WORK_TARIFF_RULES!$A:$A,$D17,WORK_TARIFF_RULES!$C:$C,$B17)&lt;&gt;"",SUMIFS(WORK_TARIFF_RULES!$F:$F,WORK_TARIFF_RULES!$A:$A,$D17,WORK_TARIFF_RULES!$C:$C,$B17),SUMIFS(TARIFF_PROFILES!$D:$D,TARIFF_PROFILES!$A:$A,$B17)),1),IF($C17="Material",IFERROR(IF(SUMIFS(MATERIAL_TARIFF_RULES!$E:$E,MATERIAL_TARIFF_RULES!$A:$A,$D17,MATERIAL_TARIFF_RULES!$C:$C,$B17)&lt;&gt;"",SUMIFS(MATERIAL_TARIFF_RULES!$E:$E,MATERIAL_TARIFF_RULES!$A:$A,$D17,MATERIAL_TARIFF_RULES!$C:$C,$B17),SUMIFS(TARIFF_PROFILES!$E:$E,TARIFF_PROFILES!$A:$A,$B17)),1),SUMIFS(TARIFF_PROFILES!$F:$F,TARIFF_PROFILES!$A:$A,$B17))))</f>
        <v/>
      </c>
      <c r="N17" s="31">
        <f>IF($C17="Material",IFERROR(SUMIFS(MATERIAL_MASTER!$P:$P,MATERIAL_MASTER!$A:$A,$D17)*IF(SUMIFS(MATERIAL_TARIFF_RULES!$F:$F,MATERIAL_TARIFF_RULES!$A:$A,$D17,MATERIAL_TARIFF_RULES!$C:$C,$B17)="",SUMIFS(TARIFF_PROFILES!$H:$H,TARIFF_PROFILES!$A:$A,$B17),SUMIFS(MATERIAL_TARIFF_RULES!$F:$F,MATERIAL_TARIFF_RULES!$A:$A,$D17,MATERIAL_TARIFF_RULES!$C:$C,$B17)),1),1)</f>
        <v>1</v>
      </c>
      <c r="O17" s="17" t="str">
        <f t="shared" si="0"/>
        <v/>
      </c>
      <c r="P17" s="17">
        <f>IF(ROW()=2,MAX(0,INDEX(COMMERCIAL_POLICY!$B:$B,MATCH($B17,COMMERCIAL_POLICY!$A:$A,0))-SUM($Q$2:$Q$60)),0)</f>
        <v>0</v>
      </c>
      <c r="Q17" s="33" t="str">
        <f>IF($C17="","",IF($C17="Material",N($I17)*N($K17)*N($M17)*N($O17),IF($C17="Logistics",INDEX(COMMERCIAL_POLICY!$D:$D,MATCH($B17,COMMERCIAL_POLICY!$A:$A,0))*N($L17),N($I17)*N($J17)*N($K17)*N($L17)*N($M17)*N($G17))))</f>
        <v/>
      </c>
      <c r="R17" s="17" t="str">
        <f>IF($A17="","",INDEX(OBJECT_CONDITIONS!$AM:$AM,MATCH($A17,OBJECT_CONDITIONS!$A:$A,0)))</f>
        <v/>
      </c>
      <c r="S17" s="31" t="str">
        <f>IF($R17="","",INDEX(TAX_MODES!$B:$B,MATCH($R17,TAX_MODES!$A:$A,0)))</f>
        <v/>
      </c>
      <c r="T17" s="33" t="str">
        <f t="shared" si="1"/>
        <v/>
      </c>
      <c r="U17" s="17" t="str">
        <f t="shared" si="2"/>
        <v/>
      </c>
    </row>
    <row r="18" spans="1:21" x14ac:dyDescent="0.3">
      <c r="A18" s="17"/>
      <c r="B18" s="17"/>
      <c r="C18" s="17"/>
      <c r="D18" s="17"/>
      <c r="E18" s="17"/>
      <c r="F18" s="17" t="str">
        <f>IF($C18="","",IF($C18="Work",IFERROR(IF(SUMIFS(WORK_TARIFF_RULES!$G:$G,WORK_TARIFF_RULES!$A:$A,$D18,WORK_TARIFF_RULES!$C:$C,$B18)&lt;&gt;"",SUMIFS(WORK_TARIFF_RULES!$G:$G,WORK_TARIFF_RULES!$A:$A,$D18,WORK_TARIFF_RULES!$C:$C,$B18),SUMIFS(WORK_MASTER!$C:$C,WORK_MASTER!$A:$A,$D18)),""),IF($C18="Material",IFERROR(IF(SUMIFS(MATERIAL_TARIFF_RULES!$G:$G,MATERIAL_TARIFF_RULES!$A:$A,$D18,MATERIAL_TARIFF_RULES!$C:$C,$B18)&lt;&gt;"",SUMIFS(MATERIAL_TARIFF_RULES!$G:$G,MATERIAL_TARIFF_RULES!$A:$A,$D18,MATERIAL_TARIFF_RULES!$C:$C,$B18),SUMIFS(MATERIAL_VARIANTS!$J:$J,MATERIAL_VARIANTS!$A:$A,$E18)),""),IF($C18="Logistics","Мобилизация и логистика объекта",""))))</f>
        <v/>
      </c>
      <c r="G18" s="17"/>
      <c r="H18" s="17"/>
      <c r="I18" s="31" t="str">
        <f>IF($C18="","",IF($C18="Work",IFERROR(SUMIFS(WORK_MASTER!$I:$I,WORK_MASTER!$A:$A,$D18),0),IF($C18="Material",IFERROR(SUMIFS(MATERIAL_VARIANTS!$I:$I,MATERIAL_VARIANTS!$A:$A,$E18),0),0)))</f>
        <v/>
      </c>
      <c r="J18" s="31" t="str">
        <f>IF($C18="","",IF($C18="Work",IF($E18&lt;&gt;"",IFERROR(SUMIFS(WORK_VARIANTS!$H:$H,WORK_VARIANTS!$A:$A,$E18),1),1),1))</f>
        <v/>
      </c>
      <c r="K18" s="31" t="str">
        <f>IF($C18="","",IF($C18="Work",IFERROR(SUMIFS(WORK_FACTOR_APPLICABILITY!$O:$O,WORK_FACTOR_APPLICABILITY!$A:$A,$D18,WORK_FACTOR_APPLICABILITY!$N:$N,$A18),1),IF($C18="Material",IFERROR(INDEX(MATERIAL_QUANTITY_EXAMPLE!$N:$N,MATCH(1,(MATERIAL_QUANTITY_EXAMPLE!$A:$A=MATERIAL_QUANTITY_EXAMPLE!$A:$A)*(MATERIAL_QUANTITY_EXAMPLE!$B:$B=$A18)*(MATERIAL_QUANTITY_EXAMPLE!$C:$C=$D18),0)),1),1)))</f>
        <v/>
      </c>
      <c r="L18" s="31" t="str">
        <f>IF($A18="","",IF($C18="Material",1,IFERROR(INDEX(OBJECT_CONDITIONS!$AH:$AH,MATCH($A18,OBJECT_CONDITIONS!$A:$A,0))*INDEX(OBJECT_CONDITIONS!$AJ:$AJ,MATCH($A18,OBJECT_CONDITIONS!$A:$A,0))*INDEX(OBJECT_CONDITIONS!$AL:$AL,MATCH($A18,OBJECT_CONDITIONS!$A:$A,0)),1)))</f>
        <v/>
      </c>
      <c r="M18" s="31" t="str">
        <f>IF($B18="","",IF($C18="Work",IFERROR(IF(SUMIFS(WORK_TARIFF_RULES!$F:$F,WORK_TARIFF_RULES!$A:$A,$D18,WORK_TARIFF_RULES!$C:$C,$B18)&lt;&gt;"",SUMIFS(WORK_TARIFF_RULES!$F:$F,WORK_TARIFF_RULES!$A:$A,$D18,WORK_TARIFF_RULES!$C:$C,$B18),SUMIFS(TARIFF_PROFILES!$D:$D,TARIFF_PROFILES!$A:$A,$B18)),1),IF($C18="Material",IFERROR(IF(SUMIFS(MATERIAL_TARIFF_RULES!$E:$E,MATERIAL_TARIFF_RULES!$A:$A,$D18,MATERIAL_TARIFF_RULES!$C:$C,$B18)&lt;&gt;"",SUMIFS(MATERIAL_TARIFF_RULES!$E:$E,MATERIAL_TARIFF_RULES!$A:$A,$D18,MATERIAL_TARIFF_RULES!$C:$C,$B18),SUMIFS(TARIFF_PROFILES!$E:$E,TARIFF_PROFILES!$A:$A,$B18)),1),SUMIFS(TARIFF_PROFILES!$F:$F,TARIFF_PROFILES!$A:$A,$B18))))</f>
        <v/>
      </c>
      <c r="N18" s="31">
        <f>IF($C18="Material",IFERROR(SUMIFS(MATERIAL_MASTER!$P:$P,MATERIAL_MASTER!$A:$A,$D18)*IF(SUMIFS(MATERIAL_TARIFF_RULES!$F:$F,MATERIAL_TARIFF_RULES!$A:$A,$D18,MATERIAL_TARIFF_RULES!$C:$C,$B18)="",SUMIFS(TARIFF_PROFILES!$H:$H,TARIFF_PROFILES!$A:$A,$B18),SUMIFS(MATERIAL_TARIFF_RULES!$F:$F,MATERIAL_TARIFF_RULES!$A:$A,$D18,MATERIAL_TARIFF_RULES!$C:$C,$B18)),1),1)</f>
        <v>1</v>
      </c>
      <c r="O18" s="17" t="str">
        <f t="shared" si="0"/>
        <v/>
      </c>
      <c r="P18" s="17">
        <f>IF(ROW()=2,MAX(0,INDEX(COMMERCIAL_POLICY!$B:$B,MATCH($B18,COMMERCIAL_POLICY!$A:$A,0))-SUM($Q$2:$Q$60)),0)</f>
        <v>0</v>
      </c>
      <c r="Q18" s="33" t="str">
        <f>IF($C18="","",IF($C18="Material",N($I18)*N($K18)*N($M18)*N($O18),IF($C18="Logistics",INDEX(COMMERCIAL_POLICY!$D:$D,MATCH($B18,COMMERCIAL_POLICY!$A:$A,0))*N($L18),N($I18)*N($J18)*N($K18)*N($L18)*N($M18)*N($G18))))</f>
        <v/>
      </c>
      <c r="R18" s="17" t="str">
        <f>IF($A18="","",INDEX(OBJECT_CONDITIONS!$AM:$AM,MATCH($A18,OBJECT_CONDITIONS!$A:$A,0)))</f>
        <v/>
      </c>
      <c r="S18" s="31" t="str">
        <f>IF($R18="","",INDEX(TAX_MODES!$B:$B,MATCH($R18,TAX_MODES!$A:$A,0)))</f>
        <v/>
      </c>
      <c r="T18" s="33" t="str">
        <f t="shared" si="1"/>
        <v/>
      </c>
      <c r="U18" s="17" t="str">
        <f t="shared" si="2"/>
        <v/>
      </c>
    </row>
    <row r="19" spans="1:21" x14ac:dyDescent="0.3">
      <c r="A19" s="17"/>
      <c r="B19" s="17"/>
      <c r="C19" s="17"/>
      <c r="D19" s="17"/>
      <c r="E19" s="17"/>
      <c r="F19" s="17" t="str">
        <f>IF($C19="","",IF($C19="Work",IFERROR(IF(SUMIFS(WORK_TARIFF_RULES!$G:$G,WORK_TARIFF_RULES!$A:$A,$D19,WORK_TARIFF_RULES!$C:$C,$B19)&lt;&gt;"",SUMIFS(WORK_TARIFF_RULES!$G:$G,WORK_TARIFF_RULES!$A:$A,$D19,WORK_TARIFF_RULES!$C:$C,$B19),SUMIFS(WORK_MASTER!$C:$C,WORK_MASTER!$A:$A,$D19)),""),IF($C19="Material",IFERROR(IF(SUMIFS(MATERIAL_TARIFF_RULES!$G:$G,MATERIAL_TARIFF_RULES!$A:$A,$D19,MATERIAL_TARIFF_RULES!$C:$C,$B19)&lt;&gt;"",SUMIFS(MATERIAL_TARIFF_RULES!$G:$G,MATERIAL_TARIFF_RULES!$A:$A,$D19,MATERIAL_TARIFF_RULES!$C:$C,$B19),SUMIFS(MATERIAL_VARIANTS!$J:$J,MATERIAL_VARIANTS!$A:$A,$E19)),""),IF($C19="Logistics","Мобилизация и логистика объекта",""))))</f>
        <v/>
      </c>
      <c r="G19" s="17"/>
      <c r="H19" s="17"/>
      <c r="I19" s="31" t="str">
        <f>IF($C19="","",IF($C19="Work",IFERROR(SUMIFS(WORK_MASTER!$I:$I,WORK_MASTER!$A:$A,$D19),0),IF($C19="Material",IFERROR(SUMIFS(MATERIAL_VARIANTS!$I:$I,MATERIAL_VARIANTS!$A:$A,$E19),0),0)))</f>
        <v/>
      </c>
      <c r="J19" s="31" t="str">
        <f>IF($C19="","",IF($C19="Work",IF($E19&lt;&gt;"",IFERROR(SUMIFS(WORK_VARIANTS!$H:$H,WORK_VARIANTS!$A:$A,$E19),1),1),1))</f>
        <v/>
      </c>
      <c r="K19" s="31" t="str">
        <f>IF($C19="","",IF($C19="Work",IFERROR(SUMIFS(WORK_FACTOR_APPLICABILITY!$O:$O,WORK_FACTOR_APPLICABILITY!$A:$A,$D19,WORK_FACTOR_APPLICABILITY!$N:$N,$A19),1),IF($C19="Material",IFERROR(INDEX(MATERIAL_QUANTITY_EXAMPLE!$N:$N,MATCH(1,(MATERIAL_QUANTITY_EXAMPLE!$A:$A=MATERIAL_QUANTITY_EXAMPLE!$A:$A)*(MATERIAL_QUANTITY_EXAMPLE!$B:$B=$A19)*(MATERIAL_QUANTITY_EXAMPLE!$C:$C=$D19),0)),1),1)))</f>
        <v/>
      </c>
      <c r="L19" s="31" t="str">
        <f>IF($A19="","",IF($C19="Material",1,IFERROR(INDEX(OBJECT_CONDITIONS!$AH:$AH,MATCH($A19,OBJECT_CONDITIONS!$A:$A,0))*INDEX(OBJECT_CONDITIONS!$AJ:$AJ,MATCH($A19,OBJECT_CONDITIONS!$A:$A,0))*INDEX(OBJECT_CONDITIONS!$AL:$AL,MATCH($A19,OBJECT_CONDITIONS!$A:$A,0)),1)))</f>
        <v/>
      </c>
      <c r="M19" s="31" t="str">
        <f>IF($B19="","",IF($C19="Work",IFERROR(IF(SUMIFS(WORK_TARIFF_RULES!$F:$F,WORK_TARIFF_RULES!$A:$A,$D19,WORK_TARIFF_RULES!$C:$C,$B19)&lt;&gt;"",SUMIFS(WORK_TARIFF_RULES!$F:$F,WORK_TARIFF_RULES!$A:$A,$D19,WORK_TARIFF_RULES!$C:$C,$B19),SUMIFS(TARIFF_PROFILES!$D:$D,TARIFF_PROFILES!$A:$A,$B19)),1),IF($C19="Material",IFERROR(IF(SUMIFS(MATERIAL_TARIFF_RULES!$E:$E,MATERIAL_TARIFF_RULES!$A:$A,$D19,MATERIAL_TARIFF_RULES!$C:$C,$B19)&lt;&gt;"",SUMIFS(MATERIAL_TARIFF_RULES!$E:$E,MATERIAL_TARIFF_RULES!$A:$A,$D19,MATERIAL_TARIFF_RULES!$C:$C,$B19),SUMIFS(TARIFF_PROFILES!$E:$E,TARIFF_PROFILES!$A:$A,$B19)),1),SUMIFS(TARIFF_PROFILES!$F:$F,TARIFF_PROFILES!$A:$A,$B19))))</f>
        <v/>
      </c>
      <c r="N19" s="31">
        <f>IF($C19="Material",IFERROR(SUMIFS(MATERIAL_MASTER!$P:$P,MATERIAL_MASTER!$A:$A,$D19)*IF(SUMIFS(MATERIAL_TARIFF_RULES!$F:$F,MATERIAL_TARIFF_RULES!$A:$A,$D19,MATERIAL_TARIFF_RULES!$C:$C,$B19)="",SUMIFS(TARIFF_PROFILES!$H:$H,TARIFF_PROFILES!$A:$A,$B19),SUMIFS(MATERIAL_TARIFF_RULES!$F:$F,MATERIAL_TARIFF_RULES!$A:$A,$D19,MATERIAL_TARIFF_RULES!$C:$C,$B19)),1),1)</f>
        <v>1</v>
      </c>
      <c r="O19" s="17" t="str">
        <f t="shared" si="0"/>
        <v/>
      </c>
      <c r="P19" s="17">
        <f>IF(ROW()=2,MAX(0,INDEX(COMMERCIAL_POLICY!$B:$B,MATCH($B19,COMMERCIAL_POLICY!$A:$A,0))-SUM($Q$2:$Q$60)),0)</f>
        <v>0</v>
      </c>
      <c r="Q19" s="33" t="str">
        <f>IF($C19="","",IF($C19="Material",N($I19)*N($K19)*N($M19)*N($O19),IF($C19="Logistics",INDEX(COMMERCIAL_POLICY!$D:$D,MATCH($B19,COMMERCIAL_POLICY!$A:$A,0))*N($L19),N($I19)*N($J19)*N($K19)*N($L19)*N($M19)*N($G19))))</f>
        <v/>
      </c>
      <c r="R19" s="17" t="str">
        <f>IF($A19="","",INDEX(OBJECT_CONDITIONS!$AM:$AM,MATCH($A19,OBJECT_CONDITIONS!$A:$A,0)))</f>
        <v/>
      </c>
      <c r="S19" s="31" t="str">
        <f>IF($R19="","",INDEX(TAX_MODES!$B:$B,MATCH($R19,TAX_MODES!$A:$A,0)))</f>
        <v/>
      </c>
      <c r="T19" s="33" t="str">
        <f t="shared" si="1"/>
        <v/>
      </c>
      <c r="U19" s="17" t="str">
        <f t="shared" si="2"/>
        <v/>
      </c>
    </row>
    <row r="20" spans="1:21" x14ac:dyDescent="0.3">
      <c r="A20" s="17"/>
      <c r="B20" s="17"/>
      <c r="C20" s="17"/>
      <c r="D20" s="17"/>
      <c r="E20" s="17"/>
      <c r="F20" s="17" t="str">
        <f>IF($C20="","",IF($C20="Work",IFERROR(IF(SUMIFS(WORK_TARIFF_RULES!$G:$G,WORK_TARIFF_RULES!$A:$A,$D20,WORK_TARIFF_RULES!$C:$C,$B20)&lt;&gt;"",SUMIFS(WORK_TARIFF_RULES!$G:$G,WORK_TARIFF_RULES!$A:$A,$D20,WORK_TARIFF_RULES!$C:$C,$B20),SUMIFS(WORK_MASTER!$C:$C,WORK_MASTER!$A:$A,$D20)),""),IF($C20="Material",IFERROR(IF(SUMIFS(MATERIAL_TARIFF_RULES!$G:$G,MATERIAL_TARIFF_RULES!$A:$A,$D20,MATERIAL_TARIFF_RULES!$C:$C,$B20)&lt;&gt;"",SUMIFS(MATERIAL_TARIFF_RULES!$G:$G,MATERIAL_TARIFF_RULES!$A:$A,$D20,MATERIAL_TARIFF_RULES!$C:$C,$B20),SUMIFS(MATERIAL_VARIANTS!$J:$J,MATERIAL_VARIANTS!$A:$A,$E20)),""),IF($C20="Logistics","Мобилизация и логистика объекта",""))))</f>
        <v/>
      </c>
      <c r="G20" s="17"/>
      <c r="H20" s="17"/>
      <c r="I20" s="31" t="str">
        <f>IF($C20="","",IF($C20="Work",IFERROR(SUMIFS(WORK_MASTER!$I:$I,WORK_MASTER!$A:$A,$D20),0),IF($C20="Material",IFERROR(SUMIFS(MATERIAL_VARIANTS!$I:$I,MATERIAL_VARIANTS!$A:$A,$E20),0),0)))</f>
        <v/>
      </c>
      <c r="J20" s="31" t="str">
        <f>IF($C20="","",IF($C20="Work",IF($E20&lt;&gt;"",IFERROR(SUMIFS(WORK_VARIANTS!$H:$H,WORK_VARIANTS!$A:$A,$E20),1),1),1))</f>
        <v/>
      </c>
      <c r="K20" s="31" t="str">
        <f>IF($C20="","",IF($C20="Work",IFERROR(SUMIFS(WORK_FACTOR_APPLICABILITY!$O:$O,WORK_FACTOR_APPLICABILITY!$A:$A,$D20,WORK_FACTOR_APPLICABILITY!$N:$N,$A20),1),IF($C20="Material",IFERROR(INDEX(MATERIAL_QUANTITY_EXAMPLE!$N:$N,MATCH(1,(MATERIAL_QUANTITY_EXAMPLE!$A:$A=MATERIAL_QUANTITY_EXAMPLE!$A:$A)*(MATERIAL_QUANTITY_EXAMPLE!$B:$B=$A20)*(MATERIAL_QUANTITY_EXAMPLE!$C:$C=$D20),0)),1),1)))</f>
        <v/>
      </c>
      <c r="L20" s="31" t="str">
        <f>IF($A20="","",IF($C20="Material",1,IFERROR(INDEX(OBJECT_CONDITIONS!$AH:$AH,MATCH($A20,OBJECT_CONDITIONS!$A:$A,0))*INDEX(OBJECT_CONDITIONS!$AJ:$AJ,MATCH($A20,OBJECT_CONDITIONS!$A:$A,0))*INDEX(OBJECT_CONDITIONS!$AL:$AL,MATCH($A20,OBJECT_CONDITIONS!$A:$A,0)),1)))</f>
        <v/>
      </c>
      <c r="M20" s="31" t="str">
        <f>IF($B20="","",IF($C20="Work",IFERROR(IF(SUMIFS(WORK_TARIFF_RULES!$F:$F,WORK_TARIFF_RULES!$A:$A,$D20,WORK_TARIFF_RULES!$C:$C,$B20)&lt;&gt;"",SUMIFS(WORK_TARIFF_RULES!$F:$F,WORK_TARIFF_RULES!$A:$A,$D20,WORK_TARIFF_RULES!$C:$C,$B20),SUMIFS(TARIFF_PROFILES!$D:$D,TARIFF_PROFILES!$A:$A,$B20)),1),IF($C20="Material",IFERROR(IF(SUMIFS(MATERIAL_TARIFF_RULES!$E:$E,MATERIAL_TARIFF_RULES!$A:$A,$D20,MATERIAL_TARIFF_RULES!$C:$C,$B20)&lt;&gt;"",SUMIFS(MATERIAL_TARIFF_RULES!$E:$E,MATERIAL_TARIFF_RULES!$A:$A,$D20,MATERIAL_TARIFF_RULES!$C:$C,$B20),SUMIFS(TARIFF_PROFILES!$E:$E,TARIFF_PROFILES!$A:$A,$B20)),1),SUMIFS(TARIFF_PROFILES!$F:$F,TARIFF_PROFILES!$A:$A,$B20))))</f>
        <v/>
      </c>
      <c r="N20" s="31">
        <f>IF($C20="Material",IFERROR(SUMIFS(MATERIAL_MASTER!$P:$P,MATERIAL_MASTER!$A:$A,$D20)*IF(SUMIFS(MATERIAL_TARIFF_RULES!$F:$F,MATERIAL_TARIFF_RULES!$A:$A,$D20,MATERIAL_TARIFF_RULES!$C:$C,$B20)="",SUMIFS(TARIFF_PROFILES!$H:$H,TARIFF_PROFILES!$A:$A,$B20),SUMIFS(MATERIAL_TARIFF_RULES!$F:$F,MATERIAL_TARIFF_RULES!$A:$A,$D20,MATERIAL_TARIFF_RULES!$C:$C,$B20)),1),1)</f>
        <v>1</v>
      </c>
      <c r="O20" s="17" t="str">
        <f t="shared" si="0"/>
        <v/>
      </c>
      <c r="P20" s="17">
        <f>IF(ROW()=2,MAX(0,INDEX(COMMERCIAL_POLICY!$B:$B,MATCH($B20,COMMERCIAL_POLICY!$A:$A,0))-SUM($Q$2:$Q$60)),0)</f>
        <v>0</v>
      </c>
      <c r="Q20" s="33" t="str">
        <f>IF($C20="","",IF($C20="Material",N($I20)*N($K20)*N($M20)*N($O20),IF($C20="Logistics",INDEX(COMMERCIAL_POLICY!$D:$D,MATCH($B20,COMMERCIAL_POLICY!$A:$A,0))*N($L20),N($I20)*N($J20)*N($K20)*N($L20)*N($M20)*N($G20))))</f>
        <v/>
      </c>
      <c r="R20" s="17" t="str">
        <f>IF($A20="","",INDEX(OBJECT_CONDITIONS!$AM:$AM,MATCH($A20,OBJECT_CONDITIONS!$A:$A,0)))</f>
        <v/>
      </c>
      <c r="S20" s="31" t="str">
        <f>IF($R20="","",INDEX(TAX_MODES!$B:$B,MATCH($R20,TAX_MODES!$A:$A,0)))</f>
        <v/>
      </c>
      <c r="T20" s="33" t="str">
        <f t="shared" si="1"/>
        <v/>
      </c>
      <c r="U20" s="17" t="str">
        <f t="shared" si="2"/>
        <v/>
      </c>
    </row>
    <row r="21" spans="1:21" x14ac:dyDescent="0.3">
      <c r="A21" s="17"/>
      <c r="B21" s="17"/>
      <c r="C21" s="17"/>
      <c r="D21" s="17"/>
      <c r="E21" s="17"/>
      <c r="F21" s="17" t="str">
        <f>IF($C21="","",IF($C21="Work",IFERROR(IF(SUMIFS(WORK_TARIFF_RULES!$G:$G,WORK_TARIFF_RULES!$A:$A,$D21,WORK_TARIFF_RULES!$C:$C,$B21)&lt;&gt;"",SUMIFS(WORK_TARIFF_RULES!$G:$G,WORK_TARIFF_RULES!$A:$A,$D21,WORK_TARIFF_RULES!$C:$C,$B21),SUMIFS(WORK_MASTER!$C:$C,WORK_MASTER!$A:$A,$D21)),""),IF($C21="Material",IFERROR(IF(SUMIFS(MATERIAL_TARIFF_RULES!$G:$G,MATERIAL_TARIFF_RULES!$A:$A,$D21,MATERIAL_TARIFF_RULES!$C:$C,$B21)&lt;&gt;"",SUMIFS(MATERIAL_TARIFF_RULES!$G:$G,MATERIAL_TARIFF_RULES!$A:$A,$D21,MATERIAL_TARIFF_RULES!$C:$C,$B21),SUMIFS(MATERIAL_VARIANTS!$J:$J,MATERIAL_VARIANTS!$A:$A,$E21)),""),IF($C21="Logistics","Мобилизация и логистика объекта",""))))</f>
        <v/>
      </c>
      <c r="G21" s="17"/>
      <c r="H21" s="17"/>
      <c r="I21" s="31" t="str">
        <f>IF($C21="","",IF($C21="Work",IFERROR(SUMIFS(WORK_MASTER!$I:$I,WORK_MASTER!$A:$A,$D21),0),IF($C21="Material",IFERROR(SUMIFS(MATERIAL_VARIANTS!$I:$I,MATERIAL_VARIANTS!$A:$A,$E21),0),0)))</f>
        <v/>
      </c>
      <c r="J21" s="31" t="str">
        <f>IF($C21="","",IF($C21="Work",IF($E21&lt;&gt;"",IFERROR(SUMIFS(WORK_VARIANTS!$H:$H,WORK_VARIANTS!$A:$A,$E21),1),1),1))</f>
        <v/>
      </c>
      <c r="K21" s="31" t="str">
        <f>IF($C21="","",IF($C21="Work",IFERROR(SUMIFS(WORK_FACTOR_APPLICABILITY!$O:$O,WORK_FACTOR_APPLICABILITY!$A:$A,$D21,WORK_FACTOR_APPLICABILITY!$N:$N,$A21),1),IF($C21="Material",IFERROR(INDEX(MATERIAL_QUANTITY_EXAMPLE!$N:$N,MATCH(1,(MATERIAL_QUANTITY_EXAMPLE!$A:$A=MATERIAL_QUANTITY_EXAMPLE!$A:$A)*(MATERIAL_QUANTITY_EXAMPLE!$B:$B=$A21)*(MATERIAL_QUANTITY_EXAMPLE!$C:$C=$D21),0)),1),1)))</f>
        <v/>
      </c>
      <c r="L21" s="31" t="str">
        <f>IF($A21="","",IF($C21="Material",1,IFERROR(INDEX(OBJECT_CONDITIONS!$AH:$AH,MATCH($A21,OBJECT_CONDITIONS!$A:$A,0))*INDEX(OBJECT_CONDITIONS!$AJ:$AJ,MATCH($A21,OBJECT_CONDITIONS!$A:$A,0))*INDEX(OBJECT_CONDITIONS!$AL:$AL,MATCH($A21,OBJECT_CONDITIONS!$A:$A,0)),1)))</f>
        <v/>
      </c>
      <c r="M21" s="31" t="str">
        <f>IF($B21="","",IF($C21="Work",IFERROR(IF(SUMIFS(WORK_TARIFF_RULES!$F:$F,WORK_TARIFF_RULES!$A:$A,$D21,WORK_TARIFF_RULES!$C:$C,$B21)&lt;&gt;"",SUMIFS(WORK_TARIFF_RULES!$F:$F,WORK_TARIFF_RULES!$A:$A,$D21,WORK_TARIFF_RULES!$C:$C,$B21),SUMIFS(TARIFF_PROFILES!$D:$D,TARIFF_PROFILES!$A:$A,$B21)),1),IF($C21="Material",IFERROR(IF(SUMIFS(MATERIAL_TARIFF_RULES!$E:$E,MATERIAL_TARIFF_RULES!$A:$A,$D21,MATERIAL_TARIFF_RULES!$C:$C,$B21)&lt;&gt;"",SUMIFS(MATERIAL_TARIFF_RULES!$E:$E,MATERIAL_TARIFF_RULES!$A:$A,$D21,MATERIAL_TARIFF_RULES!$C:$C,$B21),SUMIFS(TARIFF_PROFILES!$E:$E,TARIFF_PROFILES!$A:$A,$B21)),1),SUMIFS(TARIFF_PROFILES!$F:$F,TARIFF_PROFILES!$A:$A,$B21))))</f>
        <v/>
      </c>
      <c r="N21" s="31">
        <f>IF($C21="Material",IFERROR(SUMIFS(MATERIAL_MASTER!$P:$P,MATERIAL_MASTER!$A:$A,$D21)*IF(SUMIFS(MATERIAL_TARIFF_RULES!$F:$F,MATERIAL_TARIFF_RULES!$A:$A,$D21,MATERIAL_TARIFF_RULES!$C:$C,$B21)="",SUMIFS(TARIFF_PROFILES!$H:$H,TARIFF_PROFILES!$A:$A,$B21),SUMIFS(MATERIAL_TARIFF_RULES!$F:$F,MATERIAL_TARIFF_RULES!$A:$A,$D21,MATERIAL_TARIFF_RULES!$C:$C,$B21)),1),1)</f>
        <v>1</v>
      </c>
      <c r="O21" s="17" t="str">
        <f t="shared" si="0"/>
        <v/>
      </c>
      <c r="P21" s="17">
        <f>IF(ROW()=2,MAX(0,INDEX(COMMERCIAL_POLICY!$B:$B,MATCH($B21,COMMERCIAL_POLICY!$A:$A,0))-SUM($Q$2:$Q$60)),0)</f>
        <v>0</v>
      </c>
      <c r="Q21" s="33" t="str">
        <f>IF($C21="","",IF($C21="Material",N($I21)*N($K21)*N($M21)*N($O21),IF($C21="Logistics",INDEX(COMMERCIAL_POLICY!$D:$D,MATCH($B21,COMMERCIAL_POLICY!$A:$A,0))*N($L21),N($I21)*N($J21)*N($K21)*N($L21)*N($M21)*N($G21))))</f>
        <v/>
      </c>
      <c r="R21" s="17" t="str">
        <f>IF($A21="","",INDEX(OBJECT_CONDITIONS!$AM:$AM,MATCH($A21,OBJECT_CONDITIONS!$A:$A,0)))</f>
        <v/>
      </c>
      <c r="S21" s="31" t="str">
        <f>IF($R21="","",INDEX(TAX_MODES!$B:$B,MATCH($R21,TAX_MODES!$A:$A,0)))</f>
        <v/>
      </c>
      <c r="T21" s="33" t="str">
        <f t="shared" si="1"/>
        <v/>
      </c>
      <c r="U21" s="17" t="str">
        <f t="shared" si="2"/>
        <v/>
      </c>
    </row>
    <row r="22" spans="1:21" x14ac:dyDescent="0.3">
      <c r="A22" s="17"/>
      <c r="B22" s="17"/>
      <c r="C22" s="17"/>
      <c r="D22" s="17"/>
      <c r="E22" s="17"/>
      <c r="F22" s="17" t="str">
        <f>IF($C22="","",IF($C22="Work",IFERROR(IF(SUMIFS(WORK_TARIFF_RULES!$G:$G,WORK_TARIFF_RULES!$A:$A,$D22,WORK_TARIFF_RULES!$C:$C,$B22)&lt;&gt;"",SUMIFS(WORK_TARIFF_RULES!$G:$G,WORK_TARIFF_RULES!$A:$A,$D22,WORK_TARIFF_RULES!$C:$C,$B22),SUMIFS(WORK_MASTER!$C:$C,WORK_MASTER!$A:$A,$D22)),""),IF($C22="Material",IFERROR(IF(SUMIFS(MATERIAL_TARIFF_RULES!$G:$G,MATERIAL_TARIFF_RULES!$A:$A,$D22,MATERIAL_TARIFF_RULES!$C:$C,$B22)&lt;&gt;"",SUMIFS(MATERIAL_TARIFF_RULES!$G:$G,MATERIAL_TARIFF_RULES!$A:$A,$D22,MATERIAL_TARIFF_RULES!$C:$C,$B22),SUMIFS(MATERIAL_VARIANTS!$J:$J,MATERIAL_VARIANTS!$A:$A,$E22)),""),IF($C22="Logistics","Мобилизация и логистика объекта",""))))</f>
        <v/>
      </c>
      <c r="G22" s="17"/>
      <c r="H22" s="17"/>
      <c r="I22" s="31" t="str">
        <f>IF($C22="","",IF($C22="Work",IFERROR(SUMIFS(WORK_MASTER!$I:$I,WORK_MASTER!$A:$A,$D22),0),IF($C22="Material",IFERROR(SUMIFS(MATERIAL_VARIANTS!$I:$I,MATERIAL_VARIANTS!$A:$A,$E22),0),0)))</f>
        <v/>
      </c>
      <c r="J22" s="31" t="str">
        <f>IF($C22="","",IF($C22="Work",IF($E22&lt;&gt;"",IFERROR(SUMIFS(WORK_VARIANTS!$H:$H,WORK_VARIANTS!$A:$A,$E22),1),1),1))</f>
        <v/>
      </c>
      <c r="K22" s="31" t="str">
        <f>IF($C22="","",IF($C22="Work",IFERROR(SUMIFS(WORK_FACTOR_APPLICABILITY!$O:$O,WORK_FACTOR_APPLICABILITY!$A:$A,$D22,WORK_FACTOR_APPLICABILITY!$N:$N,$A22),1),IF($C22="Material",IFERROR(INDEX(MATERIAL_QUANTITY_EXAMPLE!$N:$N,MATCH(1,(MATERIAL_QUANTITY_EXAMPLE!$A:$A=MATERIAL_QUANTITY_EXAMPLE!$A:$A)*(MATERIAL_QUANTITY_EXAMPLE!$B:$B=$A22)*(MATERIAL_QUANTITY_EXAMPLE!$C:$C=$D22),0)),1),1)))</f>
        <v/>
      </c>
      <c r="L22" s="31" t="str">
        <f>IF($A22="","",IF($C22="Material",1,IFERROR(INDEX(OBJECT_CONDITIONS!$AH:$AH,MATCH($A22,OBJECT_CONDITIONS!$A:$A,0))*INDEX(OBJECT_CONDITIONS!$AJ:$AJ,MATCH($A22,OBJECT_CONDITIONS!$A:$A,0))*INDEX(OBJECT_CONDITIONS!$AL:$AL,MATCH($A22,OBJECT_CONDITIONS!$A:$A,0)),1)))</f>
        <v/>
      </c>
      <c r="M22" s="31" t="str">
        <f>IF($B22="","",IF($C22="Work",IFERROR(IF(SUMIFS(WORK_TARIFF_RULES!$F:$F,WORK_TARIFF_RULES!$A:$A,$D22,WORK_TARIFF_RULES!$C:$C,$B22)&lt;&gt;"",SUMIFS(WORK_TARIFF_RULES!$F:$F,WORK_TARIFF_RULES!$A:$A,$D22,WORK_TARIFF_RULES!$C:$C,$B22),SUMIFS(TARIFF_PROFILES!$D:$D,TARIFF_PROFILES!$A:$A,$B22)),1),IF($C22="Material",IFERROR(IF(SUMIFS(MATERIAL_TARIFF_RULES!$E:$E,MATERIAL_TARIFF_RULES!$A:$A,$D22,MATERIAL_TARIFF_RULES!$C:$C,$B22)&lt;&gt;"",SUMIFS(MATERIAL_TARIFF_RULES!$E:$E,MATERIAL_TARIFF_RULES!$A:$A,$D22,MATERIAL_TARIFF_RULES!$C:$C,$B22),SUMIFS(TARIFF_PROFILES!$E:$E,TARIFF_PROFILES!$A:$A,$B22)),1),SUMIFS(TARIFF_PROFILES!$F:$F,TARIFF_PROFILES!$A:$A,$B22))))</f>
        <v/>
      </c>
      <c r="N22" s="31">
        <f>IF($C22="Material",IFERROR(SUMIFS(MATERIAL_MASTER!$P:$P,MATERIAL_MASTER!$A:$A,$D22)*IF(SUMIFS(MATERIAL_TARIFF_RULES!$F:$F,MATERIAL_TARIFF_RULES!$A:$A,$D22,MATERIAL_TARIFF_RULES!$C:$C,$B22)="",SUMIFS(TARIFF_PROFILES!$H:$H,TARIFF_PROFILES!$A:$A,$B22),SUMIFS(MATERIAL_TARIFF_RULES!$F:$F,MATERIAL_TARIFF_RULES!$A:$A,$D22,MATERIAL_TARIFF_RULES!$C:$C,$B22)),1),1)</f>
        <v>1</v>
      </c>
      <c r="O22" s="17" t="str">
        <f t="shared" si="0"/>
        <v/>
      </c>
      <c r="P22" s="17">
        <f>IF(ROW()=2,MAX(0,INDEX(COMMERCIAL_POLICY!$B:$B,MATCH($B22,COMMERCIAL_POLICY!$A:$A,0))-SUM($Q$2:$Q$60)),0)</f>
        <v>0</v>
      </c>
      <c r="Q22" s="33" t="str">
        <f>IF($C22="","",IF($C22="Material",N($I22)*N($K22)*N($M22)*N($O22),IF($C22="Logistics",INDEX(COMMERCIAL_POLICY!$D:$D,MATCH($B22,COMMERCIAL_POLICY!$A:$A,0))*N($L22),N($I22)*N($J22)*N($K22)*N($L22)*N($M22)*N($G22))))</f>
        <v/>
      </c>
      <c r="R22" s="17" t="str">
        <f>IF($A22="","",INDEX(OBJECT_CONDITIONS!$AM:$AM,MATCH($A22,OBJECT_CONDITIONS!$A:$A,0)))</f>
        <v/>
      </c>
      <c r="S22" s="31" t="str">
        <f>IF($R22="","",INDEX(TAX_MODES!$B:$B,MATCH($R22,TAX_MODES!$A:$A,0)))</f>
        <v/>
      </c>
      <c r="T22" s="33" t="str">
        <f t="shared" si="1"/>
        <v/>
      </c>
      <c r="U22" s="17" t="str">
        <f t="shared" si="2"/>
        <v/>
      </c>
    </row>
    <row r="23" spans="1:21" x14ac:dyDescent="0.3">
      <c r="A23" s="17"/>
      <c r="B23" s="17"/>
      <c r="C23" s="17"/>
      <c r="D23" s="17"/>
      <c r="E23" s="17"/>
      <c r="F23" s="17" t="str">
        <f>IF($C23="","",IF($C23="Work",IFERROR(IF(SUMIFS(WORK_TARIFF_RULES!$G:$G,WORK_TARIFF_RULES!$A:$A,$D23,WORK_TARIFF_RULES!$C:$C,$B23)&lt;&gt;"",SUMIFS(WORK_TARIFF_RULES!$G:$G,WORK_TARIFF_RULES!$A:$A,$D23,WORK_TARIFF_RULES!$C:$C,$B23),SUMIFS(WORK_MASTER!$C:$C,WORK_MASTER!$A:$A,$D23)),""),IF($C23="Material",IFERROR(IF(SUMIFS(MATERIAL_TARIFF_RULES!$G:$G,MATERIAL_TARIFF_RULES!$A:$A,$D23,MATERIAL_TARIFF_RULES!$C:$C,$B23)&lt;&gt;"",SUMIFS(MATERIAL_TARIFF_RULES!$G:$G,MATERIAL_TARIFF_RULES!$A:$A,$D23,MATERIAL_TARIFF_RULES!$C:$C,$B23),SUMIFS(MATERIAL_VARIANTS!$J:$J,MATERIAL_VARIANTS!$A:$A,$E23)),""),IF($C23="Logistics","Мобилизация и логистика объекта",""))))</f>
        <v/>
      </c>
      <c r="G23" s="17"/>
      <c r="H23" s="17"/>
      <c r="I23" s="31" t="str">
        <f>IF($C23="","",IF($C23="Work",IFERROR(SUMIFS(WORK_MASTER!$I:$I,WORK_MASTER!$A:$A,$D23),0),IF($C23="Material",IFERROR(SUMIFS(MATERIAL_VARIANTS!$I:$I,MATERIAL_VARIANTS!$A:$A,$E23),0),0)))</f>
        <v/>
      </c>
      <c r="J23" s="31" t="str">
        <f>IF($C23="","",IF($C23="Work",IF($E23&lt;&gt;"",IFERROR(SUMIFS(WORK_VARIANTS!$H:$H,WORK_VARIANTS!$A:$A,$E23),1),1),1))</f>
        <v/>
      </c>
      <c r="K23" s="31" t="str">
        <f>IF($C23="","",IF($C23="Work",IFERROR(SUMIFS(WORK_FACTOR_APPLICABILITY!$O:$O,WORK_FACTOR_APPLICABILITY!$A:$A,$D23,WORK_FACTOR_APPLICABILITY!$N:$N,$A23),1),IF($C23="Material",IFERROR(INDEX(MATERIAL_QUANTITY_EXAMPLE!$N:$N,MATCH(1,(MATERIAL_QUANTITY_EXAMPLE!$A:$A=MATERIAL_QUANTITY_EXAMPLE!$A:$A)*(MATERIAL_QUANTITY_EXAMPLE!$B:$B=$A23)*(MATERIAL_QUANTITY_EXAMPLE!$C:$C=$D23),0)),1),1)))</f>
        <v/>
      </c>
      <c r="L23" s="31" t="str">
        <f>IF($A23="","",IF($C23="Material",1,IFERROR(INDEX(OBJECT_CONDITIONS!$AH:$AH,MATCH($A23,OBJECT_CONDITIONS!$A:$A,0))*INDEX(OBJECT_CONDITIONS!$AJ:$AJ,MATCH($A23,OBJECT_CONDITIONS!$A:$A,0))*INDEX(OBJECT_CONDITIONS!$AL:$AL,MATCH($A23,OBJECT_CONDITIONS!$A:$A,0)),1)))</f>
        <v/>
      </c>
      <c r="M23" s="31" t="str">
        <f>IF($B23="","",IF($C23="Work",IFERROR(IF(SUMIFS(WORK_TARIFF_RULES!$F:$F,WORK_TARIFF_RULES!$A:$A,$D23,WORK_TARIFF_RULES!$C:$C,$B23)&lt;&gt;"",SUMIFS(WORK_TARIFF_RULES!$F:$F,WORK_TARIFF_RULES!$A:$A,$D23,WORK_TARIFF_RULES!$C:$C,$B23),SUMIFS(TARIFF_PROFILES!$D:$D,TARIFF_PROFILES!$A:$A,$B23)),1),IF($C23="Material",IFERROR(IF(SUMIFS(MATERIAL_TARIFF_RULES!$E:$E,MATERIAL_TARIFF_RULES!$A:$A,$D23,MATERIAL_TARIFF_RULES!$C:$C,$B23)&lt;&gt;"",SUMIFS(MATERIAL_TARIFF_RULES!$E:$E,MATERIAL_TARIFF_RULES!$A:$A,$D23,MATERIAL_TARIFF_RULES!$C:$C,$B23),SUMIFS(TARIFF_PROFILES!$E:$E,TARIFF_PROFILES!$A:$A,$B23)),1),SUMIFS(TARIFF_PROFILES!$F:$F,TARIFF_PROFILES!$A:$A,$B23))))</f>
        <v/>
      </c>
      <c r="N23" s="31">
        <f>IF($C23="Material",IFERROR(SUMIFS(MATERIAL_MASTER!$P:$P,MATERIAL_MASTER!$A:$A,$D23)*IF(SUMIFS(MATERIAL_TARIFF_RULES!$F:$F,MATERIAL_TARIFF_RULES!$A:$A,$D23,MATERIAL_TARIFF_RULES!$C:$C,$B23)="",SUMIFS(TARIFF_PROFILES!$H:$H,TARIFF_PROFILES!$A:$A,$B23),SUMIFS(MATERIAL_TARIFF_RULES!$F:$F,MATERIAL_TARIFF_RULES!$A:$A,$D23,MATERIAL_TARIFF_RULES!$C:$C,$B23)),1),1)</f>
        <v>1</v>
      </c>
      <c r="O23" s="17" t="str">
        <f t="shared" si="0"/>
        <v/>
      </c>
      <c r="P23" s="17">
        <f>IF(ROW()=2,MAX(0,INDEX(COMMERCIAL_POLICY!$B:$B,MATCH($B23,COMMERCIAL_POLICY!$A:$A,0))-SUM($Q$2:$Q$60)),0)</f>
        <v>0</v>
      </c>
      <c r="Q23" s="33" t="str">
        <f>IF($C23="","",IF($C23="Material",N($I23)*N($K23)*N($M23)*N($O23),IF($C23="Logistics",INDEX(COMMERCIAL_POLICY!$D:$D,MATCH($B23,COMMERCIAL_POLICY!$A:$A,0))*N($L23),N($I23)*N($J23)*N($K23)*N($L23)*N($M23)*N($G23))))</f>
        <v/>
      </c>
      <c r="R23" s="17" t="str">
        <f>IF($A23="","",INDEX(OBJECT_CONDITIONS!$AM:$AM,MATCH($A23,OBJECT_CONDITIONS!$A:$A,0)))</f>
        <v/>
      </c>
      <c r="S23" s="31" t="str">
        <f>IF($R23="","",INDEX(TAX_MODES!$B:$B,MATCH($R23,TAX_MODES!$A:$A,0)))</f>
        <v/>
      </c>
      <c r="T23" s="33" t="str">
        <f t="shared" si="1"/>
        <v/>
      </c>
      <c r="U23" s="17" t="str">
        <f t="shared" si="2"/>
        <v/>
      </c>
    </row>
    <row r="24" spans="1:21" x14ac:dyDescent="0.3">
      <c r="A24" s="17"/>
      <c r="B24" s="17"/>
      <c r="C24" s="17"/>
      <c r="D24" s="17"/>
      <c r="E24" s="17"/>
      <c r="F24" s="17" t="str">
        <f>IF($C24="","",IF($C24="Work",IFERROR(IF(SUMIFS(WORK_TARIFF_RULES!$G:$G,WORK_TARIFF_RULES!$A:$A,$D24,WORK_TARIFF_RULES!$C:$C,$B24)&lt;&gt;"",SUMIFS(WORK_TARIFF_RULES!$G:$G,WORK_TARIFF_RULES!$A:$A,$D24,WORK_TARIFF_RULES!$C:$C,$B24),SUMIFS(WORK_MASTER!$C:$C,WORK_MASTER!$A:$A,$D24)),""),IF($C24="Material",IFERROR(IF(SUMIFS(MATERIAL_TARIFF_RULES!$G:$G,MATERIAL_TARIFF_RULES!$A:$A,$D24,MATERIAL_TARIFF_RULES!$C:$C,$B24)&lt;&gt;"",SUMIFS(MATERIAL_TARIFF_RULES!$G:$G,MATERIAL_TARIFF_RULES!$A:$A,$D24,MATERIAL_TARIFF_RULES!$C:$C,$B24),SUMIFS(MATERIAL_VARIANTS!$J:$J,MATERIAL_VARIANTS!$A:$A,$E24)),""),IF($C24="Logistics","Мобилизация и логистика объекта",""))))</f>
        <v/>
      </c>
      <c r="G24" s="17"/>
      <c r="H24" s="17"/>
      <c r="I24" s="31" t="str">
        <f>IF($C24="","",IF($C24="Work",IFERROR(SUMIFS(WORK_MASTER!$I:$I,WORK_MASTER!$A:$A,$D24),0),IF($C24="Material",IFERROR(SUMIFS(MATERIAL_VARIANTS!$I:$I,MATERIAL_VARIANTS!$A:$A,$E24),0),0)))</f>
        <v/>
      </c>
      <c r="J24" s="31" t="str">
        <f>IF($C24="","",IF($C24="Work",IF($E24&lt;&gt;"",IFERROR(SUMIFS(WORK_VARIANTS!$H:$H,WORK_VARIANTS!$A:$A,$E24),1),1),1))</f>
        <v/>
      </c>
      <c r="K24" s="31" t="str">
        <f>IF($C24="","",IF($C24="Work",IFERROR(SUMIFS(WORK_FACTOR_APPLICABILITY!$O:$O,WORK_FACTOR_APPLICABILITY!$A:$A,$D24,WORK_FACTOR_APPLICABILITY!$N:$N,$A24),1),IF($C24="Material",IFERROR(INDEX(MATERIAL_QUANTITY_EXAMPLE!$N:$N,MATCH(1,(MATERIAL_QUANTITY_EXAMPLE!$A:$A=MATERIAL_QUANTITY_EXAMPLE!$A:$A)*(MATERIAL_QUANTITY_EXAMPLE!$B:$B=$A24)*(MATERIAL_QUANTITY_EXAMPLE!$C:$C=$D24),0)),1),1)))</f>
        <v/>
      </c>
      <c r="L24" s="31" t="str">
        <f>IF($A24="","",IF($C24="Material",1,IFERROR(INDEX(OBJECT_CONDITIONS!$AH:$AH,MATCH($A24,OBJECT_CONDITIONS!$A:$A,0))*INDEX(OBJECT_CONDITIONS!$AJ:$AJ,MATCH($A24,OBJECT_CONDITIONS!$A:$A,0))*INDEX(OBJECT_CONDITIONS!$AL:$AL,MATCH($A24,OBJECT_CONDITIONS!$A:$A,0)),1)))</f>
        <v/>
      </c>
      <c r="M24" s="31" t="str">
        <f>IF($B24="","",IF($C24="Work",IFERROR(IF(SUMIFS(WORK_TARIFF_RULES!$F:$F,WORK_TARIFF_RULES!$A:$A,$D24,WORK_TARIFF_RULES!$C:$C,$B24)&lt;&gt;"",SUMIFS(WORK_TARIFF_RULES!$F:$F,WORK_TARIFF_RULES!$A:$A,$D24,WORK_TARIFF_RULES!$C:$C,$B24),SUMIFS(TARIFF_PROFILES!$D:$D,TARIFF_PROFILES!$A:$A,$B24)),1),IF($C24="Material",IFERROR(IF(SUMIFS(MATERIAL_TARIFF_RULES!$E:$E,MATERIAL_TARIFF_RULES!$A:$A,$D24,MATERIAL_TARIFF_RULES!$C:$C,$B24)&lt;&gt;"",SUMIFS(MATERIAL_TARIFF_RULES!$E:$E,MATERIAL_TARIFF_RULES!$A:$A,$D24,MATERIAL_TARIFF_RULES!$C:$C,$B24),SUMIFS(TARIFF_PROFILES!$E:$E,TARIFF_PROFILES!$A:$A,$B24)),1),SUMIFS(TARIFF_PROFILES!$F:$F,TARIFF_PROFILES!$A:$A,$B24))))</f>
        <v/>
      </c>
      <c r="N24" s="31">
        <f>IF($C24="Material",IFERROR(SUMIFS(MATERIAL_MASTER!$P:$P,MATERIAL_MASTER!$A:$A,$D24)*IF(SUMIFS(MATERIAL_TARIFF_RULES!$F:$F,MATERIAL_TARIFF_RULES!$A:$A,$D24,MATERIAL_TARIFF_RULES!$C:$C,$B24)="",SUMIFS(TARIFF_PROFILES!$H:$H,TARIFF_PROFILES!$A:$A,$B24),SUMIFS(MATERIAL_TARIFF_RULES!$F:$F,MATERIAL_TARIFF_RULES!$A:$A,$D24,MATERIAL_TARIFF_RULES!$C:$C,$B24)),1),1)</f>
        <v>1</v>
      </c>
      <c r="O24" s="17" t="str">
        <f t="shared" si="0"/>
        <v/>
      </c>
      <c r="P24" s="17">
        <f>IF(ROW()=2,MAX(0,INDEX(COMMERCIAL_POLICY!$B:$B,MATCH($B24,COMMERCIAL_POLICY!$A:$A,0))-SUM($Q$2:$Q$60)),0)</f>
        <v>0</v>
      </c>
      <c r="Q24" s="33" t="str">
        <f>IF($C24="","",IF($C24="Material",N($I24)*N($K24)*N($M24)*N($O24),IF($C24="Logistics",INDEX(COMMERCIAL_POLICY!$D:$D,MATCH($B24,COMMERCIAL_POLICY!$A:$A,0))*N($L24),N($I24)*N($J24)*N($K24)*N($L24)*N($M24)*N($G24))))</f>
        <v/>
      </c>
      <c r="R24" s="17" t="str">
        <f>IF($A24="","",INDEX(OBJECT_CONDITIONS!$AM:$AM,MATCH($A24,OBJECT_CONDITIONS!$A:$A,0)))</f>
        <v/>
      </c>
      <c r="S24" s="31" t="str">
        <f>IF($R24="","",INDEX(TAX_MODES!$B:$B,MATCH($R24,TAX_MODES!$A:$A,0)))</f>
        <v/>
      </c>
      <c r="T24" s="33" t="str">
        <f t="shared" si="1"/>
        <v/>
      </c>
      <c r="U24" s="17" t="str">
        <f t="shared" si="2"/>
        <v/>
      </c>
    </row>
    <row r="25" spans="1:21" x14ac:dyDescent="0.3">
      <c r="A25" s="17"/>
      <c r="B25" s="17"/>
      <c r="C25" s="17"/>
      <c r="D25" s="17"/>
      <c r="E25" s="17"/>
      <c r="F25" s="17" t="str">
        <f>IF($C25="","",IF($C25="Work",IFERROR(IF(SUMIFS(WORK_TARIFF_RULES!$G:$G,WORK_TARIFF_RULES!$A:$A,$D25,WORK_TARIFF_RULES!$C:$C,$B25)&lt;&gt;"",SUMIFS(WORK_TARIFF_RULES!$G:$G,WORK_TARIFF_RULES!$A:$A,$D25,WORK_TARIFF_RULES!$C:$C,$B25),SUMIFS(WORK_MASTER!$C:$C,WORK_MASTER!$A:$A,$D25)),""),IF($C25="Material",IFERROR(IF(SUMIFS(MATERIAL_TARIFF_RULES!$G:$G,MATERIAL_TARIFF_RULES!$A:$A,$D25,MATERIAL_TARIFF_RULES!$C:$C,$B25)&lt;&gt;"",SUMIFS(MATERIAL_TARIFF_RULES!$G:$G,MATERIAL_TARIFF_RULES!$A:$A,$D25,MATERIAL_TARIFF_RULES!$C:$C,$B25),SUMIFS(MATERIAL_VARIANTS!$J:$J,MATERIAL_VARIANTS!$A:$A,$E25)),""),IF($C25="Logistics","Мобилизация и логистика объекта",""))))</f>
        <v/>
      </c>
      <c r="G25" s="17"/>
      <c r="H25" s="17"/>
      <c r="I25" s="31" t="str">
        <f>IF($C25="","",IF($C25="Work",IFERROR(SUMIFS(WORK_MASTER!$I:$I,WORK_MASTER!$A:$A,$D25),0),IF($C25="Material",IFERROR(SUMIFS(MATERIAL_VARIANTS!$I:$I,MATERIAL_VARIANTS!$A:$A,$E25),0),0)))</f>
        <v/>
      </c>
      <c r="J25" s="31" t="str">
        <f>IF($C25="","",IF($C25="Work",IF($E25&lt;&gt;"",IFERROR(SUMIFS(WORK_VARIANTS!$H:$H,WORK_VARIANTS!$A:$A,$E25),1),1),1))</f>
        <v/>
      </c>
      <c r="K25" s="31" t="str">
        <f>IF($C25="","",IF($C25="Work",IFERROR(SUMIFS(WORK_FACTOR_APPLICABILITY!$O:$O,WORK_FACTOR_APPLICABILITY!$A:$A,$D25,WORK_FACTOR_APPLICABILITY!$N:$N,$A25),1),IF($C25="Material",IFERROR(INDEX(MATERIAL_QUANTITY_EXAMPLE!$N:$N,MATCH(1,(MATERIAL_QUANTITY_EXAMPLE!$A:$A=MATERIAL_QUANTITY_EXAMPLE!$A:$A)*(MATERIAL_QUANTITY_EXAMPLE!$B:$B=$A25)*(MATERIAL_QUANTITY_EXAMPLE!$C:$C=$D25),0)),1),1)))</f>
        <v/>
      </c>
      <c r="L25" s="31" t="str">
        <f>IF($A25="","",IF($C25="Material",1,IFERROR(INDEX(OBJECT_CONDITIONS!$AH:$AH,MATCH($A25,OBJECT_CONDITIONS!$A:$A,0))*INDEX(OBJECT_CONDITIONS!$AJ:$AJ,MATCH($A25,OBJECT_CONDITIONS!$A:$A,0))*INDEX(OBJECT_CONDITIONS!$AL:$AL,MATCH($A25,OBJECT_CONDITIONS!$A:$A,0)),1)))</f>
        <v/>
      </c>
      <c r="M25" s="31" t="str">
        <f>IF($B25="","",IF($C25="Work",IFERROR(IF(SUMIFS(WORK_TARIFF_RULES!$F:$F,WORK_TARIFF_RULES!$A:$A,$D25,WORK_TARIFF_RULES!$C:$C,$B25)&lt;&gt;"",SUMIFS(WORK_TARIFF_RULES!$F:$F,WORK_TARIFF_RULES!$A:$A,$D25,WORK_TARIFF_RULES!$C:$C,$B25),SUMIFS(TARIFF_PROFILES!$D:$D,TARIFF_PROFILES!$A:$A,$B25)),1),IF($C25="Material",IFERROR(IF(SUMIFS(MATERIAL_TARIFF_RULES!$E:$E,MATERIAL_TARIFF_RULES!$A:$A,$D25,MATERIAL_TARIFF_RULES!$C:$C,$B25)&lt;&gt;"",SUMIFS(MATERIAL_TARIFF_RULES!$E:$E,MATERIAL_TARIFF_RULES!$A:$A,$D25,MATERIAL_TARIFF_RULES!$C:$C,$B25),SUMIFS(TARIFF_PROFILES!$E:$E,TARIFF_PROFILES!$A:$A,$B25)),1),SUMIFS(TARIFF_PROFILES!$F:$F,TARIFF_PROFILES!$A:$A,$B25))))</f>
        <v/>
      </c>
      <c r="N25" s="31">
        <f>IF($C25="Material",IFERROR(SUMIFS(MATERIAL_MASTER!$P:$P,MATERIAL_MASTER!$A:$A,$D25)*IF(SUMIFS(MATERIAL_TARIFF_RULES!$F:$F,MATERIAL_TARIFF_RULES!$A:$A,$D25,MATERIAL_TARIFF_RULES!$C:$C,$B25)="",SUMIFS(TARIFF_PROFILES!$H:$H,TARIFF_PROFILES!$A:$A,$B25),SUMIFS(MATERIAL_TARIFF_RULES!$F:$F,MATERIAL_TARIFF_RULES!$A:$A,$D25,MATERIAL_TARIFF_RULES!$C:$C,$B25)),1),1)</f>
        <v>1</v>
      </c>
      <c r="O25" s="17" t="str">
        <f t="shared" si="0"/>
        <v/>
      </c>
      <c r="P25" s="17">
        <f>IF(ROW()=2,MAX(0,INDEX(COMMERCIAL_POLICY!$B:$B,MATCH($B25,COMMERCIAL_POLICY!$A:$A,0))-SUM($Q$2:$Q$60)),0)</f>
        <v>0</v>
      </c>
      <c r="Q25" s="33" t="str">
        <f>IF($C25="","",IF($C25="Material",N($I25)*N($K25)*N($M25)*N($O25),IF($C25="Logistics",INDEX(COMMERCIAL_POLICY!$D:$D,MATCH($B25,COMMERCIAL_POLICY!$A:$A,0))*N($L25),N($I25)*N($J25)*N($K25)*N($L25)*N($M25)*N($G25))))</f>
        <v/>
      </c>
      <c r="R25" s="17" t="str">
        <f>IF($A25="","",INDEX(OBJECT_CONDITIONS!$AM:$AM,MATCH($A25,OBJECT_CONDITIONS!$A:$A,0)))</f>
        <v/>
      </c>
      <c r="S25" s="31" t="str">
        <f>IF($R25="","",INDEX(TAX_MODES!$B:$B,MATCH($R25,TAX_MODES!$A:$A,0)))</f>
        <v/>
      </c>
      <c r="T25" s="33" t="str">
        <f t="shared" si="1"/>
        <v/>
      </c>
      <c r="U25" s="17" t="str">
        <f t="shared" si="2"/>
        <v/>
      </c>
    </row>
    <row r="26" spans="1:21" x14ac:dyDescent="0.3">
      <c r="A26" s="17"/>
      <c r="B26" s="17"/>
      <c r="C26" s="17"/>
      <c r="D26" s="17"/>
      <c r="E26" s="17"/>
      <c r="F26" s="17" t="str">
        <f>IF($C26="","",IF($C26="Work",IFERROR(IF(SUMIFS(WORK_TARIFF_RULES!$G:$G,WORK_TARIFF_RULES!$A:$A,$D26,WORK_TARIFF_RULES!$C:$C,$B26)&lt;&gt;"",SUMIFS(WORK_TARIFF_RULES!$G:$G,WORK_TARIFF_RULES!$A:$A,$D26,WORK_TARIFF_RULES!$C:$C,$B26),SUMIFS(WORK_MASTER!$C:$C,WORK_MASTER!$A:$A,$D26)),""),IF($C26="Material",IFERROR(IF(SUMIFS(MATERIAL_TARIFF_RULES!$G:$G,MATERIAL_TARIFF_RULES!$A:$A,$D26,MATERIAL_TARIFF_RULES!$C:$C,$B26)&lt;&gt;"",SUMIFS(MATERIAL_TARIFF_RULES!$G:$G,MATERIAL_TARIFF_RULES!$A:$A,$D26,MATERIAL_TARIFF_RULES!$C:$C,$B26),SUMIFS(MATERIAL_VARIANTS!$J:$J,MATERIAL_VARIANTS!$A:$A,$E26)),""),IF($C26="Logistics","Мобилизация и логистика объекта",""))))</f>
        <v/>
      </c>
      <c r="G26" s="17"/>
      <c r="H26" s="17"/>
      <c r="I26" s="31" t="str">
        <f>IF($C26="","",IF($C26="Work",IFERROR(SUMIFS(WORK_MASTER!$I:$I,WORK_MASTER!$A:$A,$D26),0),IF($C26="Material",IFERROR(SUMIFS(MATERIAL_VARIANTS!$I:$I,MATERIAL_VARIANTS!$A:$A,$E26),0),0)))</f>
        <v/>
      </c>
      <c r="J26" s="31" t="str">
        <f>IF($C26="","",IF($C26="Work",IF($E26&lt;&gt;"",IFERROR(SUMIFS(WORK_VARIANTS!$H:$H,WORK_VARIANTS!$A:$A,$E26),1),1),1))</f>
        <v/>
      </c>
      <c r="K26" s="31" t="str">
        <f>IF($C26="","",IF($C26="Work",IFERROR(SUMIFS(WORK_FACTOR_APPLICABILITY!$O:$O,WORK_FACTOR_APPLICABILITY!$A:$A,$D26,WORK_FACTOR_APPLICABILITY!$N:$N,$A26),1),IF($C26="Material",IFERROR(INDEX(MATERIAL_QUANTITY_EXAMPLE!$N:$N,MATCH(1,(MATERIAL_QUANTITY_EXAMPLE!$A:$A=MATERIAL_QUANTITY_EXAMPLE!$A:$A)*(MATERIAL_QUANTITY_EXAMPLE!$B:$B=$A26)*(MATERIAL_QUANTITY_EXAMPLE!$C:$C=$D26),0)),1),1)))</f>
        <v/>
      </c>
      <c r="L26" s="31" t="str">
        <f>IF($A26="","",IF($C26="Material",1,IFERROR(INDEX(OBJECT_CONDITIONS!$AH:$AH,MATCH($A26,OBJECT_CONDITIONS!$A:$A,0))*INDEX(OBJECT_CONDITIONS!$AJ:$AJ,MATCH($A26,OBJECT_CONDITIONS!$A:$A,0))*INDEX(OBJECT_CONDITIONS!$AL:$AL,MATCH($A26,OBJECT_CONDITIONS!$A:$A,0)),1)))</f>
        <v/>
      </c>
      <c r="M26" s="31" t="str">
        <f>IF($B26="","",IF($C26="Work",IFERROR(IF(SUMIFS(WORK_TARIFF_RULES!$F:$F,WORK_TARIFF_RULES!$A:$A,$D26,WORK_TARIFF_RULES!$C:$C,$B26)&lt;&gt;"",SUMIFS(WORK_TARIFF_RULES!$F:$F,WORK_TARIFF_RULES!$A:$A,$D26,WORK_TARIFF_RULES!$C:$C,$B26),SUMIFS(TARIFF_PROFILES!$D:$D,TARIFF_PROFILES!$A:$A,$B26)),1),IF($C26="Material",IFERROR(IF(SUMIFS(MATERIAL_TARIFF_RULES!$E:$E,MATERIAL_TARIFF_RULES!$A:$A,$D26,MATERIAL_TARIFF_RULES!$C:$C,$B26)&lt;&gt;"",SUMIFS(MATERIAL_TARIFF_RULES!$E:$E,MATERIAL_TARIFF_RULES!$A:$A,$D26,MATERIAL_TARIFF_RULES!$C:$C,$B26),SUMIFS(TARIFF_PROFILES!$E:$E,TARIFF_PROFILES!$A:$A,$B26)),1),SUMIFS(TARIFF_PROFILES!$F:$F,TARIFF_PROFILES!$A:$A,$B26))))</f>
        <v/>
      </c>
      <c r="N26" s="31">
        <f>IF($C26="Material",IFERROR(SUMIFS(MATERIAL_MASTER!$P:$P,MATERIAL_MASTER!$A:$A,$D26)*IF(SUMIFS(MATERIAL_TARIFF_RULES!$F:$F,MATERIAL_TARIFF_RULES!$A:$A,$D26,MATERIAL_TARIFF_RULES!$C:$C,$B26)="",SUMIFS(TARIFF_PROFILES!$H:$H,TARIFF_PROFILES!$A:$A,$B26),SUMIFS(MATERIAL_TARIFF_RULES!$F:$F,MATERIAL_TARIFF_RULES!$A:$A,$D26,MATERIAL_TARIFF_RULES!$C:$C,$B26)),1),1)</f>
        <v>1</v>
      </c>
      <c r="O26" s="17" t="str">
        <f t="shared" si="0"/>
        <v/>
      </c>
      <c r="P26" s="17">
        <f>IF(ROW()=2,MAX(0,INDEX(COMMERCIAL_POLICY!$B:$B,MATCH($B26,COMMERCIAL_POLICY!$A:$A,0))-SUM($Q$2:$Q$60)),0)</f>
        <v>0</v>
      </c>
      <c r="Q26" s="33" t="str">
        <f>IF($C26="","",IF($C26="Material",N($I26)*N($K26)*N($M26)*N($O26),IF($C26="Logistics",INDEX(COMMERCIAL_POLICY!$D:$D,MATCH($B26,COMMERCIAL_POLICY!$A:$A,0))*N($L26),N($I26)*N($J26)*N($K26)*N($L26)*N($M26)*N($G26))))</f>
        <v/>
      </c>
      <c r="R26" s="17" t="str">
        <f>IF($A26="","",INDEX(OBJECT_CONDITIONS!$AM:$AM,MATCH($A26,OBJECT_CONDITIONS!$A:$A,0)))</f>
        <v/>
      </c>
      <c r="S26" s="31" t="str">
        <f>IF($R26="","",INDEX(TAX_MODES!$B:$B,MATCH($R26,TAX_MODES!$A:$A,0)))</f>
        <v/>
      </c>
      <c r="T26" s="33" t="str">
        <f t="shared" si="1"/>
        <v/>
      </c>
      <c r="U26" s="17" t="str">
        <f t="shared" si="2"/>
        <v/>
      </c>
    </row>
    <row r="27" spans="1:21" x14ac:dyDescent="0.3">
      <c r="A27" s="17"/>
      <c r="B27" s="17"/>
      <c r="C27" s="17"/>
      <c r="D27" s="17"/>
      <c r="E27" s="17"/>
      <c r="F27" s="17" t="str">
        <f>IF($C27="","",IF($C27="Work",IFERROR(IF(SUMIFS(WORK_TARIFF_RULES!$G:$G,WORK_TARIFF_RULES!$A:$A,$D27,WORK_TARIFF_RULES!$C:$C,$B27)&lt;&gt;"",SUMIFS(WORK_TARIFF_RULES!$G:$G,WORK_TARIFF_RULES!$A:$A,$D27,WORK_TARIFF_RULES!$C:$C,$B27),SUMIFS(WORK_MASTER!$C:$C,WORK_MASTER!$A:$A,$D27)),""),IF($C27="Material",IFERROR(IF(SUMIFS(MATERIAL_TARIFF_RULES!$G:$G,MATERIAL_TARIFF_RULES!$A:$A,$D27,MATERIAL_TARIFF_RULES!$C:$C,$B27)&lt;&gt;"",SUMIFS(MATERIAL_TARIFF_RULES!$G:$G,MATERIAL_TARIFF_RULES!$A:$A,$D27,MATERIAL_TARIFF_RULES!$C:$C,$B27),SUMIFS(MATERIAL_VARIANTS!$J:$J,MATERIAL_VARIANTS!$A:$A,$E27)),""),IF($C27="Logistics","Мобилизация и логистика объекта",""))))</f>
        <v/>
      </c>
      <c r="G27" s="17"/>
      <c r="H27" s="17"/>
      <c r="I27" s="31" t="str">
        <f>IF($C27="","",IF($C27="Work",IFERROR(SUMIFS(WORK_MASTER!$I:$I,WORK_MASTER!$A:$A,$D27),0),IF($C27="Material",IFERROR(SUMIFS(MATERIAL_VARIANTS!$I:$I,MATERIAL_VARIANTS!$A:$A,$E27),0),0)))</f>
        <v/>
      </c>
      <c r="J27" s="31" t="str">
        <f>IF($C27="","",IF($C27="Work",IF($E27&lt;&gt;"",IFERROR(SUMIFS(WORK_VARIANTS!$H:$H,WORK_VARIANTS!$A:$A,$E27),1),1),1))</f>
        <v/>
      </c>
      <c r="K27" s="31" t="str">
        <f>IF($C27="","",IF($C27="Work",IFERROR(SUMIFS(WORK_FACTOR_APPLICABILITY!$O:$O,WORK_FACTOR_APPLICABILITY!$A:$A,$D27,WORK_FACTOR_APPLICABILITY!$N:$N,$A27),1),IF($C27="Material",IFERROR(INDEX(MATERIAL_QUANTITY_EXAMPLE!$N:$N,MATCH(1,(MATERIAL_QUANTITY_EXAMPLE!$A:$A=MATERIAL_QUANTITY_EXAMPLE!$A:$A)*(MATERIAL_QUANTITY_EXAMPLE!$B:$B=$A27)*(MATERIAL_QUANTITY_EXAMPLE!$C:$C=$D27),0)),1),1)))</f>
        <v/>
      </c>
      <c r="L27" s="31" t="str">
        <f>IF($A27="","",IF($C27="Material",1,IFERROR(INDEX(OBJECT_CONDITIONS!$AH:$AH,MATCH($A27,OBJECT_CONDITIONS!$A:$A,0))*INDEX(OBJECT_CONDITIONS!$AJ:$AJ,MATCH($A27,OBJECT_CONDITIONS!$A:$A,0))*INDEX(OBJECT_CONDITIONS!$AL:$AL,MATCH($A27,OBJECT_CONDITIONS!$A:$A,0)),1)))</f>
        <v/>
      </c>
      <c r="M27" s="31" t="str">
        <f>IF($B27="","",IF($C27="Work",IFERROR(IF(SUMIFS(WORK_TARIFF_RULES!$F:$F,WORK_TARIFF_RULES!$A:$A,$D27,WORK_TARIFF_RULES!$C:$C,$B27)&lt;&gt;"",SUMIFS(WORK_TARIFF_RULES!$F:$F,WORK_TARIFF_RULES!$A:$A,$D27,WORK_TARIFF_RULES!$C:$C,$B27),SUMIFS(TARIFF_PROFILES!$D:$D,TARIFF_PROFILES!$A:$A,$B27)),1),IF($C27="Material",IFERROR(IF(SUMIFS(MATERIAL_TARIFF_RULES!$E:$E,MATERIAL_TARIFF_RULES!$A:$A,$D27,MATERIAL_TARIFF_RULES!$C:$C,$B27)&lt;&gt;"",SUMIFS(MATERIAL_TARIFF_RULES!$E:$E,MATERIAL_TARIFF_RULES!$A:$A,$D27,MATERIAL_TARIFF_RULES!$C:$C,$B27),SUMIFS(TARIFF_PROFILES!$E:$E,TARIFF_PROFILES!$A:$A,$B27)),1),SUMIFS(TARIFF_PROFILES!$F:$F,TARIFF_PROFILES!$A:$A,$B27))))</f>
        <v/>
      </c>
      <c r="N27" s="31">
        <f>IF($C27="Material",IFERROR(SUMIFS(MATERIAL_MASTER!$P:$P,MATERIAL_MASTER!$A:$A,$D27)*IF(SUMIFS(MATERIAL_TARIFF_RULES!$F:$F,MATERIAL_TARIFF_RULES!$A:$A,$D27,MATERIAL_TARIFF_RULES!$C:$C,$B27)="",SUMIFS(TARIFF_PROFILES!$H:$H,TARIFF_PROFILES!$A:$A,$B27),SUMIFS(MATERIAL_TARIFF_RULES!$F:$F,MATERIAL_TARIFF_RULES!$A:$A,$D27,MATERIAL_TARIFF_RULES!$C:$C,$B27)),1),1)</f>
        <v>1</v>
      </c>
      <c r="O27" s="17" t="str">
        <f t="shared" si="0"/>
        <v/>
      </c>
      <c r="P27" s="17">
        <f>IF(ROW()=2,MAX(0,INDEX(COMMERCIAL_POLICY!$B:$B,MATCH($B27,COMMERCIAL_POLICY!$A:$A,0))-SUM($Q$2:$Q$60)),0)</f>
        <v>0</v>
      </c>
      <c r="Q27" s="33" t="str">
        <f>IF($C27="","",IF($C27="Material",N($I27)*N($K27)*N($M27)*N($O27),IF($C27="Logistics",INDEX(COMMERCIAL_POLICY!$D:$D,MATCH($B27,COMMERCIAL_POLICY!$A:$A,0))*N($L27),N($I27)*N($J27)*N($K27)*N($L27)*N($M27)*N($G27))))</f>
        <v/>
      </c>
      <c r="R27" s="17" t="str">
        <f>IF($A27="","",INDEX(OBJECT_CONDITIONS!$AM:$AM,MATCH($A27,OBJECT_CONDITIONS!$A:$A,0)))</f>
        <v/>
      </c>
      <c r="S27" s="31" t="str">
        <f>IF($R27="","",INDEX(TAX_MODES!$B:$B,MATCH($R27,TAX_MODES!$A:$A,0)))</f>
        <v/>
      </c>
      <c r="T27" s="33" t="str">
        <f t="shared" si="1"/>
        <v/>
      </c>
      <c r="U27" s="17" t="str">
        <f t="shared" si="2"/>
        <v/>
      </c>
    </row>
    <row r="28" spans="1:21" x14ac:dyDescent="0.3">
      <c r="A28" s="17"/>
      <c r="B28" s="17"/>
      <c r="C28" s="17"/>
      <c r="D28" s="17"/>
      <c r="E28" s="17"/>
      <c r="F28" s="17" t="str">
        <f>IF($C28="","",IF($C28="Work",IFERROR(IF(SUMIFS(WORK_TARIFF_RULES!$G:$G,WORK_TARIFF_RULES!$A:$A,$D28,WORK_TARIFF_RULES!$C:$C,$B28)&lt;&gt;"",SUMIFS(WORK_TARIFF_RULES!$G:$G,WORK_TARIFF_RULES!$A:$A,$D28,WORK_TARIFF_RULES!$C:$C,$B28),SUMIFS(WORK_MASTER!$C:$C,WORK_MASTER!$A:$A,$D28)),""),IF($C28="Material",IFERROR(IF(SUMIFS(MATERIAL_TARIFF_RULES!$G:$G,MATERIAL_TARIFF_RULES!$A:$A,$D28,MATERIAL_TARIFF_RULES!$C:$C,$B28)&lt;&gt;"",SUMIFS(MATERIAL_TARIFF_RULES!$G:$G,MATERIAL_TARIFF_RULES!$A:$A,$D28,MATERIAL_TARIFF_RULES!$C:$C,$B28),SUMIFS(MATERIAL_VARIANTS!$J:$J,MATERIAL_VARIANTS!$A:$A,$E28)),""),IF($C28="Logistics","Мобилизация и логистика объекта",""))))</f>
        <v/>
      </c>
      <c r="G28" s="17"/>
      <c r="H28" s="17"/>
      <c r="I28" s="31" t="str">
        <f>IF($C28="","",IF($C28="Work",IFERROR(SUMIFS(WORK_MASTER!$I:$I,WORK_MASTER!$A:$A,$D28),0),IF($C28="Material",IFERROR(SUMIFS(MATERIAL_VARIANTS!$I:$I,MATERIAL_VARIANTS!$A:$A,$E28),0),0)))</f>
        <v/>
      </c>
      <c r="J28" s="31" t="str">
        <f>IF($C28="","",IF($C28="Work",IF($E28&lt;&gt;"",IFERROR(SUMIFS(WORK_VARIANTS!$H:$H,WORK_VARIANTS!$A:$A,$E28),1),1),1))</f>
        <v/>
      </c>
      <c r="K28" s="31" t="str">
        <f>IF($C28="","",IF($C28="Work",IFERROR(SUMIFS(WORK_FACTOR_APPLICABILITY!$O:$O,WORK_FACTOR_APPLICABILITY!$A:$A,$D28,WORK_FACTOR_APPLICABILITY!$N:$N,$A28),1),IF($C28="Material",IFERROR(INDEX(MATERIAL_QUANTITY_EXAMPLE!$N:$N,MATCH(1,(MATERIAL_QUANTITY_EXAMPLE!$A:$A=MATERIAL_QUANTITY_EXAMPLE!$A:$A)*(MATERIAL_QUANTITY_EXAMPLE!$B:$B=$A28)*(MATERIAL_QUANTITY_EXAMPLE!$C:$C=$D28),0)),1),1)))</f>
        <v/>
      </c>
      <c r="L28" s="31" t="str">
        <f>IF($A28="","",IF($C28="Material",1,IFERROR(INDEX(OBJECT_CONDITIONS!$AH:$AH,MATCH($A28,OBJECT_CONDITIONS!$A:$A,0))*INDEX(OBJECT_CONDITIONS!$AJ:$AJ,MATCH($A28,OBJECT_CONDITIONS!$A:$A,0))*INDEX(OBJECT_CONDITIONS!$AL:$AL,MATCH($A28,OBJECT_CONDITIONS!$A:$A,0)),1)))</f>
        <v/>
      </c>
      <c r="M28" s="31" t="str">
        <f>IF($B28="","",IF($C28="Work",IFERROR(IF(SUMIFS(WORK_TARIFF_RULES!$F:$F,WORK_TARIFF_RULES!$A:$A,$D28,WORK_TARIFF_RULES!$C:$C,$B28)&lt;&gt;"",SUMIFS(WORK_TARIFF_RULES!$F:$F,WORK_TARIFF_RULES!$A:$A,$D28,WORK_TARIFF_RULES!$C:$C,$B28),SUMIFS(TARIFF_PROFILES!$D:$D,TARIFF_PROFILES!$A:$A,$B28)),1),IF($C28="Material",IFERROR(IF(SUMIFS(MATERIAL_TARIFF_RULES!$E:$E,MATERIAL_TARIFF_RULES!$A:$A,$D28,MATERIAL_TARIFF_RULES!$C:$C,$B28)&lt;&gt;"",SUMIFS(MATERIAL_TARIFF_RULES!$E:$E,MATERIAL_TARIFF_RULES!$A:$A,$D28,MATERIAL_TARIFF_RULES!$C:$C,$B28),SUMIFS(TARIFF_PROFILES!$E:$E,TARIFF_PROFILES!$A:$A,$B28)),1),SUMIFS(TARIFF_PROFILES!$F:$F,TARIFF_PROFILES!$A:$A,$B28))))</f>
        <v/>
      </c>
      <c r="N28" s="31">
        <f>IF($C28="Material",IFERROR(SUMIFS(MATERIAL_MASTER!$P:$P,MATERIAL_MASTER!$A:$A,$D28)*IF(SUMIFS(MATERIAL_TARIFF_RULES!$F:$F,MATERIAL_TARIFF_RULES!$A:$A,$D28,MATERIAL_TARIFF_RULES!$C:$C,$B28)="",SUMIFS(TARIFF_PROFILES!$H:$H,TARIFF_PROFILES!$A:$A,$B28),SUMIFS(MATERIAL_TARIFF_RULES!$F:$F,MATERIAL_TARIFF_RULES!$A:$A,$D28,MATERIAL_TARIFF_RULES!$C:$C,$B28)),1),1)</f>
        <v>1</v>
      </c>
      <c r="O28" s="17" t="str">
        <f t="shared" si="0"/>
        <v/>
      </c>
      <c r="P28" s="17">
        <f>IF(ROW()=2,MAX(0,INDEX(COMMERCIAL_POLICY!$B:$B,MATCH($B28,COMMERCIAL_POLICY!$A:$A,0))-SUM($Q$2:$Q$60)),0)</f>
        <v>0</v>
      </c>
      <c r="Q28" s="33" t="str">
        <f>IF($C28="","",IF($C28="Material",N($I28)*N($K28)*N($M28)*N($O28),IF($C28="Logistics",INDEX(COMMERCIAL_POLICY!$D:$D,MATCH($B28,COMMERCIAL_POLICY!$A:$A,0))*N($L28),N($I28)*N($J28)*N($K28)*N($L28)*N($M28)*N($G28))))</f>
        <v/>
      </c>
      <c r="R28" s="17" t="str">
        <f>IF($A28="","",INDEX(OBJECT_CONDITIONS!$AM:$AM,MATCH($A28,OBJECT_CONDITIONS!$A:$A,0)))</f>
        <v/>
      </c>
      <c r="S28" s="31" t="str">
        <f>IF($R28="","",INDEX(TAX_MODES!$B:$B,MATCH($R28,TAX_MODES!$A:$A,0)))</f>
        <v/>
      </c>
      <c r="T28" s="33" t="str">
        <f t="shared" si="1"/>
        <v/>
      </c>
      <c r="U28" s="17" t="str">
        <f t="shared" si="2"/>
        <v/>
      </c>
    </row>
    <row r="29" spans="1:21" x14ac:dyDescent="0.3">
      <c r="A29" s="17"/>
      <c r="B29" s="17"/>
      <c r="C29" s="17"/>
      <c r="D29" s="17"/>
      <c r="E29" s="17"/>
      <c r="F29" s="17" t="str">
        <f>IF($C29="","",IF($C29="Work",IFERROR(IF(SUMIFS(WORK_TARIFF_RULES!$G:$G,WORK_TARIFF_RULES!$A:$A,$D29,WORK_TARIFF_RULES!$C:$C,$B29)&lt;&gt;"",SUMIFS(WORK_TARIFF_RULES!$G:$G,WORK_TARIFF_RULES!$A:$A,$D29,WORK_TARIFF_RULES!$C:$C,$B29),SUMIFS(WORK_MASTER!$C:$C,WORK_MASTER!$A:$A,$D29)),""),IF($C29="Material",IFERROR(IF(SUMIFS(MATERIAL_TARIFF_RULES!$G:$G,MATERIAL_TARIFF_RULES!$A:$A,$D29,MATERIAL_TARIFF_RULES!$C:$C,$B29)&lt;&gt;"",SUMIFS(MATERIAL_TARIFF_RULES!$G:$G,MATERIAL_TARIFF_RULES!$A:$A,$D29,MATERIAL_TARIFF_RULES!$C:$C,$B29),SUMIFS(MATERIAL_VARIANTS!$J:$J,MATERIAL_VARIANTS!$A:$A,$E29)),""),IF($C29="Logistics","Мобилизация и логистика объекта",""))))</f>
        <v/>
      </c>
      <c r="G29" s="17"/>
      <c r="H29" s="17"/>
      <c r="I29" s="31" t="str">
        <f>IF($C29="","",IF($C29="Work",IFERROR(SUMIFS(WORK_MASTER!$I:$I,WORK_MASTER!$A:$A,$D29),0),IF($C29="Material",IFERROR(SUMIFS(MATERIAL_VARIANTS!$I:$I,MATERIAL_VARIANTS!$A:$A,$E29),0),0)))</f>
        <v/>
      </c>
      <c r="J29" s="31" t="str">
        <f>IF($C29="","",IF($C29="Work",IF($E29&lt;&gt;"",IFERROR(SUMIFS(WORK_VARIANTS!$H:$H,WORK_VARIANTS!$A:$A,$E29),1),1),1))</f>
        <v/>
      </c>
      <c r="K29" s="31" t="str">
        <f>IF($C29="","",IF($C29="Work",IFERROR(SUMIFS(WORK_FACTOR_APPLICABILITY!$O:$O,WORK_FACTOR_APPLICABILITY!$A:$A,$D29,WORK_FACTOR_APPLICABILITY!$N:$N,$A29),1),IF($C29="Material",IFERROR(INDEX(MATERIAL_QUANTITY_EXAMPLE!$N:$N,MATCH(1,(MATERIAL_QUANTITY_EXAMPLE!$A:$A=MATERIAL_QUANTITY_EXAMPLE!$A:$A)*(MATERIAL_QUANTITY_EXAMPLE!$B:$B=$A29)*(MATERIAL_QUANTITY_EXAMPLE!$C:$C=$D29),0)),1),1)))</f>
        <v/>
      </c>
      <c r="L29" s="31" t="str">
        <f>IF($A29="","",IF($C29="Material",1,IFERROR(INDEX(OBJECT_CONDITIONS!$AH:$AH,MATCH($A29,OBJECT_CONDITIONS!$A:$A,0))*INDEX(OBJECT_CONDITIONS!$AJ:$AJ,MATCH($A29,OBJECT_CONDITIONS!$A:$A,0))*INDEX(OBJECT_CONDITIONS!$AL:$AL,MATCH($A29,OBJECT_CONDITIONS!$A:$A,0)),1)))</f>
        <v/>
      </c>
      <c r="M29" s="31" t="str">
        <f>IF($B29="","",IF($C29="Work",IFERROR(IF(SUMIFS(WORK_TARIFF_RULES!$F:$F,WORK_TARIFF_RULES!$A:$A,$D29,WORK_TARIFF_RULES!$C:$C,$B29)&lt;&gt;"",SUMIFS(WORK_TARIFF_RULES!$F:$F,WORK_TARIFF_RULES!$A:$A,$D29,WORK_TARIFF_RULES!$C:$C,$B29),SUMIFS(TARIFF_PROFILES!$D:$D,TARIFF_PROFILES!$A:$A,$B29)),1),IF($C29="Material",IFERROR(IF(SUMIFS(MATERIAL_TARIFF_RULES!$E:$E,MATERIAL_TARIFF_RULES!$A:$A,$D29,MATERIAL_TARIFF_RULES!$C:$C,$B29)&lt;&gt;"",SUMIFS(MATERIAL_TARIFF_RULES!$E:$E,MATERIAL_TARIFF_RULES!$A:$A,$D29,MATERIAL_TARIFF_RULES!$C:$C,$B29),SUMIFS(TARIFF_PROFILES!$E:$E,TARIFF_PROFILES!$A:$A,$B29)),1),SUMIFS(TARIFF_PROFILES!$F:$F,TARIFF_PROFILES!$A:$A,$B29))))</f>
        <v/>
      </c>
      <c r="N29" s="31">
        <f>IF($C29="Material",IFERROR(SUMIFS(MATERIAL_MASTER!$P:$P,MATERIAL_MASTER!$A:$A,$D29)*IF(SUMIFS(MATERIAL_TARIFF_RULES!$F:$F,MATERIAL_TARIFF_RULES!$A:$A,$D29,MATERIAL_TARIFF_RULES!$C:$C,$B29)="",SUMIFS(TARIFF_PROFILES!$H:$H,TARIFF_PROFILES!$A:$A,$B29),SUMIFS(MATERIAL_TARIFF_RULES!$F:$F,MATERIAL_TARIFF_RULES!$A:$A,$D29,MATERIAL_TARIFF_RULES!$C:$C,$B29)),1),1)</f>
        <v>1</v>
      </c>
      <c r="O29" s="17" t="str">
        <f t="shared" si="0"/>
        <v/>
      </c>
      <c r="P29" s="17">
        <f>IF(ROW()=2,MAX(0,INDEX(COMMERCIAL_POLICY!$B:$B,MATCH($B29,COMMERCIAL_POLICY!$A:$A,0))-SUM($Q$2:$Q$60)),0)</f>
        <v>0</v>
      </c>
      <c r="Q29" s="33" t="str">
        <f>IF($C29="","",IF($C29="Material",N($I29)*N($K29)*N($M29)*N($O29),IF($C29="Logistics",INDEX(COMMERCIAL_POLICY!$D:$D,MATCH($B29,COMMERCIAL_POLICY!$A:$A,0))*N($L29),N($I29)*N($J29)*N($K29)*N($L29)*N($M29)*N($G29))))</f>
        <v/>
      </c>
      <c r="R29" s="17" t="str">
        <f>IF($A29="","",INDEX(OBJECT_CONDITIONS!$AM:$AM,MATCH($A29,OBJECT_CONDITIONS!$A:$A,0)))</f>
        <v/>
      </c>
      <c r="S29" s="31" t="str">
        <f>IF($R29="","",INDEX(TAX_MODES!$B:$B,MATCH($R29,TAX_MODES!$A:$A,0)))</f>
        <v/>
      </c>
      <c r="T29" s="33" t="str">
        <f t="shared" si="1"/>
        <v/>
      </c>
      <c r="U29" s="17" t="str">
        <f t="shared" si="2"/>
        <v/>
      </c>
    </row>
    <row r="30" spans="1:21" x14ac:dyDescent="0.3">
      <c r="A30" s="17"/>
      <c r="B30" s="17"/>
      <c r="C30" s="17"/>
      <c r="D30" s="17"/>
      <c r="E30" s="17"/>
      <c r="F30" s="17" t="str">
        <f>IF($C30="","",IF($C30="Work",IFERROR(IF(SUMIFS(WORK_TARIFF_RULES!$G:$G,WORK_TARIFF_RULES!$A:$A,$D30,WORK_TARIFF_RULES!$C:$C,$B30)&lt;&gt;"",SUMIFS(WORK_TARIFF_RULES!$G:$G,WORK_TARIFF_RULES!$A:$A,$D30,WORK_TARIFF_RULES!$C:$C,$B30),SUMIFS(WORK_MASTER!$C:$C,WORK_MASTER!$A:$A,$D30)),""),IF($C30="Material",IFERROR(IF(SUMIFS(MATERIAL_TARIFF_RULES!$G:$G,MATERIAL_TARIFF_RULES!$A:$A,$D30,MATERIAL_TARIFF_RULES!$C:$C,$B30)&lt;&gt;"",SUMIFS(MATERIAL_TARIFF_RULES!$G:$G,MATERIAL_TARIFF_RULES!$A:$A,$D30,MATERIAL_TARIFF_RULES!$C:$C,$B30),SUMIFS(MATERIAL_VARIANTS!$J:$J,MATERIAL_VARIANTS!$A:$A,$E30)),""),IF($C30="Logistics","Мобилизация и логистика объекта",""))))</f>
        <v/>
      </c>
      <c r="G30" s="17"/>
      <c r="H30" s="17"/>
      <c r="I30" s="31" t="str">
        <f>IF($C30="","",IF($C30="Work",IFERROR(SUMIFS(WORK_MASTER!$I:$I,WORK_MASTER!$A:$A,$D30),0),IF($C30="Material",IFERROR(SUMIFS(MATERIAL_VARIANTS!$I:$I,MATERIAL_VARIANTS!$A:$A,$E30),0),0)))</f>
        <v/>
      </c>
      <c r="J30" s="31" t="str">
        <f>IF($C30="","",IF($C30="Work",IF($E30&lt;&gt;"",IFERROR(SUMIFS(WORK_VARIANTS!$H:$H,WORK_VARIANTS!$A:$A,$E30),1),1),1))</f>
        <v/>
      </c>
      <c r="K30" s="31" t="str">
        <f>IF($C30="","",IF($C30="Work",IFERROR(SUMIFS(WORK_FACTOR_APPLICABILITY!$O:$O,WORK_FACTOR_APPLICABILITY!$A:$A,$D30,WORK_FACTOR_APPLICABILITY!$N:$N,$A30),1),IF($C30="Material",IFERROR(INDEX(MATERIAL_QUANTITY_EXAMPLE!$N:$N,MATCH(1,(MATERIAL_QUANTITY_EXAMPLE!$A:$A=MATERIAL_QUANTITY_EXAMPLE!$A:$A)*(MATERIAL_QUANTITY_EXAMPLE!$B:$B=$A30)*(MATERIAL_QUANTITY_EXAMPLE!$C:$C=$D30),0)),1),1)))</f>
        <v/>
      </c>
      <c r="L30" s="31" t="str">
        <f>IF($A30="","",IF($C30="Material",1,IFERROR(INDEX(OBJECT_CONDITIONS!$AH:$AH,MATCH($A30,OBJECT_CONDITIONS!$A:$A,0))*INDEX(OBJECT_CONDITIONS!$AJ:$AJ,MATCH($A30,OBJECT_CONDITIONS!$A:$A,0))*INDEX(OBJECT_CONDITIONS!$AL:$AL,MATCH($A30,OBJECT_CONDITIONS!$A:$A,0)),1)))</f>
        <v/>
      </c>
      <c r="M30" s="31" t="str">
        <f>IF($B30="","",IF($C30="Work",IFERROR(IF(SUMIFS(WORK_TARIFF_RULES!$F:$F,WORK_TARIFF_RULES!$A:$A,$D30,WORK_TARIFF_RULES!$C:$C,$B30)&lt;&gt;"",SUMIFS(WORK_TARIFF_RULES!$F:$F,WORK_TARIFF_RULES!$A:$A,$D30,WORK_TARIFF_RULES!$C:$C,$B30),SUMIFS(TARIFF_PROFILES!$D:$D,TARIFF_PROFILES!$A:$A,$B30)),1),IF($C30="Material",IFERROR(IF(SUMIFS(MATERIAL_TARIFF_RULES!$E:$E,MATERIAL_TARIFF_RULES!$A:$A,$D30,MATERIAL_TARIFF_RULES!$C:$C,$B30)&lt;&gt;"",SUMIFS(MATERIAL_TARIFF_RULES!$E:$E,MATERIAL_TARIFF_RULES!$A:$A,$D30,MATERIAL_TARIFF_RULES!$C:$C,$B30),SUMIFS(TARIFF_PROFILES!$E:$E,TARIFF_PROFILES!$A:$A,$B30)),1),SUMIFS(TARIFF_PROFILES!$F:$F,TARIFF_PROFILES!$A:$A,$B30))))</f>
        <v/>
      </c>
      <c r="N30" s="31">
        <f>IF($C30="Material",IFERROR(SUMIFS(MATERIAL_MASTER!$P:$P,MATERIAL_MASTER!$A:$A,$D30)*IF(SUMIFS(MATERIAL_TARIFF_RULES!$F:$F,MATERIAL_TARIFF_RULES!$A:$A,$D30,MATERIAL_TARIFF_RULES!$C:$C,$B30)="",SUMIFS(TARIFF_PROFILES!$H:$H,TARIFF_PROFILES!$A:$A,$B30),SUMIFS(MATERIAL_TARIFF_RULES!$F:$F,MATERIAL_TARIFF_RULES!$A:$A,$D30,MATERIAL_TARIFF_RULES!$C:$C,$B30)),1),1)</f>
        <v>1</v>
      </c>
      <c r="O30" s="17" t="str">
        <f t="shared" si="0"/>
        <v/>
      </c>
      <c r="P30" s="17">
        <f>IF(ROW()=2,MAX(0,INDEX(COMMERCIAL_POLICY!$B:$B,MATCH($B30,COMMERCIAL_POLICY!$A:$A,0))-SUM($Q$2:$Q$60)),0)</f>
        <v>0</v>
      </c>
      <c r="Q30" s="33" t="str">
        <f>IF($C30="","",IF($C30="Material",N($I30)*N($K30)*N($M30)*N($O30),IF($C30="Logistics",INDEX(COMMERCIAL_POLICY!$D:$D,MATCH($B30,COMMERCIAL_POLICY!$A:$A,0))*N($L30),N($I30)*N($J30)*N($K30)*N($L30)*N($M30)*N($G30))))</f>
        <v/>
      </c>
      <c r="R30" s="17" t="str">
        <f>IF($A30="","",INDEX(OBJECT_CONDITIONS!$AM:$AM,MATCH($A30,OBJECT_CONDITIONS!$A:$A,0)))</f>
        <v/>
      </c>
      <c r="S30" s="31" t="str">
        <f>IF($R30="","",INDEX(TAX_MODES!$B:$B,MATCH($R30,TAX_MODES!$A:$A,0)))</f>
        <v/>
      </c>
      <c r="T30" s="33" t="str">
        <f t="shared" si="1"/>
        <v/>
      </c>
      <c r="U30" s="17" t="str">
        <f t="shared" si="2"/>
        <v/>
      </c>
    </row>
    <row r="31" spans="1:21" x14ac:dyDescent="0.3">
      <c r="A31" s="17"/>
      <c r="B31" s="17"/>
      <c r="C31" s="17"/>
      <c r="D31" s="17"/>
      <c r="E31" s="17"/>
      <c r="F31" s="17" t="str">
        <f>IF($C31="","",IF($C31="Work",IFERROR(IF(SUMIFS(WORK_TARIFF_RULES!$G:$G,WORK_TARIFF_RULES!$A:$A,$D31,WORK_TARIFF_RULES!$C:$C,$B31)&lt;&gt;"",SUMIFS(WORK_TARIFF_RULES!$G:$G,WORK_TARIFF_RULES!$A:$A,$D31,WORK_TARIFF_RULES!$C:$C,$B31),SUMIFS(WORK_MASTER!$C:$C,WORK_MASTER!$A:$A,$D31)),""),IF($C31="Material",IFERROR(IF(SUMIFS(MATERIAL_TARIFF_RULES!$G:$G,MATERIAL_TARIFF_RULES!$A:$A,$D31,MATERIAL_TARIFF_RULES!$C:$C,$B31)&lt;&gt;"",SUMIFS(MATERIAL_TARIFF_RULES!$G:$G,MATERIAL_TARIFF_RULES!$A:$A,$D31,MATERIAL_TARIFF_RULES!$C:$C,$B31),SUMIFS(MATERIAL_VARIANTS!$J:$J,MATERIAL_VARIANTS!$A:$A,$E31)),""),IF($C31="Logistics","Мобилизация и логистика объекта",""))))</f>
        <v/>
      </c>
      <c r="G31" s="17"/>
      <c r="H31" s="17"/>
      <c r="I31" s="31" t="str">
        <f>IF($C31="","",IF($C31="Work",IFERROR(SUMIFS(WORK_MASTER!$I:$I,WORK_MASTER!$A:$A,$D31),0),IF($C31="Material",IFERROR(SUMIFS(MATERIAL_VARIANTS!$I:$I,MATERIAL_VARIANTS!$A:$A,$E31),0),0)))</f>
        <v/>
      </c>
      <c r="J31" s="31" t="str">
        <f>IF($C31="","",IF($C31="Work",IF($E31&lt;&gt;"",IFERROR(SUMIFS(WORK_VARIANTS!$H:$H,WORK_VARIANTS!$A:$A,$E31),1),1),1))</f>
        <v/>
      </c>
      <c r="K31" s="31" t="str">
        <f>IF($C31="","",IF($C31="Work",IFERROR(SUMIFS(WORK_FACTOR_APPLICABILITY!$O:$O,WORK_FACTOR_APPLICABILITY!$A:$A,$D31,WORK_FACTOR_APPLICABILITY!$N:$N,$A31),1),IF($C31="Material",IFERROR(INDEX(MATERIAL_QUANTITY_EXAMPLE!$N:$N,MATCH(1,(MATERIAL_QUANTITY_EXAMPLE!$A:$A=MATERIAL_QUANTITY_EXAMPLE!$A:$A)*(MATERIAL_QUANTITY_EXAMPLE!$B:$B=$A31)*(MATERIAL_QUANTITY_EXAMPLE!$C:$C=$D31),0)),1),1)))</f>
        <v/>
      </c>
      <c r="L31" s="31" t="str">
        <f>IF($A31="","",IF($C31="Material",1,IFERROR(INDEX(OBJECT_CONDITIONS!$AH:$AH,MATCH($A31,OBJECT_CONDITIONS!$A:$A,0))*INDEX(OBJECT_CONDITIONS!$AJ:$AJ,MATCH($A31,OBJECT_CONDITIONS!$A:$A,0))*INDEX(OBJECT_CONDITIONS!$AL:$AL,MATCH($A31,OBJECT_CONDITIONS!$A:$A,0)),1)))</f>
        <v/>
      </c>
      <c r="M31" s="31" t="str">
        <f>IF($B31="","",IF($C31="Work",IFERROR(IF(SUMIFS(WORK_TARIFF_RULES!$F:$F,WORK_TARIFF_RULES!$A:$A,$D31,WORK_TARIFF_RULES!$C:$C,$B31)&lt;&gt;"",SUMIFS(WORK_TARIFF_RULES!$F:$F,WORK_TARIFF_RULES!$A:$A,$D31,WORK_TARIFF_RULES!$C:$C,$B31),SUMIFS(TARIFF_PROFILES!$D:$D,TARIFF_PROFILES!$A:$A,$B31)),1),IF($C31="Material",IFERROR(IF(SUMIFS(MATERIAL_TARIFF_RULES!$E:$E,MATERIAL_TARIFF_RULES!$A:$A,$D31,MATERIAL_TARIFF_RULES!$C:$C,$B31)&lt;&gt;"",SUMIFS(MATERIAL_TARIFF_RULES!$E:$E,MATERIAL_TARIFF_RULES!$A:$A,$D31,MATERIAL_TARIFF_RULES!$C:$C,$B31),SUMIFS(TARIFF_PROFILES!$E:$E,TARIFF_PROFILES!$A:$A,$B31)),1),SUMIFS(TARIFF_PROFILES!$F:$F,TARIFF_PROFILES!$A:$A,$B31))))</f>
        <v/>
      </c>
      <c r="N31" s="31">
        <f>IF($C31="Material",IFERROR(SUMIFS(MATERIAL_MASTER!$P:$P,MATERIAL_MASTER!$A:$A,$D31)*IF(SUMIFS(MATERIAL_TARIFF_RULES!$F:$F,MATERIAL_TARIFF_RULES!$A:$A,$D31,MATERIAL_TARIFF_RULES!$C:$C,$B31)="",SUMIFS(TARIFF_PROFILES!$H:$H,TARIFF_PROFILES!$A:$A,$B31),SUMIFS(MATERIAL_TARIFF_RULES!$F:$F,MATERIAL_TARIFF_RULES!$A:$A,$D31,MATERIAL_TARIFF_RULES!$C:$C,$B31)),1),1)</f>
        <v>1</v>
      </c>
      <c r="O31" s="17" t="str">
        <f t="shared" si="0"/>
        <v/>
      </c>
      <c r="P31" s="17">
        <f>IF(ROW()=2,MAX(0,INDEX(COMMERCIAL_POLICY!$B:$B,MATCH($B31,COMMERCIAL_POLICY!$A:$A,0))-SUM($Q$2:$Q$60)),0)</f>
        <v>0</v>
      </c>
      <c r="Q31" s="33" t="str">
        <f>IF($C31="","",IF($C31="Material",N($I31)*N($K31)*N($M31)*N($O31),IF($C31="Logistics",INDEX(COMMERCIAL_POLICY!$D:$D,MATCH($B31,COMMERCIAL_POLICY!$A:$A,0))*N($L31),N($I31)*N($J31)*N($K31)*N($L31)*N($M31)*N($G31))))</f>
        <v/>
      </c>
      <c r="R31" s="17" t="str">
        <f>IF($A31="","",INDEX(OBJECT_CONDITIONS!$AM:$AM,MATCH($A31,OBJECT_CONDITIONS!$A:$A,0)))</f>
        <v/>
      </c>
      <c r="S31" s="31" t="str">
        <f>IF($R31="","",INDEX(TAX_MODES!$B:$B,MATCH($R31,TAX_MODES!$A:$A,0)))</f>
        <v/>
      </c>
      <c r="T31" s="33" t="str">
        <f t="shared" si="1"/>
        <v/>
      </c>
      <c r="U31" s="17" t="str">
        <f t="shared" si="2"/>
        <v/>
      </c>
    </row>
    <row r="32" spans="1:21" x14ac:dyDescent="0.3">
      <c r="A32" s="17"/>
      <c r="B32" s="17"/>
      <c r="C32" s="17"/>
      <c r="D32" s="17"/>
      <c r="E32" s="17"/>
      <c r="F32" s="17" t="str">
        <f>IF($C32="","",IF($C32="Work",IFERROR(IF(SUMIFS(WORK_TARIFF_RULES!$G:$G,WORK_TARIFF_RULES!$A:$A,$D32,WORK_TARIFF_RULES!$C:$C,$B32)&lt;&gt;"",SUMIFS(WORK_TARIFF_RULES!$G:$G,WORK_TARIFF_RULES!$A:$A,$D32,WORK_TARIFF_RULES!$C:$C,$B32),SUMIFS(WORK_MASTER!$C:$C,WORK_MASTER!$A:$A,$D32)),""),IF($C32="Material",IFERROR(IF(SUMIFS(MATERIAL_TARIFF_RULES!$G:$G,MATERIAL_TARIFF_RULES!$A:$A,$D32,MATERIAL_TARIFF_RULES!$C:$C,$B32)&lt;&gt;"",SUMIFS(MATERIAL_TARIFF_RULES!$G:$G,MATERIAL_TARIFF_RULES!$A:$A,$D32,MATERIAL_TARIFF_RULES!$C:$C,$B32),SUMIFS(MATERIAL_VARIANTS!$J:$J,MATERIAL_VARIANTS!$A:$A,$E32)),""),IF($C32="Logistics","Мобилизация и логистика объекта",""))))</f>
        <v/>
      </c>
      <c r="G32" s="17"/>
      <c r="H32" s="17"/>
      <c r="I32" s="31" t="str">
        <f>IF($C32="","",IF($C32="Work",IFERROR(SUMIFS(WORK_MASTER!$I:$I,WORK_MASTER!$A:$A,$D32),0),IF($C32="Material",IFERROR(SUMIFS(MATERIAL_VARIANTS!$I:$I,MATERIAL_VARIANTS!$A:$A,$E32),0),0)))</f>
        <v/>
      </c>
      <c r="J32" s="31" t="str">
        <f>IF($C32="","",IF($C32="Work",IF($E32&lt;&gt;"",IFERROR(SUMIFS(WORK_VARIANTS!$H:$H,WORK_VARIANTS!$A:$A,$E32),1),1),1))</f>
        <v/>
      </c>
      <c r="K32" s="31" t="str">
        <f>IF($C32="","",IF($C32="Work",IFERROR(SUMIFS(WORK_FACTOR_APPLICABILITY!$O:$O,WORK_FACTOR_APPLICABILITY!$A:$A,$D32,WORK_FACTOR_APPLICABILITY!$N:$N,$A32),1),IF($C32="Material",IFERROR(INDEX(MATERIAL_QUANTITY_EXAMPLE!$N:$N,MATCH(1,(MATERIAL_QUANTITY_EXAMPLE!$A:$A=MATERIAL_QUANTITY_EXAMPLE!$A:$A)*(MATERIAL_QUANTITY_EXAMPLE!$B:$B=$A32)*(MATERIAL_QUANTITY_EXAMPLE!$C:$C=$D32),0)),1),1)))</f>
        <v/>
      </c>
      <c r="L32" s="31" t="str">
        <f>IF($A32="","",IF($C32="Material",1,IFERROR(INDEX(OBJECT_CONDITIONS!$AH:$AH,MATCH($A32,OBJECT_CONDITIONS!$A:$A,0))*INDEX(OBJECT_CONDITIONS!$AJ:$AJ,MATCH($A32,OBJECT_CONDITIONS!$A:$A,0))*INDEX(OBJECT_CONDITIONS!$AL:$AL,MATCH($A32,OBJECT_CONDITIONS!$A:$A,0)),1)))</f>
        <v/>
      </c>
      <c r="M32" s="31" t="str">
        <f>IF($B32="","",IF($C32="Work",IFERROR(IF(SUMIFS(WORK_TARIFF_RULES!$F:$F,WORK_TARIFF_RULES!$A:$A,$D32,WORK_TARIFF_RULES!$C:$C,$B32)&lt;&gt;"",SUMIFS(WORK_TARIFF_RULES!$F:$F,WORK_TARIFF_RULES!$A:$A,$D32,WORK_TARIFF_RULES!$C:$C,$B32),SUMIFS(TARIFF_PROFILES!$D:$D,TARIFF_PROFILES!$A:$A,$B32)),1),IF($C32="Material",IFERROR(IF(SUMIFS(MATERIAL_TARIFF_RULES!$E:$E,MATERIAL_TARIFF_RULES!$A:$A,$D32,MATERIAL_TARIFF_RULES!$C:$C,$B32)&lt;&gt;"",SUMIFS(MATERIAL_TARIFF_RULES!$E:$E,MATERIAL_TARIFF_RULES!$A:$A,$D32,MATERIAL_TARIFF_RULES!$C:$C,$B32),SUMIFS(TARIFF_PROFILES!$E:$E,TARIFF_PROFILES!$A:$A,$B32)),1),SUMIFS(TARIFF_PROFILES!$F:$F,TARIFF_PROFILES!$A:$A,$B32))))</f>
        <v/>
      </c>
      <c r="N32" s="31">
        <f>IF($C32="Material",IFERROR(SUMIFS(MATERIAL_MASTER!$P:$P,MATERIAL_MASTER!$A:$A,$D32)*IF(SUMIFS(MATERIAL_TARIFF_RULES!$F:$F,MATERIAL_TARIFF_RULES!$A:$A,$D32,MATERIAL_TARIFF_RULES!$C:$C,$B32)="",SUMIFS(TARIFF_PROFILES!$H:$H,TARIFF_PROFILES!$A:$A,$B32),SUMIFS(MATERIAL_TARIFF_RULES!$F:$F,MATERIAL_TARIFF_RULES!$A:$A,$D32,MATERIAL_TARIFF_RULES!$C:$C,$B32)),1),1)</f>
        <v>1</v>
      </c>
      <c r="O32" s="17" t="str">
        <f t="shared" si="0"/>
        <v/>
      </c>
      <c r="P32" s="17">
        <f>IF(ROW()=2,MAX(0,INDEX(COMMERCIAL_POLICY!$B:$B,MATCH($B32,COMMERCIAL_POLICY!$A:$A,0))-SUM($Q$2:$Q$60)),0)</f>
        <v>0</v>
      </c>
      <c r="Q32" s="33" t="str">
        <f>IF($C32="","",IF($C32="Material",N($I32)*N($K32)*N($M32)*N($O32),IF($C32="Logistics",INDEX(COMMERCIAL_POLICY!$D:$D,MATCH($B32,COMMERCIAL_POLICY!$A:$A,0))*N($L32),N($I32)*N($J32)*N($K32)*N($L32)*N($M32)*N($G32))))</f>
        <v/>
      </c>
      <c r="R32" s="17" t="str">
        <f>IF($A32="","",INDEX(OBJECT_CONDITIONS!$AM:$AM,MATCH($A32,OBJECT_CONDITIONS!$A:$A,0)))</f>
        <v/>
      </c>
      <c r="S32" s="31" t="str">
        <f>IF($R32="","",INDEX(TAX_MODES!$B:$B,MATCH($R32,TAX_MODES!$A:$A,0)))</f>
        <v/>
      </c>
      <c r="T32" s="33" t="str">
        <f t="shared" si="1"/>
        <v/>
      </c>
      <c r="U32" s="17" t="str">
        <f t="shared" si="2"/>
        <v/>
      </c>
    </row>
    <row r="33" spans="1:21" x14ac:dyDescent="0.3">
      <c r="A33" s="17"/>
      <c r="B33" s="17"/>
      <c r="C33" s="17"/>
      <c r="D33" s="17"/>
      <c r="E33" s="17"/>
      <c r="F33" s="17" t="str">
        <f>IF($C33="","",IF($C33="Work",IFERROR(IF(SUMIFS(WORK_TARIFF_RULES!$G:$G,WORK_TARIFF_RULES!$A:$A,$D33,WORK_TARIFF_RULES!$C:$C,$B33)&lt;&gt;"",SUMIFS(WORK_TARIFF_RULES!$G:$G,WORK_TARIFF_RULES!$A:$A,$D33,WORK_TARIFF_RULES!$C:$C,$B33),SUMIFS(WORK_MASTER!$C:$C,WORK_MASTER!$A:$A,$D33)),""),IF($C33="Material",IFERROR(IF(SUMIFS(MATERIAL_TARIFF_RULES!$G:$G,MATERIAL_TARIFF_RULES!$A:$A,$D33,MATERIAL_TARIFF_RULES!$C:$C,$B33)&lt;&gt;"",SUMIFS(MATERIAL_TARIFF_RULES!$G:$G,MATERIAL_TARIFF_RULES!$A:$A,$D33,MATERIAL_TARIFF_RULES!$C:$C,$B33),SUMIFS(MATERIAL_VARIANTS!$J:$J,MATERIAL_VARIANTS!$A:$A,$E33)),""),IF($C33="Logistics","Мобилизация и логистика объекта",""))))</f>
        <v/>
      </c>
      <c r="G33" s="17"/>
      <c r="H33" s="17"/>
      <c r="I33" s="31" t="str">
        <f>IF($C33="","",IF($C33="Work",IFERROR(SUMIFS(WORK_MASTER!$I:$I,WORK_MASTER!$A:$A,$D33),0),IF($C33="Material",IFERROR(SUMIFS(MATERIAL_VARIANTS!$I:$I,MATERIAL_VARIANTS!$A:$A,$E33),0),0)))</f>
        <v/>
      </c>
      <c r="J33" s="31" t="str">
        <f>IF($C33="","",IF($C33="Work",IF($E33&lt;&gt;"",IFERROR(SUMIFS(WORK_VARIANTS!$H:$H,WORK_VARIANTS!$A:$A,$E33),1),1),1))</f>
        <v/>
      </c>
      <c r="K33" s="31" t="str">
        <f>IF($C33="","",IF($C33="Work",IFERROR(SUMIFS(WORK_FACTOR_APPLICABILITY!$O:$O,WORK_FACTOR_APPLICABILITY!$A:$A,$D33,WORK_FACTOR_APPLICABILITY!$N:$N,$A33),1),IF($C33="Material",IFERROR(INDEX(MATERIAL_QUANTITY_EXAMPLE!$N:$N,MATCH(1,(MATERIAL_QUANTITY_EXAMPLE!$A:$A=MATERIAL_QUANTITY_EXAMPLE!$A:$A)*(MATERIAL_QUANTITY_EXAMPLE!$B:$B=$A33)*(MATERIAL_QUANTITY_EXAMPLE!$C:$C=$D33),0)),1),1)))</f>
        <v/>
      </c>
      <c r="L33" s="31" t="str">
        <f>IF($A33="","",IF($C33="Material",1,IFERROR(INDEX(OBJECT_CONDITIONS!$AH:$AH,MATCH($A33,OBJECT_CONDITIONS!$A:$A,0))*INDEX(OBJECT_CONDITIONS!$AJ:$AJ,MATCH($A33,OBJECT_CONDITIONS!$A:$A,0))*INDEX(OBJECT_CONDITIONS!$AL:$AL,MATCH($A33,OBJECT_CONDITIONS!$A:$A,0)),1)))</f>
        <v/>
      </c>
      <c r="M33" s="31" t="str">
        <f>IF($B33="","",IF($C33="Work",IFERROR(IF(SUMIFS(WORK_TARIFF_RULES!$F:$F,WORK_TARIFF_RULES!$A:$A,$D33,WORK_TARIFF_RULES!$C:$C,$B33)&lt;&gt;"",SUMIFS(WORK_TARIFF_RULES!$F:$F,WORK_TARIFF_RULES!$A:$A,$D33,WORK_TARIFF_RULES!$C:$C,$B33),SUMIFS(TARIFF_PROFILES!$D:$D,TARIFF_PROFILES!$A:$A,$B33)),1),IF($C33="Material",IFERROR(IF(SUMIFS(MATERIAL_TARIFF_RULES!$E:$E,MATERIAL_TARIFF_RULES!$A:$A,$D33,MATERIAL_TARIFF_RULES!$C:$C,$B33)&lt;&gt;"",SUMIFS(MATERIAL_TARIFF_RULES!$E:$E,MATERIAL_TARIFF_RULES!$A:$A,$D33,MATERIAL_TARIFF_RULES!$C:$C,$B33),SUMIFS(TARIFF_PROFILES!$E:$E,TARIFF_PROFILES!$A:$A,$B33)),1),SUMIFS(TARIFF_PROFILES!$F:$F,TARIFF_PROFILES!$A:$A,$B33))))</f>
        <v/>
      </c>
      <c r="N33" s="31">
        <f>IF($C33="Material",IFERROR(SUMIFS(MATERIAL_MASTER!$P:$P,MATERIAL_MASTER!$A:$A,$D33)*IF(SUMIFS(MATERIAL_TARIFF_RULES!$F:$F,MATERIAL_TARIFF_RULES!$A:$A,$D33,MATERIAL_TARIFF_RULES!$C:$C,$B33)="",SUMIFS(TARIFF_PROFILES!$H:$H,TARIFF_PROFILES!$A:$A,$B33),SUMIFS(MATERIAL_TARIFF_RULES!$F:$F,MATERIAL_TARIFF_RULES!$A:$A,$D33,MATERIAL_TARIFF_RULES!$C:$C,$B33)),1),1)</f>
        <v>1</v>
      </c>
      <c r="O33" s="17" t="str">
        <f t="shared" si="0"/>
        <v/>
      </c>
      <c r="P33" s="17">
        <f>IF(ROW()=2,MAX(0,INDEX(COMMERCIAL_POLICY!$B:$B,MATCH($B33,COMMERCIAL_POLICY!$A:$A,0))-SUM($Q$2:$Q$60)),0)</f>
        <v>0</v>
      </c>
      <c r="Q33" s="33" t="str">
        <f>IF($C33="","",IF($C33="Material",N($I33)*N($K33)*N($M33)*N($O33),IF($C33="Logistics",INDEX(COMMERCIAL_POLICY!$D:$D,MATCH($B33,COMMERCIAL_POLICY!$A:$A,0))*N($L33),N($I33)*N($J33)*N($K33)*N($L33)*N($M33)*N($G33))))</f>
        <v/>
      </c>
      <c r="R33" s="17" t="str">
        <f>IF($A33="","",INDEX(OBJECT_CONDITIONS!$AM:$AM,MATCH($A33,OBJECT_CONDITIONS!$A:$A,0)))</f>
        <v/>
      </c>
      <c r="S33" s="31" t="str">
        <f>IF($R33="","",INDEX(TAX_MODES!$B:$B,MATCH($R33,TAX_MODES!$A:$A,0)))</f>
        <v/>
      </c>
      <c r="T33" s="33" t="str">
        <f t="shared" si="1"/>
        <v/>
      </c>
      <c r="U33" s="17" t="str">
        <f t="shared" si="2"/>
        <v/>
      </c>
    </row>
    <row r="34" spans="1:21" x14ac:dyDescent="0.3">
      <c r="A34" s="17"/>
      <c r="B34" s="17"/>
      <c r="C34" s="17"/>
      <c r="D34" s="17"/>
      <c r="E34" s="17"/>
      <c r="F34" s="17" t="str">
        <f>IF($C34="","",IF($C34="Work",IFERROR(IF(SUMIFS(WORK_TARIFF_RULES!$G:$G,WORK_TARIFF_RULES!$A:$A,$D34,WORK_TARIFF_RULES!$C:$C,$B34)&lt;&gt;"",SUMIFS(WORK_TARIFF_RULES!$G:$G,WORK_TARIFF_RULES!$A:$A,$D34,WORK_TARIFF_RULES!$C:$C,$B34),SUMIFS(WORK_MASTER!$C:$C,WORK_MASTER!$A:$A,$D34)),""),IF($C34="Material",IFERROR(IF(SUMIFS(MATERIAL_TARIFF_RULES!$G:$G,MATERIAL_TARIFF_RULES!$A:$A,$D34,MATERIAL_TARIFF_RULES!$C:$C,$B34)&lt;&gt;"",SUMIFS(MATERIAL_TARIFF_RULES!$G:$G,MATERIAL_TARIFF_RULES!$A:$A,$D34,MATERIAL_TARIFF_RULES!$C:$C,$B34),SUMIFS(MATERIAL_VARIANTS!$J:$J,MATERIAL_VARIANTS!$A:$A,$E34)),""),IF($C34="Logistics","Мобилизация и логистика объекта",""))))</f>
        <v/>
      </c>
      <c r="G34" s="17"/>
      <c r="H34" s="17"/>
      <c r="I34" s="31" t="str">
        <f>IF($C34="","",IF($C34="Work",IFERROR(SUMIFS(WORK_MASTER!$I:$I,WORK_MASTER!$A:$A,$D34),0),IF($C34="Material",IFERROR(SUMIFS(MATERIAL_VARIANTS!$I:$I,MATERIAL_VARIANTS!$A:$A,$E34),0),0)))</f>
        <v/>
      </c>
      <c r="J34" s="31" t="str">
        <f>IF($C34="","",IF($C34="Work",IF($E34&lt;&gt;"",IFERROR(SUMIFS(WORK_VARIANTS!$H:$H,WORK_VARIANTS!$A:$A,$E34),1),1),1))</f>
        <v/>
      </c>
      <c r="K34" s="31" t="str">
        <f>IF($C34="","",IF($C34="Work",IFERROR(SUMIFS(WORK_FACTOR_APPLICABILITY!$O:$O,WORK_FACTOR_APPLICABILITY!$A:$A,$D34,WORK_FACTOR_APPLICABILITY!$N:$N,$A34),1),IF($C34="Material",IFERROR(INDEX(MATERIAL_QUANTITY_EXAMPLE!$N:$N,MATCH(1,(MATERIAL_QUANTITY_EXAMPLE!$A:$A=MATERIAL_QUANTITY_EXAMPLE!$A:$A)*(MATERIAL_QUANTITY_EXAMPLE!$B:$B=$A34)*(MATERIAL_QUANTITY_EXAMPLE!$C:$C=$D34),0)),1),1)))</f>
        <v/>
      </c>
      <c r="L34" s="31" t="str">
        <f>IF($A34="","",IF($C34="Material",1,IFERROR(INDEX(OBJECT_CONDITIONS!$AH:$AH,MATCH($A34,OBJECT_CONDITIONS!$A:$A,0))*INDEX(OBJECT_CONDITIONS!$AJ:$AJ,MATCH($A34,OBJECT_CONDITIONS!$A:$A,0))*INDEX(OBJECT_CONDITIONS!$AL:$AL,MATCH($A34,OBJECT_CONDITIONS!$A:$A,0)),1)))</f>
        <v/>
      </c>
      <c r="M34" s="31" t="str">
        <f>IF($B34="","",IF($C34="Work",IFERROR(IF(SUMIFS(WORK_TARIFF_RULES!$F:$F,WORK_TARIFF_RULES!$A:$A,$D34,WORK_TARIFF_RULES!$C:$C,$B34)&lt;&gt;"",SUMIFS(WORK_TARIFF_RULES!$F:$F,WORK_TARIFF_RULES!$A:$A,$D34,WORK_TARIFF_RULES!$C:$C,$B34),SUMIFS(TARIFF_PROFILES!$D:$D,TARIFF_PROFILES!$A:$A,$B34)),1),IF($C34="Material",IFERROR(IF(SUMIFS(MATERIAL_TARIFF_RULES!$E:$E,MATERIAL_TARIFF_RULES!$A:$A,$D34,MATERIAL_TARIFF_RULES!$C:$C,$B34)&lt;&gt;"",SUMIFS(MATERIAL_TARIFF_RULES!$E:$E,MATERIAL_TARIFF_RULES!$A:$A,$D34,MATERIAL_TARIFF_RULES!$C:$C,$B34),SUMIFS(TARIFF_PROFILES!$E:$E,TARIFF_PROFILES!$A:$A,$B34)),1),SUMIFS(TARIFF_PROFILES!$F:$F,TARIFF_PROFILES!$A:$A,$B34))))</f>
        <v/>
      </c>
      <c r="N34" s="31">
        <f>IF($C34="Material",IFERROR(SUMIFS(MATERIAL_MASTER!$P:$P,MATERIAL_MASTER!$A:$A,$D34)*IF(SUMIFS(MATERIAL_TARIFF_RULES!$F:$F,MATERIAL_TARIFF_RULES!$A:$A,$D34,MATERIAL_TARIFF_RULES!$C:$C,$B34)="",SUMIFS(TARIFF_PROFILES!$H:$H,TARIFF_PROFILES!$A:$A,$B34),SUMIFS(MATERIAL_TARIFF_RULES!$F:$F,MATERIAL_TARIFF_RULES!$A:$A,$D34,MATERIAL_TARIFF_RULES!$C:$C,$B34)),1),1)</f>
        <v>1</v>
      </c>
      <c r="O34" s="17" t="str">
        <f t="shared" ref="O34:O60" si="3">IF($C34="","",IF($C34="Material",ROUNDUP(N($G34)*N($N34),0),N($G34)))</f>
        <v/>
      </c>
      <c r="P34" s="17">
        <f>IF(ROW()=2,MAX(0,INDEX(COMMERCIAL_POLICY!$B:$B,MATCH($B34,COMMERCIAL_POLICY!$A:$A,0))-SUM($Q$2:$Q$60)),0)</f>
        <v>0</v>
      </c>
      <c r="Q34" s="33" t="str">
        <f>IF($C34="","",IF($C34="Material",N($I34)*N($K34)*N($M34)*N($O34),IF($C34="Logistics",INDEX(COMMERCIAL_POLICY!$D:$D,MATCH($B34,COMMERCIAL_POLICY!$A:$A,0))*N($L34),N($I34)*N($J34)*N($K34)*N($L34)*N($M34)*N($G34))))</f>
        <v/>
      </c>
      <c r="R34" s="17" t="str">
        <f>IF($A34="","",INDEX(OBJECT_CONDITIONS!$AM:$AM,MATCH($A34,OBJECT_CONDITIONS!$A:$A,0)))</f>
        <v/>
      </c>
      <c r="S34" s="31" t="str">
        <f>IF($R34="","",INDEX(TAX_MODES!$B:$B,MATCH($R34,TAX_MODES!$A:$A,0)))</f>
        <v/>
      </c>
      <c r="T34" s="33" t="str">
        <f t="shared" ref="T34:T60" si="4">IF($Q34="","",N($Q34)*(1+N($S34)))</f>
        <v/>
      </c>
      <c r="U34" s="17" t="str">
        <f t="shared" ref="U34:U60" si="5">IF($C34="","",IF($C34="Material","Net x reserve x rounded purchase logic",IF($C34="Logistics","Mobilization from COMMERCIAL_POLICY x operating coeff","Base x method/variant x site x operating x tariff")) )</f>
        <v/>
      </c>
    </row>
    <row r="35" spans="1:21" x14ac:dyDescent="0.3">
      <c r="A35" s="17"/>
      <c r="B35" s="17"/>
      <c r="C35" s="17"/>
      <c r="D35" s="17"/>
      <c r="E35" s="17"/>
      <c r="F35" s="17" t="str">
        <f>IF($C35="","",IF($C35="Work",IFERROR(IF(SUMIFS(WORK_TARIFF_RULES!$G:$G,WORK_TARIFF_RULES!$A:$A,$D35,WORK_TARIFF_RULES!$C:$C,$B35)&lt;&gt;"",SUMIFS(WORK_TARIFF_RULES!$G:$G,WORK_TARIFF_RULES!$A:$A,$D35,WORK_TARIFF_RULES!$C:$C,$B35),SUMIFS(WORK_MASTER!$C:$C,WORK_MASTER!$A:$A,$D35)),""),IF($C35="Material",IFERROR(IF(SUMIFS(MATERIAL_TARIFF_RULES!$G:$G,MATERIAL_TARIFF_RULES!$A:$A,$D35,MATERIAL_TARIFF_RULES!$C:$C,$B35)&lt;&gt;"",SUMIFS(MATERIAL_TARIFF_RULES!$G:$G,MATERIAL_TARIFF_RULES!$A:$A,$D35,MATERIAL_TARIFF_RULES!$C:$C,$B35),SUMIFS(MATERIAL_VARIANTS!$J:$J,MATERIAL_VARIANTS!$A:$A,$E35)),""),IF($C35="Logistics","Мобилизация и логистика объекта",""))))</f>
        <v/>
      </c>
      <c r="G35" s="17"/>
      <c r="H35" s="17"/>
      <c r="I35" s="31" t="str">
        <f>IF($C35="","",IF($C35="Work",IFERROR(SUMIFS(WORK_MASTER!$I:$I,WORK_MASTER!$A:$A,$D35),0),IF($C35="Material",IFERROR(SUMIFS(MATERIAL_VARIANTS!$I:$I,MATERIAL_VARIANTS!$A:$A,$E35),0),0)))</f>
        <v/>
      </c>
      <c r="J35" s="31" t="str">
        <f>IF($C35="","",IF($C35="Work",IF($E35&lt;&gt;"",IFERROR(SUMIFS(WORK_VARIANTS!$H:$H,WORK_VARIANTS!$A:$A,$E35),1),1),1))</f>
        <v/>
      </c>
      <c r="K35" s="31" t="str">
        <f>IF($C35="","",IF($C35="Work",IFERROR(SUMIFS(WORK_FACTOR_APPLICABILITY!$O:$O,WORK_FACTOR_APPLICABILITY!$A:$A,$D35,WORK_FACTOR_APPLICABILITY!$N:$N,$A35),1),IF($C35="Material",IFERROR(INDEX(MATERIAL_QUANTITY_EXAMPLE!$N:$N,MATCH(1,(MATERIAL_QUANTITY_EXAMPLE!$A:$A=MATERIAL_QUANTITY_EXAMPLE!$A:$A)*(MATERIAL_QUANTITY_EXAMPLE!$B:$B=$A35)*(MATERIAL_QUANTITY_EXAMPLE!$C:$C=$D35),0)),1),1)))</f>
        <v/>
      </c>
      <c r="L35" s="31" t="str">
        <f>IF($A35="","",IF($C35="Material",1,IFERROR(INDEX(OBJECT_CONDITIONS!$AH:$AH,MATCH($A35,OBJECT_CONDITIONS!$A:$A,0))*INDEX(OBJECT_CONDITIONS!$AJ:$AJ,MATCH($A35,OBJECT_CONDITIONS!$A:$A,0))*INDEX(OBJECT_CONDITIONS!$AL:$AL,MATCH($A35,OBJECT_CONDITIONS!$A:$A,0)),1)))</f>
        <v/>
      </c>
      <c r="M35" s="31" t="str">
        <f>IF($B35="","",IF($C35="Work",IFERROR(IF(SUMIFS(WORK_TARIFF_RULES!$F:$F,WORK_TARIFF_RULES!$A:$A,$D35,WORK_TARIFF_RULES!$C:$C,$B35)&lt;&gt;"",SUMIFS(WORK_TARIFF_RULES!$F:$F,WORK_TARIFF_RULES!$A:$A,$D35,WORK_TARIFF_RULES!$C:$C,$B35),SUMIFS(TARIFF_PROFILES!$D:$D,TARIFF_PROFILES!$A:$A,$B35)),1),IF($C35="Material",IFERROR(IF(SUMIFS(MATERIAL_TARIFF_RULES!$E:$E,MATERIAL_TARIFF_RULES!$A:$A,$D35,MATERIAL_TARIFF_RULES!$C:$C,$B35)&lt;&gt;"",SUMIFS(MATERIAL_TARIFF_RULES!$E:$E,MATERIAL_TARIFF_RULES!$A:$A,$D35,MATERIAL_TARIFF_RULES!$C:$C,$B35),SUMIFS(TARIFF_PROFILES!$E:$E,TARIFF_PROFILES!$A:$A,$B35)),1),SUMIFS(TARIFF_PROFILES!$F:$F,TARIFF_PROFILES!$A:$A,$B35))))</f>
        <v/>
      </c>
      <c r="N35" s="31">
        <f>IF($C35="Material",IFERROR(SUMIFS(MATERIAL_MASTER!$P:$P,MATERIAL_MASTER!$A:$A,$D35)*IF(SUMIFS(MATERIAL_TARIFF_RULES!$F:$F,MATERIAL_TARIFF_RULES!$A:$A,$D35,MATERIAL_TARIFF_RULES!$C:$C,$B35)="",SUMIFS(TARIFF_PROFILES!$H:$H,TARIFF_PROFILES!$A:$A,$B35),SUMIFS(MATERIAL_TARIFF_RULES!$F:$F,MATERIAL_TARIFF_RULES!$A:$A,$D35,MATERIAL_TARIFF_RULES!$C:$C,$B35)),1),1)</f>
        <v>1</v>
      </c>
      <c r="O35" s="17" t="str">
        <f t="shared" si="3"/>
        <v/>
      </c>
      <c r="P35" s="17">
        <f>IF(ROW()=2,MAX(0,INDEX(COMMERCIAL_POLICY!$B:$B,MATCH($B35,COMMERCIAL_POLICY!$A:$A,0))-SUM($Q$2:$Q$60)),0)</f>
        <v>0</v>
      </c>
      <c r="Q35" s="33" t="str">
        <f>IF($C35="","",IF($C35="Material",N($I35)*N($K35)*N($M35)*N($O35),IF($C35="Logistics",INDEX(COMMERCIAL_POLICY!$D:$D,MATCH($B35,COMMERCIAL_POLICY!$A:$A,0))*N($L35),N($I35)*N($J35)*N($K35)*N($L35)*N($M35)*N($G35))))</f>
        <v/>
      </c>
      <c r="R35" s="17" t="str">
        <f>IF($A35="","",INDEX(OBJECT_CONDITIONS!$AM:$AM,MATCH($A35,OBJECT_CONDITIONS!$A:$A,0)))</f>
        <v/>
      </c>
      <c r="S35" s="31" t="str">
        <f>IF($R35="","",INDEX(TAX_MODES!$B:$B,MATCH($R35,TAX_MODES!$A:$A,0)))</f>
        <v/>
      </c>
      <c r="T35" s="33" t="str">
        <f t="shared" si="4"/>
        <v/>
      </c>
      <c r="U35" s="17" t="str">
        <f t="shared" si="5"/>
        <v/>
      </c>
    </row>
    <row r="36" spans="1:21" x14ac:dyDescent="0.3">
      <c r="A36" s="17"/>
      <c r="B36" s="17"/>
      <c r="C36" s="17"/>
      <c r="D36" s="17"/>
      <c r="E36" s="17"/>
      <c r="F36" s="17" t="str">
        <f>IF($C36="","",IF($C36="Work",IFERROR(IF(SUMIFS(WORK_TARIFF_RULES!$G:$G,WORK_TARIFF_RULES!$A:$A,$D36,WORK_TARIFF_RULES!$C:$C,$B36)&lt;&gt;"",SUMIFS(WORK_TARIFF_RULES!$G:$G,WORK_TARIFF_RULES!$A:$A,$D36,WORK_TARIFF_RULES!$C:$C,$B36),SUMIFS(WORK_MASTER!$C:$C,WORK_MASTER!$A:$A,$D36)),""),IF($C36="Material",IFERROR(IF(SUMIFS(MATERIAL_TARIFF_RULES!$G:$G,MATERIAL_TARIFF_RULES!$A:$A,$D36,MATERIAL_TARIFF_RULES!$C:$C,$B36)&lt;&gt;"",SUMIFS(MATERIAL_TARIFF_RULES!$G:$G,MATERIAL_TARIFF_RULES!$A:$A,$D36,MATERIAL_TARIFF_RULES!$C:$C,$B36),SUMIFS(MATERIAL_VARIANTS!$J:$J,MATERIAL_VARIANTS!$A:$A,$E36)),""),IF($C36="Logistics","Мобилизация и логистика объекта",""))))</f>
        <v/>
      </c>
      <c r="G36" s="17"/>
      <c r="H36" s="17"/>
      <c r="I36" s="31" t="str">
        <f>IF($C36="","",IF($C36="Work",IFERROR(SUMIFS(WORK_MASTER!$I:$I,WORK_MASTER!$A:$A,$D36),0),IF($C36="Material",IFERROR(SUMIFS(MATERIAL_VARIANTS!$I:$I,MATERIAL_VARIANTS!$A:$A,$E36),0),0)))</f>
        <v/>
      </c>
      <c r="J36" s="31" t="str">
        <f>IF($C36="","",IF($C36="Work",IF($E36&lt;&gt;"",IFERROR(SUMIFS(WORK_VARIANTS!$H:$H,WORK_VARIANTS!$A:$A,$E36),1),1),1))</f>
        <v/>
      </c>
      <c r="K36" s="31" t="str">
        <f>IF($C36="","",IF($C36="Work",IFERROR(SUMIFS(WORK_FACTOR_APPLICABILITY!$O:$O,WORK_FACTOR_APPLICABILITY!$A:$A,$D36,WORK_FACTOR_APPLICABILITY!$N:$N,$A36),1),IF($C36="Material",IFERROR(INDEX(MATERIAL_QUANTITY_EXAMPLE!$N:$N,MATCH(1,(MATERIAL_QUANTITY_EXAMPLE!$A:$A=MATERIAL_QUANTITY_EXAMPLE!$A:$A)*(MATERIAL_QUANTITY_EXAMPLE!$B:$B=$A36)*(MATERIAL_QUANTITY_EXAMPLE!$C:$C=$D36),0)),1),1)))</f>
        <v/>
      </c>
      <c r="L36" s="31" t="str">
        <f>IF($A36="","",IF($C36="Material",1,IFERROR(INDEX(OBJECT_CONDITIONS!$AH:$AH,MATCH($A36,OBJECT_CONDITIONS!$A:$A,0))*INDEX(OBJECT_CONDITIONS!$AJ:$AJ,MATCH($A36,OBJECT_CONDITIONS!$A:$A,0))*INDEX(OBJECT_CONDITIONS!$AL:$AL,MATCH($A36,OBJECT_CONDITIONS!$A:$A,0)),1)))</f>
        <v/>
      </c>
      <c r="M36" s="31" t="str">
        <f>IF($B36="","",IF($C36="Work",IFERROR(IF(SUMIFS(WORK_TARIFF_RULES!$F:$F,WORK_TARIFF_RULES!$A:$A,$D36,WORK_TARIFF_RULES!$C:$C,$B36)&lt;&gt;"",SUMIFS(WORK_TARIFF_RULES!$F:$F,WORK_TARIFF_RULES!$A:$A,$D36,WORK_TARIFF_RULES!$C:$C,$B36),SUMIFS(TARIFF_PROFILES!$D:$D,TARIFF_PROFILES!$A:$A,$B36)),1),IF($C36="Material",IFERROR(IF(SUMIFS(MATERIAL_TARIFF_RULES!$E:$E,MATERIAL_TARIFF_RULES!$A:$A,$D36,MATERIAL_TARIFF_RULES!$C:$C,$B36)&lt;&gt;"",SUMIFS(MATERIAL_TARIFF_RULES!$E:$E,MATERIAL_TARIFF_RULES!$A:$A,$D36,MATERIAL_TARIFF_RULES!$C:$C,$B36),SUMIFS(TARIFF_PROFILES!$E:$E,TARIFF_PROFILES!$A:$A,$B36)),1),SUMIFS(TARIFF_PROFILES!$F:$F,TARIFF_PROFILES!$A:$A,$B36))))</f>
        <v/>
      </c>
      <c r="N36" s="31">
        <f>IF($C36="Material",IFERROR(SUMIFS(MATERIAL_MASTER!$P:$P,MATERIAL_MASTER!$A:$A,$D36)*IF(SUMIFS(MATERIAL_TARIFF_RULES!$F:$F,MATERIAL_TARIFF_RULES!$A:$A,$D36,MATERIAL_TARIFF_RULES!$C:$C,$B36)="",SUMIFS(TARIFF_PROFILES!$H:$H,TARIFF_PROFILES!$A:$A,$B36),SUMIFS(MATERIAL_TARIFF_RULES!$F:$F,MATERIAL_TARIFF_RULES!$A:$A,$D36,MATERIAL_TARIFF_RULES!$C:$C,$B36)),1),1)</f>
        <v>1</v>
      </c>
      <c r="O36" s="17" t="str">
        <f t="shared" si="3"/>
        <v/>
      </c>
      <c r="P36" s="17">
        <f>IF(ROW()=2,MAX(0,INDEX(COMMERCIAL_POLICY!$B:$B,MATCH($B36,COMMERCIAL_POLICY!$A:$A,0))-SUM($Q$2:$Q$60)),0)</f>
        <v>0</v>
      </c>
      <c r="Q36" s="33" t="str">
        <f>IF($C36="","",IF($C36="Material",N($I36)*N($K36)*N($M36)*N($O36),IF($C36="Logistics",INDEX(COMMERCIAL_POLICY!$D:$D,MATCH($B36,COMMERCIAL_POLICY!$A:$A,0))*N($L36),N($I36)*N($J36)*N($K36)*N($L36)*N($M36)*N($G36))))</f>
        <v/>
      </c>
      <c r="R36" s="17" t="str">
        <f>IF($A36="","",INDEX(OBJECT_CONDITIONS!$AM:$AM,MATCH($A36,OBJECT_CONDITIONS!$A:$A,0)))</f>
        <v/>
      </c>
      <c r="S36" s="31" t="str">
        <f>IF($R36="","",INDEX(TAX_MODES!$B:$B,MATCH($R36,TAX_MODES!$A:$A,0)))</f>
        <v/>
      </c>
      <c r="T36" s="33" t="str">
        <f t="shared" si="4"/>
        <v/>
      </c>
      <c r="U36" s="17" t="str">
        <f t="shared" si="5"/>
        <v/>
      </c>
    </row>
    <row r="37" spans="1:21" x14ac:dyDescent="0.3">
      <c r="A37" s="17"/>
      <c r="B37" s="17"/>
      <c r="C37" s="17"/>
      <c r="D37" s="17"/>
      <c r="E37" s="17"/>
      <c r="F37" s="17" t="str">
        <f>IF($C37="","",IF($C37="Work",IFERROR(IF(SUMIFS(WORK_TARIFF_RULES!$G:$G,WORK_TARIFF_RULES!$A:$A,$D37,WORK_TARIFF_RULES!$C:$C,$B37)&lt;&gt;"",SUMIFS(WORK_TARIFF_RULES!$G:$G,WORK_TARIFF_RULES!$A:$A,$D37,WORK_TARIFF_RULES!$C:$C,$B37),SUMIFS(WORK_MASTER!$C:$C,WORK_MASTER!$A:$A,$D37)),""),IF($C37="Material",IFERROR(IF(SUMIFS(MATERIAL_TARIFF_RULES!$G:$G,MATERIAL_TARIFF_RULES!$A:$A,$D37,MATERIAL_TARIFF_RULES!$C:$C,$B37)&lt;&gt;"",SUMIFS(MATERIAL_TARIFF_RULES!$G:$G,MATERIAL_TARIFF_RULES!$A:$A,$D37,MATERIAL_TARIFF_RULES!$C:$C,$B37),SUMIFS(MATERIAL_VARIANTS!$J:$J,MATERIAL_VARIANTS!$A:$A,$E37)),""),IF($C37="Logistics","Мобилизация и логистика объекта",""))))</f>
        <v/>
      </c>
      <c r="G37" s="17"/>
      <c r="H37" s="17"/>
      <c r="I37" s="31" t="str">
        <f>IF($C37="","",IF($C37="Work",IFERROR(SUMIFS(WORK_MASTER!$I:$I,WORK_MASTER!$A:$A,$D37),0),IF($C37="Material",IFERROR(SUMIFS(MATERIAL_VARIANTS!$I:$I,MATERIAL_VARIANTS!$A:$A,$E37),0),0)))</f>
        <v/>
      </c>
      <c r="J37" s="31" t="str">
        <f>IF($C37="","",IF($C37="Work",IF($E37&lt;&gt;"",IFERROR(SUMIFS(WORK_VARIANTS!$H:$H,WORK_VARIANTS!$A:$A,$E37),1),1),1))</f>
        <v/>
      </c>
      <c r="K37" s="31" t="str">
        <f>IF($C37="","",IF($C37="Work",IFERROR(SUMIFS(WORK_FACTOR_APPLICABILITY!$O:$O,WORK_FACTOR_APPLICABILITY!$A:$A,$D37,WORK_FACTOR_APPLICABILITY!$N:$N,$A37),1),IF($C37="Material",IFERROR(INDEX(MATERIAL_QUANTITY_EXAMPLE!$N:$N,MATCH(1,(MATERIAL_QUANTITY_EXAMPLE!$A:$A=MATERIAL_QUANTITY_EXAMPLE!$A:$A)*(MATERIAL_QUANTITY_EXAMPLE!$B:$B=$A37)*(MATERIAL_QUANTITY_EXAMPLE!$C:$C=$D37),0)),1),1)))</f>
        <v/>
      </c>
      <c r="L37" s="31" t="str">
        <f>IF($A37="","",IF($C37="Material",1,IFERROR(INDEX(OBJECT_CONDITIONS!$AH:$AH,MATCH($A37,OBJECT_CONDITIONS!$A:$A,0))*INDEX(OBJECT_CONDITIONS!$AJ:$AJ,MATCH($A37,OBJECT_CONDITIONS!$A:$A,0))*INDEX(OBJECT_CONDITIONS!$AL:$AL,MATCH($A37,OBJECT_CONDITIONS!$A:$A,0)),1)))</f>
        <v/>
      </c>
      <c r="M37" s="31" t="str">
        <f>IF($B37="","",IF($C37="Work",IFERROR(IF(SUMIFS(WORK_TARIFF_RULES!$F:$F,WORK_TARIFF_RULES!$A:$A,$D37,WORK_TARIFF_RULES!$C:$C,$B37)&lt;&gt;"",SUMIFS(WORK_TARIFF_RULES!$F:$F,WORK_TARIFF_RULES!$A:$A,$D37,WORK_TARIFF_RULES!$C:$C,$B37),SUMIFS(TARIFF_PROFILES!$D:$D,TARIFF_PROFILES!$A:$A,$B37)),1),IF($C37="Material",IFERROR(IF(SUMIFS(MATERIAL_TARIFF_RULES!$E:$E,MATERIAL_TARIFF_RULES!$A:$A,$D37,MATERIAL_TARIFF_RULES!$C:$C,$B37)&lt;&gt;"",SUMIFS(MATERIAL_TARIFF_RULES!$E:$E,MATERIAL_TARIFF_RULES!$A:$A,$D37,MATERIAL_TARIFF_RULES!$C:$C,$B37),SUMIFS(TARIFF_PROFILES!$E:$E,TARIFF_PROFILES!$A:$A,$B37)),1),SUMIFS(TARIFF_PROFILES!$F:$F,TARIFF_PROFILES!$A:$A,$B37))))</f>
        <v/>
      </c>
      <c r="N37" s="31">
        <f>IF($C37="Material",IFERROR(SUMIFS(MATERIAL_MASTER!$P:$P,MATERIAL_MASTER!$A:$A,$D37)*IF(SUMIFS(MATERIAL_TARIFF_RULES!$F:$F,MATERIAL_TARIFF_RULES!$A:$A,$D37,MATERIAL_TARIFF_RULES!$C:$C,$B37)="",SUMIFS(TARIFF_PROFILES!$H:$H,TARIFF_PROFILES!$A:$A,$B37),SUMIFS(MATERIAL_TARIFF_RULES!$F:$F,MATERIAL_TARIFF_RULES!$A:$A,$D37,MATERIAL_TARIFF_RULES!$C:$C,$B37)),1),1)</f>
        <v>1</v>
      </c>
      <c r="O37" s="17" t="str">
        <f t="shared" si="3"/>
        <v/>
      </c>
      <c r="P37" s="17">
        <f>IF(ROW()=2,MAX(0,INDEX(COMMERCIAL_POLICY!$B:$B,MATCH($B37,COMMERCIAL_POLICY!$A:$A,0))-SUM($Q$2:$Q$60)),0)</f>
        <v>0</v>
      </c>
      <c r="Q37" s="33" t="str">
        <f>IF($C37="","",IF($C37="Material",N($I37)*N($K37)*N($M37)*N($O37),IF($C37="Logistics",INDEX(COMMERCIAL_POLICY!$D:$D,MATCH($B37,COMMERCIAL_POLICY!$A:$A,0))*N($L37),N($I37)*N($J37)*N($K37)*N($L37)*N($M37)*N($G37))))</f>
        <v/>
      </c>
      <c r="R37" s="17" t="str">
        <f>IF($A37="","",INDEX(OBJECT_CONDITIONS!$AM:$AM,MATCH($A37,OBJECT_CONDITIONS!$A:$A,0)))</f>
        <v/>
      </c>
      <c r="S37" s="31" t="str">
        <f>IF($R37="","",INDEX(TAX_MODES!$B:$B,MATCH($R37,TAX_MODES!$A:$A,0)))</f>
        <v/>
      </c>
      <c r="T37" s="33" t="str">
        <f t="shared" si="4"/>
        <v/>
      </c>
      <c r="U37" s="17" t="str">
        <f t="shared" si="5"/>
        <v/>
      </c>
    </row>
    <row r="38" spans="1:21" x14ac:dyDescent="0.3">
      <c r="A38" s="17"/>
      <c r="B38" s="17"/>
      <c r="C38" s="17"/>
      <c r="D38" s="17"/>
      <c r="E38" s="17"/>
      <c r="F38" s="17" t="str">
        <f>IF($C38="","",IF($C38="Work",IFERROR(IF(SUMIFS(WORK_TARIFF_RULES!$G:$G,WORK_TARIFF_RULES!$A:$A,$D38,WORK_TARIFF_RULES!$C:$C,$B38)&lt;&gt;"",SUMIFS(WORK_TARIFF_RULES!$G:$G,WORK_TARIFF_RULES!$A:$A,$D38,WORK_TARIFF_RULES!$C:$C,$B38),SUMIFS(WORK_MASTER!$C:$C,WORK_MASTER!$A:$A,$D38)),""),IF($C38="Material",IFERROR(IF(SUMIFS(MATERIAL_TARIFF_RULES!$G:$G,MATERIAL_TARIFF_RULES!$A:$A,$D38,MATERIAL_TARIFF_RULES!$C:$C,$B38)&lt;&gt;"",SUMIFS(MATERIAL_TARIFF_RULES!$G:$G,MATERIAL_TARIFF_RULES!$A:$A,$D38,MATERIAL_TARIFF_RULES!$C:$C,$B38),SUMIFS(MATERIAL_VARIANTS!$J:$J,MATERIAL_VARIANTS!$A:$A,$E38)),""),IF($C38="Logistics","Мобилизация и логистика объекта",""))))</f>
        <v/>
      </c>
      <c r="G38" s="17"/>
      <c r="H38" s="17"/>
      <c r="I38" s="31" t="str">
        <f>IF($C38="","",IF($C38="Work",IFERROR(SUMIFS(WORK_MASTER!$I:$I,WORK_MASTER!$A:$A,$D38),0),IF($C38="Material",IFERROR(SUMIFS(MATERIAL_VARIANTS!$I:$I,MATERIAL_VARIANTS!$A:$A,$E38),0),0)))</f>
        <v/>
      </c>
      <c r="J38" s="31" t="str">
        <f>IF($C38="","",IF($C38="Work",IF($E38&lt;&gt;"",IFERROR(SUMIFS(WORK_VARIANTS!$H:$H,WORK_VARIANTS!$A:$A,$E38),1),1),1))</f>
        <v/>
      </c>
      <c r="K38" s="31" t="str">
        <f>IF($C38="","",IF($C38="Work",IFERROR(SUMIFS(WORK_FACTOR_APPLICABILITY!$O:$O,WORK_FACTOR_APPLICABILITY!$A:$A,$D38,WORK_FACTOR_APPLICABILITY!$N:$N,$A38),1),IF($C38="Material",IFERROR(INDEX(MATERIAL_QUANTITY_EXAMPLE!$N:$N,MATCH(1,(MATERIAL_QUANTITY_EXAMPLE!$A:$A=MATERIAL_QUANTITY_EXAMPLE!$A:$A)*(MATERIAL_QUANTITY_EXAMPLE!$B:$B=$A38)*(MATERIAL_QUANTITY_EXAMPLE!$C:$C=$D38),0)),1),1)))</f>
        <v/>
      </c>
      <c r="L38" s="31" t="str">
        <f>IF($A38="","",IF($C38="Material",1,IFERROR(INDEX(OBJECT_CONDITIONS!$AH:$AH,MATCH($A38,OBJECT_CONDITIONS!$A:$A,0))*INDEX(OBJECT_CONDITIONS!$AJ:$AJ,MATCH($A38,OBJECT_CONDITIONS!$A:$A,0))*INDEX(OBJECT_CONDITIONS!$AL:$AL,MATCH($A38,OBJECT_CONDITIONS!$A:$A,0)),1)))</f>
        <v/>
      </c>
      <c r="M38" s="31" t="str">
        <f>IF($B38="","",IF($C38="Work",IFERROR(IF(SUMIFS(WORK_TARIFF_RULES!$F:$F,WORK_TARIFF_RULES!$A:$A,$D38,WORK_TARIFF_RULES!$C:$C,$B38)&lt;&gt;"",SUMIFS(WORK_TARIFF_RULES!$F:$F,WORK_TARIFF_RULES!$A:$A,$D38,WORK_TARIFF_RULES!$C:$C,$B38),SUMIFS(TARIFF_PROFILES!$D:$D,TARIFF_PROFILES!$A:$A,$B38)),1),IF($C38="Material",IFERROR(IF(SUMIFS(MATERIAL_TARIFF_RULES!$E:$E,MATERIAL_TARIFF_RULES!$A:$A,$D38,MATERIAL_TARIFF_RULES!$C:$C,$B38)&lt;&gt;"",SUMIFS(MATERIAL_TARIFF_RULES!$E:$E,MATERIAL_TARIFF_RULES!$A:$A,$D38,MATERIAL_TARIFF_RULES!$C:$C,$B38),SUMIFS(TARIFF_PROFILES!$E:$E,TARIFF_PROFILES!$A:$A,$B38)),1),SUMIFS(TARIFF_PROFILES!$F:$F,TARIFF_PROFILES!$A:$A,$B38))))</f>
        <v/>
      </c>
      <c r="N38" s="31">
        <f>IF($C38="Material",IFERROR(SUMIFS(MATERIAL_MASTER!$P:$P,MATERIAL_MASTER!$A:$A,$D38)*IF(SUMIFS(MATERIAL_TARIFF_RULES!$F:$F,MATERIAL_TARIFF_RULES!$A:$A,$D38,MATERIAL_TARIFF_RULES!$C:$C,$B38)="",SUMIFS(TARIFF_PROFILES!$H:$H,TARIFF_PROFILES!$A:$A,$B38),SUMIFS(MATERIAL_TARIFF_RULES!$F:$F,MATERIAL_TARIFF_RULES!$A:$A,$D38,MATERIAL_TARIFF_RULES!$C:$C,$B38)),1),1)</f>
        <v>1</v>
      </c>
      <c r="O38" s="17" t="str">
        <f t="shared" si="3"/>
        <v/>
      </c>
      <c r="P38" s="17">
        <f>IF(ROW()=2,MAX(0,INDEX(COMMERCIAL_POLICY!$B:$B,MATCH($B38,COMMERCIAL_POLICY!$A:$A,0))-SUM($Q$2:$Q$60)),0)</f>
        <v>0</v>
      </c>
      <c r="Q38" s="33" t="str">
        <f>IF($C38="","",IF($C38="Material",N($I38)*N($K38)*N($M38)*N($O38),IF($C38="Logistics",INDEX(COMMERCIAL_POLICY!$D:$D,MATCH($B38,COMMERCIAL_POLICY!$A:$A,0))*N($L38),N($I38)*N($J38)*N($K38)*N($L38)*N($M38)*N($G38))))</f>
        <v/>
      </c>
      <c r="R38" s="17" t="str">
        <f>IF($A38="","",INDEX(OBJECT_CONDITIONS!$AM:$AM,MATCH($A38,OBJECT_CONDITIONS!$A:$A,0)))</f>
        <v/>
      </c>
      <c r="S38" s="31" t="str">
        <f>IF($R38="","",INDEX(TAX_MODES!$B:$B,MATCH($R38,TAX_MODES!$A:$A,0)))</f>
        <v/>
      </c>
      <c r="T38" s="33" t="str">
        <f t="shared" si="4"/>
        <v/>
      </c>
      <c r="U38" s="17" t="str">
        <f t="shared" si="5"/>
        <v/>
      </c>
    </row>
    <row r="39" spans="1:21" x14ac:dyDescent="0.3">
      <c r="A39" s="17"/>
      <c r="B39" s="17"/>
      <c r="C39" s="17"/>
      <c r="D39" s="17"/>
      <c r="E39" s="17"/>
      <c r="F39" s="17" t="str">
        <f>IF($C39="","",IF($C39="Work",IFERROR(IF(SUMIFS(WORK_TARIFF_RULES!$G:$G,WORK_TARIFF_RULES!$A:$A,$D39,WORK_TARIFF_RULES!$C:$C,$B39)&lt;&gt;"",SUMIFS(WORK_TARIFF_RULES!$G:$G,WORK_TARIFF_RULES!$A:$A,$D39,WORK_TARIFF_RULES!$C:$C,$B39),SUMIFS(WORK_MASTER!$C:$C,WORK_MASTER!$A:$A,$D39)),""),IF($C39="Material",IFERROR(IF(SUMIFS(MATERIAL_TARIFF_RULES!$G:$G,MATERIAL_TARIFF_RULES!$A:$A,$D39,MATERIAL_TARIFF_RULES!$C:$C,$B39)&lt;&gt;"",SUMIFS(MATERIAL_TARIFF_RULES!$G:$G,MATERIAL_TARIFF_RULES!$A:$A,$D39,MATERIAL_TARIFF_RULES!$C:$C,$B39),SUMIFS(MATERIAL_VARIANTS!$J:$J,MATERIAL_VARIANTS!$A:$A,$E39)),""),IF($C39="Logistics","Мобилизация и логистика объекта",""))))</f>
        <v/>
      </c>
      <c r="G39" s="17"/>
      <c r="H39" s="17"/>
      <c r="I39" s="31" t="str">
        <f>IF($C39="","",IF($C39="Work",IFERROR(SUMIFS(WORK_MASTER!$I:$I,WORK_MASTER!$A:$A,$D39),0),IF($C39="Material",IFERROR(SUMIFS(MATERIAL_VARIANTS!$I:$I,MATERIAL_VARIANTS!$A:$A,$E39),0),0)))</f>
        <v/>
      </c>
      <c r="J39" s="31" t="str">
        <f>IF($C39="","",IF($C39="Work",IF($E39&lt;&gt;"",IFERROR(SUMIFS(WORK_VARIANTS!$H:$H,WORK_VARIANTS!$A:$A,$E39),1),1),1))</f>
        <v/>
      </c>
      <c r="K39" s="31" t="str">
        <f>IF($C39="","",IF($C39="Work",IFERROR(SUMIFS(WORK_FACTOR_APPLICABILITY!$O:$O,WORK_FACTOR_APPLICABILITY!$A:$A,$D39,WORK_FACTOR_APPLICABILITY!$N:$N,$A39),1),IF($C39="Material",IFERROR(INDEX(MATERIAL_QUANTITY_EXAMPLE!$N:$N,MATCH(1,(MATERIAL_QUANTITY_EXAMPLE!$A:$A=MATERIAL_QUANTITY_EXAMPLE!$A:$A)*(MATERIAL_QUANTITY_EXAMPLE!$B:$B=$A39)*(MATERIAL_QUANTITY_EXAMPLE!$C:$C=$D39),0)),1),1)))</f>
        <v/>
      </c>
      <c r="L39" s="31" t="str">
        <f>IF($A39="","",IF($C39="Material",1,IFERROR(INDEX(OBJECT_CONDITIONS!$AH:$AH,MATCH($A39,OBJECT_CONDITIONS!$A:$A,0))*INDEX(OBJECT_CONDITIONS!$AJ:$AJ,MATCH($A39,OBJECT_CONDITIONS!$A:$A,0))*INDEX(OBJECT_CONDITIONS!$AL:$AL,MATCH($A39,OBJECT_CONDITIONS!$A:$A,0)),1)))</f>
        <v/>
      </c>
      <c r="M39" s="31" t="str">
        <f>IF($B39="","",IF($C39="Work",IFERROR(IF(SUMIFS(WORK_TARIFF_RULES!$F:$F,WORK_TARIFF_RULES!$A:$A,$D39,WORK_TARIFF_RULES!$C:$C,$B39)&lt;&gt;"",SUMIFS(WORK_TARIFF_RULES!$F:$F,WORK_TARIFF_RULES!$A:$A,$D39,WORK_TARIFF_RULES!$C:$C,$B39),SUMIFS(TARIFF_PROFILES!$D:$D,TARIFF_PROFILES!$A:$A,$B39)),1),IF($C39="Material",IFERROR(IF(SUMIFS(MATERIAL_TARIFF_RULES!$E:$E,MATERIAL_TARIFF_RULES!$A:$A,$D39,MATERIAL_TARIFF_RULES!$C:$C,$B39)&lt;&gt;"",SUMIFS(MATERIAL_TARIFF_RULES!$E:$E,MATERIAL_TARIFF_RULES!$A:$A,$D39,MATERIAL_TARIFF_RULES!$C:$C,$B39),SUMIFS(TARIFF_PROFILES!$E:$E,TARIFF_PROFILES!$A:$A,$B39)),1),SUMIFS(TARIFF_PROFILES!$F:$F,TARIFF_PROFILES!$A:$A,$B39))))</f>
        <v/>
      </c>
      <c r="N39" s="31">
        <f>IF($C39="Material",IFERROR(SUMIFS(MATERIAL_MASTER!$P:$P,MATERIAL_MASTER!$A:$A,$D39)*IF(SUMIFS(MATERIAL_TARIFF_RULES!$F:$F,MATERIAL_TARIFF_RULES!$A:$A,$D39,MATERIAL_TARIFF_RULES!$C:$C,$B39)="",SUMIFS(TARIFF_PROFILES!$H:$H,TARIFF_PROFILES!$A:$A,$B39),SUMIFS(MATERIAL_TARIFF_RULES!$F:$F,MATERIAL_TARIFF_RULES!$A:$A,$D39,MATERIAL_TARIFF_RULES!$C:$C,$B39)),1),1)</f>
        <v>1</v>
      </c>
      <c r="O39" s="17" t="str">
        <f t="shared" si="3"/>
        <v/>
      </c>
      <c r="P39" s="17">
        <f>IF(ROW()=2,MAX(0,INDEX(COMMERCIAL_POLICY!$B:$B,MATCH($B39,COMMERCIAL_POLICY!$A:$A,0))-SUM($Q$2:$Q$60)),0)</f>
        <v>0</v>
      </c>
      <c r="Q39" s="33" t="str">
        <f>IF($C39="","",IF($C39="Material",N($I39)*N($K39)*N($M39)*N($O39),IF($C39="Logistics",INDEX(COMMERCIAL_POLICY!$D:$D,MATCH($B39,COMMERCIAL_POLICY!$A:$A,0))*N($L39),N($I39)*N($J39)*N($K39)*N($L39)*N($M39)*N($G39))))</f>
        <v/>
      </c>
      <c r="R39" s="17" t="str">
        <f>IF($A39="","",INDEX(OBJECT_CONDITIONS!$AM:$AM,MATCH($A39,OBJECT_CONDITIONS!$A:$A,0)))</f>
        <v/>
      </c>
      <c r="S39" s="31" t="str">
        <f>IF($R39="","",INDEX(TAX_MODES!$B:$B,MATCH($R39,TAX_MODES!$A:$A,0)))</f>
        <v/>
      </c>
      <c r="T39" s="33" t="str">
        <f t="shared" si="4"/>
        <v/>
      </c>
      <c r="U39" s="17" t="str">
        <f t="shared" si="5"/>
        <v/>
      </c>
    </row>
    <row r="40" spans="1:21" x14ac:dyDescent="0.3">
      <c r="A40" s="17"/>
      <c r="B40" s="17"/>
      <c r="C40" s="17"/>
      <c r="D40" s="17"/>
      <c r="E40" s="17"/>
      <c r="F40" s="17" t="str">
        <f>IF($C40="","",IF($C40="Work",IFERROR(IF(SUMIFS(WORK_TARIFF_RULES!$G:$G,WORK_TARIFF_RULES!$A:$A,$D40,WORK_TARIFF_RULES!$C:$C,$B40)&lt;&gt;"",SUMIFS(WORK_TARIFF_RULES!$G:$G,WORK_TARIFF_RULES!$A:$A,$D40,WORK_TARIFF_RULES!$C:$C,$B40),SUMIFS(WORK_MASTER!$C:$C,WORK_MASTER!$A:$A,$D40)),""),IF($C40="Material",IFERROR(IF(SUMIFS(MATERIAL_TARIFF_RULES!$G:$G,MATERIAL_TARIFF_RULES!$A:$A,$D40,MATERIAL_TARIFF_RULES!$C:$C,$B40)&lt;&gt;"",SUMIFS(MATERIAL_TARIFF_RULES!$G:$G,MATERIAL_TARIFF_RULES!$A:$A,$D40,MATERIAL_TARIFF_RULES!$C:$C,$B40),SUMIFS(MATERIAL_VARIANTS!$J:$J,MATERIAL_VARIANTS!$A:$A,$E40)),""),IF($C40="Logistics","Мобилизация и логистика объекта",""))))</f>
        <v/>
      </c>
      <c r="G40" s="17"/>
      <c r="H40" s="17"/>
      <c r="I40" s="31" t="str">
        <f>IF($C40="","",IF($C40="Work",IFERROR(SUMIFS(WORK_MASTER!$I:$I,WORK_MASTER!$A:$A,$D40),0),IF($C40="Material",IFERROR(SUMIFS(MATERIAL_VARIANTS!$I:$I,MATERIAL_VARIANTS!$A:$A,$E40),0),0)))</f>
        <v/>
      </c>
      <c r="J40" s="31" t="str">
        <f>IF($C40="","",IF($C40="Work",IF($E40&lt;&gt;"",IFERROR(SUMIFS(WORK_VARIANTS!$H:$H,WORK_VARIANTS!$A:$A,$E40),1),1),1))</f>
        <v/>
      </c>
      <c r="K40" s="31" t="str">
        <f>IF($C40="","",IF($C40="Work",IFERROR(SUMIFS(WORK_FACTOR_APPLICABILITY!$O:$O,WORK_FACTOR_APPLICABILITY!$A:$A,$D40,WORK_FACTOR_APPLICABILITY!$N:$N,$A40),1),IF($C40="Material",IFERROR(INDEX(MATERIAL_QUANTITY_EXAMPLE!$N:$N,MATCH(1,(MATERIAL_QUANTITY_EXAMPLE!$A:$A=MATERIAL_QUANTITY_EXAMPLE!$A:$A)*(MATERIAL_QUANTITY_EXAMPLE!$B:$B=$A40)*(MATERIAL_QUANTITY_EXAMPLE!$C:$C=$D40),0)),1),1)))</f>
        <v/>
      </c>
      <c r="L40" s="31" t="str">
        <f>IF($A40="","",IF($C40="Material",1,IFERROR(INDEX(OBJECT_CONDITIONS!$AH:$AH,MATCH($A40,OBJECT_CONDITIONS!$A:$A,0))*INDEX(OBJECT_CONDITIONS!$AJ:$AJ,MATCH($A40,OBJECT_CONDITIONS!$A:$A,0))*INDEX(OBJECT_CONDITIONS!$AL:$AL,MATCH($A40,OBJECT_CONDITIONS!$A:$A,0)),1)))</f>
        <v/>
      </c>
      <c r="M40" s="31" t="str">
        <f>IF($B40="","",IF($C40="Work",IFERROR(IF(SUMIFS(WORK_TARIFF_RULES!$F:$F,WORK_TARIFF_RULES!$A:$A,$D40,WORK_TARIFF_RULES!$C:$C,$B40)&lt;&gt;"",SUMIFS(WORK_TARIFF_RULES!$F:$F,WORK_TARIFF_RULES!$A:$A,$D40,WORK_TARIFF_RULES!$C:$C,$B40),SUMIFS(TARIFF_PROFILES!$D:$D,TARIFF_PROFILES!$A:$A,$B40)),1),IF($C40="Material",IFERROR(IF(SUMIFS(MATERIAL_TARIFF_RULES!$E:$E,MATERIAL_TARIFF_RULES!$A:$A,$D40,MATERIAL_TARIFF_RULES!$C:$C,$B40)&lt;&gt;"",SUMIFS(MATERIAL_TARIFF_RULES!$E:$E,MATERIAL_TARIFF_RULES!$A:$A,$D40,MATERIAL_TARIFF_RULES!$C:$C,$B40),SUMIFS(TARIFF_PROFILES!$E:$E,TARIFF_PROFILES!$A:$A,$B40)),1),SUMIFS(TARIFF_PROFILES!$F:$F,TARIFF_PROFILES!$A:$A,$B40))))</f>
        <v/>
      </c>
      <c r="N40" s="31">
        <f>IF($C40="Material",IFERROR(SUMIFS(MATERIAL_MASTER!$P:$P,MATERIAL_MASTER!$A:$A,$D40)*IF(SUMIFS(MATERIAL_TARIFF_RULES!$F:$F,MATERIAL_TARIFF_RULES!$A:$A,$D40,MATERIAL_TARIFF_RULES!$C:$C,$B40)="",SUMIFS(TARIFF_PROFILES!$H:$H,TARIFF_PROFILES!$A:$A,$B40),SUMIFS(MATERIAL_TARIFF_RULES!$F:$F,MATERIAL_TARIFF_RULES!$A:$A,$D40,MATERIAL_TARIFF_RULES!$C:$C,$B40)),1),1)</f>
        <v>1</v>
      </c>
      <c r="O40" s="17" t="str">
        <f t="shared" si="3"/>
        <v/>
      </c>
      <c r="P40" s="17">
        <f>IF(ROW()=2,MAX(0,INDEX(COMMERCIAL_POLICY!$B:$B,MATCH($B40,COMMERCIAL_POLICY!$A:$A,0))-SUM($Q$2:$Q$60)),0)</f>
        <v>0</v>
      </c>
      <c r="Q40" s="33" t="str">
        <f>IF($C40="","",IF($C40="Material",N($I40)*N($K40)*N($M40)*N($O40),IF($C40="Logistics",INDEX(COMMERCIAL_POLICY!$D:$D,MATCH($B40,COMMERCIAL_POLICY!$A:$A,0))*N($L40),N($I40)*N($J40)*N($K40)*N($L40)*N($M40)*N($G40))))</f>
        <v/>
      </c>
      <c r="R40" s="17" t="str">
        <f>IF($A40="","",INDEX(OBJECT_CONDITIONS!$AM:$AM,MATCH($A40,OBJECT_CONDITIONS!$A:$A,0)))</f>
        <v/>
      </c>
      <c r="S40" s="31" t="str">
        <f>IF($R40="","",INDEX(TAX_MODES!$B:$B,MATCH($R40,TAX_MODES!$A:$A,0)))</f>
        <v/>
      </c>
      <c r="T40" s="33" t="str">
        <f t="shared" si="4"/>
        <v/>
      </c>
      <c r="U40" s="17" t="str">
        <f t="shared" si="5"/>
        <v/>
      </c>
    </row>
    <row r="41" spans="1:21" x14ac:dyDescent="0.3">
      <c r="A41" s="17"/>
      <c r="B41" s="17"/>
      <c r="C41" s="17"/>
      <c r="D41" s="17"/>
      <c r="E41" s="17"/>
      <c r="F41" s="17" t="str">
        <f>IF($C41="","",IF($C41="Work",IFERROR(IF(SUMIFS(WORK_TARIFF_RULES!$G:$G,WORK_TARIFF_RULES!$A:$A,$D41,WORK_TARIFF_RULES!$C:$C,$B41)&lt;&gt;"",SUMIFS(WORK_TARIFF_RULES!$G:$G,WORK_TARIFF_RULES!$A:$A,$D41,WORK_TARIFF_RULES!$C:$C,$B41),SUMIFS(WORK_MASTER!$C:$C,WORK_MASTER!$A:$A,$D41)),""),IF($C41="Material",IFERROR(IF(SUMIFS(MATERIAL_TARIFF_RULES!$G:$G,MATERIAL_TARIFF_RULES!$A:$A,$D41,MATERIAL_TARIFF_RULES!$C:$C,$B41)&lt;&gt;"",SUMIFS(MATERIAL_TARIFF_RULES!$G:$G,MATERIAL_TARIFF_RULES!$A:$A,$D41,MATERIAL_TARIFF_RULES!$C:$C,$B41),SUMIFS(MATERIAL_VARIANTS!$J:$J,MATERIAL_VARIANTS!$A:$A,$E41)),""),IF($C41="Logistics","Мобилизация и логистика объекта",""))))</f>
        <v/>
      </c>
      <c r="G41" s="17"/>
      <c r="H41" s="17"/>
      <c r="I41" s="31" t="str">
        <f>IF($C41="","",IF($C41="Work",IFERROR(SUMIFS(WORK_MASTER!$I:$I,WORK_MASTER!$A:$A,$D41),0),IF($C41="Material",IFERROR(SUMIFS(MATERIAL_VARIANTS!$I:$I,MATERIAL_VARIANTS!$A:$A,$E41),0),0)))</f>
        <v/>
      </c>
      <c r="J41" s="31" t="str">
        <f>IF($C41="","",IF($C41="Work",IF($E41&lt;&gt;"",IFERROR(SUMIFS(WORK_VARIANTS!$H:$H,WORK_VARIANTS!$A:$A,$E41),1),1),1))</f>
        <v/>
      </c>
      <c r="K41" s="31" t="str">
        <f>IF($C41="","",IF($C41="Work",IFERROR(SUMIFS(WORK_FACTOR_APPLICABILITY!$O:$O,WORK_FACTOR_APPLICABILITY!$A:$A,$D41,WORK_FACTOR_APPLICABILITY!$N:$N,$A41),1),IF($C41="Material",IFERROR(INDEX(MATERIAL_QUANTITY_EXAMPLE!$N:$N,MATCH(1,(MATERIAL_QUANTITY_EXAMPLE!$A:$A=MATERIAL_QUANTITY_EXAMPLE!$A:$A)*(MATERIAL_QUANTITY_EXAMPLE!$B:$B=$A41)*(MATERIAL_QUANTITY_EXAMPLE!$C:$C=$D41),0)),1),1)))</f>
        <v/>
      </c>
      <c r="L41" s="31" t="str">
        <f>IF($A41="","",IF($C41="Material",1,IFERROR(INDEX(OBJECT_CONDITIONS!$AH:$AH,MATCH($A41,OBJECT_CONDITIONS!$A:$A,0))*INDEX(OBJECT_CONDITIONS!$AJ:$AJ,MATCH($A41,OBJECT_CONDITIONS!$A:$A,0))*INDEX(OBJECT_CONDITIONS!$AL:$AL,MATCH($A41,OBJECT_CONDITIONS!$A:$A,0)),1)))</f>
        <v/>
      </c>
      <c r="M41" s="31" t="str">
        <f>IF($B41="","",IF($C41="Work",IFERROR(IF(SUMIFS(WORK_TARIFF_RULES!$F:$F,WORK_TARIFF_RULES!$A:$A,$D41,WORK_TARIFF_RULES!$C:$C,$B41)&lt;&gt;"",SUMIFS(WORK_TARIFF_RULES!$F:$F,WORK_TARIFF_RULES!$A:$A,$D41,WORK_TARIFF_RULES!$C:$C,$B41),SUMIFS(TARIFF_PROFILES!$D:$D,TARIFF_PROFILES!$A:$A,$B41)),1),IF($C41="Material",IFERROR(IF(SUMIFS(MATERIAL_TARIFF_RULES!$E:$E,MATERIAL_TARIFF_RULES!$A:$A,$D41,MATERIAL_TARIFF_RULES!$C:$C,$B41)&lt;&gt;"",SUMIFS(MATERIAL_TARIFF_RULES!$E:$E,MATERIAL_TARIFF_RULES!$A:$A,$D41,MATERIAL_TARIFF_RULES!$C:$C,$B41),SUMIFS(TARIFF_PROFILES!$E:$E,TARIFF_PROFILES!$A:$A,$B41)),1),SUMIFS(TARIFF_PROFILES!$F:$F,TARIFF_PROFILES!$A:$A,$B41))))</f>
        <v/>
      </c>
      <c r="N41" s="31">
        <f>IF($C41="Material",IFERROR(SUMIFS(MATERIAL_MASTER!$P:$P,MATERIAL_MASTER!$A:$A,$D41)*IF(SUMIFS(MATERIAL_TARIFF_RULES!$F:$F,MATERIAL_TARIFF_RULES!$A:$A,$D41,MATERIAL_TARIFF_RULES!$C:$C,$B41)="",SUMIFS(TARIFF_PROFILES!$H:$H,TARIFF_PROFILES!$A:$A,$B41),SUMIFS(MATERIAL_TARIFF_RULES!$F:$F,MATERIAL_TARIFF_RULES!$A:$A,$D41,MATERIAL_TARIFF_RULES!$C:$C,$B41)),1),1)</f>
        <v>1</v>
      </c>
      <c r="O41" s="17" t="str">
        <f t="shared" si="3"/>
        <v/>
      </c>
      <c r="P41" s="17">
        <f>IF(ROW()=2,MAX(0,INDEX(COMMERCIAL_POLICY!$B:$B,MATCH($B41,COMMERCIAL_POLICY!$A:$A,0))-SUM($Q$2:$Q$60)),0)</f>
        <v>0</v>
      </c>
      <c r="Q41" s="33" t="str">
        <f>IF($C41="","",IF($C41="Material",N($I41)*N($K41)*N($M41)*N($O41),IF($C41="Logistics",INDEX(COMMERCIAL_POLICY!$D:$D,MATCH($B41,COMMERCIAL_POLICY!$A:$A,0))*N($L41),N($I41)*N($J41)*N($K41)*N($L41)*N($M41)*N($G41))))</f>
        <v/>
      </c>
      <c r="R41" s="17" t="str">
        <f>IF($A41="","",INDEX(OBJECT_CONDITIONS!$AM:$AM,MATCH($A41,OBJECT_CONDITIONS!$A:$A,0)))</f>
        <v/>
      </c>
      <c r="S41" s="31" t="str">
        <f>IF($R41="","",INDEX(TAX_MODES!$B:$B,MATCH($R41,TAX_MODES!$A:$A,0)))</f>
        <v/>
      </c>
      <c r="T41" s="33" t="str">
        <f t="shared" si="4"/>
        <v/>
      </c>
      <c r="U41" s="17" t="str">
        <f t="shared" si="5"/>
        <v/>
      </c>
    </row>
    <row r="42" spans="1:21" x14ac:dyDescent="0.3">
      <c r="A42" s="17"/>
      <c r="B42" s="17"/>
      <c r="C42" s="17"/>
      <c r="D42" s="17"/>
      <c r="E42" s="17"/>
      <c r="F42" s="17" t="str">
        <f>IF($C42="","",IF($C42="Work",IFERROR(IF(SUMIFS(WORK_TARIFF_RULES!$G:$G,WORK_TARIFF_RULES!$A:$A,$D42,WORK_TARIFF_RULES!$C:$C,$B42)&lt;&gt;"",SUMIFS(WORK_TARIFF_RULES!$G:$G,WORK_TARIFF_RULES!$A:$A,$D42,WORK_TARIFF_RULES!$C:$C,$B42),SUMIFS(WORK_MASTER!$C:$C,WORK_MASTER!$A:$A,$D42)),""),IF($C42="Material",IFERROR(IF(SUMIFS(MATERIAL_TARIFF_RULES!$G:$G,MATERIAL_TARIFF_RULES!$A:$A,$D42,MATERIAL_TARIFF_RULES!$C:$C,$B42)&lt;&gt;"",SUMIFS(MATERIAL_TARIFF_RULES!$G:$G,MATERIAL_TARIFF_RULES!$A:$A,$D42,MATERIAL_TARIFF_RULES!$C:$C,$B42),SUMIFS(MATERIAL_VARIANTS!$J:$J,MATERIAL_VARIANTS!$A:$A,$E42)),""),IF($C42="Logistics","Мобилизация и логистика объекта",""))))</f>
        <v/>
      </c>
      <c r="G42" s="17"/>
      <c r="H42" s="17"/>
      <c r="I42" s="31" t="str">
        <f>IF($C42="","",IF($C42="Work",IFERROR(SUMIFS(WORK_MASTER!$I:$I,WORK_MASTER!$A:$A,$D42),0),IF($C42="Material",IFERROR(SUMIFS(MATERIAL_VARIANTS!$I:$I,MATERIAL_VARIANTS!$A:$A,$E42),0),0)))</f>
        <v/>
      </c>
      <c r="J42" s="31" t="str">
        <f>IF($C42="","",IF($C42="Work",IF($E42&lt;&gt;"",IFERROR(SUMIFS(WORK_VARIANTS!$H:$H,WORK_VARIANTS!$A:$A,$E42),1),1),1))</f>
        <v/>
      </c>
      <c r="K42" s="31" t="str">
        <f>IF($C42="","",IF($C42="Work",IFERROR(SUMIFS(WORK_FACTOR_APPLICABILITY!$O:$O,WORK_FACTOR_APPLICABILITY!$A:$A,$D42,WORK_FACTOR_APPLICABILITY!$N:$N,$A42),1),IF($C42="Material",IFERROR(INDEX(MATERIAL_QUANTITY_EXAMPLE!$N:$N,MATCH(1,(MATERIAL_QUANTITY_EXAMPLE!$A:$A=MATERIAL_QUANTITY_EXAMPLE!$A:$A)*(MATERIAL_QUANTITY_EXAMPLE!$B:$B=$A42)*(MATERIAL_QUANTITY_EXAMPLE!$C:$C=$D42),0)),1),1)))</f>
        <v/>
      </c>
      <c r="L42" s="31" t="str">
        <f>IF($A42="","",IF($C42="Material",1,IFERROR(INDEX(OBJECT_CONDITIONS!$AH:$AH,MATCH($A42,OBJECT_CONDITIONS!$A:$A,0))*INDEX(OBJECT_CONDITIONS!$AJ:$AJ,MATCH($A42,OBJECT_CONDITIONS!$A:$A,0))*INDEX(OBJECT_CONDITIONS!$AL:$AL,MATCH($A42,OBJECT_CONDITIONS!$A:$A,0)),1)))</f>
        <v/>
      </c>
      <c r="M42" s="31" t="str">
        <f>IF($B42="","",IF($C42="Work",IFERROR(IF(SUMIFS(WORK_TARIFF_RULES!$F:$F,WORK_TARIFF_RULES!$A:$A,$D42,WORK_TARIFF_RULES!$C:$C,$B42)&lt;&gt;"",SUMIFS(WORK_TARIFF_RULES!$F:$F,WORK_TARIFF_RULES!$A:$A,$D42,WORK_TARIFF_RULES!$C:$C,$B42),SUMIFS(TARIFF_PROFILES!$D:$D,TARIFF_PROFILES!$A:$A,$B42)),1),IF($C42="Material",IFERROR(IF(SUMIFS(MATERIAL_TARIFF_RULES!$E:$E,MATERIAL_TARIFF_RULES!$A:$A,$D42,MATERIAL_TARIFF_RULES!$C:$C,$B42)&lt;&gt;"",SUMIFS(MATERIAL_TARIFF_RULES!$E:$E,MATERIAL_TARIFF_RULES!$A:$A,$D42,MATERIAL_TARIFF_RULES!$C:$C,$B42),SUMIFS(TARIFF_PROFILES!$E:$E,TARIFF_PROFILES!$A:$A,$B42)),1),SUMIFS(TARIFF_PROFILES!$F:$F,TARIFF_PROFILES!$A:$A,$B42))))</f>
        <v/>
      </c>
      <c r="N42" s="31">
        <f>IF($C42="Material",IFERROR(SUMIFS(MATERIAL_MASTER!$P:$P,MATERIAL_MASTER!$A:$A,$D42)*IF(SUMIFS(MATERIAL_TARIFF_RULES!$F:$F,MATERIAL_TARIFF_RULES!$A:$A,$D42,MATERIAL_TARIFF_RULES!$C:$C,$B42)="",SUMIFS(TARIFF_PROFILES!$H:$H,TARIFF_PROFILES!$A:$A,$B42),SUMIFS(MATERIAL_TARIFF_RULES!$F:$F,MATERIAL_TARIFF_RULES!$A:$A,$D42,MATERIAL_TARIFF_RULES!$C:$C,$B42)),1),1)</f>
        <v>1</v>
      </c>
      <c r="O42" s="17" t="str">
        <f t="shared" si="3"/>
        <v/>
      </c>
      <c r="P42" s="17">
        <f>IF(ROW()=2,MAX(0,INDEX(COMMERCIAL_POLICY!$B:$B,MATCH($B42,COMMERCIAL_POLICY!$A:$A,0))-SUM($Q$2:$Q$60)),0)</f>
        <v>0</v>
      </c>
      <c r="Q42" s="33" t="str">
        <f>IF($C42="","",IF($C42="Material",N($I42)*N($K42)*N($M42)*N($O42),IF($C42="Logistics",INDEX(COMMERCIAL_POLICY!$D:$D,MATCH($B42,COMMERCIAL_POLICY!$A:$A,0))*N($L42),N($I42)*N($J42)*N($K42)*N($L42)*N($M42)*N($G42))))</f>
        <v/>
      </c>
      <c r="R42" s="17" t="str">
        <f>IF($A42="","",INDEX(OBJECT_CONDITIONS!$AM:$AM,MATCH($A42,OBJECT_CONDITIONS!$A:$A,0)))</f>
        <v/>
      </c>
      <c r="S42" s="31" t="str">
        <f>IF($R42="","",INDEX(TAX_MODES!$B:$B,MATCH($R42,TAX_MODES!$A:$A,0)))</f>
        <v/>
      </c>
      <c r="T42" s="33" t="str">
        <f t="shared" si="4"/>
        <v/>
      </c>
      <c r="U42" s="17" t="str">
        <f t="shared" si="5"/>
        <v/>
      </c>
    </row>
    <row r="43" spans="1:21" x14ac:dyDescent="0.3">
      <c r="A43" s="17"/>
      <c r="B43" s="17"/>
      <c r="C43" s="17"/>
      <c r="D43" s="17"/>
      <c r="E43" s="17"/>
      <c r="F43" s="17" t="str">
        <f>IF($C43="","",IF($C43="Work",IFERROR(IF(SUMIFS(WORK_TARIFF_RULES!$G:$G,WORK_TARIFF_RULES!$A:$A,$D43,WORK_TARIFF_RULES!$C:$C,$B43)&lt;&gt;"",SUMIFS(WORK_TARIFF_RULES!$G:$G,WORK_TARIFF_RULES!$A:$A,$D43,WORK_TARIFF_RULES!$C:$C,$B43),SUMIFS(WORK_MASTER!$C:$C,WORK_MASTER!$A:$A,$D43)),""),IF($C43="Material",IFERROR(IF(SUMIFS(MATERIAL_TARIFF_RULES!$G:$G,MATERIAL_TARIFF_RULES!$A:$A,$D43,MATERIAL_TARIFF_RULES!$C:$C,$B43)&lt;&gt;"",SUMIFS(MATERIAL_TARIFF_RULES!$G:$G,MATERIAL_TARIFF_RULES!$A:$A,$D43,MATERIAL_TARIFF_RULES!$C:$C,$B43),SUMIFS(MATERIAL_VARIANTS!$J:$J,MATERIAL_VARIANTS!$A:$A,$E43)),""),IF($C43="Logistics","Мобилизация и логистика объекта",""))))</f>
        <v/>
      </c>
      <c r="G43" s="17"/>
      <c r="H43" s="17"/>
      <c r="I43" s="31" t="str">
        <f>IF($C43="","",IF($C43="Work",IFERROR(SUMIFS(WORK_MASTER!$I:$I,WORK_MASTER!$A:$A,$D43),0),IF($C43="Material",IFERROR(SUMIFS(MATERIAL_VARIANTS!$I:$I,MATERIAL_VARIANTS!$A:$A,$E43),0),0)))</f>
        <v/>
      </c>
      <c r="J43" s="31" t="str">
        <f>IF($C43="","",IF($C43="Work",IF($E43&lt;&gt;"",IFERROR(SUMIFS(WORK_VARIANTS!$H:$H,WORK_VARIANTS!$A:$A,$E43),1),1),1))</f>
        <v/>
      </c>
      <c r="K43" s="31" t="str">
        <f>IF($C43="","",IF($C43="Work",IFERROR(SUMIFS(WORK_FACTOR_APPLICABILITY!$O:$O,WORK_FACTOR_APPLICABILITY!$A:$A,$D43,WORK_FACTOR_APPLICABILITY!$N:$N,$A43),1),IF($C43="Material",IFERROR(INDEX(MATERIAL_QUANTITY_EXAMPLE!$N:$N,MATCH(1,(MATERIAL_QUANTITY_EXAMPLE!$A:$A=MATERIAL_QUANTITY_EXAMPLE!$A:$A)*(MATERIAL_QUANTITY_EXAMPLE!$B:$B=$A43)*(MATERIAL_QUANTITY_EXAMPLE!$C:$C=$D43),0)),1),1)))</f>
        <v/>
      </c>
      <c r="L43" s="31" t="str">
        <f>IF($A43="","",IF($C43="Material",1,IFERROR(INDEX(OBJECT_CONDITIONS!$AH:$AH,MATCH($A43,OBJECT_CONDITIONS!$A:$A,0))*INDEX(OBJECT_CONDITIONS!$AJ:$AJ,MATCH($A43,OBJECT_CONDITIONS!$A:$A,0))*INDEX(OBJECT_CONDITIONS!$AL:$AL,MATCH($A43,OBJECT_CONDITIONS!$A:$A,0)),1)))</f>
        <v/>
      </c>
      <c r="M43" s="31" t="str">
        <f>IF($B43="","",IF($C43="Work",IFERROR(IF(SUMIFS(WORK_TARIFF_RULES!$F:$F,WORK_TARIFF_RULES!$A:$A,$D43,WORK_TARIFF_RULES!$C:$C,$B43)&lt;&gt;"",SUMIFS(WORK_TARIFF_RULES!$F:$F,WORK_TARIFF_RULES!$A:$A,$D43,WORK_TARIFF_RULES!$C:$C,$B43),SUMIFS(TARIFF_PROFILES!$D:$D,TARIFF_PROFILES!$A:$A,$B43)),1),IF($C43="Material",IFERROR(IF(SUMIFS(MATERIAL_TARIFF_RULES!$E:$E,MATERIAL_TARIFF_RULES!$A:$A,$D43,MATERIAL_TARIFF_RULES!$C:$C,$B43)&lt;&gt;"",SUMIFS(MATERIAL_TARIFF_RULES!$E:$E,MATERIAL_TARIFF_RULES!$A:$A,$D43,MATERIAL_TARIFF_RULES!$C:$C,$B43),SUMIFS(TARIFF_PROFILES!$E:$E,TARIFF_PROFILES!$A:$A,$B43)),1),SUMIFS(TARIFF_PROFILES!$F:$F,TARIFF_PROFILES!$A:$A,$B43))))</f>
        <v/>
      </c>
      <c r="N43" s="31">
        <f>IF($C43="Material",IFERROR(SUMIFS(MATERIAL_MASTER!$P:$P,MATERIAL_MASTER!$A:$A,$D43)*IF(SUMIFS(MATERIAL_TARIFF_RULES!$F:$F,MATERIAL_TARIFF_RULES!$A:$A,$D43,MATERIAL_TARIFF_RULES!$C:$C,$B43)="",SUMIFS(TARIFF_PROFILES!$H:$H,TARIFF_PROFILES!$A:$A,$B43),SUMIFS(MATERIAL_TARIFF_RULES!$F:$F,MATERIAL_TARIFF_RULES!$A:$A,$D43,MATERIAL_TARIFF_RULES!$C:$C,$B43)),1),1)</f>
        <v>1</v>
      </c>
      <c r="O43" s="17" t="str">
        <f t="shared" si="3"/>
        <v/>
      </c>
      <c r="P43" s="17">
        <f>IF(ROW()=2,MAX(0,INDEX(COMMERCIAL_POLICY!$B:$B,MATCH($B43,COMMERCIAL_POLICY!$A:$A,0))-SUM($Q$2:$Q$60)),0)</f>
        <v>0</v>
      </c>
      <c r="Q43" s="33" t="str">
        <f>IF($C43="","",IF($C43="Material",N($I43)*N($K43)*N($M43)*N($O43),IF($C43="Logistics",INDEX(COMMERCIAL_POLICY!$D:$D,MATCH($B43,COMMERCIAL_POLICY!$A:$A,0))*N($L43),N($I43)*N($J43)*N($K43)*N($L43)*N($M43)*N($G43))))</f>
        <v/>
      </c>
      <c r="R43" s="17" t="str">
        <f>IF($A43="","",INDEX(OBJECT_CONDITIONS!$AM:$AM,MATCH($A43,OBJECT_CONDITIONS!$A:$A,0)))</f>
        <v/>
      </c>
      <c r="S43" s="31" t="str">
        <f>IF($R43="","",INDEX(TAX_MODES!$B:$B,MATCH($R43,TAX_MODES!$A:$A,0)))</f>
        <v/>
      </c>
      <c r="T43" s="33" t="str">
        <f t="shared" si="4"/>
        <v/>
      </c>
      <c r="U43" s="17" t="str">
        <f t="shared" si="5"/>
        <v/>
      </c>
    </row>
    <row r="44" spans="1:21" x14ac:dyDescent="0.3">
      <c r="A44" s="17"/>
      <c r="B44" s="17"/>
      <c r="C44" s="17"/>
      <c r="D44" s="17"/>
      <c r="E44" s="17"/>
      <c r="F44" s="17" t="str">
        <f>IF($C44="","",IF($C44="Work",IFERROR(IF(SUMIFS(WORK_TARIFF_RULES!$G:$G,WORK_TARIFF_RULES!$A:$A,$D44,WORK_TARIFF_RULES!$C:$C,$B44)&lt;&gt;"",SUMIFS(WORK_TARIFF_RULES!$G:$G,WORK_TARIFF_RULES!$A:$A,$D44,WORK_TARIFF_RULES!$C:$C,$B44),SUMIFS(WORK_MASTER!$C:$C,WORK_MASTER!$A:$A,$D44)),""),IF($C44="Material",IFERROR(IF(SUMIFS(MATERIAL_TARIFF_RULES!$G:$G,MATERIAL_TARIFF_RULES!$A:$A,$D44,MATERIAL_TARIFF_RULES!$C:$C,$B44)&lt;&gt;"",SUMIFS(MATERIAL_TARIFF_RULES!$G:$G,MATERIAL_TARIFF_RULES!$A:$A,$D44,MATERIAL_TARIFF_RULES!$C:$C,$B44),SUMIFS(MATERIAL_VARIANTS!$J:$J,MATERIAL_VARIANTS!$A:$A,$E44)),""),IF($C44="Logistics","Мобилизация и логистика объекта",""))))</f>
        <v/>
      </c>
      <c r="G44" s="17"/>
      <c r="H44" s="17"/>
      <c r="I44" s="31" t="str">
        <f>IF($C44="","",IF($C44="Work",IFERROR(SUMIFS(WORK_MASTER!$I:$I,WORK_MASTER!$A:$A,$D44),0),IF($C44="Material",IFERROR(SUMIFS(MATERIAL_VARIANTS!$I:$I,MATERIAL_VARIANTS!$A:$A,$E44),0),0)))</f>
        <v/>
      </c>
      <c r="J44" s="31" t="str">
        <f>IF($C44="","",IF($C44="Work",IF($E44&lt;&gt;"",IFERROR(SUMIFS(WORK_VARIANTS!$H:$H,WORK_VARIANTS!$A:$A,$E44),1),1),1))</f>
        <v/>
      </c>
      <c r="K44" s="31" t="str">
        <f>IF($C44="","",IF($C44="Work",IFERROR(SUMIFS(WORK_FACTOR_APPLICABILITY!$O:$O,WORK_FACTOR_APPLICABILITY!$A:$A,$D44,WORK_FACTOR_APPLICABILITY!$N:$N,$A44),1),IF($C44="Material",IFERROR(INDEX(MATERIAL_QUANTITY_EXAMPLE!$N:$N,MATCH(1,(MATERIAL_QUANTITY_EXAMPLE!$A:$A=MATERIAL_QUANTITY_EXAMPLE!$A:$A)*(MATERIAL_QUANTITY_EXAMPLE!$B:$B=$A44)*(MATERIAL_QUANTITY_EXAMPLE!$C:$C=$D44),0)),1),1)))</f>
        <v/>
      </c>
      <c r="L44" s="31" t="str">
        <f>IF($A44="","",IF($C44="Material",1,IFERROR(INDEX(OBJECT_CONDITIONS!$AH:$AH,MATCH($A44,OBJECT_CONDITIONS!$A:$A,0))*INDEX(OBJECT_CONDITIONS!$AJ:$AJ,MATCH($A44,OBJECT_CONDITIONS!$A:$A,0))*INDEX(OBJECT_CONDITIONS!$AL:$AL,MATCH($A44,OBJECT_CONDITIONS!$A:$A,0)),1)))</f>
        <v/>
      </c>
      <c r="M44" s="31" t="str">
        <f>IF($B44="","",IF($C44="Work",IFERROR(IF(SUMIFS(WORK_TARIFF_RULES!$F:$F,WORK_TARIFF_RULES!$A:$A,$D44,WORK_TARIFF_RULES!$C:$C,$B44)&lt;&gt;"",SUMIFS(WORK_TARIFF_RULES!$F:$F,WORK_TARIFF_RULES!$A:$A,$D44,WORK_TARIFF_RULES!$C:$C,$B44),SUMIFS(TARIFF_PROFILES!$D:$D,TARIFF_PROFILES!$A:$A,$B44)),1),IF($C44="Material",IFERROR(IF(SUMIFS(MATERIAL_TARIFF_RULES!$E:$E,MATERIAL_TARIFF_RULES!$A:$A,$D44,MATERIAL_TARIFF_RULES!$C:$C,$B44)&lt;&gt;"",SUMIFS(MATERIAL_TARIFF_RULES!$E:$E,MATERIAL_TARIFF_RULES!$A:$A,$D44,MATERIAL_TARIFF_RULES!$C:$C,$B44),SUMIFS(TARIFF_PROFILES!$E:$E,TARIFF_PROFILES!$A:$A,$B44)),1),SUMIFS(TARIFF_PROFILES!$F:$F,TARIFF_PROFILES!$A:$A,$B44))))</f>
        <v/>
      </c>
      <c r="N44" s="31">
        <f>IF($C44="Material",IFERROR(SUMIFS(MATERIAL_MASTER!$P:$P,MATERIAL_MASTER!$A:$A,$D44)*IF(SUMIFS(MATERIAL_TARIFF_RULES!$F:$F,MATERIAL_TARIFF_RULES!$A:$A,$D44,MATERIAL_TARIFF_RULES!$C:$C,$B44)="",SUMIFS(TARIFF_PROFILES!$H:$H,TARIFF_PROFILES!$A:$A,$B44),SUMIFS(MATERIAL_TARIFF_RULES!$F:$F,MATERIAL_TARIFF_RULES!$A:$A,$D44,MATERIAL_TARIFF_RULES!$C:$C,$B44)),1),1)</f>
        <v>1</v>
      </c>
      <c r="O44" s="17" t="str">
        <f t="shared" si="3"/>
        <v/>
      </c>
      <c r="P44" s="17">
        <f>IF(ROW()=2,MAX(0,INDEX(COMMERCIAL_POLICY!$B:$B,MATCH($B44,COMMERCIAL_POLICY!$A:$A,0))-SUM($Q$2:$Q$60)),0)</f>
        <v>0</v>
      </c>
      <c r="Q44" s="33" t="str">
        <f>IF($C44="","",IF($C44="Material",N($I44)*N($K44)*N($M44)*N($O44),IF($C44="Logistics",INDEX(COMMERCIAL_POLICY!$D:$D,MATCH($B44,COMMERCIAL_POLICY!$A:$A,0))*N($L44),N($I44)*N($J44)*N($K44)*N($L44)*N($M44)*N($G44))))</f>
        <v/>
      </c>
      <c r="R44" s="17" t="str">
        <f>IF($A44="","",INDEX(OBJECT_CONDITIONS!$AM:$AM,MATCH($A44,OBJECT_CONDITIONS!$A:$A,0)))</f>
        <v/>
      </c>
      <c r="S44" s="31" t="str">
        <f>IF($R44="","",INDEX(TAX_MODES!$B:$B,MATCH($R44,TAX_MODES!$A:$A,0)))</f>
        <v/>
      </c>
      <c r="T44" s="33" t="str">
        <f t="shared" si="4"/>
        <v/>
      </c>
      <c r="U44" s="17" t="str">
        <f t="shared" si="5"/>
        <v/>
      </c>
    </row>
    <row r="45" spans="1:21" x14ac:dyDescent="0.3">
      <c r="A45" s="17"/>
      <c r="B45" s="17"/>
      <c r="C45" s="17"/>
      <c r="D45" s="17"/>
      <c r="E45" s="17"/>
      <c r="F45" s="17" t="str">
        <f>IF($C45="","",IF($C45="Work",IFERROR(IF(SUMIFS(WORK_TARIFF_RULES!$G:$G,WORK_TARIFF_RULES!$A:$A,$D45,WORK_TARIFF_RULES!$C:$C,$B45)&lt;&gt;"",SUMIFS(WORK_TARIFF_RULES!$G:$G,WORK_TARIFF_RULES!$A:$A,$D45,WORK_TARIFF_RULES!$C:$C,$B45),SUMIFS(WORK_MASTER!$C:$C,WORK_MASTER!$A:$A,$D45)),""),IF($C45="Material",IFERROR(IF(SUMIFS(MATERIAL_TARIFF_RULES!$G:$G,MATERIAL_TARIFF_RULES!$A:$A,$D45,MATERIAL_TARIFF_RULES!$C:$C,$B45)&lt;&gt;"",SUMIFS(MATERIAL_TARIFF_RULES!$G:$G,MATERIAL_TARIFF_RULES!$A:$A,$D45,MATERIAL_TARIFF_RULES!$C:$C,$B45),SUMIFS(MATERIAL_VARIANTS!$J:$J,MATERIAL_VARIANTS!$A:$A,$E45)),""),IF($C45="Logistics","Мобилизация и логистика объекта",""))))</f>
        <v/>
      </c>
      <c r="G45" s="17"/>
      <c r="H45" s="17"/>
      <c r="I45" s="31" t="str">
        <f>IF($C45="","",IF($C45="Work",IFERROR(SUMIFS(WORK_MASTER!$I:$I,WORK_MASTER!$A:$A,$D45),0),IF($C45="Material",IFERROR(SUMIFS(MATERIAL_VARIANTS!$I:$I,MATERIAL_VARIANTS!$A:$A,$E45),0),0)))</f>
        <v/>
      </c>
      <c r="J45" s="31" t="str">
        <f>IF($C45="","",IF($C45="Work",IF($E45&lt;&gt;"",IFERROR(SUMIFS(WORK_VARIANTS!$H:$H,WORK_VARIANTS!$A:$A,$E45),1),1),1))</f>
        <v/>
      </c>
      <c r="K45" s="31" t="str">
        <f>IF($C45="","",IF($C45="Work",IFERROR(SUMIFS(WORK_FACTOR_APPLICABILITY!$O:$O,WORK_FACTOR_APPLICABILITY!$A:$A,$D45,WORK_FACTOR_APPLICABILITY!$N:$N,$A45),1),IF($C45="Material",IFERROR(INDEX(MATERIAL_QUANTITY_EXAMPLE!$N:$N,MATCH(1,(MATERIAL_QUANTITY_EXAMPLE!$A:$A=MATERIAL_QUANTITY_EXAMPLE!$A:$A)*(MATERIAL_QUANTITY_EXAMPLE!$B:$B=$A45)*(MATERIAL_QUANTITY_EXAMPLE!$C:$C=$D45),0)),1),1)))</f>
        <v/>
      </c>
      <c r="L45" s="31" t="str">
        <f>IF($A45="","",IF($C45="Material",1,IFERROR(INDEX(OBJECT_CONDITIONS!$AH:$AH,MATCH($A45,OBJECT_CONDITIONS!$A:$A,0))*INDEX(OBJECT_CONDITIONS!$AJ:$AJ,MATCH($A45,OBJECT_CONDITIONS!$A:$A,0))*INDEX(OBJECT_CONDITIONS!$AL:$AL,MATCH($A45,OBJECT_CONDITIONS!$A:$A,0)),1)))</f>
        <v/>
      </c>
      <c r="M45" s="31" t="str">
        <f>IF($B45="","",IF($C45="Work",IFERROR(IF(SUMIFS(WORK_TARIFF_RULES!$F:$F,WORK_TARIFF_RULES!$A:$A,$D45,WORK_TARIFF_RULES!$C:$C,$B45)&lt;&gt;"",SUMIFS(WORK_TARIFF_RULES!$F:$F,WORK_TARIFF_RULES!$A:$A,$D45,WORK_TARIFF_RULES!$C:$C,$B45),SUMIFS(TARIFF_PROFILES!$D:$D,TARIFF_PROFILES!$A:$A,$B45)),1),IF($C45="Material",IFERROR(IF(SUMIFS(MATERIAL_TARIFF_RULES!$E:$E,MATERIAL_TARIFF_RULES!$A:$A,$D45,MATERIAL_TARIFF_RULES!$C:$C,$B45)&lt;&gt;"",SUMIFS(MATERIAL_TARIFF_RULES!$E:$E,MATERIAL_TARIFF_RULES!$A:$A,$D45,MATERIAL_TARIFF_RULES!$C:$C,$B45),SUMIFS(TARIFF_PROFILES!$E:$E,TARIFF_PROFILES!$A:$A,$B45)),1),SUMIFS(TARIFF_PROFILES!$F:$F,TARIFF_PROFILES!$A:$A,$B45))))</f>
        <v/>
      </c>
      <c r="N45" s="31">
        <f>IF($C45="Material",IFERROR(SUMIFS(MATERIAL_MASTER!$P:$P,MATERIAL_MASTER!$A:$A,$D45)*IF(SUMIFS(MATERIAL_TARIFF_RULES!$F:$F,MATERIAL_TARIFF_RULES!$A:$A,$D45,MATERIAL_TARIFF_RULES!$C:$C,$B45)="",SUMIFS(TARIFF_PROFILES!$H:$H,TARIFF_PROFILES!$A:$A,$B45),SUMIFS(MATERIAL_TARIFF_RULES!$F:$F,MATERIAL_TARIFF_RULES!$A:$A,$D45,MATERIAL_TARIFF_RULES!$C:$C,$B45)),1),1)</f>
        <v>1</v>
      </c>
      <c r="O45" s="17" t="str">
        <f t="shared" si="3"/>
        <v/>
      </c>
      <c r="P45" s="17">
        <f>IF(ROW()=2,MAX(0,INDEX(COMMERCIAL_POLICY!$B:$B,MATCH($B45,COMMERCIAL_POLICY!$A:$A,0))-SUM($Q$2:$Q$60)),0)</f>
        <v>0</v>
      </c>
      <c r="Q45" s="33" t="str">
        <f>IF($C45="","",IF($C45="Material",N($I45)*N($K45)*N($M45)*N($O45),IF($C45="Logistics",INDEX(COMMERCIAL_POLICY!$D:$D,MATCH($B45,COMMERCIAL_POLICY!$A:$A,0))*N($L45),N($I45)*N($J45)*N($K45)*N($L45)*N($M45)*N($G45))))</f>
        <v/>
      </c>
      <c r="R45" s="17" t="str">
        <f>IF($A45="","",INDEX(OBJECT_CONDITIONS!$AM:$AM,MATCH($A45,OBJECT_CONDITIONS!$A:$A,0)))</f>
        <v/>
      </c>
      <c r="S45" s="31" t="str">
        <f>IF($R45="","",INDEX(TAX_MODES!$B:$B,MATCH($R45,TAX_MODES!$A:$A,0)))</f>
        <v/>
      </c>
      <c r="T45" s="33" t="str">
        <f t="shared" si="4"/>
        <v/>
      </c>
      <c r="U45" s="17" t="str">
        <f t="shared" si="5"/>
        <v/>
      </c>
    </row>
    <row r="46" spans="1:21" x14ac:dyDescent="0.3">
      <c r="A46" s="17"/>
      <c r="B46" s="17"/>
      <c r="C46" s="17"/>
      <c r="D46" s="17"/>
      <c r="E46" s="17"/>
      <c r="F46" s="17" t="str">
        <f>IF($C46="","",IF($C46="Work",IFERROR(IF(SUMIFS(WORK_TARIFF_RULES!$G:$G,WORK_TARIFF_RULES!$A:$A,$D46,WORK_TARIFF_RULES!$C:$C,$B46)&lt;&gt;"",SUMIFS(WORK_TARIFF_RULES!$G:$G,WORK_TARIFF_RULES!$A:$A,$D46,WORK_TARIFF_RULES!$C:$C,$B46),SUMIFS(WORK_MASTER!$C:$C,WORK_MASTER!$A:$A,$D46)),""),IF($C46="Material",IFERROR(IF(SUMIFS(MATERIAL_TARIFF_RULES!$G:$G,MATERIAL_TARIFF_RULES!$A:$A,$D46,MATERIAL_TARIFF_RULES!$C:$C,$B46)&lt;&gt;"",SUMIFS(MATERIAL_TARIFF_RULES!$G:$G,MATERIAL_TARIFF_RULES!$A:$A,$D46,MATERIAL_TARIFF_RULES!$C:$C,$B46),SUMIFS(MATERIAL_VARIANTS!$J:$J,MATERIAL_VARIANTS!$A:$A,$E46)),""),IF($C46="Logistics","Мобилизация и логистика объекта",""))))</f>
        <v/>
      </c>
      <c r="G46" s="17"/>
      <c r="H46" s="17"/>
      <c r="I46" s="31" t="str">
        <f>IF($C46="","",IF($C46="Work",IFERROR(SUMIFS(WORK_MASTER!$I:$I,WORK_MASTER!$A:$A,$D46),0),IF($C46="Material",IFERROR(SUMIFS(MATERIAL_VARIANTS!$I:$I,MATERIAL_VARIANTS!$A:$A,$E46),0),0)))</f>
        <v/>
      </c>
      <c r="J46" s="31" t="str">
        <f>IF($C46="","",IF($C46="Work",IF($E46&lt;&gt;"",IFERROR(SUMIFS(WORK_VARIANTS!$H:$H,WORK_VARIANTS!$A:$A,$E46),1),1),1))</f>
        <v/>
      </c>
      <c r="K46" s="31" t="str">
        <f>IF($C46="","",IF($C46="Work",IFERROR(SUMIFS(WORK_FACTOR_APPLICABILITY!$O:$O,WORK_FACTOR_APPLICABILITY!$A:$A,$D46,WORK_FACTOR_APPLICABILITY!$N:$N,$A46),1),IF($C46="Material",IFERROR(INDEX(MATERIAL_QUANTITY_EXAMPLE!$N:$N,MATCH(1,(MATERIAL_QUANTITY_EXAMPLE!$A:$A=MATERIAL_QUANTITY_EXAMPLE!$A:$A)*(MATERIAL_QUANTITY_EXAMPLE!$B:$B=$A46)*(MATERIAL_QUANTITY_EXAMPLE!$C:$C=$D46),0)),1),1)))</f>
        <v/>
      </c>
      <c r="L46" s="31" t="str">
        <f>IF($A46="","",IF($C46="Material",1,IFERROR(INDEX(OBJECT_CONDITIONS!$AH:$AH,MATCH($A46,OBJECT_CONDITIONS!$A:$A,0))*INDEX(OBJECT_CONDITIONS!$AJ:$AJ,MATCH($A46,OBJECT_CONDITIONS!$A:$A,0))*INDEX(OBJECT_CONDITIONS!$AL:$AL,MATCH($A46,OBJECT_CONDITIONS!$A:$A,0)),1)))</f>
        <v/>
      </c>
      <c r="M46" s="31" t="str">
        <f>IF($B46="","",IF($C46="Work",IFERROR(IF(SUMIFS(WORK_TARIFF_RULES!$F:$F,WORK_TARIFF_RULES!$A:$A,$D46,WORK_TARIFF_RULES!$C:$C,$B46)&lt;&gt;"",SUMIFS(WORK_TARIFF_RULES!$F:$F,WORK_TARIFF_RULES!$A:$A,$D46,WORK_TARIFF_RULES!$C:$C,$B46),SUMIFS(TARIFF_PROFILES!$D:$D,TARIFF_PROFILES!$A:$A,$B46)),1),IF($C46="Material",IFERROR(IF(SUMIFS(MATERIAL_TARIFF_RULES!$E:$E,MATERIAL_TARIFF_RULES!$A:$A,$D46,MATERIAL_TARIFF_RULES!$C:$C,$B46)&lt;&gt;"",SUMIFS(MATERIAL_TARIFF_RULES!$E:$E,MATERIAL_TARIFF_RULES!$A:$A,$D46,MATERIAL_TARIFF_RULES!$C:$C,$B46),SUMIFS(TARIFF_PROFILES!$E:$E,TARIFF_PROFILES!$A:$A,$B46)),1),SUMIFS(TARIFF_PROFILES!$F:$F,TARIFF_PROFILES!$A:$A,$B46))))</f>
        <v/>
      </c>
      <c r="N46" s="31">
        <f>IF($C46="Material",IFERROR(SUMIFS(MATERIAL_MASTER!$P:$P,MATERIAL_MASTER!$A:$A,$D46)*IF(SUMIFS(MATERIAL_TARIFF_RULES!$F:$F,MATERIAL_TARIFF_RULES!$A:$A,$D46,MATERIAL_TARIFF_RULES!$C:$C,$B46)="",SUMIFS(TARIFF_PROFILES!$H:$H,TARIFF_PROFILES!$A:$A,$B46),SUMIFS(MATERIAL_TARIFF_RULES!$F:$F,MATERIAL_TARIFF_RULES!$A:$A,$D46,MATERIAL_TARIFF_RULES!$C:$C,$B46)),1),1)</f>
        <v>1</v>
      </c>
      <c r="O46" s="17" t="str">
        <f t="shared" si="3"/>
        <v/>
      </c>
      <c r="P46" s="17">
        <f>IF(ROW()=2,MAX(0,INDEX(COMMERCIAL_POLICY!$B:$B,MATCH($B46,COMMERCIAL_POLICY!$A:$A,0))-SUM($Q$2:$Q$60)),0)</f>
        <v>0</v>
      </c>
      <c r="Q46" s="33" t="str">
        <f>IF($C46="","",IF($C46="Material",N($I46)*N($K46)*N($M46)*N($O46),IF($C46="Logistics",INDEX(COMMERCIAL_POLICY!$D:$D,MATCH($B46,COMMERCIAL_POLICY!$A:$A,0))*N($L46),N($I46)*N($J46)*N($K46)*N($L46)*N($M46)*N($G46))))</f>
        <v/>
      </c>
      <c r="R46" s="17" t="str">
        <f>IF($A46="","",INDEX(OBJECT_CONDITIONS!$AM:$AM,MATCH($A46,OBJECT_CONDITIONS!$A:$A,0)))</f>
        <v/>
      </c>
      <c r="S46" s="31" t="str">
        <f>IF($R46="","",INDEX(TAX_MODES!$B:$B,MATCH($R46,TAX_MODES!$A:$A,0)))</f>
        <v/>
      </c>
      <c r="T46" s="33" t="str">
        <f t="shared" si="4"/>
        <v/>
      </c>
      <c r="U46" s="17" t="str">
        <f t="shared" si="5"/>
        <v/>
      </c>
    </row>
    <row r="47" spans="1:21" x14ac:dyDescent="0.3">
      <c r="A47" s="17"/>
      <c r="B47" s="17"/>
      <c r="C47" s="17"/>
      <c r="D47" s="17"/>
      <c r="E47" s="17"/>
      <c r="F47" s="17" t="str">
        <f>IF($C47="","",IF($C47="Work",IFERROR(IF(SUMIFS(WORK_TARIFF_RULES!$G:$G,WORK_TARIFF_RULES!$A:$A,$D47,WORK_TARIFF_RULES!$C:$C,$B47)&lt;&gt;"",SUMIFS(WORK_TARIFF_RULES!$G:$G,WORK_TARIFF_RULES!$A:$A,$D47,WORK_TARIFF_RULES!$C:$C,$B47),SUMIFS(WORK_MASTER!$C:$C,WORK_MASTER!$A:$A,$D47)),""),IF($C47="Material",IFERROR(IF(SUMIFS(MATERIAL_TARIFF_RULES!$G:$G,MATERIAL_TARIFF_RULES!$A:$A,$D47,MATERIAL_TARIFF_RULES!$C:$C,$B47)&lt;&gt;"",SUMIFS(MATERIAL_TARIFF_RULES!$G:$G,MATERIAL_TARIFF_RULES!$A:$A,$D47,MATERIAL_TARIFF_RULES!$C:$C,$B47),SUMIFS(MATERIAL_VARIANTS!$J:$J,MATERIAL_VARIANTS!$A:$A,$E47)),""),IF($C47="Logistics","Мобилизация и логистика объекта",""))))</f>
        <v/>
      </c>
      <c r="G47" s="17"/>
      <c r="H47" s="17"/>
      <c r="I47" s="31" t="str">
        <f>IF($C47="","",IF($C47="Work",IFERROR(SUMIFS(WORK_MASTER!$I:$I,WORK_MASTER!$A:$A,$D47),0),IF($C47="Material",IFERROR(SUMIFS(MATERIAL_VARIANTS!$I:$I,MATERIAL_VARIANTS!$A:$A,$E47),0),0)))</f>
        <v/>
      </c>
      <c r="J47" s="31" t="str">
        <f>IF($C47="","",IF($C47="Work",IF($E47&lt;&gt;"",IFERROR(SUMIFS(WORK_VARIANTS!$H:$H,WORK_VARIANTS!$A:$A,$E47),1),1),1))</f>
        <v/>
      </c>
      <c r="K47" s="31" t="str">
        <f>IF($C47="","",IF($C47="Work",IFERROR(SUMIFS(WORK_FACTOR_APPLICABILITY!$O:$O,WORK_FACTOR_APPLICABILITY!$A:$A,$D47,WORK_FACTOR_APPLICABILITY!$N:$N,$A47),1),IF($C47="Material",IFERROR(INDEX(MATERIAL_QUANTITY_EXAMPLE!$N:$N,MATCH(1,(MATERIAL_QUANTITY_EXAMPLE!$A:$A=MATERIAL_QUANTITY_EXAMPLE!$A:$A)*(MATERIAL_QUANTITY_EXAMPLE!$B:$B=$A47)*(MATERIAL_QUANTITY_EXAMPLE!$C:$C=$D47),0)),1),1)))</f>
        <v/>
      </c>
      <c r="L47" s="31" t="str">
        <f>IF($A47="","",IF($C47="Material",1,IFERROR(INDEX(OBJECT_CONDITIONS!$AH:$AH,MATCH($A47,OBJECT_CONDITIONS!$A:$A,0))*INDEX(OBJECT_CONDITIONS!$AJ:$AJ,MATCH($A47,OBJECT_CONDITIONS!$A:$A,0))*INDEX(OBJECT_CONDITIONS!$AL:$AL,MATCH($A47,OBJECT_CONDITIONS!$A:$A,0)),1)))</f>
        <v/>
      </c>
      <c r="M47" s="31" t="str">
        <f>IF($B47="","",IF($C47="Work",IFERROR(IF(SUMIFS(WORK_TARIFF_RULES!$F:$F,WORK_TARIFF_RULES!$A:$A,$D47,WORK_TARIFF_RULES!$C:$C,$B47)&lt;&gt;"",SUMIFS(WORK_TARIFF_RULES!$F:$F,WORK_TARIFF_RULES!$A:$A,$D47,WORK_TARIFF_RULES!$C:$C,$B47),SUMIFS(TARIFF_PROFILES!$D:$D,TARIFF_PROFILES!$A:$A,$B47)),1),IF($C47="Material",IFERROR(IF(SUMIFS(MATERIAL_TARIFF_RULES!$E:$E,MATERIAL_TARIFF_RULES!$A:$A,$D47,MATERIAL_TARIFF_RULES!$C:$C,$B47)&lt;&gt;"",SUMIFS(MATERIAL_TARIFF_RULES!$E:$E,MATERIAL_TARIFF_RULES!$A:$A,$D47,MATERIAL_TARIFF_RULES!$C:$C,$B47),SUMIFS(TARIFF_PROFILES!$E:$E,TARIFF_PROFILES!$A:$A,$B47)),1),SUMIFS(TARIFF_PROFILES!$F:$F,TARIFF_PROFILES!$A:$A,$B47))))</f>
        <v/>
      </c>
      <c r="N47" s="31">
        <f>IF($C47="Material",IFERROR(SUMIFS(MATERIAL_MASTER!$P:$P,MATERIAL_MASTER!$A:$A,$D47)*IF(SUMIFS(MATERIAL_TARIFF_RULES!$F:$F,MATERIAL_TARIFF_RULES!$A:$A,$D47,MATERIAL_TARIFF_RULES!$C:$C,$B47)="",SUMIFS(TARIFF_PROFILES!$H:$H,TARIFF_PROFILES!$A:$A,$B47),SUMIFS(MATERIAL_TARIFF_RULES!$F:$F,MATERIAL_TARIFF_RULES!$A:$A,$D47,MATERIAL_TARIFF_RULES!$C:$C,$B47)),1),1)</f>
        <v>1</v>
      </c>
      <c r="O47" s="17" t="str">
        <f t="shared" si="3"/>
        <v/>
      </c>
      <c r="P47" s="17">
        <f>IF(ROW()=2,MAX(0,INDEX(COMMERCIAL_POLICY!$B:$B,MATCH($B47,COMMERCIAL_POLICY!$A:$A,0))-SUM($Q$2:$Q$60)),0)</f>
        <v>0</v>
      </c>
      <c r="Q47" s="33" t="str">
        <f>IF($C47="","",IF($C47="Material",N($I47)*N($K47)*N($M47)*N($O47),IF($C47="Logistics",INDEX(COMMERCIAL_POLICY!$D:$D,MATCH($B47,COMMERCIAL_POLICY!$A:$A,0))*N($L47),N($I47)*N($J47)*N($K47)*N($L47)*N($M47)*N($G47))))</f>
        <v/>
      </c>
      <c r="R47" s="17" t="str">
        <f>IF($A47="","",INDEX(OBJECT_CONDITIONS!$AM:$AM,MATCH($A47,OBJECT_CONDITIONS!$A:$A,0)))</f>
        <v/>
      </c>
      <c r="S47" s="31" t="str">
        <f>IF($R47="","",INDEX(TAX_MODES!$B:$B,MATCH($R47,TAX_MODES!$A:$A,0)))</f>
        <v/>
      </c>
      <c r="T47" s="33" t="str">
        <f t="shared" si="4"/>
        <v/>
      </c>
      <c r="U47" s="17" t="str">
        <f t="shared" si="5"/>
        <v/>
      </c>
    </row>
    <row r="48" spans="1:21" x14ac:dyDescent="0.3">
      <c r="A48" s="17"/>
      <c r="B48" s="17"/>
      <c r="C48" s="17"/>
      <c r="D48" s="17"/>
      <c r="E48" s="17"/>
      <c r="F48" s="17" t="str">
        <f>IF($C48="","",IF($C48="Work",IFERROR(IF(SUMIFS(WORK_TARIFF_RULES!$G:$G,WORK_TARIFF_RULES!$A:$A,$D48,WORK_TARIFF_RULES!$C:$C,$B48)&lt;&gt;"",SUMIFS(WORK_TARIFF_RULES!$G:$G,WORK_TARIFF_RULES!$A:$A,$D48,WORK_TARIFF_RULES!$C:$C,$B48),SUMIFS(WORK_MASTER!$C:$C,WORK_MASTER!$A:$A,$D48)),""),IF($C48="Material",IFERROR(IF(SUMIFS(MATERIAL_TARIFF_RULES!$G:$G,MATERIAL_TARIFF_RULES!$A:$A,$D48,MATERIAL_TARIFF_RULES!$C:$C,$B48)&lt;&gt;"",SUMIFS(MATERIAL_TARIFF_RULES!$G:$G,MATERIAL_TARIFF_RULES!$A:$A,$D48,MATERIAL_TARIFF_RULES!$C:$C,$B48),SUMIFS(MATERIAL_VARIANTS!$J:$J,MATERIAL_VARIANTS!$A:$A,$E48)),""),IF($C48="Logistics","Мобилизация и логистика объекта",""))))</f>
        <v/>
      </c>
      <c r="G48" s="17"/>
      <c r="H48" s="17"/>
      <c r="I48" s="31" t="str">
        <f>IF($C48="","",IF($C48="Work",IFERROR(SUMIFS(WORK_MASTER!$I:$I,WORK_MASTER!$A:$A,$D48),0),IF($C48="Material",IFERROR(SUMIFS(MATERIAL_VARIANTS!$I:$I,MATERIAL_VARIANTS!$A:$A,$E48),0),0)))</f>
        <v/>
      </c>
      <c r="J48" s="31" t="str">
        <f>IF($C48="","",IF($C48="Work",IF($E48&lt;&gt;"",IFERROR(SUMIFS(WORK_VARIANTS!$H:$H,WORK_VARIANTS!$A:$A,$E48),1),1),1))</f>
        <v/>
      </c>
      <c r="K48" s="31" t="str">
        <f>IF($C48="","",IF($C48="Work",IFERROR(SUMIFS(WORK_FACTOR_APPLICABILITY!$O:$O,WORK_FACTOR_APPLICABILITY!$A:$A,$D48,WORK_FACTOR_APPLICABILITY!$N:$N,$A48),1),IF($C48="Material",IFERROR(INDEX(MATERIAL_QUANTITY_EXAMPLE!$N:$N,MATCH(1,(MATERIAL_QUANTITY_EXAMPLE!$A:$A=MATERIAL_QUANTITY_EXAMPLE!$A:$A)*(MATERIAL_QUANTITY_EXAMPLE!$B:$B=$A48)*(MATERIAL_QUANTITY_EXAMPLE!$C:$C=$D48),0)),1),1)))</f>
        <v/>
      </c>
      <c r="L48" s="31" t="str">
        <f>IF($A48="","",IF($C48="Material",1,IFERROR(INDEX(OBJECT_CONDITIONS!$AH:$AH,MATCH($A48,OBJECT_CONDITIONS!$A:$A,0))*INDEX(OBJECT_CONDITIONS!$AJ:$AJ,MATCH($A48,OBJECT_CONDITIONS!$A:$A,0))*INDEX(OBJECT_CONDITIONS!$AL:$AL,MATCH($A48,OBJECT_CONDITIONS!$A:$A,0)),1)))</f>
        <v/>
      </c>
      <c r="M48" s="31" t="str">
        <f>IF($B48="","",IF($C48="Work",IFERROR(IF(SUMIFS(WORK_TARIFF_RULES!$F:$F,WORK_TARIFF_RULES!$A:$A,$D48,WORK_TARIFF_RULES!$C:$C,$B48)&lt;&gt;"",SUMIFS(WORK_TARIFF_RULES!$F:$F,WORK_TARIFF_RULES!$A:$A,$D48,WORK_TARIFF_RULES!$C:$C,$B48),SUMIFS(TARIFF_PROFILES!$D:$D,TARIFF_PROFILES!$A:$A,$B48)),1),IF($C48="Material",IFERROR(IF(SUMIFS(MATERIAL_TARIFF_RULES!$E:$E,MATERIAL_TARIFF_RULES!$A:$A,$D48,MATERIAL_TARIFF_RULES!$C:$C,$B48)&lt;&gt;"",SUMIFS(MATERIAL_TARIFF_RULES!$E:$E,MATERIAL_TARIFF_RULES!$A:$A,$D48,MATERIAL_TARIFF_RULES!$C:$C,$B48),SUMIFS(TARIFF_PROFILES!$E:$E,TARIFF_PROFILES!$A:$A,$B48)),1),SUMIFS(TARIFF_PROFILES!$F:$F,TARIFF_PROFILES!$A:$A,$B48))))</f>
        <v/>
      </c>
      <c r="N48" s="31">
        <f>IF($C48="Material",IFERROR(SUMIFS(MATERIAL_MASTER!$P:$P,MATERIAL_MASTER!$A:$A,$D48)*IF(SUMIFS(MATERIAL_TARIFF_RULES!$F:$F,MATERIAL_TARIFF_RULES!$A:$A,$D48,MATERIAL_TARIFF_RULES!$C:$C,$B48)="",SUMIFS(TARIFF_PROFILES!$H:$H,TARIFF_PROFILES!$A:$A,$B48),SUMIFS(MATERIAL_TARIFF_RULES!$F:$F,MATERIAL_TARIFF_RULES!$A:$A,$D48,MATERIAL_TARIFF_RULES!$C:$C,$B48)),1),1)</f>
        <v>1</v>
      </c>
      <c r="O48" s="17" t="str">
        <f t="shared" si="3"/>
        <v/>
      </c>
      <c r="P48" s="17">
        <f>IF(ROW()=2,MAX(0,INDEX(COMMERCIAL_POLICY!$B:$B,MATCH($B48,COMMERCIAL_POLICY!$A:$A,0))-SUM($Q$2:$Q$60)),0)</f>
        <v>0</v>
      </c>
      <c r="Q48" s="33" t="str">
        <f>IF($C48="","",IF($C48="Material",N($I48)*N($K48)*N($M48)*N($O48),IF($C48="Logistics",INDEX(COMMERCIAL_POLICY!$D:$D,MATCH($B48,COMMERCIAL_POLICY!$A:$A,0))*N($L48),N($I48)*N($J48)*N($K48)*N($L48)*N($M48)*N($G48))))</f>
        <v/>
      </c>
      <c r="R48" s="17" t="str">
        <f>IF($A48="","",INDEX(OBJECT_CONDITIONS!$AM:$AM,MATCH($A48,OBJECT_CONDITIONS!$A:$A,0)))</f>
        <v/>
      </c>
      <c r="S48" s="31" t="str">
        <f>IF($R48="","",INDEX(TAX_MODES!$B:$B,MATCH($R48,TAX_MODES!$A:$A,0)))</f>
        <v/>
      </c>
      <c r="T48" s="33" t="str">
        <f t="shared" si="4"/>
        <v/>
      </c>
      <c r="U48" s="17" t="str">
        <f t="shared" si="5"/>
        <v/>
      </c>
    </row>
    <row r="49" spans="1:21" x14ac:dyDescent="0.3">
      <c r="A49" s="17"/>
      <c r="B49" s="17"/>
      <c r="C49" s="17"/>
      <c r="D49" s="17"/>
      <c r="E49" s="17"/>
      <c r="F49" s="17" t="str">
        <f>IF($C49="","",IF($C49="Work",IFERROR(IF(SUMIFS(WORK_TARIFF_RULES!$G:$G,WORK_TARIFF_RULES!$A:$A,$D49,WORK_TARIFF_RULES!$C:$C,$B49)&lt;&gt;"",SUMIFS(WORK_TARIFF_RULES!$G:$G,WORK_TARIFF_RULES!$A:$A,$D49,WORK_TARIFF_RULES!$C:$C,$B49),SUMIFS(WORK_MASTER!$C:$C,WORK_MASTER!$A:$A,$D49)),""),IF($C49="Material",IFERROR(IF(SUMIFS(MATERIAL_TARIFF_RULES!$G:$G,MATERIAL_TARIFF_RULES!$A:$A,$D49,MATERIAL_TARIFF_RULES!$C:$C,$B49)&lt;&gt;"",SUMIFS(MATERIAL_TARIFF_RULES!$G:$G,MATERIAL_TARIFF_RULES!$A:$A,$D49,MATERIAL_TARIFF_RULES!$C:$C,$B49),SUMIFS(MATERIAL_VARIANTS!$J:$J,MATERIAL_VARIANTS!$A:$A,$E49)),""),IF($C49="Logistics","Мобилизация и логистика объекта",""))))</f>
        <v/>
      </c>
      <c r="G49" s="17"/>
      <c r="H49" s="17"/>
      <c r="I49" s="31" t="str">
        <f>IF($C49="","",IF($C49="Work",IFERROR(SUMIFS(WORK_MASTER!$I:$I,WORK_MASTER!$A:$A,$D49),0),IF($C49="Material",IFERROR(SUMIFS(MATERIAL_VARIANTS!$I:$I,MATERIAL_VARIANTS!$A:$A,$E49),0),0)))</f>
        <v/>
      </c>
      <c r="J49" s="31" t="str">
        <f>IF($C49="","",IF($C49="Work",IF($E49&lt;&gt;"",IFERROR(SUMIFS(WORK_VARIANTS!$H:$H,WORK_VARIANTS!$A:$A,$E49),1),1),1))</f>
        <v/>
      </c>
      <c r="K49" s="31" t="str">
        <f>IF($C49="","",IF($C49="Work",IFERROR(SUMIFS(WORK_FACTOR_APPLICABILITY!$O:$O,WORK_FACTOR_APPLICABILITY!$A:$A,$D49,WORK_FACTOR_APPLICABILITY!$N:$N,$A49),1),IF($C49="Material",IFERROR(INDEX(MATERIAL_QUANTITY_EXAMPLE!$N:$N,MATCH(1,(MATERIAL_QUANTITY_EXAMPLE!$A:$A=MATERIAL_QUANTITY_EXAMPLE!$A:$A)*(MATERIAL_QUANTITY_EXAMPLE!$B:$B=$A49)*(MATERIAL_QUANTITY_EXAMPLE!$C:$C=$D49),0)),1),1)))</f>
        <v/>
      </c>
      <c r="L49" s="31" t="str">
        <f>IF($A49="","",IF($C49="Material",1,IFERROR(INDEX(OBJECT_CONDITIONS!$AH:$AH,MATCH($A49,OBJECT_CONDITIONS!$A:$A,0))*INDEX(OBJECT_CONDITIONS!$AJ:$AJ,MATCH($A49,OBJECT_CONDITIONS!$A:$A,0))*INDEX(OBJECT_CONDITIONS!$AL:$AL,MATCH($A49,OBJECT_CONDITIONS!$A:$A,0)),1)))</f>
        <v/>
      </c>
      <c r="M49" s="31" t="str">
        <f>IF($B49="","",IF($C49="Work",IFERROR(IF(SUMIFS(WORK_TARIFF_RULES!$F:$F,WORK_TARIFF_RULES!$A:$A,$D49,WORK_TARIFF_RULES!$C:$C,$B49)&lt;&gt;"",SUMIFS(WORK_TARIFF_RULES!$F:$F,WORK_TARIFF_RULES!$A:$A,$D49,WORK_TARIFF_RULES!$C:$C,$B49),SUMIFS(TARIFF_PROFILES!$D:$D,TARIFF_PROFILES!$A:$A,$B49)),1),IF($C49="Material",IFERROR(IF(SUMIFS(MATERIAL_TARIFF_RULES!$E:$E,MATERIAL_TARIFF_RULES!$A:$A,$D49,MATERIAL_TARIFF_RULES!$C:$C,$B49)&lt;&gt;"",SUMIFS(MATERIAL_TARIFF_RULES!$E:$E,MATERIAL_TARIFF_RULES!$A:$A,$D49,MATERIAL_TARIFF_RULES!$C:$C,$B49),SUMIFS(TARIFF_PROFILES!$E:$E,TARIFF_PROFILES!$A:$A,$B49)),1),SUMIFS(TARIFF_PROFILES!$F:$F,TARIFF_PROFILES!$A:$A,$B49))))</f>
        <v/>
      </c>
      <c r="N49" s="31">
        <f>IF($C49="Material",IFERROR(SUMIFS(MATERIAL_MASTER!$P:$P,MATERIAL_MASTER!$A:$A,$D49)*IF(SUMIFS(MATERIAL_TARIFF_RULES!$F:$F,MATERIAL_TARIFF_RULES!$A:$A,$D49,MATERIAL_TARIFF_RULES!$C:$C,$B49)="",SUMIFS(TARIFF_PROFILES!$H:$H,TARIFF_PROFILES!$A:$A,$B49),SUMIFS(MATERIAL_TARIFF_RULES!$F:$F,MATERIAL_TARIFF_RULES!$A:$A,$D49,MATERIAL_TARIFF_RULES!$C:$C,$B49)),1),1)</f>
        <v>1</v>
      </c>
      <c r="O49" s="17" t="str">
        <f t="shared" si="3"/>
        <v/>
      </c>
      <c r="P49" s="17">
        <f>IF(ROW()=2,MAX(0,INDEX(COMMERCIAL_POLICY!$B:$B,MATCH($B49,COMMERCIAL_POLICY!$A:$A,0))-SUM($Q$2:$Q$60)),0)</f>
        <v>0</v>
      </c>
      <c r="Q49" s="33" t="str">
        <f>IF($C49="","",IF($C49="Material",N($I49)*N($K49)*N($M49)*N($O49),IF($C49="Logistics",INDEX(COMMERCIAL_POLICY!$D:$D,MATCH($B49,COMMERCIAL_POLICY!$A:$A,0))*N($L49),N($I49)*N($J49)*N($K49)*N($L49)*N($M49)*N($G49))))</f>
        <v/>
      </c>
      <c r="R49" s="17" t="str">
        <f>IF($A49="","",INDEX(OBJECT_CONDITIONS!$AM:$AM,MATCH($A49,OBJECT_CONDITIONS!$A:$A,0)))</f>
        <v/>
      </c>
      <c r="S49" s="31" t="str">
        <f>IF($R49="","",INDEX(TAX_MODES!$B:$B,MATCH($R49,TAX_MODES!$A:$A,0)))</f>
        <v/>
      </c>
      <c r="T49" s="33" t="str">
        <f t="shared" si="4"/>
        <v/>
      </c>
      <c r="U49" s="17" t="str">
        <f t="shared" si="5"/>
        <v/>
      </c>
    </row>
    <row r="50" spans="1:21" x14ac:dyDescent="0.3">
      <c r="A50" s="17"/>
      <c r="B50" s="17"/>
      <c r="C50" s="17"/>
      <c r="D50" s="17"/>
      <c r="E50" s="17"/>
      <c r="F50" s="17" t="str">
        <f>IF($C50="","",IF($C50="Work",IFERROR(IF(SUMIFS(WORK_TARIFF_RULES!$G:$G,WORK_TARIFF_RULES!$A:$A,$D50,WORK_TARIFF_RULES!$C:$C,$B50)&lt;&gt;"",SUMIFS(WORK_TARIFF_RULES!$G:$G,WORK_TARIFF_RULES!$A:$A,$D50,WORK_TARIFF_RULES!$C:$C,$B50),SUMIFS(WORK_MASTER!$C:$C,WORK_MASTER!$A:$A,$D50)),""),IF($C50="Material",IFERROR(IF(SUMIFS(MATERIAL_TARIFF_RULES!$G:$G,MATERIAL_TARIFF_RULES!$A:$A,$D50,MATERIAL_TARIFF_RULES!$C:$C,$B50)&lt;&gt;"",SUMIFS(MATERIAL_TARIFF_RULES!$G:$G,MATERIAL_TARIFF_RULES!$A:$A,$D50,MATERIAL_TARIFF_RULES!$C:$C,$B50),SUMIFS(MATERIAL_VARIANTS!$J:$J,MATERIAL_VARIANTS!$A:$A,$E50)),""),IF($C50="Logistics","Мобилизация и логистика объекта",""))))</f>
        <v/>
      </c>
      <c r="G50" s="17"/>
      <c r="H50" s="17"/>
      <c r="I50" s="31" t="str">
        <f>IF($C50="","",IF($C50="Work",IFERROR(SUMIFS(WORK_MASTER!$I:$I,WORK_MASTER!$A:$A,$D50),0),IF($C50="Material",IFERROR(SUMIFS(MATERIAL_VARIANTS!$I:$I,MATERIAL_VARIANTS!$A:$A,$E50),0),0)))</f>
        <v/>
      </c>
      <c r="J50" s="31" t="str">
        <f>IF($C50="","",IF($C50="Work",IF($E50&lt;&gt;"",IFERROR(SUMIFS(WORK_VARIANTS!$H:$H,WORK_VARIANTS!$A:$A,$E50),1),1),1))</f>
        <v/>
      </c>
      <c r="K50" s="31" t="str">
        <f>IF($C50="","",IF($C50="Work",IFERROR(SUMIFS(WORK_FACTOR_APPLICABILITY!$O:$O,WORK_FACTOR_APPLICABILITY!$A:$A,$D50,WORK_FACTOR_APPLICABILITY!$N:$N,$A50),1),IF($C50="Material",IFERROR(INDEX(MATERIAL_QUANTITY_EXAMPLE!$N:$N,MATCH(1,(MATERIAL_QUANTITY_EXAMPLE!$A:$A=MATERIAL_QUANTITY_EXAMPLE!$A:$A)*(MATERIAL_QUANTITY_EXAMPLE!$B:$B=$A50)*(MATERIAL_QUANTITY_EXAMPLE!$C:$C=$D50),0)),1),1)))</f>
        <v/>
      </c>
      <c r="L50" s="31" t="str">
        <f>IF($A50="","",IF($C50="Material",1,IFERROR(INDEX(OBJECT_CONDITIONS!$AH:$AH,MATCH($A50,OBJECT_CONDITIONS!$A:$A,0))*INDEX(OBJECT_CONDITIONS!$AJ:$AJ,MATCH($A50,OBJECT_CONDITIONS!$A:$A,0))*INDEX(OBJECT_CONDITIONS!$AL:$AL,MATCH($A50,OBJECT_CONDITIONS!$A:$A,0)),1)))</f>
        <v/>
      </c>
      <c r="M50" s="31" t="str">
        <f>IF($B50="","",IF($C50="Work",IFERROR(IF(SUMIFS(WORK_TARIFF_RULES!$F:$F,WORK_TARIFF_RULES!$A:$A,$D50,WORK_TARIFF_RULES!$C:$C,$B50)&lt;&gt;"",SUMIFS(WORK_TARIFF_RULES!$F:$F,WORK_TARIFF_RULES!$A:$A,$D50,WORK_TARIFF_RULES!$C:$C,$B50),SUMIFS(TARIFF_PROFILES!$D:$D,TARIFF_PROFILES!$A:$A,$B50)),1),IF($C50="Material",IFERROR(IF(SUMIFS(MATERIAL_TARIFF_RULES!$E:$E,MATERIAL_TARIFF_RULES!$A:$A,$D50,MATERIAL_TARIFF_RULES!$C:$C,$B50)&lt;&gt;"",SUMIFS(MATERIAL_TARIFF_RULES!$E:$E,MATERIAL_TARIFF_RULES!$A:$A,$D50,MATERIAL_TARIFF_RULES!$C:$C,$B50),SUMIFS(TARIFF_PROFILES!$E:$E,TARIFF_PROFILES!$A:$A,$B50)),1),SUMIFS(TARIFF_PROFILES!$F:$F,TARIFF_PROFILES!$A:$A,$B50))))</f>
        <v/>
      </c>
      <c r="N50" s="31">
        <f>IF($C50="Material",IFERROR(SUMIFS(MATERIAL_MASTER!$P:$P,MATERIAL_MASTER!$A:$A,$D50)*IF(SUMIFS(MATERIAL_TARIFF_RULES!$F:$F,MATERIAL_TARIFF_RULES!$A:$A,$D50,MATERIAL_TARIFF_RULES!$C:$C,$B50)="",SUMIFS(TARIFF_PROFILES!$H:$H,TARIFF_PROFILES!$A:$A,$B50),SUMIFS(MATERIAL_TARIFF_RULES!$F:$F,MATERIAL_TARIFF_RULES!$A:$A,$D50,MATERIAL_TARIFF_RULES!$C:$C,$B50)),1),1)</f>
        <v>1</v>
      </c>
      <c r="O50" s="17" t="str">
        <f t="shared" si="3"/>
        <v/>
      </c>
      <c r="P50" s="17">
        <f>IF(ROW()=2,MAX(0,INDEX(COMMERCIAL_POLICY!$B:$B,MATCH($B50,COMMERCIAL_POLICY!$A:$A,0))-SUM($Q$2:$Q$60)),0)</f>
        <v>0</v>
      </c>
      <c r="Q50" s="33" t="str">
        <f>IF($C50="","",IF($C50="Material",N($I50)*N($K50)*N($M50)*N($O50),IF($C50="Logistics",INDEX(COMMERCIAL_POLICY!$D:$D,MATCH($B50,COMMERCIAL_POLICY!$A:$A,0))*N($L50),N($I50)*N($J50)*N($K50)*N($L50)*N($M50)*N($G50))))</f>
        <v/>
      </c>
      <c r="R50" s="17" t="str">
        <f>IF($A50="","",INDEX(OBJECT_CONDITIONS!$AM:$AM,MATCH($A50,OBJECT_CONDITIONS!$A:$A,0)))</f>
        <v/>
      </c>
      <c r="S50" s="31" t="str">
        <f>IF($R50="","",INDEX(TAX_MODES!$B:$B,MATCH($R50,TAX_MODES!$A:$A,0)))</f>
        <v/>
      </c>
      <c r="T50" s="33" t="str">
        <f t="shared" si="4"/>
        <v/>
      </c>
      <c r="U50" s="17" t="str">
        <f t="shared" si="5"/>
        <v/>
      </c>
    </row>
    <row r="51" spans="1:21" x14ac:dyDescent="0.3">
      <c r="A51" s="17"/>
      <c r="B51" s="17"/>
      <c r="C51" s="17"/>
      <c r="D51" s="17"/>
      <c r="E51" s="17"/>
      <c r="F51" s="17" t="str">
        <f>IF($C51="","",IF($C51="Work",IFERROR(IF(SUMIFS(WORK_TARIFF_RULES!$G:$G,WORK_TARIFF_RULES!$A:$A,$D51,WORK_TARIFF_RULES!$C:$C,$B51)&lt;&gt;"",SUMIFS(WORK_TARIFF_RULES!$G:$G,WORK_TARIFF_RULES!$A:$A,$D51,WORK_TARIFF_RULES!$C:$C,$B51),SUMIFS(WORK_MASTER!$C:$C,WORK_MASTER!$A:$A,$D51)),""),IF($C51="Material",IFERROR(IF(SUMIFS(MATERIAL_TARIFF_RULES!$G:$G,MATERIAL_TARIFF_RULES!$A:$A,$D51,MATERIAL_TARIFF_RULES!$C:$C,$B51)&lt;&gt;"",SUMIFS(MATERIAL_TARIFF_RULES!$G:$G,MATERIAL_TARIFF_RULES!$A:$A,$D51,MATERIAL_TARIFF_RULES!$C:$C,$B51),SUMIFS(MATERIAL_VARIANTS!$J:$J,MATERIAL_VARIANTS!$A:$A,$E51)),""),IF($C51="Logistics","Мобилизация и логистика объекта",""))))</f>
        <v/>
      </c>
      <c r="G51" s="17"/>
      <c r="H51" s="17"/>
      <c r="I51" s="31" t="str">
        <f>IF($C51="","",IF($C51="Work",IFERROR(SUMIFS(WORK_MASTER!$I:$I,WORK_MASTER!$A:$A,$D51),0),IF($C51="Material",IFERROR(SUMIFS(MATERIAL_VARIANTS!$I:$I,MATERIAL_VARIANTS!$A:$A,$E51),0),0)))</f>
        <v/>
      </c>
      <c r="J51" s="31" t="str">
        <f>IF($C51="","",IF($C51="Work",IF($E51&lt;&gt;"",IFERROR(SUMIFS(WORK_VARIANTS!$H:$H,WORK_VARIANTS!$A:$A,$E51),1),1),1))</f>
        <v/>
      </c>
      <c r="K51" s="31" t="str">
        <f>IF($C51="","",IF($C51="Work",IFERROR(SUMIFS(WORK_FACTOR_APPLICABILITY!$O:$O,WORK_FACTOR_APPLICABILITY!$A:$A,$D51,WORK_FACTOR_APPLICABILITY!$N:$N,$A51),1),IF($C51="Material",IFERROR(INDEX(MATERIAL_QUANTITY_EXAMPLE!$N:$N,MATCH(1,(MATERIAL_QUANTITY_EXAMPLE!$A:$A=MATERIAL_QUANTITY_EXAMPLE!$A:$A)*(MATERIAL_QUANTITY_EXAMPLE!$B:$B=$A51)*(MATERIAL_QUANTITY_EXAMPLE!$C:$C=$D51),0)),1),1)))</f>
        <v/>
      </c>
      <c r="L51" s="31" t="str">
        <f>IF($A51="","",IF($C51="Material",1,IFERROR(INDEX(OBJECT_CONDITIONS!$AH:$AH,MATCH($A51,OBJECT_CONDITIONS!$A:$A,0))*INDEX(OBJECT_CONDITIONS!$AJ:$AJ,MATCH($A51,OBJECT_CONDITIONS!$A:$A,0))*INDEX(OBJECT_CONDITIONS!$AL:$AL,MATCH($A51,OBJECT_CONDITIONS!$A:$A,0)),1)))</f>
        <v/>
      </c>
      <c r="M51" s="31" t="str">
        <f>IF($B51="","",IF($C51="Work",IFERROR(IF(SUMIFS(WORK_TARIFF_RULES!$F:$F,WORK_TARIFF_RULES!$A:$A,$D51,WORK_TARIFF_RULES!$C:$C,$B51)&lt;&gt;"",SUMIFS(WORK_TARIFF_RULES!$F:$F,WORK_TARIFF_RULES!$A:$A,$D51,WORK_TARIFF_RULES!$C:$C,$B51),SUMIFS(TARIFF_PROFILES!$D:$D,TARIFF_PROFILES!$A:$A,$B51)),1),IF($C51="Material",IFERROR(IF(SUMIFS(MATERIAL_TARIFF_RULES!$E:$E,MATERIAL_TARIFF_RULES!$A:$A,$D51,MATERIAL_TARIFF_RULES!$C:$C,$B51)&lt;&gt;"",SUMIFS(MATERIAL_TARIFF_RULES!$E:$E,MATERIAL_TARIFF_RULES!$A:$A,$D51,MATERIAL_TARIFF_RULES!$C:$C,$B51),SUMIFS(TARIFF_PROFILES!$E:$E,TARIFF_PROFILES!$A:$A,$B51)),1),SUMIFS(TARIFF_PROFILES!$F:$F,TARIFF_PROFILES!$A:$A,$B51))))</f>
        <v/>
      </c>
      <c r="N51" s="31">
        <f>IF($C51="Material",IFERROR(SUMIFS(MATERIAL_MASTER!$P:$P,MATERIAL_MASTER!$A:$A,$D51)*IF(SUMIFS(MATERIAL_TARIFF_RULES!$F:$F,MATERIAL_TARIFF_RULES!$A:$A,$D51,MATERIAL_TARIFF_RULES!$C:$C,$B51)="",SUMIFS(TARIFF_PROFILES!$H:$H,TARIFF_PROFILES!$A:$A,$B51),SUMIFS(MATERIAL_TARIFF_RULES!$F:$F,MATERIAL_TARIFF_RULES!$A:$A,$D51,MATERIAL_TARIFF_RULES!$C:$C,$B51)),1),1)</f>
        <v>1</v>
      </c>
      <c r="O51" s="17" t="str">
        <f t="shared" si="3"/>
        <v/>
      </c>
      <c r="P51" s="17">
        <f>IF(ROW()=2,MAX(0,INDEX(COMMERCIAL_POLICY!$B:$B,MATCH($B51,COMMERCIAL_POLICY!$A:$A,0))-SUM($Q$2:$Q$60)),0)</f>
        <v>0</v>
      </c>
      <c r="Q51" s="33" t="str">
        <f>IF($C51="","",IF($C51="Material",N($I51)*N($K51)*N($M51)*N($O51),IF($C51="Logistics",INDEX(COMMERCIAL_POLICY!$D:$D,MATCH($B51,COMMERCIAL_POLICY!$A:$A,0))*N($L51),N($I51)*N($J51)*N($K51)*N($L51)*N($M51)*N($G51))))</f>
        <v/>
      </c>
      <c r="R51" s="17" t="str">
        <f>IF($A51="","",INDEX(OBJECT_CONDITIONS!$AM:$AM,MATCH($A51,OBJECT_CONDITIONS!$A:$A,0)))</f>
        <v/>
      </c>
      <c r="S51" s="31" t="str">
        <f>IF($R51="","",INDEX(TAX_MODES!$B:$B,MATCH($R51,TAX_MODES!$A:$A,0)))</f>
        <v/>
      </c>
      <c r="T51" s="33" t="str">
        <f t="shared" si="4"/>
        <v/>
      </c>
      <c r="U51" s="17" t="str">
        <f t="shared" si="5"/>
        <v/>
      </c>
    </row>
    <row r="52" spans="1:21" x14ac:dyDescent="0.3">
      <c r="A52" s="17"/>
      <c r="B52" s="17"/>
      <c r="C52" s="17"/>
      <c r="D52" s="17"/>
      <c r="E52" s="17"/>
      <c r="F52" s="17" t="str">
        <f>IF($C52="","",IF($C52="Work",IFERROR(IF(SUMIFS(WORK_TARIFF_RULES!$G:$G,WORK_TARIFF_RULES!$A:$A,$D52,WORK_TARIFF_RULES!$C:$C,$B52)&lt;&gt;"",SUMIFS(WORK_TARIFF_RULES!$G:$G,WORK_TARIFF_RULES!$A:$A,$D52,WORK_TARIFF_RULES!$C:$C,$B52),SUMIFS(WORK_MASTER!$C:$C,WORK_MASTER!$A:$A,$D52)),""),IF($C52="Material",IFERROR(IF(SUMIFS(MATERIAL_TARIFF_RULES!$G:$G,MATERIAL_TARIFF_RULES!$A:$A,$D52,MATERIAL_TARIFF_RULES!$C:$C,$B52)&lt;&gt;"",SUMIFS(MATERIAL_TARIFF_RULES!$G:$G,MATERIAL_TARIFF_RULES!$A:$A,$D52,MATERIAL_TARIFF_RULES!$C:$C,$B52),SUMIFS(MATERIAL_VARIANTS!$J:$J,MATERIAL_VARIANTS!$A:$A,$E52)),""),IF($C52="Logistics","Мобилизация и логистика объекта",""))))</f>
        <v/>
      </c>
      <c r="G52" s="17"/>
      <c r="H52" s="17"/>
      <c r="I52" s="31" t="str">
        <f>IF($C52="","",IF($C52="Work",IFERROR(SUMIFS(WORK_MASTER!$I:$I,WORK_MASTER!$A:$A,$D52),0),IF($C52="Material",IFERROR(SUMIFS(MATERIAL_VARIANTS!$I:$I,MATERIAL_VARIANTS!$A:$A,$E52),0),0)))</f>
        <v/>
      </c>
      <c r="J52" s="31" t="str">
        <f>IF($C52="","",IF($C52="Work",IF($E52&lt;&gt;"",IFERROR(SUMIFS(WORK_VARIANTS!$H:$H,WORK_VARIANTS!$A:$A,$E52),1),1),1))</f>
        <v/>
      </c>
      <c r="K52" s="31" t="str">
        <f>IF($C52="","",IF($C52="Work",IFERROR(SUMIFS(WORK_FACTOR_APPLICABILITY!$O:$O,WORK_FACTOR_APPLICABILITY!$A:$A,$D52,WORK_FACTOR_APPLICABILITY!$N:$N,$A52),1),IF($C52="Material",IFERROR(INDEX(MATERIAL_QUANTITY_EXAMPLE!$N:$N,MATCH(1,(MATERIAL_QUANTITY_EXAMPLE!$A:$A=MATERIAL_QUANTITY_EXAMPLE!$A:$A)*(MATERIAL_QUANTITY_EXAMPLE!$B:$B=$A52)*(MATERIAL_QUANTITY_EXAMPLE!$C:$C=$D52),0)),1),1)))</f>
        <v/>
      </c>
      <c r="L52" s="31" t="str">
        <f>IF($A52="","",IF($C52="Material",1,IFERROR(INDEX(OBJECT_CONDITIONS!$AH:$AH,MATCH($A52,OBJECT_CONDITIONS!$A:$A,0))*INDEX(OBJECT_CONDITIONS!$AJ:$AJ,MATCH($A52,OBJECT_CONDITIONS!$A:$A,0))*INDEX(OBJECT_CONDITIONS!$AL:$AL,MATCH($A52,OBJECT_CONDITIONS!$A:$A,0)),1)))</f>
        <v/>
      </c>
      <c r="M52" s="31" t="str">
        <f>IF($B52="","",IF($C52="Work",IFERROR(IF(SUMIFS(WORK_TARIFF_RULES!$F:$F,WORK_TARIFF_RULES!$A:$A,$D52,WORK_TARIFF_RULES!$C:$C,$B52)&lt;&gt;"",SUMIFS(WORK_TARIFF_RULES!$F:$F,WORK_TARIFF_RULES!$A:$A,$D52,WORK_TARIFF_RULES!$C:$C,$B52),SUMIFS(TARIFF_PROFILES!$D:$D,TARIFF_PROFILES!$A:$A,$B52)),1),IF($C52="Material",IFERROR(IF(SUMIFS(MATERIAL_TARIFF_RULES!$E:$E,MATERIAL_TARIFF_RULES!$A:$A,$D52,MATERIAL_TARIFF_RULES!$C:$C,$B52)&lt;&gt;"",SUMIFS(MATERIAL_TARIFF_RULES!$E:$E,MATERIAL_TARIFF_RULES!$A:$A,$D52,MATERIAL_TARIFF_RULES!$C:$C,$B52),SUMIFS(TARIFF_PROFILES!$E:$E,TARIFF_PROFILES!$A:$A,$B52)),1),SUMIFS(TARIFF_PROFILES!$F:$F,TARIFF_PROFILES!$A:$A,$B52))))</f>
        <v/>
      </c>
      <c r="N52" s="31">
        <f>IF($C52="Material",IFERROR(SUMIFS(MATERIAL_MASTER!$P:$P,MATERIAL_MASTER!$A:$A,$D52)*IF(SUMIFS(MATERIAL_TARIFF_RULES!$F:$F,MATERIAL_TARIFF_RULES!$A:$A,$D52,MATERIAL_TARIFF_RULES!$C:$C,$B52)="",SUMIFS(TARIFF_PROFILES!$H:$H,TARIFF_PROFILES!$A:$A,$B52),SUMIFS(MATERIAL_TARIFF_RULES!$F:$F,MATERIAL_TARIFF_RULES!$A:$A,$D52,MATERIAL_TARIFF_RULES!$C:$C,$B52)),1),1)</f>
        <v>1</v>
      </c>
      <c r="O52" s="17" t="str">
        <f t="shared" si="3"/>
        <v/>
      </c>
      <c r="P52" s="17">
        <f>IF(ROW()=2,MAX(0,INDEX(COMMERCIAL_POLICY!$B:$B,MATCH($B52,COMMERCIAL_POLICY!$A:$A,0))-SUM($Q$2:$Q$60)),0)</f>
        <v>0</v>
      </c>
      <c r="Q52" s="33" t="str">
        <f>IF($C52="","",IF($C52="Material",N($I52)*N($K52)*N($M52)*N($O52),IF($C52="Logistics",INDEX(COMMERCIAL_POLICY!$D:$D,MATCH($B52,COMMERCIAL_POLICY!$A:$A,0))*N($L52),N($I52)*N($J52)*N($K52)*N($L52)*N($M52)*N($G52))))</f>
        <v/>
      </c>
      <c r="R52" s="17" t="str">
        <f>IF($A52="","",INDEX(OBJECT_CONDITIONS!$AM:$AM,MATCH($A52,OBJECT_CONDITIONS!$A:$A,0)))</f>
        <v/>
      </c>
      <c r="S52" s="31" t="str">
        <f>IF($R52="","",INDEX(TAX_MODES!$B:$B,MATCH($R52,TAX_MODES!$A:$A,0)))</f>
        <v/>
      </c>
      <c r="T52" s="33" t="str">
        <f t="shared" si="4"/>
        <v/>
      </c>
      <c r="U52" s="17" t="str">
        <f t="shared" si="5"/>
        <v/>
      </c>
    </row>
    <row r="53" spans="1:21" x14ac:dyDescent="0.3">
      <c r="A53" s="17"/>
      <c r="B53" s="17"/>
      <c r="C53" s="17"/>
      <c r="D53" s="17"/>
      <c r="E53" s="17"/>
      <c r="F53" s="17" t="str">
        <f>IF($C53="","",IF($C53="Work",IFERROR(IF(SUMIFS(WORK_TARIFF_RULES!$G:$G,WORK_TARIFF_RULES!$A:$A,$D53,WORK_TARIFF_RULES!$C:$C,$B53)&lt;&gt;"",SUMIFS(WORK_TARIFF_RULES!$G:$G,WORK_TARIFF_RULES!$A:$A,$D53,WORK_TARIFF_RULES!$C:$C,$B53),SUMIFS(WORK_MASTER!$C:$C,WORK_MASTER!$A:$A,$D53)),""),IF($C53="Material",IFERROR(IF(SUMIFS(MATERIAL_TARIFF_RULES!$G:$G,MATERIAL_TARIFF_RULES!$A:$A,$D53,MATERIAL_TARIFF_RULES!$C:$C,$B53)&lt;&gt;"",SUMIFS(MATERIAL_TARIFF_RULES!$G:$G,MATERIAL_TARIFF_RULES!$A:$A,$D53,MATERIAL_TARIFF_RULES!$C:$C,$B53),SUMIFS(MATERIAL_VARIANTS!$J:$J,MATERIAL_VARIANTS!$A:$A,$E53)),""),IF($C53="Logistics","Мобилизация и логистика объекта",""))))</f>
        <v/>
      </c>
      <c r="G53" s="17"/>
      <c r="H53" s="17"/>
      <c r="I53" s="31" t="str">
        <f>IF($C53="","",IF($C53="Work",IFERROR(SUMIFS(WORK_MASTER!$I:$I,WORK_MASTER!$A:$A,$D53),0),IF($C53="Material",IFERROR(SUMIFS(MATERIAL_VARIANTS!$I:$I,MATERIAL_VARIANTS!$A:$A,$E53),0),0)))</f>
        <v/>
      </c>
      <c r="J53" s="31" t="str">
        <f>IF($C53="","",IF($C53="Work",IF($E53&lt;&gt;"",IFERROR(SUMIFS(WORK_VARIANTS!$H:$H,WORK_VARIANTS!$A:$A,$E53),1),1),1))</f>
        <v/>
      </c>
      <c r="K53" s="31" t="str">
        <f>IF($C53="","",IF($C53="Work",IFERROR(SUMIFS(WORK_FACTOR_APPLICABILITY!$O:$O,WORK_FACTOR_APPLICABILITY!$A:$A,$D53,WORK_FACTOR_APPLICABILITY!$N:$N,$A53),1),IF($C53="Material",IFERROR(INDEX(MATERIAL_QUANTITY_EXAMPLE!$N:$N,MATCH(1,(MATERIAL_QUANTITY_EXAMPLE!$A:$A=MATERIAL_QUANTITY_EXAMPLE!$A:$A)*(MATERIAL_QUANTITY_EXAMPLE!$B:$B=$A53)*(MATERIAL_QUANTITY_EXAMPLE!$C:$C=$D53),0)),1),1)))</f>
        <v/>
      </c>
      <c r="L53" s="31" t="str">
        <f>IF($A53="","",IF($C53="Material",1,IFERROR(INDEX(OBJECT_CONDITIONS!$AH:$AH,MATCH($A53,OBJECT_CONDITIONS!$A:$A,0))*INDEX(OBJECT_CONDITIONS!$AJ:$AJ,MATCH($A53,OBJECT_CONDITIONS!$A:$A,0))*INDEX(OBJECT_CONDITIONS!$AL:$AL,MATCH($A53,OBJECT_CONDITIONS!$A:$A,0)),1)))</f>
        <v/>
      </c>
      <c r="M53" s="31" t="str">
        <f>IF($B53="","",IF($C53="Work",IFERROR(IF(SUMIFS(WORK_TARIFF_RULES!$F:$F,WORK_TARIFF_RULES!$A:$A,$D53,WORK_TARIFF_RULES!$C:$C,$B53)&lt;&gt;"",SUMIFS(WORK_TARIFF_RULES!$F:$F,WORK_TARIFF_RULES!$A:$A,$D53,WORK_TARIFF_RULES!$C:$C,$B53),SUMIFS(TARIFF_PROFILES!$D:$D,TARIFF_PROFILES!$A:$A,$B53)),1),IF($C53="Material",IFERROR(IF(SUMIFS(MATERIAL_TARIFF_RULES!$E:$E,MATERIAL_TARIFF_RULES!$A:$A,$D53,MATERIAL_TARIFF_RULES!$C:$C,$B53)&lt;&gt;"",SUMIFS(MATERIAL_TARIFF_RULES!$E:$E,MATERIAL_TARIFF_RULES!$A:$A,$D53,MATERIAL_TARIFF_RULES!$C:$C,$B53),SUMIFS(TARIFF_PROFILES!$E:$E,TARIFF_PROFILES!$A:$A,$B53)),1),SUMIFS(TARIFF_PROFILES!$F:$F,TARIFF_PROFILES!$A:$A,$B53))))</f>
        <v/>
      </c>
      <c r="N53" s="31">
        <f>IF($C53="Material",IFERROR(SUMIFS(MATERIAL_MASTER!$P:$P,MATERIAL_MASTER!$A:$A,$D53)*IF(SUMIFS(MATERIAL_TARIFF_RULES!$F:$F,MATERIAL_TARIFF_RULES!$A:$A,$D53,MATERIAL_TARIFF_RULES!$C:$C,$B53)="",SUMIFS(TARIFF_PROFILES!$H:$H,TARIFF_PROFILES!$A:$A,$B53),SUMIFS(MATERIAL_TARIFF_RULES!$F:$F,MATERIAL_TARIFF_RULES!$A:$A,$D53,MATERIAL_TARIFF_RULES!$C:$C,$B53)),1),1)</f>
        <v>1</v>
      </c>
      <c r="O53" s="17" t="str">
        <f t="shared" si="3"/>
        <v/>
      </c>
      <c r="P53" s="17">
        <f>IF(ROW()=2,MAX(0,INDEX(COMMERCIAL_POLICY!$B:$B,MATCH($B53,COMMERCIAL_POLICY!$A:$A,0))-SUM($Q$2:$Q$60)),0)</f>
        <v>0</v>
      </c>
      <c r="Q53" s="33" t="str">
        <f>IF($C53="","",IF($C53="Material",N($I53)*N($K53)*N($M53)*N($O53),IF($C53="Logistics",INDEX(COMMERCIAL_POLICY!$D:$D,MATCH($B53,COMMERCIAL_POLICY!$A:$A,0))*N($L53),N($I53)*N($J53)*N($K53)*N($L53)*N($M53)*N($G53))))</f>
        <v/>
      </c>
      <c r="R53" s="17" t="str">
        <f>IF($A53="","",INDEX(OBJECT_CONDITIONS!$AM:$AM,MATCH($A53,OBJECT_CONDITIONS!$A:$A,0)))</f>
        <v/>
      </c>
      <c r="S53" s="31" t="str">
        <f>IF($R53="","",INDEX(TAX_MODES!$B:$B,MATCH($R53,TAX_MODES!$A:$A,0)))</f>
        <v/>
      </c>
      <c r="T53" s="33" t="str">
        <f t="shared" si="4"/>
        <v/>
      </c>
      <c r="U53" s="17" t="str">
        <f t="shared" si="5"/>
        <v/>
      </c>
    </row>
    <row r="54" spans="1:21" x14ac:dyDescent="0.3">
      <c r="A54" s="17"/>
      <c r="B54" s="17"/>
      <c r="C54" s="17"/>
      <c r="D54" s="17"/>
      <c r="E54" s="17"/>
      <c r="F54" s="17" t="str">
        <f>IF($C54="","",IF($C54="Work",IFERROR(IF(SUMIFS(WORK_TARIFF_RULES!$G:$G,WORK_TARIFF_RULES!$A:$A,$D54,WORK_TARIFF_RULES!$C:$C,$B54)&lt;&gt;"",SUMIFS(WORK_TARIFF_RULES!$G:$G,WORK_TARIFF_RULES!$A:$A,$D54,WORK_TARIFF_RULES!$C:$C,$B54),SUMIFS(WORK_MASTER!$C:$C,WORK_MASTER!$A:$A,$D54)),""),IF($C54="Material",IFERROR(IF(SUMIFS(MATERIAL_TARIFF_RULES!$G:$G,MATERIAL_TARIFF_RULES!$A:$A,$D54,MATERIAL_TARIFF_RULES!$C:$C,$B54)&lt;&gt;"",SUMIFS(MATERIAL_TARIFF_RULES!$G:$G,MATERIAL_TARIFF_RULES!$A:$A,$D54,MATERIAL_TARIFF_RULES!$C:$C,$B54),SUMIFS(MATERIAL_VARIANTS!$J:$J,MATERIAL_VARIANTS!$A:$A,$E54)),""),IF($C54="Logistics","Мобилизация и логистика объекта",""))))</f>
        <v/>
      </c>
      <c r="G54" s="17"/>
      <c r="H54" s="17"/>
      <c r="I54" s="31" t="str">
        <f>IF($C54="","",IF($C54="Work",IFERROR(SUMIFS(WORK_MASTER!$I:$I,WORK_MASTER!$A:$A,$D54),0),IF($C54="Material",IFERROR(SUMIFS(MATERIAL_VARIANTS!$I:$I,MATERIAL_VARIANTS!$A:$A,$E54),0),0)))</f>
        <v/>
      </c>
      <c r="J54" s="31" t="str">
        <f>IF($C54="","",IF($C54="Work",IF($E54&lt;&gt;"",IFERROR(SUMIFS(WORK_VARIANTS!$H:$H,WORK_VARIANTS!$A:$A,$E54),1),1),1))</f>
        <v/>
      </c>
      <c r="K54" s="31" t="str">
        <f>IF($C54="","",IF($C54="Work",IFERROR(SUMIFS(WORK_FACTOR_APPLICABILITY!$O:$O,WORK_FACTOR_APPLICABILITY!$A:$A,$D54,WORK_FACTOR_APPLICABILITY!$N:$N,$A54),1),IF($C54="Material",IFERROR(INDEX(MATERIAL_QUANTITY_EXAMPLE!$N:$N,MATCH(1,(MATERIAL_QUANTITY_EXAMPLE!$A:$A=MATERIAL_QUANTITY_EXAMPLE!$A:$A)*(MATERIAL_QUANTITY_EXAMPLE!$B:$B=$A54)*(MATERIAL_QUANTITY_EXAMPLE!$C:$C=$D54),0)),1),1)))</f>
        <v/>
      </c>
      <c r="L54" s="31" t="str">
        <f>IF($A54="","",IF($C54="Material",1,IFERROR(INDEX(OBJECT_CONDITIONS!$AH:$AH,MATCH($A54,OBJECT_CONDITIONS!$A:$A,0))*INDEX(OBJECT_CONDITIONS!$AJ:$AJ,MATCH($A54,OBJECT_CONDITIONS!$A:$A,0))*INDEX(OBJECT_CONDITIONS!$AL:$AL,MATCH($A54,OBJECT_CONDITIONS!$A:$A,0)),1)))</f>
        <v/>
      </c>
      <c r="M54" s="31" t="str">
        <f>IF($B54="","",IF($C54="Work",IFERROR(IF(SUMIFS(WORK_TARIFF_RULES!$F:$F,WORK_TARIFF_RULES!$A:$A,$D54,WORK_TARIFF_RULES!$C:$C,$B54)&lt;&gt;"",SUMIFS(WORK_TARIFF_RULES!$F:$F,WORK_TARIFF_RULES!$A:$A,$D54,WORK_TARIFF_RULES!$C:$C,$B54),SUMIFS(TARIFF_PROFILES!$D:$D,TARIFF_PROFILES!$A:$A,$B54)),1),IF($C54="Material",IFERROR(IF(SUMIFS(MATERIAL_TARIFF_RULES!$E:$E,MATERIAL_TARIFF_RULES!$A:$A,$D54,MATERIAL_TARIFF_RULES!$C:$C,$B54)&lt;&gt;"",SUMIFS(MATERIAL_TARIFF_RULES!$E:$E,MATERIAL_TARIFF_RULES!$A:$A,$D54,MATERIAL_TARIFF_RULES!$C:$C,$B54),SUMIFS(TARIFF_PROFILES!$E:$E,TARIFF_PROFILES!$A:$A,$B54)),1),SUMIFS(TARIFF_PROFILES!$F:$F,TARIFF_PROFILES!$A:$A,$B54))))</f>
        <v/>
      </c>
      <c r="N54" s="31">
        <f>IF($C54="Material",IFERROR(SUMIFS(MATERIAL_MASTER!$P:$P,MATERIAL_MASTER!$A:$A,$D54)*IF(SUMIFS(MATERIAL_TARIFF_RULES!$F:$F,MATERIAL_TARIFF_RULES!$A:$A,$D54,MATERIAL_TARIFF_RULES!$C:$C,$B54)="",SUMIFS(TARIFF_PROFILES!$H:$H,TARIFF_PROFILES!$A:$A,$B54),SUMIFS(MATERIAL_TARIFF_RULES!$F:$F,MATERIAL_TARIFF_RULES!$A:$A,$D54,MATERIAL_TARIFF_RULES!$C:$C,$B54)),1),1)</f>
        <v>1</v>
      </c>
      <c r="O54" s="17" t="str">
        <f t="shared" si="3"/>
        <v/>
      </c>
      <c r="P54" s="17">
        <f>IF(ROW()=2,MAX(0,INDEX(COMMERCIAL_POLICY!$B:$B,MATCH($B54,COMMERCIAL_POLICY!$A:$A,0))-SUM($Q$2:$Q$60)),0)</f>
        <v>0</v>
      </c>
      <c r="Q54" s="33" t="str">
        <f>IF($C54="","",IF($C54="Material",N($I54)*N($K54)*N($M54)*N($O54),IF($C54="Logistics",INDEX(COMMERCIAL_POLICY!$D:$D,MATCH($B54,COMMERCIAL_POLICY!$A:$A,0))*N($L54),N($I54)*N($J54)*N($K54)*N($L54)*N($M54)*N($G54))))</f>
        <v/>
      </c>
      <c r="R54" s="17" t="str">
        <f>IF($A54="","",INDEX(OBJECT_CONDITIONS!$AM:$AM,MATCH($A54,OBJECT_CONDITIONS!$A:$A,0)))</f>
        <v/>
      </c>
      <c r="S54" s="31" t="str">
        <f>IF($R54="","",INDEX(TAX_MODES!$B:$B,MATCH($R54,TAX_MODES!$A:$A,0)))</f>
        <v/>
      </c>
      <c r="T54" s="33" t="str">
        <f t="shared" si="4"/>
        <v/>
      </c>
      <c r="U54" s="17" t="str">
        <f t="shared" si="5"/>
        <v/>
      </c>
    </row>
    <row r="55" spans="1:21" x14ac:dyDescent="0.3">
      <c r="A55" s="17"/>
      <c r="B55" s="17"/>
      <c r="C55" s="17"/>
      <c r="D55" s="17"/>
      <c r="E55" s="17"/>
      <c r="F55" s="17" t="str">
        <f>IF($C55="","",IF($C55="Work",IFERROR(IF(SUMIFS(WORK_TARIFF_RULES!$G:$G,WORK_TARIFF_RULES!$A:$A,$D55,WORK_TARIFF_RULES!$C:$C,$B55)&lt;&gt;"",SUMIFS(WORK_TARIFF_RULES!$G:$G,WORK_TARIFF_RULES!$A:$A,$D55,WORK_TARIFF_RULES!$C:$C,$B55),SUMIFS(WORK_MASTER!$C:$C,WORK_MASTER!$A:$A,$D55)),""),IF($C55="Material",IFERROR(IF(SUMIFS(MATERIAL_TARIFF_RULES!$G:$G,MATERIAL_TARIFF_RULES!$A:$A,$D55,MATERIAL_TARIFF_RULES!$C:$C,$B55)&lt;&gt;"",SUMIFS(MATERIAL_TARIFF_RULES!$G:$G,MATERIAL_TARIFF_RULES!$A:$A,$D55,MATERIAL_TARIFF_RULES!$C:$C,$B55),SUMIFS(MATERIAL_VARIANTS!$J:$J,MATERIAL_VARIANTS!$A:$A,$E55)),""),IF($C55="Logistics","Мобилизация и логистика объекта",""))))</f>
        <v/>
      </c>
      <c r="G55" s="17"/>
      <c r="H55" s="17"/>
      <c r="I55" s="31" t="str">
        <f>IF($C55="","",IF($C55="Work",IFERROR(SUMIFS(WORK_MASTER!$I:$I,WORK_MASTER!$A:$A,$D55),0),IF($C55="Material",IFERROR(SUMIFS(MATERIAL_VARIANTS!$I:$I,MATERIAL_VARIANTS!$A:$A,$E55),0),0)))</f>
        <v/>
      </c>
      <c r="J55" s="31" t="str">
        <f>IF($C55="","",IF($C55="Work",IF($E55&lt;&gt;"",IFERROR(SUMIFS(WORK_VARIANTS!$H:$H,WORK_VARIANTS!$A:$A,$E55),1),1),1))</f>
        <v/>
      </c>
      <c r="K55" s="31" t="str">
        <f>IF($C55="","",IF($C55="Work",IFERROR(SUMIFS(WORK_FACTOR_APPLICABILITY!$O:$O,WORK_FACTOR_APPLICABILITY!$A:$A,$D55,WORK_FACTOR_APPLICABILITY!$N:$N,$A55),1),IF($C55="Material",IFERROR(INDEX(MATERIAL_QUANTITY_EXAMPLE!$N:$N,MATCH(1,(MATERIAL_QUANTITY_EXAMPLE!$A:$A=MATERIAL_QUANTITY_EXAMPLE!$A:$A)*(MATERIAL_QUANTITY_EXAMPLE!$B:$B=$A55)*(MATERIAL_QUANTITY_EXAMPLE!$C:$C=$D55),0)),1),1)))</f>
        <v/>
      </c>
      <c r="L55" s="31" t="str">
        <f>IF($A55="","",IF($C55="Material",1,IFERROR(INDEX(OBJECT_CONDITIONS!$AH:$AH,MATCH($A55,OBJECT_CONDITIONS!$A:$A,0))*INDEX(OBJECT_CONDITIONS!$AJ:$AJ,MATCH($A55,OBJECT_CONDITIONS!$A:$A,0))*INDEX(OBJECT_CONDITIONS!$AL:$AL,MATCH($A55,OBJECT_CONDITIONS!$A:$A,0)),1)))</f>
        <v/>
      </c>
      <c r="M55" s="31" t="str">
        <f>IF($B55="","",IF($C55="Work",IFERROR(IF(SUMIFS(WORK_TARIFF_RULES!$F:$F,WORK_TARIFF_RULES!$A:$A,$D55,WORK_TARIFF_RULES!$C:$C,$B55)&lt;&gt;"",SUMIFS(WORK_TARIFF_RULES!$F:$F,WORK_TARIFF_RULES!$A:$A,$D55,WORK_TARIFF_RULES!$C:$C,$B55),SUMIFS(TARIFF_PROFILES!$D:$D,TARIFF_PROFILES!$A:$A,$B55)),1),IF($C55="Material",IFERROR(IF(SUMIFS(MATERIAL_TARIFF_RULES!$E:$E,MATERIAL_TARIFF_RULES!$A:$A,$D55,MATERIAL_TARIFF_RULES!$C:$C,$B55)&lt;&gt;"",SUMIFS(MATERIAL_TARIFF_RULES!$E:$E,MATERIAL_TARIFF_RULES!$A:$A,$D55,MATERIAL_TARIFF_RULES!$C:$C,$B55),SUMIFS(TARIFF_PROFILES!$E:$E,TARIFF_PROFILES!$A:$A,$B55)),1),SUMIFS(TARIFF_PROFILES!$F:$F,TARIFF_PROFILES!$A:$A,$B55))))</f>
        <v/>
      </c>
      <c r="N55" s="31">
        <f>IF($C55="Material",IFERROR(SUMIFS(MATERIAL_MASTER!$P:$P,MATERIAL_MASTER!$A:$A,$D55)*IF(SUMIFS(MATERIAL_TARIFF_RULES!$F:$F,MATERIAL_TARIFF_RULES!$A:$A,$D55,MATERIAL_TARIFF_RULES!$C:$C,$B55)="",SUMIFS(TARIFF_PROFILES!$H:$H,TARIFF_PROFILES!$A:$A,$B55),SUMIFS(MATERIAL_TARIFF_RULES!$F:$F,MATERIAL_TARIFF_RULES!$A:$A,$D55,MATERIAL_TARIFF_RULES!$C:$C,$B55)),1),1)</f>
        <v>1</v>
      </c>
      <c r="O55" s="17" t="str">
        <f t="shared" si="3"/>
        <v/>
      </c>
      <c r="P55" s="17">
        <f>IF(ROW()=2,MAX(0,INDEX(COMMERCIAL_POLICY!$B:$B,MATCH($B55,COMMERCIAL_POLICY!$A:$A,0))-SUM($Q$2:$Q$60)),0)</f>
        <v>0</v>
      </c>
      <c r="Q55" s="33" t="str">
        <f>IF($C55="","",IF($C55="Material",N($I55)*N($K55)*N($M55)*N($O55),IF($C55="Logistics",INDEX(COMMERCIAL_POLICY!$D:$D,MATCH($B55,COMMERCIAL_POLICY!$A:$A,0))*N($L55),N($I55)*N($J55)*N($K55)*N($L55)*N($M55)*N($G55))))</f>
        <v/>
      </c>
      <c r="R55" s="17" t="str">
        <f>IF($A55="","",INDEX(OBJECT_CONDITIONS!$AM:$AM,MATCH($A55,OBJECT_CONDITIONS!$A:$A,0)))</f>
        <v/>
      </c>
      <c r="S55" s="31" t="str">
        <f>IF($R55="","",INDEX(TAX_MODES!$B:$B,MATCH($R55,TAX_MODES!$A:$A,0)))</f>
        <v/>
      </c>
      <c r="T55" s="33" t="str">
        <f t="shared" si="4"/>
        <v/>
      </c>
      <c r="U55" s="17" t="str">
        <f t="shared" si="5"/>
        <v/>
      </c>
    </row>
    <row r="56" spans="1:21" x14ac:dyDescent="0.3">
      <c r="A56" s="17"/>
      <c r="B56" s="17"/>
      <c r="C56" s="17"/>
      <c r="D56" s="17"/>
      <c r="E56" s="17"/>
      <c r="F56" s="17" t="str">
        <f>IF($C56="","",IF($C56="Work",IFERROR(IF(SUMIFS(WORK_TARIFF_RULES!$G:$G,WORK_TARIFF_RULES!$A:$A,$D56,WORK_TARIFF_RULES!$C:$C,$B56)&lt;&gt;"",SUMIFS(WORK_TARIFF_RULES!$G:$G,WORK_TARIFF_RULES!$A:$A,$D56,WORK_TARIFF_RULES!$C:$C,$B56),SUMIFS(WORK_MASTER!$C:$C,WORK_MASTER!$A:$A,$D56)),""),IF($C56="Material",IFERROR(IF(SUMIFS(MATERIAL_TARIFF_RULES!$G:$G,MATERIAL_TARIFF_RULES!$A:$A,$D56,MATERIAL_TARIFF_RULES!$C:$C,$B56)&lt;&gt;"",SUMIFS(MATERIAL_TARIFF_RULES!$G:$G,MATERIAL_TARIFF_RULES!$A:$A,$D56,MATERIAL_TARIFF_RULES!$C:$C,$B56),SUMIFS(MATERIAL_VARIANTS!$J:$J,MATERIAL_VARIANTS!$A:$A,$E56)),""),IF($C56="Logistics","Мобилизация и логистика объекта",""))))</f>
        <v/>
      </c>
      <c r="G56" s="17"/>
      <c r="H56" s="17"/>
      <c r="I56" s="31" t="str">
        <f>IF($C56="","",IF($C56="Work",IFERROR(SUMIFS(WORK_MASTER!$I:$I,WORK_MASTER!$A:$A,$D56),0),IF($C56="Material",IFERROR(SUMIFS(MATERIAL_VARIANTS!$I:$I,MATERIAL_VARIANTS!$A:$A,$E56),0),0)))</f>
        <v/>
      </c>
      <c r="J56" s="31" t="str">
        <f>IF($C56="","",IF($C56="Work",IF($E56&lt;&gt;"",IFERROR(SUMIFS(WORK_VARIANTS!$H:$H,WORK_VARIANTS!$A:$A,$E56),1),1),1))</f>
        <v/>
      </c>
      <c r="K56" s="31" t="str">
        <f>IF($C56="","",IF($C56="Work",IFERROR(SUMIFS(WORK_FACTOR_APPLICABILITY!$O:$O,WORK_FACTOR_APPLICABILITY!$A:$A,$D56,WORK_FACTOR_APPLICABILITY!$N:$N,$A56),1),IF($C56="Material",IFERROR(INDEX(MATERIAL_QUANTITY_EXAMPLE!$N:$N,MATCH(1,(MATERIAL_QUANTITY_EXAMPLE!$A:$A=MATERIAL_QUANTITY_EXAMPLE!$A:$A)*(MATERIAL_QUANTITY_EXAMPLE!$B:$B=$A56)*(MATERIAL_QUANTITY_EXAMPLE!$C:$C=$D56),0)),1),1)))</f>
        <v/>
      </c>
      <c r="L56" s="31" t="str">
        <f>IF($A56="","",IF($C56="Material",1,IFERROR(INDEX(OBJECT_CONDITIONS!$AH:$AH,MATCH($A56,OBJECT_CONDITIONS!$A:$A,0))*INDEX(OBJECT_CONDITIONS!$AJ:$AJ,MATCH($A56,OBJECT_CONDITIONS!$A:$A,0))*INDEX(OBJECT_CONDITIONS!$AL:$AL,MATCH($A56,OBJECT_CONDITIONS!$A:$A,0)),1)))</f>
        <v/>
      </c>
      <c r="M56" s="31" t="str">
        <f>IF($B56="","",IF($C56="Work",IFERROR(IF(SUMIFS(WORK_TARIFF_RULES!$F:$F,WORK_TARIFF_RULES!$A:$A,$D56,WORK_TARIFF_RULES!$C:$C,$B56)&lt;&gt;"",SUMIFS(WORK_TARIFF_RULES!$F:$F,WORK_TARIFF_RULES!$A:$A,$D56,WORK_TARIFF_RULES!$C:$C,$B56),SUMIFS(TARIFF_PROFILES!$D:$D,TARIFF_PROFILES!$A:$A,$B56)),1),IF($C56="Material",IFERROR(IF(SUMIFS(MATERIAL_TARIFF_RULES!$E:$E,MATERIAL_TARIFF_RULES!$A:$A,$D56,MATERIAL_TARIFF_RULES!$C:$C,$B56)&lt;&gt;"",SUMIFS(MATERIAL_TARIFF_RULES!$E:$E,MATERIAL_TARIFF_RULES!$A:$A,$D56,MATERIAL_TARIFF_RULES!$C:$C,$B56),SUMIFS(TARIFF_PROFILES!$E:$E,TARIFF_PROFILES!$A:$A,$B56)),1),SUMIFS(TARIFF_PROFILES!$F:$F,TARIFF_PROFILES!$A:$A,$B56))))</f>
        <v/>
      </c>
      <c r="N56" s="31">
        <f>IF($C56="Material",IFERROR(SUMIFS(MATERIAL_MASTER!$P:$P,MATERIAL_MASTER!$A:$A,$D56)*IF(SUMIFS(MATERIAL_TARIFF_RULES!$F:$F,MATERIAL_TARIFF_RULES!$A:$A,$D56,MATERIAL_TARIFF_RULES!$C:$C,$B56)="",SUMIFS(TARIFF_PROFILES!$H:$H,TARIFF_PROFILES!$A:$A,$B56),SUMIFS(MATERIAL_TARIFF_RULES!$F:$F,MATERIAL_TARIFF_RULES!$A:$A,$D56,MATERIAL_TARIFF_RULES!$C:$C,$B56)),1),1)</f>
        <v>1</v>
      </c>
      <c r="O56" s="17" t="str">
        <f t="shared" si="3"/>
        <v/>
      </c>
      <c r="P56" s="17">
        <f>IF(ROW()=2,MAX(0,INDEX(COMMERCIAL_POLICY!$B:$B,MATCH($B56,COMMERCIAL_POLICY!$A:$A,0))-SUM($Q$2:$Q$60)),0)</f>
        <v>0</v>
      </c>
      <c r="Q56" s="33" t="str">
        <f>IF($C56="","",IF($C56="Material",N($I56)*N($K56)*N($M56)*N($O56),IF($C56="Logistics",INDEX(COMMERCIAL_POLICY!$D:$D,MATCH($B56,COMMERCIAL_POLICY!$A:$A,0))*N($L56),N($I56)*N($J56)*N($K56)*N($L56)*N($M56)*N($G56))))</f>
        <v/>
      </c>
      <c r="R56" s="17" t="str">
        <f>IF($A56="","",INDEX(OBJECT_CONDITIONS!$AM:$AM,MATCH($A56,OBJECT_CONDITIONS!$A:$A,0)))</f>
        <v/>
      </c>
      <c r="S56" s="31" t="str">
        <f>IF($R56="","",INDEX(TAX_MODES!$B:$B,MATCH($R56,TAX_MODES!$A:$A,0)))</f>
        <v/>
      </c>
      <c r="T56" s="33" t="str">
        <f t="shared" si="4"/>
        <v/>
      </c>
      <c r="U56" s="17" t="str">
        <f t="shared" si="5"/>
        <v/>
      </c>
    </row>
    <row r="57" spans="1:21" x14ac:dyDescent="0.3">
      <c r="A57" s="17"/>
      <c r="B57" s="17"/>
      <c r="C57" s="17"/>
      <c r="D57" s="17"/>
      <c r="E57" s="17"/>
      <c r="F57" s="17" t="str">
        <f>IF($C57="","",IF($C57="Work",IFERROR(IF(SUMIFS(WORK_TARIFF_RULES!$G:$G,WORK_TARIFF_RULES!$A:$A,$D57,WORK_TARIFF_RULES!$C:$C,$B57)&lt;&gt;"",SUMIFS(WORK_TARIFF_RULES!$G:$G,WORK_TARIFF_RULES!$A:$A,$D57,WORK_TARIFF_RULES!$C:$C,$B57),SUMIFS(WORK_MASTER!$C:$C,WORK_MASTER!$A:$A,$D57)),""),IF($C57="Material",IFERROR(IF(SUMIFS(MATERIAL_TARIFF_RULES!$G:$G,MATERIAL_TARIFF_RULES!$A:$A,$D57,MATERIAL_TARIFF_RULES!$C:$C,$B57)&lt;&gt;"",SUMIFS(MATERIAL_TARIFF_RULES!$G:$G,MATERIAL_TARIFF_RULES!$A:$A,$D57,MATERIAL_TARIFF_RULES!$C:$C,$B57),SUMIFS(MATERIAL_VARIANTS!$J:$J,MATERIAL_VARIANTS!$A:$A,$E57)),""),IF($C57="Logistics","Мобилизация и логистика объекта",""))))</f>
        <v/>
      </c>
      <c r="G57" s="17"/>
      <c r="H57" s="17"/>
      <c r="I57" s="31" t="str">
        <f>IF($C57="","",IF($C57="Work",IFERROR(SUMIFS(WORK_MASTER!$I:$I,WORK_MASTER!$A:$A,$D57),0),IF($C57="Material",IFERROR(SUMIFS(MATERIAL_VARIANTS!$I:$I,MATERIAL_VARIANTS!$A:$A,$E57),0),0)))</f>
        <v/>
      </c>
      <c r="J57" s="31" t="str">
        <f>IF($C57="","",IF($C57="Work",IF($E57&lt;&gt;"",IFERROR(SUMIFS(WORK_VARIANTS!$H:$H,WORK_VARIANTS!$A:$A,$E57),1),1),1))</f>
        <v/>
      </c>
      <c r="K57" s="31" t="str">
        <f>IF($C57="","",IF($C57="Work",IFERROR(SUMIFS(WORK_FACTOR_APPLICABILITY!$O:$O,WORK_FACTOR_APPLICABILITY!$A:$A,$D57,WORK_FACTOR_APPLICABILITY!$N:$N,$A57),1),IF($C57="Material",IFERROR(INDEX(MATERIAL_QUANTITY_EXAMPLE!$N:$N,MATCH(1,(MATERIAL_QUANTITY_EXAMPLE!$A:$A=MATERIAL_QUANTITY_EXAMPLE!$A:$A)*(MATERIAL_QUANTITY_EXAMPLE!$B:$B=$A57)*(MATERIAL_QUANTITY_EXAMPLE!$C:$C=$D57),0)),1),1)))</f>
        <v/>
      </c>
      <c r="L57" s="31" t="str">
        <f>IF($A57="","",IF($C57="Material",1,IFERROR(INDEX(OBJECT_CONDITIONS!$AH:$AH,MATCH($A57,OBJECT_CONDITIONS!$A:$A,0))*INDEX(OBJECT_CONDITIONS!$AJ:$AJ,MATCH($A57,OBJECT_CONDITIONS!$A:$A,0))*INDEX(OBJECT_CONDITIONS!$AL:$AL,MATCH($A57,OBJECT_CONDITIONS!$A:$A,0)),1)))</f>
        <v/>
      </c>
      <c r="M57" s="31" t="str">
        <f>IF($B57="","",IF($C57="Work",IFERROR(IF(SUMIFS(WORK_TARIFF_RULES!$F:$F,WORK_TARIFF_RULES!$A:$A,$D57,WORK_TARIFF_RULES!$C:$C,$B57)&lt;&gt;"",SUMIFS(WORK_TARIFF_RULES!$F:$F,WORK_TARIFF_RULES!$A:$A,$D57,WORK_TARIFF_RULES!$C:$C,$B57),SUMIFS(TARIFF_PROFILES!$D:$D,TARIFF_PROFILES!$A:$A,$B57)),1),IF($C57="Material",IFERROR(IF(SUMIFS(MATERIAL_TARIFF_RULES!$E:$E,MATERIAL_TARIFF_RULES!$A:$A,$D57,MATERIAL_TARIFF_RULES!$C:$C,$B57)&lt;&gt;"",SUMIFS(MATERIAL_TARIFF_RULES!$E:$E,MATERIAL_TARIFF_RULES!$A:$A,$D57,MATERIAL_TARIFF_RULES!$C:$C,$B57),SUMIFS(TARIFF_PROFILES!$E:$E,TARIFF_PROFILES!$A:$A,$B57)),1),SUMIFS(TARIFF_PROFILES!$F:$F,TARIFF_PROFILES!$A:$A,$B57))))</f>
        <v/>
      </c>
      <c r="N57" s="31">
        <f>IF($C57="Material",IFERROR(SUMIFS(MATERIAL_MASTER!$P:$P,MATERIAL_MASTER!$A:$A,$D57)*IF(SUMIFS(MATERIAL_TARIFF_RULES!$F:$F,MATERIAL_TARIFF_RULES!$A:$A,$D57,MATERIAL_TARIFF_RULES!$C:$C,$B57)="",SUMIFS(TARIFF_PROFILES!$H:$H,TARIFF_PROFILES!$A:$A,$B57),SUMIFS(MATERIAL_TARIFF_RULES!$F:$F,MATERIAL_TARIFF_RULES!$A:$A,$D57,MATERIAL_TARIFF_RULES!$C:$C,$B57)),1),1)</f>
        <v>1</v>
      </c>
      <c r="O57" s="17" t="str">
        <f t="shared" si="3"/>
        <v/>
      </c>
      <c r="P57" s="17">
        <f>IF(ROW()=2,MAX(0,INDEX(COMMERCIAL_POLICY!$B:$B,MATCH($B57,COMMERCIAL_POLICY!$A:$A,0))-SUM($Q$2:$Q$60)),0)</f>
        <v>0</v>
      </c>
      <c r="Q57" s="33" t="str">
        <f>IF($C57="","",IF($C57="Material",N($I57)*N($K57)*N($M57)*N($O57),IF($C57="Logistics",INDEX(COMMERCIAL_POLICY!$D:$D,MATCH($B57,COMMERCIAL_POLICY!$A:$A,0))*N($L57),N($I57)*N($J57)*N($K57)*N($L57)*N($M57)*N($G57))))</f>
        <v/>
      </c>
      <c r="R57" s="17" t="str">
        <f>IF($A57="","",INDEX(OBJECT_CONDITIONS!$AM:$AM,MATCH($A57,OBJECT_CONDITIONS!$A:$A,0)))</f>
        <v/>
      </c>
      <c r="S57" s="31" t="str">
        <f>IF($R57="","",INDEX(TAX_MODES!$B:$B,MATCH($R57,TAX_MODES!$A:$A,0)))</f>
        <v/>
      </c>
      <c r="T57" s="33" t="str">
        <f t="shared" si="4"/>
        <v/>
      </c>
      <c r="U57" s="17" t="str">
        <f t="shared" si="5"/>
        <v/>
      </c>
    </row>
    <row r="58" spans="1:21" x14ac:dyDescent="0.3">
      <c r="A58" s="17"/>
      <c r="B58" s="17"/>
      <c r="C58" s="17"/>
      <c r="D58" s="17"/>
      <c r="E58" s="17"/>
      <c r="F58" s="17" t="str">
        <f>IF($C58="","",IF($C58="Work",IFERROR(IF(SUMIFS(WORK_TARIFF_RULES!$G:$G,WORK_TARIFF_RULES!$A:$A,$D58,WORK_TARIFF_RULES!$C:$C,$B58)&lt;&gt;"",SUMIFS(WORK_TARIFF_RULES!$G:$G,WORK_TARIFF_RULES!$A:$A,$D58,WORK_TARIFF_RULES!$C:$C,$B58),SUMIFS(WORK_MASTER!$C:$C,WORK_MASTER!$A:$A,$D58)),""),IF($C58="Material",IFERROR(IF(SUMIFS(MATERIAL_TARIFF_RULES!$G:$G,MATERIAL_TARIFF_RULES!$A:$A,$D58,MATERIAL_TARIFF_RULES!$C:$C,$B58)&lt;&gt;"",SUMIFS(MATERIAL_TARIFF_RULES!$G:$G,MATERIAL_TARIFF_RULES!$A:$A,$D58,MATERIAL_TARIFF_RULES!$C:$C,$B58),SUMIFS(MATERIAL_VARIANTS!$J:$J,MATERIAL_VARIANTS!$A:$A,$E58)),""),IF($C58="Logistics","Мобилизация и логистика объекта",""))))</f>
        <v/>
      </c>
      <c r="G58" s="17"/>
      <c r="H58" s="17"/>
      <c r="I58" s="31" t="str">
        <f>IF($C58="","",IF($C58="Work",IFERROR(SUMIFS(WORK_MASTER!$I:$I,WORK_MASTER!$A:$A,$D58),0),IF($C58="Material",IFERROR(SUMIFS(MATERIAL_VARIANTS!$I:$I,MATERIAL_VARIANTS!$A:$A,$E58),0),0)))</f>
        <v/>
      </c>
      <c r="J58" s="31" t="str">
        <f>IF($C58="","",IF($C58="Work",IF($E58&lt;&gt;"",IFERROR(SUMIFS(WORK_VARIANTS!$H:$H,WORK_VARIANTS!$A:$A,$E58),1),1),1))</f>
        <v/>
      </c>
      <c r="K58" s="31" t="str">
        <f>IF($C58="","",IF($C58="Work",IFERROR(SUMIFS(WORK_FACTOR_APPLICABILITY!$O:$O,WORK_FACTOR_APPLICABILITY!$A:$A,$D58,WORK_FACTOR_APPLICABILITY!$N:$N,$A58),1),IF($C58="Material",IFERROR(INDEX(MATERIAL_QUANTITY_EXAMPLE!$N:$N,MATCH(1,(MATERIAL_QUANTITY_EXAMPLE!$A:$A=MATERIAL_QUANTITY_EXAMPLE!$A:$A)*(MATERIAL_QUANTITY_EXAMPLE!$B:$B=$A58)*(MATERIAL_QUANTITY_EXAMPLE!$C:$C=$D58),0)),1),1)))</f>
        <v/>
      </c>
      <c r="L58" s="31" t="str">
        <f>IF($A58="","",IF($C58="Material",1,IFERROR(INDEX(OBJECT_CONDITIONS!$AH:$AH,MATCH($A58,OBJECT_CONDITIONS!$A:$A,0))*INDEX(OBJECT_CONDITIONS!$AJ:$AJ,MATCH($A58,OBJECT_CONDITIONS!$A:$A,0))*INDEX(OBJECT_CONDITIONS!$AL:$AL,MATCH($A58,OBJECT_CONDITIONS!$A:$A,0)),1)))</f>
        <v/>
      </c>
      <c r="M58" s="31" t="str">
        <f>IF($B58="","",IF($C58="Work",IFERROR(IF(SUMIFS(WORK_TARIFF_RULES!$F:$F,WORK_TARIFF_RULES!$A:$A,$D58,WORK_TARIFF_RULES!$C:$C,$B58)&lt;&gt;"",SUMIFS(WORK_TARIFF_RULES!$F:$F,WORK_TARIFF_RULES!$A:$A,$D58,WORK_TARIFF_RULES!$C:$C,$B58),SUMIFS(TARIFF_PROFILES!$D:$D,TARIFF_PROFILES!$A:$A,$B58)),1),IF($C58="Material",IFERROR(IF(SUMIFS(MATERIAL_TARIFF_RULES!$E:$E,MATERIAL_TARIFF_RULES!$A:$A,$D58,MATERIAL_TARIFF_RULES!$C:$C,$B58)&lt;&gt;"",SUMIFS(MATERIAL_TARIFF_RULES!$E:$E,MATERIAL_TARIFF_RULES!$A:$A,$D58,MATERIAL_TARIFF_RULES!$C:$C,$B58),SUMIFS(TARIFF_PROFILES!$E:$E,TARIFF_PROFILES!$A:$A,$B58)),1),SUMIFS(TARIFF_PROFILES!$F:$F,TARIFF_PROFILES!$A:$A,$B58))))</f>
        <v/>
      </c>
      <c r="N58" s="31">
        <f>IF($C58="Material",IFERROR(SUMIFS(MATERIAL_MASTER!$P:$P,MATERIAL_MASTER!$A:$A,$D58)*IF(SUMIFS(MATERIAL_TARIFF_RULES!$F:$F,MATERIAL_TARIFF_RULES!$A:$A,$D58,MATERIAL_TARIFF_RULES!$C:$C,$B58)="",SUMIFS(TARIFF_PROFILES!$H:$H,TARIFF_PROFILES!$A:$A,$B58),SUMIFS(MATERIAL_TARIFF_RULES!$F:$F,MATERIAL_TARIFF_RULES!$A:$A,$D58,MATERIAL_TARIFF_RULES!$C:$C,$B58)),1),1)</f>
        <v>1</v>
      </c>
      <c r="O58" s="17" t="str">
        <f t="shared" si="3"/>
        <v/>
      </c>
      <c r="P58" s="17">
        <f>IF(ROW()=2,MAX(0,INDEX(COMMERCIAL_POLICY!$B:$B,MATCH($B58,COMMERCIAL_POLICY!$A:$A,0))-SUM($Q$2:$Q$60)),0)</f>
        <v>0</v>
      </c>
      <c r="Q58" s="33" t="str">
        <f>IF($C58="","",IF($C58="Material",N($I58)*N($K58)*N($M58)*N($O58),IF($C58="Logistics",INDEX(COMMERCIAL_POLICY!$D:$D,MATCH($B58,COMMERCIAL_POLICY!$A:$A,0))*N($L58),N($I58)*N($J58)*N($K58)*N($L58)*N($M58)*N($G58))))</f>
        <v/>
      </c>
      <c r="R58" s="17" t="str">
        <f>IF($A58="","",INDEX(OBJECT_CONDITIONS!$AM:$AM,MATCH($A58,OBJECT_CONDITIONS!$A:$A,0)))</f>
        <v/>
      </c>
      <c r="S58" s="31" t="str">
        <f>IF($R58="","",INDEX(TAX_MODES!$B:$B,MATCH($R58,TAX_MODES!$A:$A,0)))</f>
        <v/>
      </c>
      <c r="T58" s="33" t="str">
        <f t="shared" si="4"/>
        <v/>
      </c>
      <c r="U58" s="17" t="str">
        <f t="shared" si="5"/>
        <v/>
      </c>
    </row>
    <row r="59" spans="1:21" x14ac:dyDescent="0.3">
      <c r="A59" s="17"/>
      <c r="B59" s="17"/>
      <c r="C59" s="17"/>
      <c r="D59" s="17"/>
      <c r="E59" s="17"/>
      <c r="F59" s="17" t="str">
        <f>IF($C59="","",IF($C59="Work",IFERROR(IF(SUMIFS(WORK_TARIFF_RULES!$G:$G,WORK_TARIFF_RULES!$A:$A,$D59,WORK_TARIFF_RULES!$C:$C,$B59)&lt;&gt;"",SUMIFS(WORK_TARIFF_RULES!$G:$G,WORK_TARIFF_RULES!$A:$A,$D59,WORK_TARIFF_RULES!$C:$C,$B59),SUMIFS(WORK_MASTER!$C:$C,WORK_MASTER!$A:$A,$D59)),""),IF($C59="Material",IFERROR(IF(SUMIFS(MATERIAL_TARIFF_RULES!$G:$G,MATERIAL_TARIFF_RULES!$A:$A,$D59,MATERIAL_TARIFF_RULES!$C:$C,$B59)&lt;&gt;"",SUMIFS(MATERIAL_TARIFF_RULES!$G:$G,MATERIAL_TARIFF_RULES!$A:$A,$D59,MATERIAL_TARIFF_RULES!$C:$C,$B59),SUMIFS(MATERIAL_VARIANTS!$J:$J,MATERIAL_VARIANTS!$A:$A,$E59)),""),IF($C59="Logistics","Мобилизация и логистика объекта",""))))</f>
        <v/>
      </c>
      <c r="G59" s="17"/>
      <c r="H59" s="17"/>
      <c r="I59" s="31" t="str">
        <f>IF($C59="","",IF($C59="Work",IFERROR(SUMIFS(WORK_MASTER!$I:$I,WORK_MASTER!$A:$A,$D59),0),IF($C59="Material",IFERROR(SUMIFS(MATERIAL_VARIANTS!$I:$I,MATERIAL_VARIANTS!$A:$A,$E59),0),0)))</f>
        <v/>
      </c>
      <c r="J59" s="31" t="str">
        <f>IF($C59="","",IF($C59="Work",IF($E59&lt;&gt;"",IFERROR(SUMIFS(WORK_VARIANTS!$H:$H,WORK_VARIANTS!$A:$A,$E59),1),1),1))</f>
        <v/>
      </c>
      <c r="K59" s="31" t="str">
        <f>IF($C59="","",IF($C59="Work",IFERROR(SUMIFS(WORK_FACTOR_APPLICABILITY!$O:$O,WORK_FACTOR_APPLICABILITY!$A:$A,$D59,WORK_FACTOR_APPLICABILITY!$N:$N,$A59),1),IF($C59="Material",IFERROR(INDEX(MATERIAL_QUANTITY_EXAMPLE!$N:$N,MATCH(1,(MATERIAL_QUANTITY_EXAMPLE!$A:$A=MATERIAL_QUANTITY_EXAMPLE!$A:$A)*(MATERIAL_QUANTITY_EXAMPLE!$B:$B=$A59)*(MATERIAL_QUANTITY_EXAMPLE!$C:$C=$D59),0)),1),1)))</f>
        <v/>
      </c>
      <c r="L59" s="31" t="str">
        <f>IF($A59="","",IF($C59="Material",1,IFERROR(INDEX(OBJECT_CONDITIONS!$AH:$AH,MATCH($A59,OBJECT_CONDITIONS!$A:$A,0))*INDEX(OBJECT_CONDITIONS!$AJ:$AJ,MATCH($A59,OBJECT_CONDITIONS!$A:$A,0))*INDEX(OBJECT_CONDITIONS!$AL:$AL,MATCH($A59,OBJECT_CONDITIONS!$A:$A,0)),1)))</f>
        <v/>
      </c>
      <c r="M59" s="31" t="str">
        <f>IF($B59="","",IF($C59="Work",IFERROR(IF(SUMIFS(WORK_TARIFF_RULES!$F:$F,WORK_TARIFF_RULES!$A:$A,$D59,WORK_TARIFF_RULES!$C:$C,$B59)&lt;&gt;"",SUMIFS(WORK_TARIFF_RULES!$F:$F,WORK_TARIFF_RULES!$A:$A,$D59,WORK_TARIFF_RULES!$C:$C,$B59),SUMIFS(TARIFF_PROFILES!$D:$D,TARIFF_PROFILES!$A:$A,$B59)),1),IF($C59="Material",IFERROR(IF(SUMIFS(MATERIAL_TARIFF_RULES!$E:$E,MATERIAL_TARIFF_RULES!$A:$A,$D59,MATERIAL_TARIFF_RULES!$C:$C,$B59)&lt;&gt;"",SUMIFS(MATERIAL_TARIFF_RULES!$E:$E,MATERIAL_TARIFF_RULES!$A:$A,$D59,MATERIAL_TARIFF_RULES!$C:$C,$B59),SUMIFS(TARIFF_PROFILES!$E:$E,TARIFF_PROFILES!$A:$A,$B59)),1),SUMIFS(TARIFF_PROFILES!$F:$F,TARIFF_PROFILES!$A:$A,$B59))))</f>
        <v/>
      </c>
      <c r="N59" s="31">
        <f>IF($C59="Material",IFERROR(SUMIFS(MATERIAL_MASTER!$P:$P,MATERIAL_MASTER!$A:$A,$D59)*IF(SUMIFS(MATERIAL_TARIFF_RULES!$F:$F,MATERIAL_TARIFF_RULES!$A:$A,$D59,MATERIAL_TARIFF_RULES!$C:$C,$B59)="",SUMIFS(TARIFF_PROFILES!$H:$H,TARIFF_PROFILES!$A:$A,$B59),SUMIFS(MATERIAL_TARIFF_RULES!$F:$F,MATERIAL_TARIFF_RULES!$A:$A,$D59,MATERIAL_TARIFF_RULES!$C:$C,$B59)),1),1)</f>
        <v>1</v>
      </c>
      <c r="O59" s="17" t="str">
        <f t="shared" si="3"/>
        <v/>
      </c>
      <c r="P59" s="17">
        <f>IF(ROW()=2,MAX(0,INDEX(COMMERCIAL_POLICY!$B:$B,MATCH($B59,COMMERCIAL_POLICY!$A:$A,0))-SUM($Q$2:$Q$60)),0)</f>
        <v>0</v>
      </c>
      <c r="Q59" s="33" t="str">
        <f>IF($C59="","",IF($C59="Material",N($I59)*N($K59)*N($M59)*N($O59),IF($C59="Logistics",INDEX(COMMERCIAL_POLICY!$D:$D,MATCH($B59,COMMERCIAL_POLICY!$A:$A,0))*N($L59),N($I59)*N($J59)*N($K59)*N($L59)*N($M59)*N($G59))))</f>
        <v/>
      </c>
      <c r="R59" s="17" t="str">
        <f>IF($A59="","",INDEX(OBJECT_CONDITIONS!$AM:$AM,MATCH($A59,OBJECT_CONDITIONS!$A:$A,0)))</f>
        <v/>
      </c>
      <c r="S59" s="31" t="str">
        <f>IF($R59="","",INDEX(TAX_MODES!$B:$B,MATCH($R59,TAX_MODES!$A:$A,0)))</f>
        <v/>
      </c>
      <c r="T59" s="33" t="str">
        <f t="shared" si="4"/>
        <v/>
      </c>
      <c r="U59" s="17" t="str">
        <f t="shared" si="5"/>
        <v/>
      </c>
    </row>
    <row r="60" spans="1:21" x14ac:dyDescent="0.3">
      <c r="A60" s="17"/>
      <c r="B60" s="17"/>
      <c r="C60" s="17"/>
      <c r="D60" s="17"/>
      <c r="E60" s="17"/>
      <c r="F60" s="17" t="str">
        <f>IF($C60="","",IF($C60="Work",IFERROR(IF(SUMIFS(WORK_TARIFF_RULES!$G:$G,WORK_TARIFF_RULES!$A:$A,$D60,WORK_TARIFF_RULES!$C:$C,$B60)&lt;&gt;"",SUMIFS(WORK_TARIFF_RULES!$G:$G,WORK_TARIFF_RULES!$A:$A,$D60,WORK_TARIFF_RULES!$C:$C,$B60),SUMIFS(WORK_MASTER!$C:$C,WORK_MASTER!$A:$A,$D60)),""),IF($C60="Material",IFERROR(IF(SUMIFS(MATERIAL_TARIFF_RULES!$G:$G,MATERIAL_TARIFF_RULES!$A:$A,$D60,MATERIAL_TARIFF_RULES!$C:$C,$B60)&lt;&gt;"",SUMIFS(MATERIAL_TARIFF_RULES!$G:$G,MATERIAL_TARIFF_RULES!$A:$A,$D60,MATERIAL_TARIFF_RULES!$C:$C,$B60),SUMIFS(MATERIAL_VARIANTS!$J:$J,MATERIAL_VARIANTS!$A:$A,$E60)),""),IF($C60="Logistics","Мобилизация и логистика объекта",""))))</f>
        <v/>
      </c>
      <c r="G60" s="17"/>
      <c r="H60" s="17"/>
      <c r="I60" s="31" t="str">
        <f>IF($C60="","",IF($C60="Work",IFERROR(SUMIFS(WORK_MASTER!$I:$I,WORK_MASTER!$A:$A,$D60),0),IF($C60="Material",IFERROR(SUMIFS(MATERIAL_VARIANTS!$I:$I,MATERIAL_VARIANTS!$A:$A,$E60),0),0)))</f>
        <v/>
      </c>
      <c r="J60" s="31" t="str">
        <f>IF($C60="","",IF($C60="Work",IF($E60&lt;&gt;"",IFERROR(SUMIFS(WORK_VARIANTS!$H:$H,WORK_VARIANTS!$A:$A,$E60),1),1),1))</f>
        <v/>
      </c>
      <c r="K60" s="31" t="str">
        <f>IF($C60="","",IF($C60="Work",IFERROR(SUMIFS(WORK_FACTOR_APPLICABILITY!$O:$O,WORK_FACTOR_APPLICABILITY!$A:$A,$D60,WORK_FACTOR_APPLICABILITY!$N:$N,$A60),1),IF($C60="Material",IFERROR(INDEX(MATERIAL_QUANTITY_EXAMPLE!$N:$N,MATCH(1,(MATERIAL_QUANTITY_EXAMPLE!$A:$A=MATERIAL_QUANTITY_EXAMPLE!$A:$A)*(MATERIAL_QUANTITY_EXAMPLE!$B:$B=$A60)*(MATERIAL_QUANTITY_EXAMPLE!$C:$C=$D60),0)),1),1)))</f>
        <v/>
      </c>
      <c r="L60" s="31" t="str">
        <f>IF($A60="","",IF($C60="Material",1,IFERROR(INDEX(OBJECT_CONDITIONS!$AH:$AH,MATCH($A60,OBJECT_CONDITIONS!$A:$A,0))*INDEX(OBJECT_CONDITIONS!$AJ:$AJ,MATCH($A60,OBJECT_CONDITIONS!$A:$A,0))*INDEX(OBJECT_CONDITIONS!$AL:$AL,MATCH($A60,OBJECT_CONDITIONS!$A:$A,0)),1)))</f>
        <v/>
      </c>
      <c r="M60" s="31" t="str">
        <f>IF($B60="","",IF($C60="Work",IFERROR(IF(SUMIFS(WORK_TARIFF_RULES!$F:$F,WORK_TARIFF_RULES!$A:$A,$D60,WORK_TARIFF_RULES!$C:$C,$B60)&lt;&gt;"",SUMIFS(WORK_TARIFF_RULES!$F:$F,WORK_TARIFF_RULES!$A:$A,$D60,WORK_TARIFF_RULES!$C:$C,$B60),SUMIFS(TARIFF_PROFILES!$D:$D,TARIFF_PROFILES!$A:$A,$B60)),1),IF($C60="Material",IFERROR(IF(SUMIFS(MATERIAL_TARIFF_RULES!$E:$E,MATERIAL_TARIFF_RULES!$A:$A,$D60,MATERIAL_TARIFF_RULES!$C:$C,$B60)&lt;&gt;"",SUMIFS(MATERIAL_TARIFF_RULES!$E:$E,MATERIAL_TARIFF_RULES!$A:$A,$D60,MATERIAL_TARIFF_RULES!$C:$C,$B60),SUMIFS(TARIFF_PROFILES!$E:$E,TARIFF_PROFILES!$A:$A,$B60)),1),SUMIFS(TARIFF_PROFILES!$F:$F,TARIFF_PROFILES!$A:$A,$B60))))</f>
        <v/>
      </c>
      <c r="N60" s="31">
        <f>IF($C60="Material",IFERROR(SUMIFS(MATERIAL_MASTER!$P:$P,MATERIAL_MASTER!$A:$A,$D60)*IF(SUMIFS(MATERIAL_TARIFF_RULES!$F:$F,MATERIAL_TARIFF_RULES!$A:$A,$D60,MATERIAL_TARIFF_RULES!$C:$C,$B60)="",SUMIFS(TARIFF_PROFILES!$H:$H,TARIFF_PROFILES!$A:$A,$B60),SUMIFS(MATERIAL_TARIFF_RULES!$F:$F,MATERIAL_TARIFF_RULES!$A:$A,$D60,MATERIAL_TARIFF_RULES!$C:$C,$B60)),1),1)</f>
        <v>1</v>
      </c>
      <c r="O60" s="17" t="str">
        <f t="shared" si="3"/>
        <v/>
      </c>
      <c r="P60" s="17">
        <f>IF(ROW()=2,MAX(0,INDEX(COMMERCIAL_POLICY!$B:$B,MATCH($B60,COMMERCIAL_POLICY!$A:$A,0))-SUM($Q$2:$Q$60)),0)</f>
        <v>0</v>
      </c>
      <c r="Q60" s="33" t="str">
        <f>IF($C60="","",IF($C60="Material",N($I60)*N($K60)*N($M60)*N($O60),IF($C60="Logistics",INDEX(COMMERCIAL_POLICY!$D:$D,MATCH($B60,COMMERCIAL_POLICY!$A:$A,0))*N($L60),N($I60)*N($J60)*N($K60)*N($L60)*N($M60)*N($G60))))</f>
        <v/>
      </c>
      <c r="R60" s="17" t="str">
        <f>IF($A60="","",INDEX(OBJECT_CONDITIONS!$AM:$AM,MATCH($A60,OBJECT_CONDITIONS!$A:$A,0)))</f>
        <v/>
      </c>
      <c r="S60" s="31" t="str">
        <f>IF($R60="","",INDEX(TAX_MODES!$B:$B,MATCH($R60,TAX_MODES!$A:$A,0)))</f>
        <v/>
      </c>
      <c r="T60" s="33" t="str">
        <f t="shared" si="4"/>
        <v/>
      </c>
      <c r="U60" s="17" t="str">
        <f t="shared" si="5"/>
        <v/>
      </c>
    </row>
  </sheetData>
  <autoFilter ref="A1:U60" xr:uid="{00000000-0009-0000-0000-00001E000000}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9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2" customWidth="1"/>
    <col min="2" max="2" width="18" customWidth="1"/>
    <col min="3" max="3" width="52" customWidth="1"/>
  </cols>
  <sheetData>
    <row r="1" spans="1:3" x14ac:dyDescent="0.3">
      <c r="A1" s="36" t="s">
        <v>1005</v>
      </c>
      <c r="B1" s="36" t="s">
        <v>1006</v>
      </c>
      <c r="C1" s="36" t="s">
        <v>616</v>
      </c>
    </row>
    <row r="2" spans="1:3" x14ac:dyDescent="0.3">
      <c r="A2" s="37" t="s">
        <v>1007</v>
      </c>
      <c r="B2" s="37">
        <v>279</v>
      </c>
      <c r="C2" s="37" t="s">
        <v>1008</v>
      </c>
    </row>
    <row r="3" spans="1:3" x14ac:dyDescent="0.3">
      <c r="A3" s="38" t="s">
        <v>1009</v>
      </c>
      <c r="B3" s="38">
        <v>157</v>
      </c>
      <c r="C3" s="38" t="s">
        <v>1010</v>
      </c>
    </row>
    <row r="4" spans="1:3" x14ac:dyDescent="0.3">
      <c r="A4" s="37" t="s">
        <v>1011</v>
      </c>
      <c r="B4" s="37">
        <v>121</v>
      </c>
      <c r="C4" s="37" t="s">
        <v>1012</v>
      </c>
    </row>
    <row r="5" spans="1:3" x14ac:dyDescent="0.3">
      <c r="A5" s="38" t="s">
        <v>1013</v>
      </c>
      <c r="B5" s="38">
        <v>121</v>
      </c>
      <c r="C5" s="38" t="s">
        <v>1014</v>
      </c>
    </row>
    <row r="6" spans="1:3" x14ac:dyDescent="0.3">
      <c r="A6" s="37" t="s">
        <v>1015</v>
      </c>
      <c r="B6" s="37">
        <v>10</v>
      </c>
      <c r="C6" s="37" t="s">
        <v>1016</v>
      </c>
    </row>
    <row r="7" spans="1:3" x14ac:dyDescent="0.3">
      <c r="A7" s="38" t="s">
        <v>1017</v>
      </c>
      <c r="B7" s="38">
        <v>16</v>
      </c>
      <c r="C7" s="38" t="s">
        <v>1018</v>
      </c>
    </row>
    <row r="8" spans="1:3" x14ac:dyDescent="0.3">
      <c r="A8" s="37" t="s">
        <v>1019</v>
      </c>
      <c r="B8" s="37">
        <v>6</v>
      </c>
      <c r="C8" s="37" t="s">
        <v>1020</v>
      </c>
    </row>
    <row r="9" spans="1:3" x14ac:dyDescent="0.3">
      <c r="A9" s="38" t="s">
        <v>1021</v>
      </c>
      <c r="B9" s="38"/>
      <c r="C9" s="38" t="s">
        <v>1022</v>
      </c>
    </row>
  </sheetData>
  <autoFilter ref="A1:C9" xr:uid="{00000000-0009-0000-0000-00001F000000}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280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40" customWidth="1"/>
    <col min="3" max="3" width="12" customWidth="1"/>
    <col min="4" max="5" width="13" customWidth="1"/>
    <col min="6" max="6" width="14" customWidth="1"/>
    <col min="7" max="7" width="40" customWidth="1"/>
    <col min="8" max="9" width="24" customWidth="1"/>
    <col min="10" max="10" width="39" customWidth="1"/>
    <col min="11" max="11" width="14" customWidth="1"/>
    <col min="12" max="12" width="37" customWidth="1"/>
    <col min="13" max="14" width="29" customWidth="1"/>
    <col min="15" max="15" width="19" customWidth="1"/>
    <col min="16" max="16" width="18" customWidth="1"/>
    <col min="17" max="17" width="19" customWidth="1"/>
    <col min="18" max="18" width="13" customWidth="1"/>
    <col min="19" max="19" width="40" customWidth="1"/>
  </cols>
  <sheetData>
    <row r="1" spans="1:19" x14ac:dyDescent="0.3">
      <c r="A1" s="36" t="s">
        <v>555</v>
      </c>
      <c r="B1" s="36" t="s">
        <v>556</v>
      </c>
      <c r="C1" s="36" t="s">
        <v>1023</v>
      </c>
      <c r="D1" s="36" t="s">
        <v>1024</v>
      </c>
      <c r="E1" s="36" t="s">
        <v>1025</v>
      </c>
      <c r="F1" s="36" t="s">
        <v>1026</v>
      </c>
      <c r="G1" s="36" t="s">
        <v>1027</v>
      </c>
      <c r="H1" s="36" t="s">
        <v>1028</v>
      </c>
      <c r="I1" s="36" t="s">
        <v>1029</v>
      </c>
      <c r="J1" s="36" t="s">
        <v>1030</v>
      </c>
      <c r="K1" s="36" t="s">
        <v>428</v>
      </c>
      <c r="L1" s="36" t="s">
        <v>427</v>
      </c>
      <c r="M1" s="36" t="s">
        <v>1031</v>
      </c>
      <c r="N1" s="36" t="s">
        <v>433</v>
      </c>
      <c r="O1" s="36" t="s">
        <v>196</v>
      </c>
      <c r="P1" s="36" t="s">
        <v>1032</v>
      </c>
      <c r="Q1" s="36" t="s">
        <v>1033</v>
      </c>
      <c r="R1" s="36" t="s">
        <v>562</v>
      </c>
      <c r="S1" s="36" t="s">
        <v>1034</v>
      </c>
    </row>
    <row r="2" spans="1:19" ht="28.8" x14ac:dyDescent="0.3">
      <c r="A2" s="37" t="s">
        <v>563</v>
      </c>
      <c r="B2" s="37" t="s">
        <v>1035</v>
      </c>
      <c r="C2" s="37" t="s">
        <v>402</v>
      </c>
      <c r="D2" s="37" t="s">
        <v>1036</v>
      </c>
      <c r="E2" s="39">
        <v>0.03</v>
      </c>
      <c r="F2" s="37" t="s">
        <v>402</v>
      </c>
      <c r="G2" s="37" t="s">
        <v>402</v>
      </c>
      <c r="H2" s="37" t="s">
        <v>402</v>
      </c>
      <c r="I2" s="37" t="s">
        <v>402</v>
      </c>
      <c r="J2" s="37" t="s">
        <v>423</v>
      </c>
      <c r="K2" s="37" t="s">
        <v>400</v>
      </c>
      <c r="L2" s="37" t="s">
        <v>1035</v>
      </c>
      <c r="M2" s="37" t="s">
        <v>1037</v>
      </c>
      <c r="N2" s="37" t="s">
        <v>242</v>
      </c>
      <c r="O2" s="37" t="s">
        <v>335</v>
      </c>
      <c r="P2" s="40" t="s">
        <v>1038</v>
      </c>
      <c r="Q2" s="40"/>
      <c r="R2" s="37" t="s">
        <v>255</v>
      </c>
      <c r="S2" s="41" t="s">
        <v>1039</v>
      </c>
    </row>
    <row r="3" spans="1:19" x14ac:dyDescent="0.3">
      <c r="A3" s="38" t="s">
        <v>566</v>
      </c>
      <c r="B3" s="38" t="s">
        <v>1040</v>
      </c>
      <c r="C3" s="38" t="s">
        <v>241</v>
      </c>
      <c r="D3" s="38" t="s">
        <v>1041</v>
      </c>
      <c r="E3" s="42">
        <v>3480</v>
      </c>
      <c r="F3" s="38" t="s">
        <v>1042</v>
      </c>
      <c r="G3" s="38"/>
      <c r="H3" s="38" t="s">
        <v>239</v>
      </c>
      <c r="I3" s="38" t="s">
        <v>239</v>
      </c>
      <c r="J3" s="38" t="s">
        <v>239</v>
      </c>
      <c r="K3" s="38" t="s">
        <v>282</v>
      </c>
      <c r="L3" s="38" t="s">
        <v>252</v>
      </c>
      <c r="M3" s="38" t="s">
        <v>1012</v>
      </c>
      <c r="N3" s="38" t="s">
        <v>242</v>
      </c>
      <c r="O3" s="38" t="s">
        <v>335</v>
      </c>
      <c r="P3" s="43" t="s">
        <v>1043</v>
      </c>
      <c r="Q3" s="43" t="s">
        <v>536</v>
      </c>
      <c r="R3" s="38" t="s">
        <v>255</v>
      </c>
      <c r="S3" s="44" t="s">
        <v>1044</v>
      </c>
    </row>
    <row r="4" spans="1:19" ht="43.2" x14ac:dyDescent="0.3">
      <c r="A4" s="37" t="s">
        <v>567</v>
      </c>
      <c r="B4" s="37" t="s">
        <v>1045</v>
      </c>
      <c r="C4" s="37" t="s">
        <v>306</v>
      </c>
      <c r="D4" s="37" t="s">
        <v>1046</v>
      </c>
      <c r="E4" s="39">
        <v>48</v>
      </c>
      <c r="F4" s="37" t="s">
        <v>1042</v>
      </c>
      <c r="G4" s="37" t="s">
        <v>1047</v>
      </c>
      <c r="H4" s="37" t="s">
        <v>1048</v>
      </c>
      <c r="I4" s="37" t="s">
        <v>1048</v>
      </c>
      <c r="J4" s="37" t="s">
        <v>281</v>
      </c>
      <c r="K4" s="37" t="s">
        <v>282</v>
      </c>
      <c r="L4" s="37" t="s">
        <v>1049</v>
      </c>
      <c r="M4" s="37" t="s">
        <v>1012</v>
      </c>
      <c r="N4" s="37" t="s">
        <v>242</v>
      </c>
      <c r="O4" s="37" t="s">
        <v>335</v>
      </c>
      <c r="P4" s="40" t="s">
        <v>1050</v>
      </c>
      <c r="Q4" s="40" t="s">
        <v>540</v>
      </c>
      <c r="R4" s="37" t="s">
        <v>255</v>
      </c>
      <c r="S4" s="41" t="s">
        <v>1044</v>
      </c>
    </row>
    <row r="5" spans="1:19" x14ac:dyDescent="0.3">
      <c r="A5" s="38" t="s">
        <v>1051</v>
      </c>
      <c r="B5" s="38" t="s">
        <v>1052</v>
      </c>
      <c r="C5" s="38" t="s">
        <v>1053</v>
      </c>
      <c r="D5" s="38" t="s">
        <v>1054</v>
      </c>
      <c r="E5" s="42">
        <v>580</v>
      </c>
      <c r="F5" s="38" t="s">
        <v>1042</v>
      </c>
      <c r="G5" s="38" t="s">
        <v>1055</v>
      </c>
      <c r="H5" s="38" t="s">
        <v>239</v>
      </c>
      <c r="I5" s="38" t="s">
        <v>239</v>
      </c>
      <c r="J5" s="38" t="s">
        <v>239</v>
      </c>
      <c r="K5" s="38" t="s">
        <v>282</v>
      </c>
      <c r="L5" s="38" t="s">
        <v>1056</v>
      </c>
      <c r="M5" s="38" t="s">
        <v>1012</v>
      </c>
      <c r="N5" s="38" t="s">
        <v>242</v>
      </c>
      <c r="O5" s="38" t="s">
        <v>335</v>
      </c>
      <c r="P5" s="43" t="s">
        <v>1057</v>
      </c>
      <c r="Q5" s="43" t="s">
        <v>543</v>
      </c>
      <c r="R5" s="38" t="s">
        <v>255</v>
      </c>
      <c r="S5" s="44" t="s">
        <v>1044</v>
      </c>
    </row>
    <row r="6" spans="1:19" ht="28.8" x14ac:dyDescent="0.3">
      <c r="A6" s="37" t="s">
        <v>1058</v>
      </c>
      <c r="B6" s="37" t="s">
        <v>1059</v>
      </c>
      <c r="C6" s="37" t="s">
        <v>241</v>
      </c>
      <c r="D6" s="37" t="s">
        <v>1060</v>
      </c>
      <c r="E6" s="39">
        <v>250</v>
      </c>
      <c r="F6" s="37" t="s">
        <v>1061</v>
      </c>
      <c r="G6" s="37" t="s">
        <v>1055</v>
      </c>
      <c r="H6" s="37" t="s">
        <v>239</v>
      </c>
      <c r="I6" s="37" t="s">
        <v>239</v>
      </c>
      <c r="J6" s="37" t="s">
        <v>239</v>
      </c>
      <c r="K6" s="37" t="s">
        <v>240</v>
      </c>
      <c r="L6" s="37" t="s">
        <v>1062</v>
      </c>
      <c r="M6" s="37" t="s">
        <v>1063</v>
      </c>
      <c r="N6" s="37" t="s">
        <v>242</v>
      </c>
      <c r="O6" s="37" t="s">
        <v>335</v>
      </c>
      <c r="P6" s="40" t="s">
        <v>1064</v>
      </c>
      <c r="Q6" s="40"/>
      <c r="R6" s="37" t="s">
        <v>255</v>
      </c>
      <c r="S6" s="41" t="s">
        <v>1044</v>
      </c>
    </row>
    <row r="7" spans="1:19" ht="28.8" x14ac:dyDescent="0.3">
      <c r="A7" s="38" t="s">
        <v>1065</v>
      </c>
      <c r="B7" s="38" t="s">
        <v>1066</v>
      </c>
      <c r="C7" s="38" t="s">
        <v>1067</v>
      </c>
      <c r="D7" s="38" t="s">
        <v>1068</v>
      </c>
      <c r="E7" s="42">
        <v>8000</v>
      </c>
      <c r="F7" s="38" t="s">
        <v>402</v>
      </c>
      <c r="G7" s="38" t="s">
        <v>402</v>
      </c>
      <c r="H7" s="38" t="s">
        <v>402</v>
      </c>
      <c r="I7" s="38" t="s">
        <v>1069</v>
      </c>
      <c r="J7" s="38" t="s">
        <v>420</v>
      </c>
      <c r="K7" s="38" t="s">
        <v>361</v>
      </c>
      <c r="L7" s="38" t="s">
        <v>1070</v>
      </c>
      <c r="M7" s="38" t="s">
        <v>1071</v>
      </c>
      <c r="N7" s="38" t="s">
        <v>268</v>
      </c>
      <c r="O7" s="38" t="s">
        <v>335</v>
      </c>
      <c r="P7" s="43" t="s">
        <v>1072</v>
      </c>
      <c r="Q7" s="43"/>
      <c r="R7" s="38" t="s">
        <v>255</v>
      </c>
      <c r="S7" s="44" t="s">
        <v>1073</v>
      </c>
    </row>
    <row r="8" spans="1:19" ht="43.2" x14ac:dyDescent="0.3">
      <c r="A8" s="37" t="s">
        <v>1074</v>
      </c>
      <c r="B8" s="37" t="s">
        <v>1075</v>
      </c>
      <c r="C8" s="37" t="s">
        <v>1076</v>
      </c>
      <c r="D8" s="37" t="s">
        <v>1077</v>
      </c>
      <c r="E8" s="39">
        <v>2300</v>
      </c>
      <c r="F8" s="37" t="s">
        <v>1078</v>
      </c>
      <c r="G8" s="37" t="s">
        <v>1079</v>
      </c>
      <c r="H8" s="37" t="s">
        <v>1078</v>
      </c>
      <c r="I8" s="37" t="s">
        <v>1078</v>
      </c>
      <c r="J8" s="37" t="s">
        <v>239</v>
      </c>
      <c r="K8" s="37" t="s">
        <v>321</v>
      </c>
      <c r="L8" s="37" t="s">
        <v>1080</v>
      </c>
      <c r="M8" s="37" t="s">
        <v>1080</v>
      </c>
      <c r="N8" s="37" t="s">
        <v>268</v>
      </c>
      <c r="O8" s="37" t="s">
        <v>335</v>
      </c>
      <c r="P8" s="40" t="s">
        <v>1081</v>
      </c>
      <c r="Q8" s="40"/>
      <c r="R8" s="37" t="s">
        <v>255</v>
      </c>
      <c r="S8" s="41" t="s">
        <v>1082</v>
      </c>
    </row>
    <row r="9" spans="1:19" x14ac:dyDescent="0.3">
      <c r="A9" s="38" t="s">
        <v>1083</v>
      </c>
      <c r="B9" s="38" t="s">
        <v>1084</v>
      </c>
      <c r="C9" s="38" t="s">
        <v>1076</v>
      </c>
      <c r="D9" s="38" t="s">
        <v>1085</v>
      </c>
      <c r="E9" s="42">
        <v>800</v>
      </c>
      <c r="F9" s="38" t="s">
        <v>1078</v>
      </c>
      <c r="G9" s="38" t="s">
        <v>1086</v>
      </c>
      <c r="H9" s="38" t="s">
        <v>1086</v>
      </c>
      <c r="I9" s="38" t="s">
        <v>1078</v>
      </c>
      <c r="J9" s="38" t="s">
        <v>320</v>
      </c>
      <c r="K9" s="38" t="s">
        <v>321</v>
      </c>
      <c r="L9" s="38" t="s">
        <v>1080</v>
      </c>
      <c r="M9" s="38" t="s">
        <v>1080</v>
      </c>
      <c r="N9" s="38" t="s">
        <v>268</v>
      </c>
      <c r="O9" s="38" t="s">
        <v>335</v>
      </c>
      <c r="P9" s="43" t="s">
        <v>1087</v>
      </c>
      <c r="Q9" s="43"/>
      <c r="R9" s="38" t="s">
        <v>255</v>
      </c>
      <c r="S9" s="44" t="s">
        <v>1044</v>
      </c>
    </row>
    <row r="10" spans="1:19" ht="43.2" x14ac:dyDescent="0.3">
      <c r="A10" s="37" t="s">
        <v>1088</v>
      </c>
      <c r="B10" s="37" t="s">
        <v>1089</v>
      </c>
      <c r="C10" s="37" t="s">
        <v>1076</v>
      </c>
      <c r="D10" s="37" t="s">
        <v>1090</v>
      </c>
      <c r="E10" s="39">
        <v>5500</v>
      </c>
      <c r="F10" s="37" t="s">
        <v>1078</v>
      </c>
      <c r="G10" s="37" t="s">
        <v>1055</v>
      </c>
      <c r="H10" s="37" t="s">
        <v>1078</v>
      </c>
      <c r="I10" s="37" t="s">
        <v>1078</v>
      </c>
      <c r="J10" s="37" t="s">
        <v>239</v>
      </c>
      <c r="K10" s="37" t="s">
        <v>321</v>
      </c>
      <c r="L10" s="37" t="s">
        <v>1080</v>
      </c>
      <c r="M10" s="37" t="s">
        <v>1080</v>
      </c>
      <c r="N10" s="37" t="s">
        <v>268</v>
      </c>
      <c r="O10" s="37" t="s">
        <v>335</v>
      </c>
      <c r="P10" s="40" t="s">
        <v>1091</v>
      </c>
      <c r="Q10" s="40"/>
      <c r="R10" s="37" t="s">
        <v>255</v>
      </c>
      <c r="S10" s="41" t="s">
        <v>1082</v>
      </c>
    </row>
    <row r="11" spans="1:19" ht="28.8" x14ac:dyDescent="0.3">
      <c r="A11" s="38" t="s">
        <v>1092</v>
      </c>
      <c r="B11" s="38" t="s">
        <v>1093</v>
      </c>
      <c r="C11" s="38" t="s">
        <v>1067</v>
      </c>
      <c r="D11" s="38" t="s">
        <v>1094</v>
      </c>
      <c r="E11" s="42">
        <v>11700</v>
      </c>
      <c r="F11" s="38" t="s">
        <v>402</v>
      </c>
      <c r="G11" s="38" t="s">
        <v>402</v>
      </c>
      <c r="H11" s="38" t="s">
        <v>402</v>
      </c>
      <c r="I11" s="38" t="s">
        <v>1095</v>
      </c>
      <c r="J11" s="38" t="s">
        <v>420</v>
      </c>
      <c r="K11" s="38" t="s">
        <v>361</v>
      </c>
      <c r="L11" s="38" t="s">
        <v>1070</v>
      </c>
      <c r="M11" s="38" t="s">
        <v>1071</v>
      </c>
      <c r="N11" s="38" t="s">
        <v>268</v>
      </c>
      <c r="O11" s="38" t="s">
        <v>335</v>
      </c>
      <c r="P11" s="43" t="s">
        <v>1096</v>
      </c>
      <c r="Q11" s="43"/>
      <c r="R11" s="38" t="s">
        <v>255</v>
      </c>
      <c r="S11" s="44" t="s">
        <v>1073</v>
      </c>
    </row>
    <row r="12" spans="1:19" ht="43.2" x14ac:dyDescent="0.3">
      <c r="A12" s="37" t="s">
        <v>1097</v>
      </c>
      <c r="B12" s="37" t="s">
        <v>1098</v>
      </c>
      <c r="C12" s="37" t="s">
        <v>1076</v>
      </c>
      <c r="D12" s="37" t="s">
        <v>1099</v>
      </c>
      <c r="E12" s="39">
        <v>770</v>
      </c>
      <c r="F12" s="37" t="s">
        <v>1078</v>
      </c>
      <c r="G12" s="37" t="s">
        <v>1055</v>
      </c>
      <c r="H12" s="37" t="s">
        <v>1078</v>
      </c>
      <c r="I12" s="37" t="s">
        <v>1078</v>
      </c>
      <c r="J12" s="37" t="s">
        <v>239</v>
      </c>
      <c r="K12" s="37" t="s">
        <v>321</v>
      </c>
      <c r="L12" s="37" t="s">
        <v>1080</v>
      </c>
      <c r="M12" s="37" t="s">
        <v>1080</v>
      </c>
      <c r="N12" s="37" t="s">
        <v>268</v>
      </c>
      <c r="O12" s="37" t="s">
        <v>335</v>
      </c>
      <c r="P12" s="40" t="s">
        <v>1100</v>
      </c>
      <c r="Q12" s="40"/>
      <c r="R12" s="37" t="s">
        <v>255</v>
      </c>
      <c r="S12" s="41" t="s">
        <v>1082</v>
      </c>
    </row>
    <row r="13" spans="1:19" x14ac:dyDescent="0.3">
      <c r="A13" s="38" t="s">
        <v>1101</v>
      </c>
      <c r="B13" s="38" t="s">
        <v>1102</v>
      </c>
      <c r="C13" s="38" t="s">
        <v>1103</v>
      </c>
      <c r="D13" s="38" t="s">
        <v>1104</v>
      </c>
      <c r="E13" s="42">
        <v>63</v>
      </c>
      <c r="F13" s="38" t="s">
        <v>1042</v>
      </c>
      <c r="G13" s="38" t="s">
        <v>1055</v>
      </c>
      <c r="H13" s="38" t="s">
        <v>239</v>
      </c>
      <c r="I13" s="38" t="s">
        <v>239</v>
      </c>
      <c r="J13" s="38" t="s">
        <v>239</v>
      </c>
      <c r="K13" s="38" t="s">
        <v>282</v>
      </c>
      <c r="L13" s="38" t="s">
        <v>1062</v>
      </c>
      <c r="M13" s="38" t="s">
        <v>1012</v>
      </c>
      <c r="N13" s="38" t="s">
        <v>242</v>
      </c>
      <c r="O13" s="38" t="s">
        <v>335</v>
      </c>
      <c r="P13" s="43" t="s">
        <v>1105</v>
      </c>
      <c r="Q13" s="43" t="s">
        <v>545</v>
      </c>
      <c r="R13" s="38" t="s">
        <v>255</v>
      </c>
      <c r="S13" s="44" t="s">
        <v>1044</v>
      </c>
    </row>
    <row r="14" spans="1:19" x14ac:dyDescent="0.3">
      <c r="A14" s="37" t="s">
        <v>1106</v>
      </c>
      <c r="B14" s="37" t="s">
        <v>1107</v>
      </c>
      <c r="C14" s="37" t="s">
        <v>1103</v>
      </c>
      <c r="D14" s="37" t="s">
        <v>1108</v>
      </c>
      <c r="E14" s="39">
        <v>85</v>
      </c>
      <c r="F14" s="37" t="s">
        <v>1042</v>
      </c>
      <c r="G14" s="37" t="s">
        <v>1055</v>
      </c>
      <c r="H14" s="37" t="s">
        <v>239</v>
      </c>
      <c r="I14" s="37" t="s">
        <v>239</v>
      </c>
      <c r="J14" s="37" t="s">
        <v>239</v>
      </c>
      <c r="K14" s="37" t="s">
        <v>282</v>
      </c>
      <c r="L14" s="37" t="s">
        <v>1062</v>
      </c>
      <c r="M14" s="37" t="s">
        <v>1012</v>
      </c>
      <c r="N14" s="37" t="s">
        <v>242</v>
      </c>
      <c r="O14" s="37" t="s">
        <v>335</v>
      </c>
      <c r="P14" s="40" t="s">
        <v>1109</v>
      </c>
      <c r="Q14" s="40" t="s">
        <v>547</v>
      </c>
      <c r="R14" s="37" t="s">
        <v>255</v>
      </c>
      <c r="S14" s="41" t="s">
        <v>1044</v>
      </c>
    </row>
    <row r="15" spans="1:19" x14ac:dyDescent="0.3">
      <c r="A15" s="38" t="s">
        <v>1110</v>
      </c>
      <c r="B15" s="38" t="s">
        <v>1111</v>
      </c>
      <c r="C15" s="38" t="s">
        <v>1103</v>
      </c>
      <c r="D15" s="38" t="s">
        <v>1112</v>
      </c>
      <c r="E15" s="42">
        <v>350</v>
      </c>
      <c r="F15" s="38" t="s">
        <v>1061</v>
      </c>
      <c r="G15" s="38" t="s">
        <v>1055</v>
      </c>
      <c r="H15" s="38" t="s">
        <v>239</v>
      </c>
      <c r="I15" s="38" t="s">
        <v>239</v>
      </c>
      <c r="J15" s="38" t="s">
        <v>239</v>
      </c>
      <c r="K15" s="38" t="s">
        <v>240</v>
      </c>
      <c r="L15" s="38" t="s">
        <v>1113</v>
      </c>
      <c r="M15" s="38" t="s">
        <v>1063</v>
      </c>
      <c r="N15" s="38" t="s">
        <v>242</v>
      </c>
      <c r="O15" s="38" t="s">
        <v>335</v>
      </c>
      <c r="P15" s="43" t="s">
        <v>1114</v>
      </c>
      <c r="Q15" s="43"/>
      <c r="R15" s="38" t="s">
        <v>255</v>
      </c>
      <c r="S15" s="44" t="s">
        <v>1044</v>
      </c>
    </row>
    <row r="16" spans="1:19" x14ac:dyDescent="0.3">
      <c r="A16" s="37" t="s">
        <v>1115</v>
      </c>
      <c r="B16" s="37" t="s">
        <v>1116</v>
      </c>
      <c r="C16" s="37" t="s">
        <v>362</v>
      </c>
      <c r="D16" s="37" t="s">
        <v>1117</v>
      </c>
      <c r="E16" s="39">
        <v>15000</v>
      </c>
      <c r="F16" s="37" t="s">
        <v>1042</v>
      </c>
      <c r="G16" s="37" t="s">
        <v>1118</v>
      </c>
      <c r="H16" s="37" t="s">
        <v>1119</v>
      </c>
      <c r="I16" s="37" t="s">
        <v>1119</v>
      </c>
      <c r="J16" s="37" t="s">
        <v>405</v>
      </c>
      <c r="K16" s="37" t="s">
        <v>282</v>
      </c>
      <c r="L16" s="37" t="s">
        <v>1120</v>
      </c>
      <c r="M16" s="37" t="s">
        <v>1012</v>
      </c>
      <c r="N16" s="37" t="s">
        <v>242</v>
      </c>
      <c r="O16" s="37" t="s">
        <v>335</v>
      </c>
      <c r="P16" s="40" t="s">
        <v>1121</v>
      </c>
      <c r="Q16" s="40" t="s">
        <v>549</v>
      </c>
      <c r="R16" s="37" t="s">
        <v>255</v>
      </c>
      <c r="S16" s="41" t="s">
        <v>1044</v>
      </c>
    </row>
    <row r="17" spans="1:19" x14ac:dyDescent="0.3">
      <c r="A17" s="38" t="s">
        <v>1122</v>
      </c>
      <c r="B17" s="38" t="s">
        <v>1123</v>
      </c>
      <c r="C17" s="38" t="s">
        <v>1124</v>
      </c>
      <c r="D17" s="38" t="s">
        <v>1125</v>
      </c>
      <c r="E17" s="42">
        <v>24000</v>
      </c>
      <c r="F17" s="38" t="s">
        <v>1078</v>
      </c>
      <c r="G17" s="38" t="s">
        <v>1118</v>
      </c>
      <c r="H17" s="38" t="s">
        <v>1119</v>
      </c>
      <c r="I17" s="38" t="s">
        <v>1078</v>
      </c>
      <c r="J17" s="38" t="s">
        <v>405</v>
      </c>
      <c r="K17" s="38" t="s">
        <v>321</v>
      </c>
      <c r="L17" s="38" t="s">
        <v>1120</v>
      </c>
      <c r="M17" s="38" t="s">
        <v>1080</v>
      </c>
      <c r="N17" s="38" t="s">
        <v>268</v>
      </c>
      <c r="O17" s="38" t="s">
        <v>335</v>
      </c>
      <c r="P17" s="43" t="s">
        <v>1126</v>
      </c>
      <c r="Q17" s="43"/>
      <c r="R17" s="38" t="s">
        <v>255</v>
      </c>
      <c r="S17" s="44" t="s">
        <v>1044</v>
      </c>
    </row>
    <row r="18" spans="1:19" x14ac:dyDescent="0.3">
      <c r="A18" s="37" t="s">
        <v>1127</v>
      </c>
      <c r="B18" s="37" t="s">
        <v>1128</v>
      </c>
      <c r="C18" s="37" t="s">
        <v>306</v>
      </c>
      <c r="D18" s="37" t="s">
        <v>1129</v>
      </c>
      <c r="E18" s="39">
        <v>6000</v>
      </c>
      <c r="F18" s="37" t="s">
        <v>1042</v>
      </c>
      <c r="G18" s="37" t="s">
        <v>386</v>
      </c>
      <c r="H18" s="37" t="s">
        <v>386</v>
      </c>
      <c r="I18" s="37" t="s">
        <v>386</v>
      </c>
      <c r="J18" s="37" t="s">
        <v>386</v>
      </c>
      <c r="K18" s="37" t="s">
        <v>282</v>
      </c>
      <c r="L18" s="37" t="s">
        <v>1130</v>
      </c>
      <c r="M18" s="37" t="s">
        <v>1012</v>
      </c>
      <c r="N18" s="37" t="s">
        <v>242</v>
      </c>
      <c r="O18" s="37" t="s">
        <v>335</v>
      </c>
      <c r="P18" s="40" t="s">
        <v>1131</v>
      </c>
      <c r="Q18" s="40" t="s">
        <v>551</v>
      </c>
      <c r="R18" s="37" t="s">
        <v>255</v>
      </c>
      <c r="S18" s="41" t="s">
        <v>1044</v>
      </c>
    </row>
    <row r="19" spans="1:19" ht="43.2" x14ac:dyDescent="0.3">
      <c r="A19" s="38" t="s">
        <v>1132</v>
      </c>
      <c r="B19" s="38" t="s">
        <v>1133</v>
      </c>
      <c r="C19" s="38" t="s">
        <v>1103</v>
      </c>
      <c r="D19" s="38" t="s">
        <v>1134</v>
      </c>
      <c r="E19" s="42">
        <v>0</v>
      </c>
      <c r="F19" s="38" t="s">
        <v>1042</v>
      </c>
      <c r="G19" s="38" t="s">
        <v>1135</v>
      </c>
      <c r="H19" s="38" t="s">
        <v>239</v>
      </c>
      <c r="I19" s="38" t="s">
        <v>239</v>
      </c>
      <c r="J19" s="38" t="s">
        <v>239</v>
      </c>
      <c r="K19" s="38" t="s">
        <v>282</v>
      </c>
      <c r="L19" s="38" t="s">
        <v>1049</v>
      </c>
      <c r="M19" s="38" t="s">
        <v>1012</v>
      </c>
      <c r="N19" s="38" t="s">
        <v>242</v>
      </c>
      <c r="O19" s="38" t="s">
        <v>335</v>
      </c>
      <c r="P19" s="43" t="s">
        <v>1136</v>
      </c>
      <c r="Q19" s="43" t="s">
        <v>553</v>
      </c>
      <c r="R19" s="38" t="s">
        <v>255</v>
      </c>
      <c r="S19" s="44" t="s">
        <v>1044</v>
      </c>
    </row>
    <row r="20" spans="1:19" x14ac:dyDescent="0.3">
      <c r="A20" s="37" t="s">
        <v>1137</v>
      </c>
      <c r="B20" s="37" t="s">
        <v>1138</v>
      </c>
      <c r="C20" s="37" t="s">
        <v>1103</v>
      </c>
      <c r="D20" s="37" t="s">
        <v>1139</v>
      </c>
      <c r="E20" s="39">
        <v>320</v>
      </c>
      <c r="F20" s="37" t="s">
        <v>1042</v>
      </c>
      <c r="G20" s="37" t="s">
        <v>1055</v>
      </c>
      <c r="H20" s="37" t="s">
        <v>239</v>
      </c>
      <c r="I20" s="37" t="s">
        <v>239</v>
      </c>
      <c r="J20" s="37" t="s">
        <v>239</v>
      </c>
      <c r="K20" s="37" t="s">
        <v>282</v>
      </c>
      <c r="L20" s="37" t="s">
        <v>1049</v>
      </c>
      <c r="M20" s="37" t="s">
        <v>1012</v>
      </c>
      <c r="N20" s="37" t="s">
        <v>242</v>
      </c>
      <c r="O20" s="37" t="s">
        <v>335</v>
      </c>
      <c r="P20" s="40" t="s">
        <v>1140</v>
      </c>
      <c r="Q20" s="40" t="s">
        <v>1141</v>
      </c>
      <c r="R20" s="37" t="s">
        <v>255</v>
      </c>
      <c r="S20" s="41" t="s">
        <v>1044</v>
      </c>
    </row>
    <row r="21" spans="1:19" x14ac:dyDescent="0.3">
      <c r="A21" s="38" t="s">
        <v>1142</v>
      </c>
      <c r="B21" s="38" t="s">
        <v>1143</v>
      </c>
      <c r="C21" s="38" t="s">
        <v>1103</v>
      </c>
      <c r="D21" s="38" t="s">
        <v>1144</v>
      </c>
      <c r="E21" s="42">
        <v>430</v>
      </c>
      <c r="F21" s="38" t="s">
        <v>1042</v>
      </c>
      <c r="G21" s="38" t="s">
        <v>1047</v>
      </c>
      <c r="H21" s="38" t="s">
        <v>1048</v>
      </c>
      <c r="I21" s="38" t="s">
        <v>1048</v>
      </c>
      <c r="J21" s="38" t="s">
        <v>281</v>
      </c>
      <c r="K21" s="38" t="s">
        <v>282</v>
      </c>
      <c r="L21" s="38" t="s">
        <v>1049</v>
      </c>
      <c r="M21" s="38" t="s">
        <v>1012</v>
      </c>
      <c r="N21" s="38" t="s">
        <v>242</v>
      </c>
      <c r="O21" s="38" t="s">
        <v>335</v>
      </c>
      <c r="P21" s="43" t="s">
        <v>1145</v>
      </c>
      <c r="Q21" s="43" t="s">
        <v>1146</v>
      </c>
      <c r="R21" s="38" t="s">
        <v>255</v>
      </c>
      <c r="S21" s="44" t="s">
        <v>1044</v>
      </c>
    </row>
    <row r="22" spans="1:19" x14ac:dyDescent="0.3">
      <c r="A22" s="37" t="s">
        <v>1147</v>
      </c>
      <c r="B22" s="37" t="s">
        <v>1148</v>
      </c>
      <c r="C22" s="37" t="s">
        <v>306</v>
      </c>
      <c r="D22" s="37" t="s">
        <v>1149</v>
      </c>
      <c r="E22" s="39">
        <v>280</v>
      </c>
      <c r="F22" s="37" t="s">
        <v>1042</v>
      </c>
      <c r="G22" s="37" t="s">
        <v>1118</v>
      </c>
      <c r="H22" s="37" t="s">
        <v>1119</v>
      </c>
      <c r="I22" s="37" t="s">
        <v>1119</v>
      </c>
      <c r="J22" s="37" t="s">
        <v>405</v>
      </c>
      <c r="K22" s="37" t="s">
        <v>282</v>
      </c>
      <c r="L22" s="37" t="s">
        <v>1150</v>
      </c>
      <c r="M22" s="37" t="s">
        <v>1012</v>
      </c>
      <c r="N22" s="37" t="s">
        <v>242</v>
      </c>
      <c r="O22" s="37" t="s">
        <v>335</v>
      </c>
      <c r="P22" s="40" t="s">
        <v>1151</v>
      </c>
      <c r="Q22" s="40" t="s">
        <v>1152</v>
      </c>
      <c r="R22" s="37" t="s">
        <v>255</v>
      </c>
      <c r="S22" s="41" t="s">
        <v>1044</v>
      </c>
    </row>
    <row r="23" spans="1:19" x14ac:dyDescent="0.3">
      <c r="A23" s="38" t="s">
        <v>1153</v>
      </c>
      <c r="B23" s="38" t="s">
        <v>1154</v>
      </c>
      <c r="C23" s="38" t="s">
        <v>306</v>
      </c>
      <c r="D23" s="38" t="s">
        <v>1155</v>
      </c>
      <c r="E23" s="42">
        <v>245</v>
      </c>
      <c r="F23" s="38" t="s">
        <v>1042</v>
      </c>
      <c r="G23" s="38" t="s">
        <v>1055</v>
      </c>
      <c r="H23" s="38" t="s">
        <v>239</v>
      </c>
      <c r="I23" s="38" t="s">
        <v>239</v>
      </c>
      <c r="J23" s="38" t="s">
        <v>239</v>
      </c>
      <c r="K23" s="38" t="s">
        <v>282</v>
      </c>
      <c r="L23" s="38" t="s">
        <v>1056</v>
      </c>
      <c r="M23" s="38" t="s">
        <v>1012</v>
      </c>
      <c r="N23" s="38" t="s">
        <v>242</v>
      </c>
      <c r="O23" s="38" t="s">
        <v>335</v>
      </c>
      <c r="P23" s="43" t="s">
        <v>1156</v>
      </c>
      <c r="Q23" s="43" t="s">
        <v>1157</v>
      </c>
      <c r="R23" s="38" t="s">
        <v>255</v>
      </c>
      <c r="S23" s="44" t="s">
        <v>1044</v>
      </c>
    </row>
    <row r="24" spans="1:19" x14ac:dyDescent="0.3">
      <c r="A24" s="37" t="s">
        <v>1158</v>
      </c>
      <c r="B24" s="37" t="s">
        <v>1159</v>
      </c>
      <c r="C24" s="37" t="s">
        <v>241</v>
      </c>
      <c r="D24" s="37" t="s">
        <v>1160</v>
      </c>
      <c r="E24" s="39">
        <v>2500</v>
      </c>
      <c r="F24" s="37" t="s">
        <v>1042</v>
      </c>
      <c r="G24" s="37" t="s">
        <v>1055</v>
      </c>
      <c r="H24" s="37" t="s">
        <v>239</v>
      </c>
      <c r="I24" s="37" t="s">
        <v>239</v>
      </c>
      <c r="J24" s="37" t="s">
        <v>239</v>
      </c>
      <c r="K24" s="37" t="s">
        <v>282</v>
      </c>
      <c r="L24" s="37" t="s">
        <v>252</v>
      </c>
      <c r="M24" s="37" t="s">
        <v>1012</v>
      </c>
      <c r="N24" s="37" t="s">
        <v>242</v>
      </c>
      <c r="O24" s="37" t="s">
        <v>335</v>
      </c>
      <c r="P24" s="40" t="s">
        <v>1161</v>
      </c>
      <c r="Q24" s="40" t="s">
        <v>1162</v>
      </c>
      <c r="R24" s="37" t="s">
        <v>255</v>
      </c>
      <c r="S24" s="41" t="s">
        <v>1044</v>
      </c>
    </row>
    <row r="25" spans="1:19" x14ac:dyDescent="0.3">
      <c r="A25" s="38" t="s">
        <v>1163</v>
      </c>
      <c r="B25" s="38" t="s">
        <v>1164</v>
      </c>
      <c r="C25" s="38" t="s">
        <v>241</v>
      </c>
      <c r="D25" s="38" t="s">
        <v>1077</v>
      </c>
      <c r="E25" s="42">
        <v>2300</v>
      </c>
      <c r="F25" s="38" t="s">
        <v>1042</v>
      </c>
      <c r="G25" s="38" t="s">
        <v>1055</v>
      </c>
      <c r="H25" s="38" t="s">
        <v>239</v>
      </c>
      <c r="I25" s="38" t="s">
        <v>239</v>
      </c>
      <c r="J25" s="38" t="s">
        <v>239</v>
      </c>
      <c r="K25" s="38" t="s">
        <v>282</v>
      </c>
      <c r="L25" s="38" t="s">
        <v>252</v>
      </c>
      <c r="M25" s="38" t="s">
        <v>1012</v>
      </c>
      <c r="N25" s="38" t="s">
        <v>242</v>
      </c>
      <c r="O25" s="38" t="s">
        <v>335</v>
      </c>
      <c r="P25" s="43" t="s">
        <v>1165</v>
      </c>
      <c r="Q25" s="43" t="s">
        <v>1166</v>
      </c>
      <c r="R25" s="38" t="s">
        <v>255</v>
      </c>
      <c r="S25" s="44" t="s">
        <v>1044</v>
      </c>
    </row>
    <row r="26" spans="1:19" x14ac:dyDescent="0.3">
      <c r="A26" s="37" t="s">
        <v>1167</v>
      </c>
      <c r="B26" s="37" t="s">
        <v>1168</v>
      </c>
      <c r="C26" s="37" t="s">
        <v>241</v>
      </c>
      <c r="D26" s="37" t="s">
        <v>1169</v>
      </c>
      <c r="E26" s="39">
        <v>4730</v>
      </c>
      <c r="F26" s="37" t="s">
        <v>1042</v>
      </c>
      <c r="G26" s="37" t="s">
        <v>1079</v>
      </c>
      <c r="H26" s="37" t="s">
        <v>239</v>
      </c>
      <c r="I26" s="37" t="s">
        <v>239</v>
      </c>
      <c r="J26" s="37" t="s">
        <v>239</v>
      </c>
      <c r="K26" s="37" t="s">
        <v>282</v>
      </c>
      <c r="L26" s="37" t="s">
        <v>252</v>
      </c>
      <c r="M26" s="37" t="s">
        <v>1012</v>
      </c>
      <c r="N26" s="37" t="s">
        <v>242</v>
      </c>
      <c r="O26" s="37" t="s">
        <v>335</v>
      </c>
      <c r="P26" s="40" t="s">
        <v>1170</v>
      </c>
      <c r="Q26" s="40" t="s">
        <v>1171</v>
      </c>
      <c r="R26" s="37" t="s">
        <v>255</v>
      </c>
      <c r="S26" s="41" t="s">
        <v>1044</v>
      </c>
    </row>
    <row r="27" spans="1:19" ht="28.8" x14ac:dyDescent="0.3">
      <c r="A27" s="38" t="s">
        <v>1172</v>
      </c>
      <c r="B27" s="38" t="s">
        <v>1173</v>
      </c>
      <c r="C27" s="38" t="s">
        <v>241</v>
      </c>
      <c r="D27" s="38" t="s">
        <v>1174</v>
      </c>
      <c r="E27" s="42">
        <v>4630</v>
      </c>
      <c r="F27" s="38" t="s">
        <v>1042</v>
      </c>
      <c r="G27" s="38" t="s">
        <v>1079</v>
      </c>
      <c r="H27" s="38" t="s">
        <v>239</v>
      </c>
      <c r="I27" s="38" t="s">
        <v>239</v>
      </c>
      <c r="J27" s="38" t="s">
        <v>239</v>
      </c>
      <c r="K27" s="38" t="s">
        <v>282</v>
      </c>
      <c r="L27" s="38" t="s">
        <v>252</v>
      </c>
      <c r="M27" s="38" t="s">
        <v>1012</v>
      </c>
      <c r="N27" s="38" t="s">
        <v>242</v>
      </c>
      <c r="O27" s="38" t="s">
        <v>335</v>
      </c>
      <c r="P27" s="43" t="s">
        <v>1175</v>
      </c>
      <c r="Q27" s="43" t="s">
        <v>1176</v>
      </c>
      <c r="R27" s="38" t="s">
        <v>255</v>
      </c>
      <c r="S27" s="44" t="s">
        <v>1044</v>
      </c>
    </row>
    <row r="28" spans="1:19" x14ac:dyDescent="0.3">
      <c r="A28" s="37" t="s">
        <v>1177</v>
      </c>
      <c r="B28" s="37" t="s">
        <v>1178</v>
      </c>
      <c r="C28" s="37" t="s">
        <v>241</v>
      </c>
      <c r="D28" s="37" t="s">
        <v>1179</v>
      </c>
      <c r="E28" s="39">
        <v>840</v>
      </c>
      <c r="F28" s="37" t="s">
        <v>1042</v>
      </c>
      <c r="G28" s="37" t="s">
        <v>1079</v>
      </c>
      <c r="H28" s="37" t="s">
        <v>239</v>
      </c>
      <c r="I28" s="37" t="s">
        <v>239</v>
      </c>
      <c r="J28" s="37" t="s">
        <v>239</v>
      </c>
      <c r="K28" s="37" t="s">
        <v>282</v>
      </c>
      <c r="L28" s="37" t="s">
        <v>252</v>
      </c>
      <c r="M28" s="37" t="s">
        <v>1012</v>
      </c>
      <c r="N28" s="37" t="s">
        <v>242</v>
      </c>
      <c r="O28" s="37" t="s">
        <v>335</v>
      </c>
      <c r="P28" s="40" t="s">
        <v>1180</v>
      </c>
      <c r="Q28" s="40" t="s">
        <v>1181</v>
      </c>
      <c r="R28" s="37" t="s">
        <v>255</v>
      </c>
      <c r="S28" s="41" t="s">
        <v>1044</v>
      </c>
    </row>
    <row r="29" spans="1:19" x14ac:dyDescent="0.3">
      <c r="A29" s="38" t="s">
        <v>1182</v>
      </c>
      <c r="B29" s="38" t="s">
        <v>1183</v>
      </c>
      <c r="C29" s="38" t="s">
        <v>241</v>
      </c>
      <c r="D29" s="38" t="s">
        <v>1184</v>
      </c>
      <c r="E29" s="42">
        <v>1100</v>
      </c>
      <c r="F29" s="38" t="s">
        <v>1042</v>
      </c>
      <c r="G29" s="38" t="s">
        <v>1055</v>
      </c>
      <c r="H29" s="38" t="s">
        <v>239</v>
      </c>
      <c r="I29" s="38" t="s">
        <v>239</v>
      </c>
      <c r="J29" s="38" t="s">
        <v>239</v>
      </c>
      <c r="K29" s="38" t="s">
        <v>282</v>
      </c>
      <c r="L29" s="38" t="s">
        <v>252</v>
      </c>
      <c r="M29" s="38" t="s">
        <v>1012</v>
      </c>
      <c r="N29" s="38" t="s">
        <v>242</v>
      </c>
      <c r="O29" s="38" t="s">
        <v>335</v>
      </c>
      <c r="P29" s="43" t="s">
        <v>1185</v>
      </c>
      <c r="Q29" s="43" t="s">
        <v>1186</v>
      </c>
      <c r="R29" s="38" t="s">
        <v>255</v>
      </c>
      <c r="S29" s="44" t="s">
        <v>1044</v>
      </c>
    </row>
    <row r="30" spans="1:19" x14ac:dyDescent="0.3">
      <c r="A30" s="37" t="s">
        <v>1187</v>
      </c>
      <c r="B30" s="37" t="s">
        <v>1188</v>
      </c>
      <c r="C30" s="37" t="s">
        <v>241</v>
      </c>
      <c r="D30" s="37" t="s">
        <v>1189</v>
      </c>
      <c r="E30" s="39">
        <v>3025</v>
      </c>
      <c r="F30" s="37" t="s">
        <v>1042</v>
      </c>
      <c r="G30" s="37" t="s">
        <v>1079</v>
      </c>
      <c r="H30" s="37" t="s">
        <v>239</v>
      </c>
      <c r="I30" s="37" t="s">
        <v>239</v>
      </c>
      <c r="J30" s="37" t="s">
        <v>239</v>
      </c>
      <c r="K30" s="37" t="s">
        <v>282</v>
      </c>
      <c r="L30" s="37" t="s">
        <v>252</v>
      </c>
      <c r="M30" s="37" t="s">
        <v>1012</v>
      </c>
      <c r="N30" s="37" t="s">
        <v>242</v>
      </c>
      <c r="O30" s="37" t="s">
        <v>335</v>
      </c>
      <c r="P30" s="40" t="s">
        <v>1190</v>
      </c>
      <c r="Q30" s="40" t="s">
        <v>1191</v>
      </c>
      <c r="R30" s="37" t="s">
        <v>255</v>
      </c>
      <c r="S30" s="41" t="s">
        <v>1044</v>
      </c>
    </row>
    <row r="31" spans="1:19" x14ac:dyDescent="0.3">
      <c r="A31" s="38" t="s">
        <v>1192</v>
      </c>
      <c r="B31" s="38" t="s">
        <v>1193</v>
      </c>
      <c r="C31" s="38" t="s">
        <v>241</v>
      </c>
      <c r="D31" s="38" t="s">
        <v>1194</v>
      </c>
      <c r="E31" s="42">
        <v>360</v>
      </c>
      <c r="F31" s="38" t="s">
        <v>1061</v>
      </c>
      <c r="G31" s="38" t="s">
        <v>1055</v>
      </c>
      <c r="H31" s="38" t="s">
        <v>1195</v>
      </c>
      <c r="I31" s="38" t="s">
        <v>239</v>
      </c>
      <c r="J31" s="38" t="s">
        <v>399</v>
      </c>
      <c r="K31" s="38" t="s">
        <v>240</v>
      </c>
      <c r="L31" s="38" t="s">
        <v>1196</v>
      </c>
      <c r="M31" s="38" t="s">
        <v>1063</v>
      </c>
      <c r="N31" s="38" t="s">
        <v>242</v>
      </c>
      <c r="O31" s="38" t="s">
        <v>335</v>
      </c>
      <c r="P31" s="43" t="s">
        <v>1197</v>
      </c>
      <c r="Q31" s="43"/>
      <c r="R31" s="38" t="s">
        <v>255</v>
      </c>
      <c r="S31" s="44" t="s">
        <v>1044</v>
      </c>
    </row>
    <row r="32" spans="1:19" ht="28.8" x14ac:dyDescent="0.3">
      <c r="A32" s="37" t="s">
        <v>1198</v>
      </c>
      <c r="B32" s="37" t="s">
        <v>1199</v>
      </c>
      <c r="C32" s="37" t="s">
        <v>362</v>
      </c>
      <c r="D32" s="37" t="s">
        <v>1184</v>
      </c>
      <c r="E32" s="39">
        <v>1100</v>
      </c>
      <c r="F32" s="37" t="s">
        <v>1061</v>
      </c>
      <c r="G32" s="37" t="s">
        <v>1195</v>
      </c>
      <c r="H32" s="37" t="s">
        <v>1195</v>
      </c>
      <c r="I32" s="37" t="s">
        <v>1200</v>
      </c>
      <c r="J32" s="37" t="s">
        <v>399</v>
      </c>
      <c r="K32" s="37" t="s">
        <v>240</v>
      </c>
      <c r="L32" s="37" t="s">
        <v>1196</v>
      </c>
      <c r="M32" s="37" t="s">
        <v>1063</v>
      </c>
      <c r="N32" s="37" t="s">
        <v>242</v>
      </c>
      <c r="O32" s="37" t="s">
        <v>335</v>
      </c>
      <c r="P32" s="40" t="s">
        <v>1201</v>
      </c>
      <c r="Q32" s="40"/>
      <c r="R32" s="37" t="s">
        <v>255</v>
      </c>
      <c r="S32" s="41" t="s">
        <v>1044</v>
      </c>
    </row>
    <row r="33" spans="1:19" ht="43.2" x14ac:dyDescent="0.3">
      <c r="A33" s="38" t="s">
        <v>1202</v>
      </c>
      <c r="B33" s="38" t="s">
        <v>1203</v>
      </c>
      <c r="C33" s="38" t="s">
        <v>241</v>
      </c>
      <c r="D33" s="38" t="s">
        <v>1204</v>
      </c>
      <c r="E33" s="42">
        <v>6500</v>
      </c>
      <c r="F33" s="38" t="s">
        <v>1061</v>
      </c>
      <c r="G33" s="38" t="s">
        <v>1135</v>
      </c>
      <c r="H33" s="38" t="s">
        <v>239</v>
      </c>
      <c r="I33" s="38" t="s">
        <v>239</v>
      </c>
      <c r="J33" s="38" t="s">
        <v>239</v>
      </c>
      <c r="K33" s="38" t="s">
        <v>240</v>
      </c>
      <c r="L33" s="38" t="s">
        <v>1113</v>
      </c>
      <c r="M33" s="38" t="s">
        <v>1063</v>
      </c>
      <c r="N33" s="38" t="s">
        <v>242</v>
      </c>
      <c r="O33" s="38" t="s">
        <v>335</v>
      </c>
      <c r="P33" s="43" t="s">
        <v>1205</v>
      </c>
      <c r="Q33" s="43"/>
      <c r="R33" s="38" t="s">
        <v>255</v>
      </c>
      <c r="S33" s="44" t="s">
        <v>1044</v>
      </c>
    </row>
    <row r="34" spans="1:19" ht="28.8" x14ac:dyDescent="0.3">
      <c r="A34" s="37" t="s">
        <v>1206</v>
      </c>
      <c r="B34" s="37" t="s">
        <v>1207</v>
      </c>
      <c r="C34" s="37" t="s">
        <v>241</v>
      </c>
      <c r="D34" s="37" t="s">
        <v>1208</v>
      </c>
      <c r="E34" s="39">
        <v>260</v>
      </c>
      <c r="F34" s="37" t="s">
        <v>1061</v>
      </c>
      <c r="G34" s="37" t="s">
        <v>1086</v>
      </c>
      <c r="H34" s="37" t="s">
        <v>1086</v>
      </c>
      <c r="I34" s="37" t="s">
        <v>1086</v>
      </c>
      <c r="J34" s="37" t="s">
        <v>320</v>
      </c>
      <c r="K34" s="37" t="s">
        <v>240</v>
      </c>
      <c r="L34" s="37" t="s">
        <v>1209</v>
      </c>
      <c r="M34" s="37" t="s">
        <v>1063</v>
      </c>
      <c r="N34" s="37" t="s">
        <v>242</v>
      </c>
      <c r="O34" s="37" t="s">
        <v>335</v>
      </c>
      <c r="P34" s="40" t="s">
        <v>1210</v>
      </c>
      <c r="Q34" s="40"/>
      <c r="R34" s="37" t="s">
        <v>255</v>
      </c>
      <c r="S34" s="41" t="s">
        <v>1044</v>
      </c>
    </row>
    <row r="35" spans="1:19" ht="28.8" x14ac:dyDescent="0.3">
      <c r="A35" s="45" t="s">
        <v>1211</v>
      </c>
      <c r="B35" s="45" t="s">
        <v>1212</v>
      </c>
      <c r="C35" s="45" t="s">
        <v>402</v>
      </c>
      <c r="D35" s="45" t="s">
        <v>1213</v>
      </c>
      <c r="E35" s="46">
        <v>1.4999999999999999E-2</v>
      </c>
      <c r="F35" s="45" t="s">
        <v>402</v>
      </c>
      <c r="G35" s="45" t="s">
        <v>402</v>
      </c>
      <c r="H35" s="45" t="s">
        <v>402</v>
      </c>
      <c r="I35" s="45" t="s">
        <v>402</v>
      </c>
      <c r="J35" s="45" t="s">
        <v>420</v>
      </c>
      <c r="K35" s="45" t="s">
        <v>387</v>
      </c>
      <c r="L35" s="45" t="s">
        <v>1070</v>
      </c>
      <c r="M35" s="45" t="s">
        <v>1214</v>
      </c>
      <c r="N35" s="45" t="s">
        <v>322</v>
      </c>
      <c r="O35" s="45" t="s">
        <v>335</v>
      </c>
      <c r="P35" s="47" t="s">
        <v>1215</v>
      </c>
      <c r="Q35" s="47"/>
      <c r="R35" s="45" t="s">
        <v>245</v>
      </c>
      <c r="S35" s="48" t="s">
        <v>1216</v>
      </c>
    </row>
    <row r="36" spans="1:19" ht="28.8" x14ac:dyDescent="0.3">
      <c r="A36" s="37" t="s">
        <v>1217</v>
      </c>
      <c r="B36" s="37" t="s">
        <v>1218</v>
      </c>
      <c r="C36" s="37" t="s">
        <v>362</v>
      </c>
      <c r="D36" s="37" t="s">
        <v>1219</v>
      </c>
      <c r="E36" s="39">
        <v>2000</v>
      </c>
      <c r="F36" s="37" t="s">
        <v>1061</v>
      </c>
      <c r="G36" s="37" t="s">
        <v>1047</v>
      </c>
      <c r="H36" s="37" t="s">
        <v>1048</v>
      </c>
      <c r="I36" s="37" t="s">
        <v>1048</v>
      </c>
      <c r="J36" s="37" t="s">
        <v>281</v>
      </c>
      <c r="K36" s="37" t="s">
        <v>240</v>
      </c>
      <c r="L36" s="37" t="s">
        <v>447</v>
      </c>
      <c r="M36" s="37" t="s">
        <v>1063</v>
      </c>
      <c r="N36" s="37" t="s">
        <v>242</v>
      </c>
      <c r="O36" s="37" t="s">
        <v>335</v>
      </c>
      <c r="P36" s="40" t="s">
        <v>1220</v>
      </c>
      <c r="Q36" s="40"/>
      <c r="R36" s="37" t="s">
        <v>255</v>
      </c>
      <c r="S36" s="41" t="s">
        <v>1044</v>
      </c>
    </row>
    <row r="37" spans="1:19" ht="28.8" x14ac:dyDescent="0.3">
      <c r="A37" s="38" t="s">
        <v>1221</v>
      </c>
      <c r="B37" s="38" t="s">
        <v>1222</v>
      </c>
      <c r="C37" s="38" t="s">
        <v>362</v>
      </c>
      <c r="D37" s="38" t="s">
        <v>1223</v>
      </c>
      <c r="E37" s="42">
        <v>850</v>
      </c>
      <c r="F37" s="38" t="s">
        <v>1061</v>
      </c>
      <c r="G37" s="38" t="s">
        <v>1086</v>
      </c>
      <c r="H37" s="38" t="s">
        <v>1086</v>
      </c>
      <c r="I37" s="38" t="s">
        <v>1086</v>
      </c>
      <c r="J37" s="38" t="s">
        <v>320</v>
      </c>
      <c r="K37" s="38" t="s">
        <v>240</v>
      </c>
      <c r="L37" s="38" t="s">
        <v>1209</v>
      </c>
      <c r="M37" s="38" t="s">
        <v>1063</v>
      </c>
      <c r="N37" s="38" t="s">
        <v>242</v>
      </c>
      <c r="O37" s="38" t="s">
        <v>335</v>
      </c>
      <c r="P37" s="43" t="s">
        <v>1224</v>
      </c>
      <c r="Q37" s="43"/>
      <c r="R37" s="38" t="s">
        <v>255</v>
      </c>
      <c r="S37" s="44" t="s">
        <v>1044</v>
      </c>
    </row>
    <row r="38" spans="1:19" ht="28.8" x14ac:dyDescent="0.3">
      <c r="A38" s="37" t="s">
        <v>1225</v>
      </c>
      <c r="B38" s="37" t="s">
        <v>1226</v>
      </c>
      <c r="C38" s="37" t="s">
        <v>362</v>
      </c>
      <c r="D38" s="37" t="s">
        <v>1227</v>
      </c>
      <c r="E38" s="39">
        <v>1200</v>
      </c>
      <c r="F38" s="37" t="s">
        <v>1228</v>
      </c>
      <c r="G38" s="37" t="s">
        <v>1055</v>
      </c>
      <c r="H38" s="37" t="s">
        <v>1228</v>
      </c>
      <c r="I38" s="37" t="s">
        <v>1228</v>
      </c>
      <c r="J38" s="37" t="s">
        <v>419</v>
      </c>
      <c r="K38" s="37" t="s">
        <v>361</v>
      </c>
      <c r="L38" s="37" t="s">
        <v>1229</v>
      </c>
      <c r="M38" s="37" t="s">
        <v>1071</v>
      </c>
      <c r="N38" s="37" t="s">
        <v>268</v>
      </c>
      <c r="O38" s="37" t="s">
        <v>335</v>
      </c>
      <c r="P38" s="40" t="s">
        <v>1230</v>
      </c>
      <c r="Q38" s="40"/>
      <c r="R38" s="37" t="s">
        <v>255</v>
      </c>
      <c r="S38" s="41" t="s">
        <v>1231</v>
      </c>
    </row>
    <row r="39" spans="1:19" ht="28.8" x14ac:dyDescent="0.3">
      <c r="A39" s="38" t="s">
        <v>1232</v>
      </c>
      <c r="B39" s="38" t="s">
        <v>1233</v>
      </c>
      <c r="C39" s="38" t="s">
        <v>1234</v>
      </c>
      <c r="D39" s="38" t="s">
        <v>1235</v>
      </c>
      <c r="E39" s="42">
        <v>32000</v>
      </c>
      <c r="F39" s="38" t="s">
        <v>1228</v>
      </c>
      <c r="G39" s="38" t="s">
        <v>1236</v>
      </c>
      <c r="H39" s="38" t="s">
        <v>1228</v>
      </c>
      <c r="I39" s="38" t="s">
        <v>1228</v>
      </c>
      <c r="J39" s="38" t="s">
        <v>419</v>
      </c>
      <c r="K39" s="38" t="s">
        <v>361</v>
      </c>
      <c r="L39" s="38" t="s">
        <v>1229</v>
      </c>
      <c r="M39" s="38" t="s">
        <v>1071</v>
      </c>
      <c r="N39" s="38" t="s">
        <v>268</v>
      </c>
      <c r="O39" s="38" t="s">
        <v>335</v>
      </c>
      <c r="P39" s="43" t="s">
        <v>1237</v>
      </c>
      <c r="Q39" s="43"/>
      <c r="R39" s="38" t="s">
        <v>255</v>
      </c>
      <c r="S39" s="44" t="s">
        <v>1231</v>
      </c>
    </row>
    <row r="40" spans="1:19" ht="28.8" x14ac:dyDescent="0.3">
      <c r="A40" s="37" t="s">
        <v>1238</v>
      </c>
      <c r="B40" s="37" t="s">
        <v>1239</v>
      </c>
      <c r="C40" s="37" t="s">
        <v>1234</v>
      </c>
      <c r="D40" s="37" t="s">
        <v>1240</v>
      </c>
      <c r="E40" s="39">
        <v>5000</v>
      </c>
      <c r="F40" s="37" t="s">
        <v>402</v>
      </c>
      <c r="G40" s="37" t="s">
        <v>402</v>
      </c>
      <c r="H40" s="37" t="s">
        <v>402</v>
      </c>
      <c r="I40" s="37" t="s">
        <v>1069</v>
      </c>
      <c r="J40" s="37" t="s">
        <v>420</v>
      </c>
      <c r="K40" s="37" t="s">
        <v>361</v>
      </c>
      <c r="L40" s="37" t="s">
        <v>1070</v>
      </c>
      <c r="M40" s="37" t="s">
        <v>1071</v>
      </c>
      <c r="N40" s="37" t="s">
        <v>268</v>
      </c>
      <c r="O40" s="37" t="s">
        <v>335</v>
      </c>
      <c r="P40" s="40" t="s">
        <v>1241</v>
      </c>
      <c r="Q40" s="40"/>
      <c r="R40" s="37" t="s">
        <v>255</v>
      </c>
      <c r="S40" s="41" t="s">
        <v>1073</v>
      </c>
    </row>
    <row r="41" spans="1:19" x14ac:dyDescent="0.3">
      <c r="A41" s="38" t="s">
        <v>1242</v>
      </c>
      <c r="B41" s="38" t="s">
        <v>1243</v>
      </c>
      <c r="C41" s="38" t="s">
        <v>362</v>
      </c>
      <c r="D41" s="38" t="s">
        <v>1184</v>
      </c>
      <c r="E41" s="42">
        <v>1100</v>
      </c>
      <c r="F41" s="38" t="s">
        <v>1061</v>
      </c>
      <c r="G41" s="38" t="s">
        <v>1055</v>
      </c>
      <c r="H41" s="38" t="s">
        <v>239</v>
      </c>
      <c r="I41" s="38" t="s">
        <v>239</v>
      </c>
      <c r="J41" s="38" t="s">
        <v>239</v>
      </c>
      <c r="K41" s="38" t="s">
        <v>240</v>
      </c>
      <c r="L41" s="38" t="s">
        <v>1244</v>
      </c>
      <c r="M41" s="38" t="s">
        <v>1063</v>
      </c>
      <c r="N41" s="38" t="s">
        <v>242</v>
      </c>
      <c r="O41" s="38" t="s">
        <v>335</v>
      </c>
      <c r="P41" s="43" t="s">
        <v>1245</v>
      </c>
      <c r="Q41" s="43"/>
      <c r="R41" s="38" t="s">
        <v>255</v>
      </c>
      <c r="S41" s="44" t="s">
        <v>1044</v>
      </c>
    </row>
    <row r="42" spans="1:19" x14ac:dyDescent="0.3">
      <c r="A42" s="37" t="s">
        <v>1246</v>
      </c>
      <c r="B42" s="37" t="s">
        <v>1247</v>
      </c>
      <c r="C42" s="37" t="s">
        <v>362</v>
      </c>
      <c r="D42" s="37" t="s">
        <v>1085</v>
      </c>
      <c r="E42" s="39">
        <v>800</v>
      </c>
      <c r="F42" s="37" t="s">
        <v>1061</v>
      </c>
      <c r="G42" s="37" t="s">
        <v>1055</v>
      </c>
      <c r="H42" s="37" t="s">
        <v>239</v>
      </c>
      <c r="I42" s="37" t="s">
        <v>239</v>
      </c>
      <c r="J42" s="37" t="s">
        <v>239</v>
      </c>
      <c r="K42" s="37" t="s">
        <v>240</v>
      </c>
      <c r="L42" s="37" t="s">
        <v>1244</v>
      </c>
      <c r="M42" s="37" t="s">
        <v>1063</v>
      </c>
      <c r="N42" s="37" t="s">
        <v>242</v>
      </c>
      <c r="O42" s="37" t="s">
        <v>335</v>
      </c>
      <c r="P42" s="40" t="s">
        <v>1248</v>
      </c>
      <c r="Q42" s="40"/>
      <c r="R42" s="37" t="s">
        <v>255</v>
      </c>
      <c r="S42" s="41" t="s">
        <v>1044</v>
      </c>
    </row>
    <row r="43" spans="1:19" ht="28.8" x14ac:dyDescent="0.3">
      <c r="A43" s="38" t="s">
        <v>1249</v>
      </c>
      <c r="B43" s="38" t="s">
        <v>1250</v>
      </c>
      <c r="C43" s="38" t="s">
        <v>1103</v>
      </c>
      <c r="D43" s="38" t="s">
        <v>1227</v>
      </c>
      <c r="E43" s="42">
        <v>1200</v>
      </c>
      <c r="F43" s="38" t="s">
        <v>1061</v>
      </c>
      <c r="G43" s="38" t="s">
        <v>1251</v>
      </c>
      <c r="H43" s="38" t="s">
        <v>1251</v>
      </c>
      <c r="I43" s="38" t="s">
        <v>1251</v>
      </c>
      <c r="J43" s="38" t="s">
        <v>413</v>
      </c>
      <c r="K43" s="38" t="s">
        <v>240</v>
      </c>
      <c r="L43" s="38" t="s">
        <v>1252</v>
      </c>
      <c r="M43" s="38" t="s">
        <v>1063</v>
      </c>
      <c r="N43" s="38" t="s">
        <v>242</v>
      </c>
      <c r="O43" s="38" t="s">
        <v>335</v>
      </c>
      <c r="P43" s="43" t="s">
        <v>1253</v>
      </c>
      <c r="Q43" s="43"/>
      <c r="R43" s="38" t="s">
        <v>255</v>
      </c>
      <c r="S43" s="44" t="s">
        <v>1254</v>
      </c>
    </row>
    <row r="44" spans="1:19" ht="28.8" x14ac:dyDescent="0.3">
      <c r="A44" s="37" t="s">
        <v>1255</v>
      </c>
      <c r="B44" s="37" t="s">
        <v>1256</v>
      </c>
      <c r="C44" s="37" t="s">
        <v>362</v>
      </c>
      <c r="D44" s="37" t="s">
        <v>1257</v>
      </c>
      <c r="E44" s="39">
        <v>3500</v>
      </c>
      <c r="F44" s="37" t="s">
        <v>1061</v>
      </c>
      <c r="G44" s="37" t="s">
        <v>1251</v>
      </c>
      <c r="H44" s="37" t="s">
        <v>1251</v>
      </c>
      <c r="I44" s="37" t="s">
        <v>1251</v>
      </c>
      <c r="J44" s="37" t="s">
        <v>413</v>
      </c>
      <c r="K44" s="37" t="s">
        <v>240</v>
      </c>
      <c r="L44" s="37" t="s">
        <v>1252</v>
      </c>
      <c r="M44" s="37" t="s">
        <v>1063</v>
      </c>
      <c r="N44" s="37" t="s">
        <v>242</v>
      </c>
      <c r="O44" s="37" t="s">
        <v>335</v>
      </c>
      <c r="P44" s="40" t="s">
        <v>1258</v>
      </c>
      <c r="Q44" s="40"/>
      <c r="R44" s="37" t="s">
        <v>255</v>
      </c>
      <c r="S44" s="41" t="s">
        <v>1254</v>
      </c>
    </row>
    <row r="45" spans="1:19" ht="28.8" x14ac:dyDescent="0.3">
      <c r="A45" s="45" t="s">
        <v>1259</v>
      </c>
      <c r="B45" s="45" t="s">
        <v>1260</v>
      </c>
      <c r="C45" s="45" t="s">
        <v>306</v>
      </c>
      <c r="D45" s="45" t="s">
        <v>1261</v>
      </c>
      <c r="E45" s="46">
        <v>1800</v>
      </c>
      <c r="F45" s="45" t="s">
        <v>1061</v>
      </c>
      <c r="G45" s="45" t="s">
        <v>1251</v>
      </c>
      <c r="H45" s="45" t="s">
        <v>1251</v>
      </c>
      <c r="I45" s="45" t="s">
        <v>1251</v>
      </c>
      <c r="J45" s="45" t="s">
        <v>415</v>
      </c>
      <c r="K45" s="45" t="s">
        <v>240</v>
      </c>
      <c r="L45" s="45" t="s">
        <v>1262</v>
      </c>
      <c r="M45" s="45" t="s">
        <v>1063</v>
      </c>
      <c r="N45" s="45" t="s">
        <v>242</v>
      </c>
      <c r="O45" s="45" t="s">
        <v>293</v>
      </c>
      <c r="P45" s="47" t="s">
        <v>1263</v>
      </c>
      <c r="Q45" s="47"/>
      <c r="R45" s="45" t="s">
        <v>245</v>
      </c>
      <c r="S45" s="48" t="s">
        <v>1264</v>
      </c>
    </row>
    <row r="46" spans="1:19" ht="28.8" x14ac:dyDescent="0.3">
      <c r="A46" s="45" t="s">
        <v>1265</v>
      </c>
      <c r="B46" s="45" t="s">
        <v>1266</v>
      </c>
      <c r="C46" s="45" t="s">
        <v>306</v>
      </c>
      <c r="D46" s="45" t="s">
        <v>1267</v>
      </c>
      <c r="E46" s="46">
        <v>950</v>
      </c>
      <c r="F46" s="45" t="s">
        <v>1061</v>
      </c>
      <c r="G46" s="45" t="s">
        <v>1251</v>
      </c>
      <c r="H46" s="45" t="s">
        <v>1251</v>
      </c>
      <c r="I46" s="45" t="s">
        <v>1251</v>
      </c>
      <c r="J46" s="45" t="s">
        <v>413</v>
      </c>
      <c r="K46" s="45" t="s">
        <v>240</v>
      </c>
      <c r="L46" s="45" t="s">
        <v>1268</v>
      </c>
      <c r="M46" s="45" t="s">
        <v>1063</v>
      </c>
      <c r="N46" s="45" t="s">
        <v>242</v>
      </c>
      <c r="O46" s="45" t="s">
        <v>293</v>
      </c>
      <c r="P46" s="47" t="s">
        <v>1269</v>
      </c>
      <c r="Q46" s="47"/>
      <c r="R46" s="45" t="s">
        <v>245</v>
      </c>
      <c r="S46" s="48" t="s">
        <v>1270</v>
      </c>
    </row>
    <row r="47" spans="1:19" x14ac:dyDescent="0.3">
      <c r="A47" s="38" t="s">
        <v>1271</v>
      </c>
      <c r="B47" s="38" t="s">
        <v>1272</v>
      </c>
      <c r="C47" s="38" t="s">
        <v>241</v>
      </c>
      <c r="D47" s="38" t="s">
        <v>1273</v>
      </c>
      <c r="E47" s="42">
        <v>40</v>
      </c>
      <c r="F47" s="38" t="s">
        <v>1061</v>
      </c>
      <c r="G47" s="38" t="s">
        <v>1195</v>
      </c>
      <c r="H47" s="38" t="s">
        <v>1195</v>
      </c>
      <c r="I47" s="38" t="s">
        <v>1200</v>
      </c>
      <c r="J47" s="38" t="s">
        <v>399</v>
      </c>
      <c r="K47" s="38" t="s">
        <v>240</v>
      </c>
      <c r="L47" s="38" t="s">
        <v>1274</v>
      </c>
      <c r="M47" s="38" t="s">
        <v>1063</v>
      </c>
      <c r="N47" s="38" t="s">
        <v>242</v>
      </c>
      <c r="O47" s="38" t="s">
        <v>335</v>
      </c>
      <c r="P47" s="43" t="s">
        <v>1275</v>
      </c>
      <c r="Q47" s="43"/>
      <c r="R47" s="38" t="s">
        <v>255</v>
      </c>
      <c r="S47" s="44" t="s">
        <v>1044</v>
      </c>
    </row>
    <row r="48" spans="1:19" x14ac:dyDescent="0.3">
      <c r="A48" s="37" t="s">
        <v>1276</v>
      </c>
      <c r="B48" s="37" t="s">
        <v>1277</v>
      </c>
      <c r="C48" s="37" t="s">
        <v>241</v>
      </c>
      <c r="D48" s="37" t="s">
        <v>1278</v>
      </c>
      <c r="E48" s="39">
        <v>3850</v>
      </c>
      <c r="F48" s="37" t="s">
        <v>1042</v>
      </c>
      <c r="G48" s="37" t="s">
        <v>1079</v>
      </c>
      <c r="H48" s="37" t="s">
        <v>239</v>
      </c>
      <c r="I48" s="37" t="s">
        <v>239</v>
      </c>
      <c r="J48" s="37" t="s">
        <v>239</v>
      </c>
      <c r="K48" s="37" t="s">
        <v>282</v>
      </c>
      <c r="L48" s="37" t="s">
        <v>252</v>
      </c>
      <c r="M48" s="37" t="s">
        <v>1012</v>
      </c>
      <c r="N48" s="37" t="s">
        <v>242</v>
      </c>
      <c r="O48" s="37" t="s">
        <v>335</v>
      </c>
      <c r="P48" s="40" t="s">
        <v>1279</v>
      </c>
      <c r="Q48" s="40" t="s">
        <v>1280</v>
      </c>
      <c r="R48" s="37" t="s">
        <v>255</v>
      </c>
      <c r="S48" s="41" t="s">
        <v>1044</v>
      </c>
    </row>
    <row r="49" spans="1:19" x14ac:dyDescent="0.3">
      <c r="A49" s="38" t="s">
        <v>1281</v>
      </c>
      <c r="B49" s="38" t="s">
        <v>1282</v>
      </c>
      <c r="C49" s="38" t="s">
        <v>241</v>
      </c>
      <c r="D49" s="38" t="s">
        <v>1283</v>
      </c>
      <c r="E49" s="42">
        <v>4620</v>
      </c>
      <c r="F49" s="38" t="s">
        <v>1042</v>
      </c>
      <c r="G49" s="38" t="s">
        <v>1079</v>
      </c>
      <c r="H49" s="38" t="s">
        <v>239</v>
      </c>
      <c r="I49" s="38" t="s">
        <v>239</v>
      </c>
      <c r="J49" s="38" t="s">
        <v>239</v>
      </c>
      <c r="K49" s="38" t="s">
        <v>282</v>
      </c>
      <c r="L49" s="38" t="s">
        <v>252</v>
      </c>
      <c r="M49" s="38" t="s">
        <v>1012</v>
      </c>
      <c r="N49" s="38" t="s">
        <v>242</v>
      </c>
      <c r="O49" s="38" t="s">
        <v>335</v>
      </c>
      <c r="P49" s="43" t="s">
        <v>1284</v>
      </c>
      <c r="Q49" s="43" t="s">
        <v>1285</v>
      </c>
      <c r="R49" s="38" t="s">
        <v>255</v>
      </c>
      <c r="S49" s="44" t="s">
        <v>1044</v>
      </c>
    </row>
    <row r="50" spans="1:19" x14ac:dyDescent="0.3">
      <c r="A50" s="37" t="s">
        <v>1286</v>
      </c>
      <c r="B50" s="37" t="s">
        <v>1287</v>
      </c>
      <c r="C50" s="37" t="s">
        <v>1288</v>
      </c>
      <c r="D50" s="37" t="s">
        <v>1289</v>
      </c>
      <c r="E50" s="39">
        <v>330</v>
      </c>
      <c r="F50" s="37" t="s">
        <v>1042</v>
      </c>
      <c r="G50" s="37" t="s">
        <v>1047</v>
      </c>
      <c r="H50" s="37" t="s">
        <v>1048</v>
      </c>
      <c r="I50" s="37" t="s">
        <v>1048</v>
      </c>
      <c r="J50" s="37" t="s">
        <v>281</v>
      </c>
      <c r="K50" s="37" t="s">
        <v>282</v>
      </c>
      <c r="L50" s="37" t="s">
        <v>1290</v>
      </c>
      <c r="M50" s="37" t="s">
        <v>1012</v>
      </c>
      <c r="N50" s="37" t="s">
        <v>242</v>
      </c>
      <c r="O50" s="37" t="s">
        <v>335</v>
      </c>
      <c r="P50" s="40" t="s">
        <v>1291</v>
      </c>
      <c r="Q50" s="40" t="s">
        <v>1292</v>
      </c>
      <c r="R50" s="37" t="s">
        <v>255</v>
      </c>
      <c r="S50" s="41" t="s">
        <v>1044</v>
      </c>
    </row>
    <row r="51" spans="1:19" ht="43.2" x14ac:dyDescent="0.3">
      <c r="A51" s="38" t="s">
        <v>1293</v>
      </c>
      <c r="B51" s="38" t="s">
        <v>1294</v>
      </c>
      <c r="C51" s="38" t="s">
        <v>1288</v>
      </c>
      <c r="D51" s="38" t="s">
        <v>1295</v>
      </c>
      <c r="E51" s="42">
        <v>115</v>
      </c>
      <c r="F51" s="38" t="s">
        <v>1042</v>
      </c>
      <c r="G51" s="38" t="s">
        <v>1135</v>
      </c>
      <c r="H51" s="38" t="s">
        <v>239</v>
      </c>
      <c r="I51" s="38" t="s">
        <v>239</v>
      </c>
      <c r="J51" s="38" t="s">
        <v>239</v>
      </c>
      <c r="K51" s="38" t="s">
        <v>282</v>
      </c>
      <c r="L51" s="38" t="s">
        <v>1062</v>
      </c>
      <c r="M51" s="38" t="s">
        <v>1012</v>
      </c>
      <c r="N51" s="38" t="s">
        <v>242</v>
      </c>
      <c r="O51" s="38" t="s">
        <v>335</v>
      </c>
      <c r="P51" s="43" t="s">
        <v>1296</v>
      </c>
      <c r="Q51" s="43" t="s">
        <v>1297</v>
      </c>
      <c r="R51" s="38" t="s">
        <v>255</v>
      </c>
      <c r="S51" s="44" t="s">
        <v>1044</v>
      </c>
    </row>
    <row r="52" spans="1:19" x14ac:dyDescent="0.3">
      <c r="A52" s="37" t="s">
        <v>1298</v>
      </c>
      <c r="B52" s="37" t="s">
        <v>1299</v>
      </c>
      <c r="C52" s="37" t="s">
        <v>1288</v>
      </c>
      <c r="D52" s="37" t="s">
        <v>1300</v>
      </c>
      <c r="E52" s="39">
        <v>145</v>
      </c>
      <c r="F52" s="37" t="s">
        <v>1042</v>
      </c>
      <c r="G52" s="37" t="s">
        <v>1055</v>
      </c>
      <c r="H52" s="37" t="s">
        <v>239</v>
      </c>
      <c r="I52" s="37" t="s">
        <v>239</v>
      </c>
      <c r="J52" s="37" t="s">
        <v>239</v>
      </c>
      <c r="K52" s="37" t="s">
        <v>282</v>
      </c>
      <c r="L52" s="37" t="s">
        <v>1062</v>
      </c>
      <c r="M52" s="37" t="s">
        <v>1012</v>
      </c>
      <c r="N52" s="37" t="s">
        <v>242</v>
      </c>
      <c r="O52" s="37" t="s">
        <v>335</v>
      </c>
      <c r="P52" s="40" t="s">
        <v>1301</v>
      </c>
      <c r="Q52" s="40" t="s">
        <v>1302</v>
      </c>
      <c r="R52" s="37" t="s">
        <v>255</v>
      </c>
      <c r="S52" s="41" t="s">
        <v>1044</v>
      </c>
    </row>
    <row r="53" spans="1:19" x14ac:dyDescent="0.3">
      <c r="A53" s="38" t="s">
        <v>1303</v>
      </c>
      <c r="B53" s="38" t="s">
        <v>1304</v>
      </c>
      <c r="C53" s="38" t="s">
        <v>241</v>
      </c>
      <c r="D53" s="38" t="s">
        <v>1305</v>
      </c>
      <c r="E53" s="42">
        <v>75</v>
      </c>
      <c r="F53" s="38" t="s">
        <v>1042</v>
      </c>
      <c r="G53" s="38" t="s">
        <v>1079</v>
      </c>
      <c r="H53" s="38" t="s">
        <v>239</v>
      </c>
      <c r="I53" s="38" t="s">
        <v>239</v>
      </c>
      <c r="J53" s="38" t="s">
        <v>239</v>
      </c>
      <c r="K53" s="38" t="s">
        <v>282</v>
      </c>
      <c r="L53" s="38" t="s">
        <v>522</v>
      </c>
      <c r="M53" s="38" t="s">
        <v>1012</v>
      </c>
      <c r="N53" s="38" t="s">
        <v>242</v>
      </c>
      <c r="O53" s="38" t="s">
        <v>335</v>
      </c>
      <c r="P53" s="43" t="s">
        <v>1306</v>
      </c>
      <c r="Q53" s="43" t="s">
        <v>1307</v>
      </c>
      <c r="R53" s="38" t="s">
        <v>255</v>
      </c>
      <c r="S53" s="44" t="s">
        <v>1044</v>
      </c>
    </row>
    <row r="54" spans="1:19" x14ac:dyDescent="0.3">
      <c r="A54" s="37" t="s">
        <v>1308</v>
      </c>
      <c r="B54" s="37" t="s">
        <v>1309</v>
      </c>
      <c r="C54" s="37" t="s">
        <v>241</v>
      </c>
      <c r="D54" s="37" t="s">
        <v>1310</v>
      </c>
      <c r="E54" s="39">
        <v>105</v>
      </c>
      <c r="F54" s="37" t="s">
        <v>1042</v>
      </c>
      <c r="G54" s="37" t="s">
        <v>1079</v>
      </c>
      <c r="H54" s="37" t="s">
        <v>239</v>
      </c>
      <c r="I54" s="37" t="s">
        <v>239</v>
      </c>
      <c r="J54" s="37" t="s">
        <v>239</v>
      </c>
      <c r="K54" s="37" t="s">
        <v>282</v>
      </c>
      <c r="L54" s="37" t="s">
        <v>522</v>
      </c>
      <c r="M54" s="37" t="s">
        <v>1012</v>
      </c>
      <c r="N54" s="37" t="s">
        <v>242</v>
      </c>
      <c r="O54" s="37" t="s">
        <v>335</v>
      </c>
      <c r="P54" s="40" t="s">
        <v>1311</v>
      </c>
      <c r="Q54" s="40" t="s">
        <v>1312</v>
      </c>
      <c r="R54" s="37" t="s">
        <v>255</v>
      </c>
      <c r="S54" s="41" t="s">
        <v>1044</v>
      </c>
    </row>
    <row r="55" spans="1:19" x14ac:dyDescent="0.3">
      <c r="A55" s="38" t="s">
        <v>1313</v>
      </c>
      <c r="B55" s="38" t="s">
        <v>1314</v>
      </c>
      <c r="C55" s="38" t="s">
        <v>306</v>
      </c>
      <c r="D55" s="38" t="s">
        <v>1315</v>
      </c>
      <c r="E55" s="42">
        <v>650</v>
      </c>
      <c r="F55" s="38" t="s">
        <v>1042</v>
      </c>
      <c r="G55" s="38" t="s">
        <v>1086</v>
      </c>
      <c r="H55" s="38" t="s">
        <v>1086</v>
      </c>
      <c r="I55" s="38" t="s">
        <v>1086</v>
      </c>
      <c r="J55" s="38" t="s">
        <v>320</v>
      </c>
      <c r="K55" s="38" t="s">
        <v>282</v>
      </c>
      <c r="L55" s="38" t="s">
        <v>1316</v>
      </c>
      <c r="M55" s="38" t="s">
        <v>1012</v>
      </c>
      <c r="N55" s="38" t="s">
        <v>242</v>
      </c>
      <c r="O55" s="38" t="s">
        <v>335</v>
      </c>
      <c r="P55" s="43" t="s">
        <v>1317</v>
      </c>
      <c r="Q55" s="43" t="s">
        <v>1318</v>
      </c>
      <c r="R55" s="38" t="s">
        <v>255</v>
      </c>
      <c r="S55" s="44" t="s">
        <v>1044</v>
      </c>
    </row>
    <row r="56" spans="1:19" ht="28.8" x14ac:dyDescent="0.3">
      <c r="A56" s="37" t="s">
        <v>1319</v>
      </c>
      <c r="B56" s="37" t="s">
        <v>1320</v>
      </c>
      <c r="C56" s="37" t="s">
        <v>1103</v>
      </c>
      <c r="D56" s="37" t="s">
        <v>1321</v>
      </c>
      <c r="E56" s="39">
        <v>150</v>
      </c>
      <c r="F56" s="37" t="s">
        <v>1061</v>
      </c>
      <c r="G56" s="37" t="s">
        <v>1055</v>
      </c>
      <c r="H56" s="37" t="s">
        <v>239</v>
      </c>
      <c r="I56" s="37" t="s">
        <v>239</v>
      </c>
      <c r="J56" s="37" t="s">
        <v>239</v>
      </c>
      <c r="K56" s="37" t="s">
        <v>282</v>
      </c>
      <c r="L56" s="37" t="s">
        <v>1056</v>
      </c>
      <c r="M56" s="37" t="s">
        <v>1012</v>
      </c>
      <c r="N56" s="37" t="s">
        <v>242</v>
      </c>
      <c r="O56" s="37" t="s">
        <v>335</v>
      </c>
      <c r="P56" s="40" t="s">
        <v>1322</v>
      </c>
      <c r="Q56" s="40" t="s">
        <v>1323</v>
      </c>
      <c r="R56" s="37" t="s">
        <v>255</v>
      </c>
      <c r="S56" s="41" t="s">
        <v>1044</v>
      </c>
    </row>
    <row r="57" spans="1:19" x14ac:dyDescent="0.3">
      <c r="A57" s="38" t="s">
        <v>1324</v>
      </c>
      <c r="B57" s="38" t="s">
        <v>1325</v>
      </c>
      <c r="C57" s="38" t="s">
        <v>362</v>
      </c>
      <c r="D57" s="38" t="s">
        <v>1326</v>
      </c>
      <c r="E57" s="42">
        <v>1880</v>
      </c>
      <c r="F57" s="38" t="s">
        <v>1042</v>
      </c>
      <c r="G57" s="38" t="s">
        <v>1055</v>
      </c>
      <c r="H57" s="38" t="s">
        <v>239</v>
      </c>
      <c r="I57" s="38" t="s">
        <v>239</v>
      </c>
      <c r="J57" s="38" t="s">
        <v>239</v>
      </c>
      <c r="K57" s="38" t="s">
        <v>282</v>
      </c>
      <c r="L57" s="38" t="s">
        <v>522</v>
      </c>
      <c r="M57" s="38" t="s">
        <v>1012</v>
      </c>
      <c r="N57" s="38" t="s">
        <v>242</v>
      </c>
      <c r="O57" s="38" t="s">
        <v>335</v>
      </c>
      <c r="P57" s="43" t="s">
        <v>1327</v>
      </c>
      <c r="Q57" s="43" t="s">
        <v>1328</v>
      </c>
      <c r="R57" s="38" t="s">
        <v>255</v>
      </c>
      <c r="S57" s="44" t="s">
        <v>1044</v>
      </c>
    </row>
    <row r="58" spans="1:19" ht="43.2" x14ac:dyDescent="0.3">
      <c r="A58" s="37" t="s">
        <v>1329</v>
      </c>
      <c r="B58" s="37" t="s">
        <v>1330</v>
      </c>
      <c r="C58" s="37" t="s">
        <v>362</v>
      </c>
      <c r="D58" s="37" t="s">
        <v>1068</v>
      </c>
      <c r="E58" s="39">
        <v>8000</v>
      </c>
      <c r="F58" s="37" t="s">
        <v>1042</v>
      </c>
      <c r="G58" s="37" t="s">
        <v>1135</v>
      </c>
      <c r="H58" s="37" t="s">
        <v>239</v>
      </c>
      <c r="I58" s="37" t="s">
        <v>239</v>
      </c>
      <c r="J58" s="37" t="s">
        <v>239</v>
      </c>
      <c r="K58" s="37" t="s">
        <v>282</v>
      </c>
      <c r="L58" s="37" t="s">
        <v>522</v>
      </c>
      <c r="M58" s="37" t="s">
        <v>1012</v>
      </c>
      <c r="N58" s="37" t="s">
        <v>242</v>
      </c>
      <c r="O58" s="37" t="s">
        <v>335</v>
      </c>
      <c r="P58" s="40" t="s">
        <v>1331</v>
      </c>
      <c r="Q58" s="40" t="s">
        <v>1332</v>
      </c>
      <c r="R58" s="37" t="s">
        <v>255</v>
      </c>
      <c r="S58" s="41" t="s">
        <v>1044</v>
      </c>
    </row>
    <row r="59" spans="1:19" x14ac:dyDescent="0.3">
      <c r="A59" s="38" t="s">
        <v>1333</v>
      </c>
      <c r="B59" s="38" t="s">
        <v>1334</v>
      </c>
      <c r="C59" s="38" t="s">
        <v>416</v>
      </c>
      <c r="D59" s="38" t="s">
        <v>1335</v>
      </c>
      <c r="E59" s="42">
        <v>18700</v>
      </c>
      <c r="F59" s="38" t="s">
        <v>1042</v>
      </c>
      <c r="G59" s="38" t="s">
        <v>1079</v>
      </c>
      <c r="H59" s="38" t="s">
        <v>239</v>
      </c>
      <c r="I59" s="38" t="s">
        <v>239</v>
      </c>
      <c r="J59" s="38" t="s">
        <v>239</v>
      </c>
      <c r="K59" s="38" t="s">
        <v>282</v>
      </c>
      <c r="L59" s="38" t="s">
        <v>522</v>
      </c>
      <c r="M59" s="38" t="s">
        <v>1012</v>
      </c>
      <c r="N59" s="38" t="s">
        <v>242</v>
      </c>
      <c r="O59" s="38" t="s">
        <v>335</v>
      </c>
      <c r="P59" s="43" t="s">
        <v>1336</v>
      </c>
      <c r="Q59" s="43" t="s">
        <v>1337</v>
      </c>
      <c r="R59" s="38" t="s">
        <v>255</v>
      </c>
      <c r="S59" s="44" t="s">
        <v>1044</v>
      </c>
    </row>
    <row r="60" spans="1:19" ht="43.2" x14ac:dyDescent="0.3">
      <c r="A60" s="37" t="s">
        <v>1338</v>
      </c>
      <c r="B60" s="37" t="s">
        <v>1339</v>
      </c>
      <c r="C60" s="37" t="s">
        <v>362</v>
      </c>
      <c r="D60" s="37" t="s">
        <v>1227</v>
      </c>
      <c r="E60" s="39">
        <v>1200</v>
      </c>
      <c r="F60" s="37" t="s">
        <v>1042</v>
      </c>
      <c r="G60" s="37" t="s">
        <v>1135</v>
      </c>
      <c r="H60" s="37" t="s">
        <v>239</v>
      </c>
      <c r="I60" s="37" t="s">
        <v>239</v>
      </c>
      <c r="J60" s="37" t="s">
        <v>239</v>
      </c>
      <c r="K60" s="37" t="s">
        <v>282</v>
      </c>
      <c r="L60" s="37" t="s">
        <v>1062</v>
      </c>
      <c r="M60" s="37" t="s">
        <v>1012</v>
      </c>
      <c r="N60" s="37" t="s">
        <v>242</v>
      </c>
      <c r="O60" s="37" t="s">
        <v>335</v>
      </c>
      <c r="P60" s="40" t="s">
        <v>1340</v>
      </c>
      <c r="Q60" s="40" t="s">
        <v>1341</v>
      </c>
      <c r="R60" s="37" t="s">
        <v>255</v>
      </c>
      <c r="S60" s="41" t="s">
        <v>1044</v>
      </c>
    </row>
    <row r="61" spans="1:19" x14ac:dyDescent="0.3">
      <c r="A61" s="45" t="s">
        <v>1342</v>
      </c>
      <c r="B61" s="45" t="s">
        <v>1343</v>
      </c>
      <c r="C61" s="45" t="s">
        <v>362</v>
      </c>
      <c r="D61" s="45" t="s">
        <v>1077</v>
      </c>
      <c r="E61" s="46">
        <v>2300</v>
      </c>
      <c r="F61" s="45" t="s">
        <v>1042</v>
      </c>
      <c r="G61" s="45" t="s">
        <v>1200</v>
      </c>
      <c r="H61" s="45" t="s">
        <v>1200</v>
      </c>
      <c r="I61" s="45" t="s">
        <v>1200</v>
      </c>
      <c r="J61" s="45" t="s">
        <v>399</v>
      </c>
      <c r="K61" s="45" t="s">
        <v>282</v>
      </c>
      <c r="L61" s="45" t="s">
        <v>1012</v>
      </c>
      <c r="M61" s="45" t="s">
        <v>1012</v>
      </c>
      <c r="N61" s="45" t="s">
        <v>242</v>
      </c>
      <c r="O61" s="45" t="s">
        <v>293</v>
      </c>
      <c r="P61" s="47" t="s">
        <v>1344</v>
      </c>
      <c r="Q61" s="47" t="s">
        <v>1345</v>
      </c>
      <c r="R61" s="45" t="s">
        <v>245</v>
      </c>
      <c r="S61" s="48" t="s">
        <v>1044</v>
      </c>
    </row>
    <row r="62" spans="1:19" ht="43.2" x14ac:dyDescent="0.3">
      <c r="A62" s="37" t="s">
        <v>1346</v>
      </c>
      <c r="B62" s="37" t="s">
        <v>1347</v>
      </c>
      <c r="C62" s="37" t="s">
        <v>241</v>
      </c>
      <c r="D62" s="37" t="s">
        <v>1348</v>
      </c>
      <c r="E62" s="39">
        <v>60</v>
      </c>
      <c r="F62" s="37" t="s">
        <v>1061</v>
      </c>
      <c r="G62" s="37" t="s">
        <v>1135</v>
      </c>
      <c r="H62" s="37" t="s">
        <v>239</v>
      </c>
      <c r="I62" s="37" t="s">
        <v>239</v>
      </c>
      <c r="J62" s="37" t="s">
        <v>239</v>
      </c>
      <c r="K62" s="37" t="s">
        <v>240</v>
      </c>
      <c r="L62" s="37" t="s">
        <v>1113</v>
      </c>
      <c r="M62" s="37" t="s">
        <v>1063</v>
      </c>
      <c r="N62" s="37" t="s">
        <v>242</v>
      </c>
      <c r="O62" s="37" t="s">
        <v>335</v>
      </c>
      <c r="P62" s="40" t="s">
        <v>1349</v>
      </c>
      <c r="Q62" s="40"/>
      <c r="R62" s="37" t="s">
        <v>255</v>
      </c>
      <c r="S62" s="41" t="s">
        <v>1044</v>
      </c>
    </row>
    <row r="63" spans="1:19" ht="43.2" x14ac:dyDescent="0.3">
      <c r="A63" s="38" t="s">
        <v>1350</v>
      </c>
      <c r="B63" s="38" t="s">
        <v>1351</v>
      </c>
      <c r="C63" s="38" t="s">
        <v>1053</v>
      </c>
      <c r="D63" s="38" t="s">
        <v>1352</v>
      </c>
      <c r="E63" s="42">
        <v>400</v>
      </c>
      <c r="F63" s="38" t="s">
        <v>1042</v>
      </c>
      <c r="G63" s="38" t="s">
        <v>1135</v>
      </c>
      <c r="H63" s="38" t="s">
        <v>239</v>
      </c>
      <c r="I63" s="38" t="s">
        <v>239</v>
      </c>
      <c r="J63" s="38" t="s">
        <v>239</v>
      </c>
      <c r="K63" s="38" t="s">
        <v>282</v>
      </c>
      <c r="L63" s="38" t="s">
        <v>1062</v>
      </c>
      <c r="M63" s="38" t="s">
        <v>1012</v>
      </c>
      <c r="N63" s="38" t="s">
        <v>242</v>
      </c>
      <c r="O63" s="38" t="s">
        <v>335</v>
      </c>
      <c r="P63" s="43" t="s">
        <v>1353</v>
      </c>
      <c r="Q63" s="43" t="s">
        <v>1354</v>
      </c>
      <c r="R63" s="38" t="s">
        <v>255</v>
      </c>
      <c r="S63" s="44" t="s">
        <v>1044</v>
      </c>
    </row>
    <row r="64" spans="1:19" ht="28.8" x14ac:dyDescent="0.3">
      <c r="A64" s="37" t="s">
        <v>1355</v>
      </c>
      <c r="B64" s="37" t="s">
        <v>1356</v>
      </c>
      <c r="C64" s="37" t="s">
        <v>362</v>
      </c>
      <c r="D64" s="37" t="s">
        <v>1357</v>
      </c>
      <c r="E64" s="39">
        <v>3900</v>
      </c>
      <c r="F64" s="37" t="s">
        <v>1061</v>
      </c>
      <c r="G64" s="37" t="s">
        <v>1251</v>
      </c>
      <c r="H64" s="37" t="s">
        <v>1251</v>
      </c>
      <c r="I64" s="37" t="s">
        <v>1251</v>
      </c>
      <c r="J64" s="37" t="s">
        <v>413</v>
      </c>
      <c r="K64" s="37" t="s">
        <v>240</v>
      </c>
      <c r="L64" s="37" t="s">
        <v>1252</v>
      </c>
      <c r="M64" s="37" t="s">
        <v>1063</v>
      </c>
      <c r="N64" s="37" t="s">
        <v>242</v>
      </c>
      <c r="O64" s="37" t="s">
        <v>335</v>
      </c>
      <c r="P64" s="40" t="s">
        <v>1358</v>
      </c>
      <c r="Q64" s="40"/>
      <c r="R64" s="37" t="s">
        <v>255</v>
      </c>
      <c r="S64" s="41" t="s">
        <v>1254</v>
      </c>
    </row>
    <row r="65" spans="1:19" ht="28.8" x14ac:dyDescent="0.3">
      <c r="A65" s="38" t="s">
        <v>1359</v>
      </c>
      <c r="B65" s="38" t="s">
        <v>1360</v>
      </c>
      <c r="C65" s="38" t="s">
        <v>1103</v>
      </c>
      <c r="D65" s="38" t="s">
        <v>1267</v>
      </c>
      <c r="E65" s="42">
        <v>950</v>
      </c>
      <c r="F65" s="38" t="s">
        <v>1061</v>
      </c>
      <c r="G65" s="38" t="s">
        <v>1251</v>
      </c>
      <c r="H65" s="38" t="s">
        <v>1251</v>
      </c>
      <c r="I65" s="38" t="s">
        <v>1251</v>
      </c>
      <c r="J65" s="38" t="s">
        <v>413</v>
      </c>
      <c r="K65" s="38" t="s">
        <v>240</v>
      </c>
      <c r="L65" s="38" t="s">
        <v>1252</v>
      </c>
      <c r="M65" s="38" t="s">
        <v>1063</v>
      </c>
      <c r="N65" s="38" t="s">
        <v>242</v>
      </c>
      <c r="O65" s="38" t="s">
        <v>335</v>
      </c>
      <c r="P65" s="43" t="s">
        <v>1361</v>
      </c>
      <c r="Q65" s="43"/>
      <c r="R65" s="38" t="s">
        <v>255</v>
      </c>
      <c r="S65" s="44" t="s">
        <v>1254</v>
      </c>
    </row>
    <row r="66" spans="1:19" ht="28.8" x14ac:dyDescent="0.3">
      <c r="A66" s="37" t="s">
        <v>1362</v>
      </c>
      <c r="B66" s="37" t="s">
        <v>1363</v>
      </c>
      <c r="C66" s="37" t="s">
        <v>241</v>
      </c>
      <c r="D66" s="37" t="s">
        <v>1315</v>
      </c>
      <c r="E66" s="39">
        <v>650</v>
      </c>
      <c r="F66" s="37" t="s">
        <v>1061</v>
      </c>
      <c r="G66" s="37" t="s">
        <v>1086</v>
      </c>
      <c r="H66" s="37" t="s">
        <v>1251</v>
      </c>
      <c r="I66" s="37" t="s">
        <v>1086</v>
      </c>
      <c r="J66" s="37" t="s">
        <v>413</v>
      </c>
      <c r="K66" s="37" t="s">
        <v>240</v>
      </c>
      <c r="L66" s="37" t="s">
        <v>1252</v>
      </c>
      <c r="M66" s="37" t="s">
        <v>1063</v>
      </c>
      <c r="N66" s="37" t="s">
        <v>242</v>
      </c>
      <c r="O66" s="37" t="s">
        <v>335</v>
      </c>
      <c r="P66" s="40" t="s">
        <v>1364</v>
      </c>
      <c r="Q66" s="40"/>
      <c r="R66" s="37" t="s">
        <v>255</v>
      </c>
      <c r="S66" s="41" t="s">
        <v>1254</v>
      </c>
    </row>
    <row r="67" spans="1:19" x14ac:dyDescent="0.3">
      <c r="A67" s="38" t="s">
        <v>1365</v>
      </c>
      <c r="B67" s="38" t="s">
        <v>1366</v>
      </c>
      <c r="C67" s="38" t="s">
        <v>306</v>
      </c>
      <c r="D67" s="38" t="s">
        <v>1367</v>
      </c>
      <c r="E67" s="42">
        <v>1500</v>
      </c>
      <c r="F67" s="38" t="s">
        <v>1061</v>
      </c>
      <c r="G67" s="38" t="s">
        <v>1368</v>
      </c>
      <c r="H67" s="38" t="s">
        <v>1369</v>
      </c>
      <c r="I67" s="38" t="s">
        <v>1369</v>
      </c>
      <c r="J67" s="38" t="s">
        <v>360</v>
      </c>
      <c r="K67" s="38" t="s">
        <v>240</v>
      </c>
      <c r="L67" s="38" t="s">
        <v>1252</v>
      </c>
      <c r="M67" s="38" t="s">
        <v>1063</v>
      </c>
      <c r="N67" s="38" t="s">
        <v>242</v>
      </c>
      <c r="O67" s="38" t="s">
        <v>335</v>
      </c>
      <c r="P67" s="43" t="s">
        <v>1370</v>
      </c>
      <c r="Q67" s="43"/>
      <c r="R67" s="38" t="s">
        <v>255</v>
      </c>
      <c r="S67" s="44" t="s">
        <v>1044</v>
      </c>
    </row>
    <row r="68" spans="1:19" ht="28.8" x14ac:dyDescent="0.3">
      <c r="A68" s="37" t="s">
        <v>1371</v>
      </c>
      <c r="B68" s="37" t="s">
        <v>1372</v>
      </c>
      <c r="C68" s="37" t="s">
        <v>306</v>
      </c>
      <c r="D68" s="37" t="s">
        <v>1373</v>
      </c>
      <c r="E68" s="39">
        <v>5700</v>
      </c>
      <c r="F68" s="37" t="s">
        <v>1042</v>
      </c>
      <c r="G68" s="37" t="s">
        <v>1079</v>
      </c>
      <c r="H68" s="37" t="s">
        <v>239</v>
      </c>
      <c r="I68" s="37" t="s">
        <v>239</v>
      </c>
      <c r="J68" s="37" t="s">
        <v>239</v>
      </c>
      <c r="K68" s="37" t="s">
        <v>282</v>
      </c>
      <c r="L68" s="37" t="s">
        <v>1056</v>
      </c>
      <c r="M68" s="37" t="s">
        <v>1012</v>
      </c>
      <c r="N68" s="37" t="s">
        <v>242</v>
      </c>
      <c r="O68" s="37" t="s">
        <v>335</v>
      </c>
      <c r="P68" s="40" t="s">
        <v>1374</v>
      </c>
      <c r="Q68" s="40" t="s">
        <v>1375</v>
      </c>
      <c r="R68" s="37" t="s">
        <v>255</v>
      </c>
      <c r="S68" s="41" t="s">
        <v>1044</v>
      </c>
    </row>
    <row r="69" spans="1:19" x14ac:dyDescent="0.3">
      <c r="A69" s="38" t="s">
        <v>1376</v>
      </c>
      <c r="B69" s="38" t="s">
        <v>1377</v>
      </c>
      <c r="C69" s="38" t="s">
        <v>306</v>
      </c>
      <c r="D69" s="38" t="s">
        <v>1378</v>
      </c>
      <c r="E69" s="42">
        <v>72</v>
      </c>
      <c r="F69" s="38" t="s">
        <v>1042</v>
      </c>
      <c r="G69" s="38" t="s">
        <v>1055</v>
      </c>
      <c r="H69" s="38" t="s">
        <v>239</v>
      </c>
      <c r="I69" s="38" t="s">
        <v>239</v>
      </c>
      <c r="J69" s="38" t="s">
        <v>239</v>
      </c>
      <c r="K69" s="38" t="s">
        <v>282</v>
      </c>
      <c r="L69" s="38" t="s">
        <v>1056</v>
      </c>
      <c r="M69" s="38" t="s">
        <v>1012</v>
      </c>
      <c r="N69" s="38" t="s">
        <v>242</v>
      </c>
      <c r="O69" s="38" t="s">
        <v>335</v>
      </c>
      <c r="P69" s="43" t="s">
        <v>1379</v>
      </c>
      <c r="Q69" s="43" t="s">
        <v>1380</v>
      </c>
      <c r="R69" s="38" t="s">
        <v>255</v>
      </c>
      <c r="S69" s="44" t="s">
        <v>1044</v>
      </c>
    </row>
    <row r="70" spans="1:19" ht="43.2" x14ac:dyDescent="0.3">
      <c r="A70" s="37" t="s">
        <v>1381</v>
      </c>
      <c r="B70" s="37" t="s">
        <v>1382</v>
      </c>
      <c r="C70" s="37" t="s">
        <v>306</v>
      </c>
      <c r="D70" s="37" t="s">
        <v>1383</v>
      </c>
      <c r="E70" s="39">
        <v>3300</v>
      </c>
      <c r="F70" s="37" t="s">
        <v>1042</v>
      </c>
      <c r="G70" s="37" t="s">
        <v>1368</v>
      </c>
      <c r="H70" s="37" t="s">
        <v>1369</v>
      </c>
      <c r="I70" s="37" t="s">
        <v>1369</v>
      </c>
      <c r="J70" s="37" t="s">
        <v>360</v>
      </c>
      <c r="K70" s="37" t="s">
        <v>282</v>
      </c>
      <c r="L70" s="37" t="s">
        <v>1384</v>
      </c>
      <c r="M70" s="37" t="s">
        <v>1012</v>
      </c>
      <c r="N70" s="37" t="s">
        <v>242</v>
      </c>
      <c r="O70" s="37" t="s">
        <v>335</v>
      </c>
      <c r="P70" s="40" t="s">
        <v>1385</v>
      </c>
      <c r="Q70" s="40" t="s">
        <v>1386</v>
      </c>
      <c r="R70" s="37" t="s">
        <v>255</v>
      </c>
      <c r="S70" s="41" t="s">
        <v>1044</v>
      </c>
    </row>
    <row r="71" spans="1:19" ht="43.2" x14ac:dyDescent="0.3">
      <c r="A71" s="45" t="s">
        <v>1387</v>
      </c>
      <c r="B71" s="45" t="s">
        <v>1388</v>
      </c>
      <c r="C71" s="45" t="s">
        <v>306</v>
      </c>
      <c r="D71" s="45" t="s">
        <v>1389</v>
      </c>
      <c r="E71" s="46">
        <v>1400</v>
      </c>
      <c r="F71" s="45" t="s">
        <v>1042</v>
      </c>
      <c r="G71" s="45" t="s">
        <v>1135</v>
      </c>
      <c r="H71" s="45" t="s">
        <v>239</v>
      </c>
      <c r="I71" s="45" t="s">
        <v>239</v>
      </c>
      <c r="J71" s="45" t="s">
        <v>239</v>
      </c>
      <c r="K71" s="45" t="s">
        <v>282</v>
      </c>
      <c r="L71" s="45" t="s">
        <v>1390</v>
      </c>
      <c r="M71" s="45" t="s">
        <v>1012</v>
      </c>
      <c r="N71" s="45" t="s">
        <v>242</v>
      </c>
      <c r="O71" s="45" t="s">
        <v>293</v>
      </c>
      <c r="P71" s="47" t="s">
        <v>1391</v>
      </c>
      <c r="Q71" s="47" t="s">
        <v>1392</v>
      </c>
      <c r="R71" s="45" t="s">
        <v>245</v>
      </c>
      <c r="S71" s="48" t="s">
        <v>1393</v>
      </c>
    </row>
    <row r="72" spans="1:19" x14ac:dyDescent="0.3">
      <c r="A72" s="37" t="s">
        <v>1394</v>
      </c>
      <c r="B72" s="37" t="s">
        <v>1395</v>
      </c>
      <c r="C72" s="37" t="s">
        <v>1103</v>
      </c>
      <c r="D72" s="37" t="s">
        <v>1396</v>
      </c>
      <c r="E72" s="39">
        <v>70</v>
      </c>
      <c r="F72" s="37" t="s">
        <v>1042</v>
      </c>
      <c r="G72" s="37" t="s">
        <v>1055</v>
      </c>
      <c r="H72" s="37" t="s">
        <v>239</v>
      </c>
      <c r="I72" s="37" t="s">
        <v>239</v>
      </c>
      <c r="J72" s="37" t="s">
        <v>239</v>
      </c>
      <c r="K72" s="37" t="s">
        <v>282</v>
      </c>
      <c r="L72" s="37" t="s">
        <v>1056</v>
      </c>
      <c r="M72" s="37" t="s">
        <v>1012</v>
      </c>
      <c r="N72" s="37" t="s">
        <v>242</v>
      </c>
      <c r="O72" s="37" t="s">
        <v>335</v>
      </c>
      <c r="P72" s="40" t="s">
        <v>1397</v>
      </c>
      <c r="Q72" s="40" t="s">
        <v>1398</v>
      </c>
      <c r="R72" s="37" t="s">
        <v>255</v>
      </c>
      <c r="S72" s="41" t="s">
        <v>1044</v>
      </c>
    </row>
    <row r="73" spans="1:19" ht="28.8" x14ac:dyDescent="0.3">
      <c r="A73" s="38" t="s">
        <v>1399</v>
      </c>
      <c r="B73" s="38" t="s">
        <v>1400</v>
      </c>
      <c r="C73" s="38" t="s">
        <v>306</v>
      </c>
      <c r="D73" s="38" t="s">
        <v>1401</v>
      </c>
      <c r="E73" s="42">
        <v>1680</v>
      </c>
      <c r="F73" s="38" t="s">
        <v>1042</v>
      </c>
      <c r="G73" s="38" t="s">
        <v>1055</v>
      </c>
      <c r="H73" s="38" t="s">
        <v>239</v>
      </c>
      <c r="I73" s="38" t="s">
        <v>239</v>
      </c>
      <c r="J73" s="38" t="s">
        <v>239</v>
      </c>
      <c r="K73" s="38" t="s">
        <v>282</v>
      </c>
      <c r="L73" s="38" t="s">
        <v>1056</v>
      </c>
      <c r="M73" s="38" t="s">
        <v>1012</v>
      </c>
      <c r="N73" s="38" t="s">
        <v>242</v>
      </c>
      <c r="O73" s="38" t="s">
        <v>335</v>
      </c>
      <c r="P73" s="43" t="s">
        <v>1402</v>
      </c>
      <c r="Q73" s="43" t="s">
        <v>1403</v>
      </c>
      <c r="R73" s="38" t="s">
        <v>255</v>
      </c>
      <c r="S73" s="44" t="s">
        <v>1044</v>
      </c>
    </row>
    <row r="74" spans="1:19" ht="28.8" x14ac:dyDescent="0.3">
      <c r="A74" s="37" t="s">
        <v>1404</v>
      </c>
      <c r="B74" s="37" t="s">
        <v>1405</v>
      </c>
      <c r="C74" s="37" t="s">
        <v>306</v>
      </c>
      <c r="D74" s="37" t="s">
        <v>1406</v>
      </c>
      <c r="E74" s="39">
        <v>1025</v>
      </c>
      <c r="F74" s="37" t="s">
        <v>1042</v>
      </c>
      <c r="G74" s="37" t="s">
        <v>1055</v>
      </c>
      <c r="H74" s="37" t="s">
        <v>239</v>
      </c>
      <c r="I74" s="37" t="s">
        <v>239</v>
      </c>
      <c r="J74" s="37" t="s">
        <v>239</v>
      </c>
      <c r="K74" s="37" t="s">
        <v>282</v>
      </c>
      <c r="L74" s="37" t="s">
        <v>1056</v>
      </c>
      <c r="M74" s="37" t="s">
        <v>1012</v>
      </c>
      <c r="N74" s="37" t="s">
        <v>242</v>
      </c>
      <c r="O74" s="37" t="s">
        <v>335</v>
      </c>
      <c r="P74" s="40" t="s">
        <v>1407</v>
      </c>
      <c r="Q74" s="40" t="s">
        <v>1408</v>
      </c>
      <c r="R74" s="37" t="s">
        <v>255</v>
      </c>
      <c r="S74" s="41" t="s">
        <v>1044</v>
      </c>
    </row>
    <row r="75" spans="1:19" x14ac:dyDescent="0.3">
      <c r="A75" s="38" t="s">
        <v>1409</v>
      </c>
      <c r="B75" s="38" t="s">
        <v>1410</v>
      </c>
      <c r="C75" s="38" t="s">
        <v>306</v>
      </c>
      <c r="D75" s="38" t="s">
        <v>1411</v>
      </c>
      <c r="E75" s="42">
        <v>410</v>
      </c>
      <c r="F75" s="38" t="s">
        <v>1042</v>
      </c>
      <c r="G75" s="38" t="s">
        <v>1055</v>
      </c>
      <c r="H75" s="38" t="s">
        <v>239</v>
      </c>
      <c r="I75" s="38" t="s">
        <v>239</v>
      </c>
      <c r="J75" s="38" t="s">
        <v>239</v>
      </c>
      <c r="K75" s="38" t="s">
        <v>282</v>
      </c>
      <c r="L75" s="38" t="s">
        <v>1056</v>
      </c>
      <c r="M75" s="38" t="s">
        <v>1012</v>
      </c>
      <c r="N75" s="38" t="s">
        <v>242</v>
      </c>
      <c r="O75" s="38" t="s">
        <v>335</v>
      </c>
      <c r="P75" s="43" t="s">
        <v>1412</v>
      </c>
      <c r="Q75" s="43" t="s">
        <v>1413</v>
      </c>
      <c r="R75" s="38" t="s">
        <v>255</v>
      </c>
      <c r="S75" s="44" t="s">
        <v>1044</v>
      </c>
    </row>
    <row r="76" spans="1:19" x14ac:dyDescent="0.3">
      <c r="A76" s="37" t="s">
        <v>1414</v>
      </c>
      <c r="B76" s="37" t="s">
        <v>1415</v>
      </c>
      <c r="C76" s="37" t="s">
        <v>306</v>
      </c>
      <c r="D76" s="37" t="s">
        <v>1416</v>
      </c>
      <c r="E76" s="39">
        <v>560</v>
      </c>
      <c r="F76" s="37" t="s">
        <v>1042</v>
      </c>
      <c r="G76" s="37" t="s">
        <v>1055</v>
      </c>
      <c r="H76" s="37" t="s">
        <v>239</v>
      </c>
      <c r="I76" s="37" t="s">
        <v>239</v>
      </c>
      <c r="J76" s="37" t="s">
        <v>239</v>
      </c>
      <c r="K76" s="37" t="s">
        <v>282</v>
      </c>
      <c r="L76" s="37" t="s">
        <v>1056</v>
      </c>
      <c r="M76" s="37" t="s">
        <v>1012</v>
      </c>
      <c r="N76" s="37" t="s">
        <v>242</v>
      </c>
      <c r="O76" s="37" t="s">
        <v>335</v>
      </c>
      <c r="P76" s="40" t="s">
        <v>1417</v>
      </c>
      <c r="Q76" s="40" t="s">
        <v>1418</v>
      </c>
      <c r="R76" s="37" t="s">
        <v>255</v>
      </c>
      <c r="S76" s="41" t="s">
        <v>1044</v>
      </c>
    </row>
    <row r="77" spans="1:19" ht="28.8" x14ac:dyDescent="0.3">
      <c r="A77" s="38" t="s">
        <v>1419</v>
      </c>
      <c r="B77" s="38" t="s">
        <v>1420</v>
      </c>
      <c r="C77" s="38" t="s">
        <v>306</v>
      </c>
      <c r="D77" s="38" t="s">
        <v>1421</v>
      </c>
      <c r="E77" s="42">
        <v>1465</v>
      </c>
      <c r="F77" s="38" t="s">
        <v>1042</v>
      </c>
      <c r="G77" s="38" t="s">
        <v>1079</v>
      </c>
      <c r="H77" s="38" t="s">
        <v>239</v>
      </c>
      <c r="I77" s="38" t="s">
        <v>239</v>
      </c>
      <c r="J77" s="38" t="s">
        <v>239</v>
      </c>
      <c r="K77" s="38" t="s">
        <v>282</v>
      </c>
      <c r="L77" s="38" t="s">
        <v>1056</v>
      </c>
      <c r="M77" s="38" t="s">
        <v>1012</v>
      </c>
      <c r="N77" s="38" t="s">
        <v>242</v>
      </c>
      <c r="O77" s="38" t="s">
        <v>335</v>
      </c>
      <c r="P77" s="43" t="s">
        <v>1422</v>
      </c>
      <c r="Q77" s="43" t="s">
        <v>1423</v>
      </c>
      <c r="R77" s="38" t="s">
        <v>255</v>
      </c>
      <c r="S77" s="44" t="s">
        <v>1044</v>
      </c>
    </row>
    <row r="78" spans="1:19" ht="28.8" x14ac:dyDescent="0.3">
      <c r="A78" s="37" t="s">
        <v>1424</v>
      </c>
      <c r="B78" s="37" t="s">
        <v>1425</v>
      </c>
      <c r="C78" s="37" t="s">
        <v>306</v>
      </c>
      <c r="D78" s="37" t="s">
        <v>1426</v>
      </c>
      <c r="E78" s="39">
        <v>570</v>
      </c>
      <c r="F78" s="37" t="s">
        <v>1042</v>
      </c>
      <c r="G78" s="37" t="s">
        <v>1086</v>
      </c>
      <c r="H78" s="37" t="s">
        <v>1086</v>
      </c>
      <c r="I78" s="37" t="s">
        <v>1086</v>
      </c>
      <c r="J78" s="37" t="s">
        <v>320</v>
      </c>
      <c r="K78" s="37" t="s">
        <v>282</v>
      </c>
      <c r="L78" s="37" t="s">
        <v>1316</v>
      </c>
      <c r="M78" s="37" t="s">
        <v>1012</v>
      </c>
      <c r="N78" s="37" t="s">
        <v>242</v>
      </c>
      <c r="O78" s="37" t="s">
        <v>335</v>
      </c>
      <c r="P78" s="40" t="s">
        <v>1427</v>
      </c>
      <c r="Q78" s="40" t="s">
        <v>1428</v>
      </c>
      <c r="R78" s="37" t="s">
        <v>255</v>
      </c>
      <c r="S78" s="41" t="s">
        <v>1044</v>
      </c>
    </row>
    <row r="79" spans="1:19" ht="28.8" x14ac:dyDescent="0.3">
      <c r="A79" s="38" t="s">
        <v>1429</v>
      </c>
      <c r="B79" s="38" t="s">
        <v>1430</v>
      </c>
      <c r="C79" s="38" t="s">
        <v>1234</v>
      </c>
      <c r="D79" s="38" t="s">
        <v>1431</v>
      </c>
      <c r="E79" s="42">
        <v>3600</v>
      </c>
      <c r="F79" s="38" t="s">
        <v>402</v>
      </c>
      <c r="G79" s="38" t="s">
        <v>402</v>
      </c>
      <c r="H79" s="38" t="s">
        <v>402</v>
      </c>
      <c r="I79" s="38" t="s">
        <v>1095</v>
      </c>
      <c r="J79" s="38" t="s">
        <v>420</v>
      </c>
      <c r="K79" s="38" t="s">
        <v>361</v>
      </c>
      <c r="L79" s="38" t="s">
        <v>1070</v>
      </c>
      <c r="M79" s="38" t="s">
        <v>1071</v>
      </c>
      <c r="N79" s="38" t="s">
        <v>268</v>
      </c>
      <c r="O79" s="38" t="s">
        <v>335</v>
      </c>
      <c r="P79" s="43" t="s">
        <v>1432</v>
      </c>
      <c r="Q79" s="43"/>
      <c r="R79" s="38" t="s">
        <v>255</v>
      </c>
      <c r="S79" s="44" t="s">
        <v>1073</v>
      </c>
    </row>
    <row r="80" spans="1:19" ht="28.8" x14ac:dyDescent="0.3">
      <c r="A80" s="37" t="s">
        <v>1433</v>
      </c>
      <c r="B80" s="37" t="s">
        <v>1434</v>
      </c>
      <c r="C80" s="37" t="s">
        <v>402</v>
      </c>
      <c r="D80" s="37" t="s">
        <v>1435</v>
      </c>
      <c r="E80" s="39">
        <v>5.6000000000000001E-2</v>
      </c>
      <c r="F80" s="37" t="s">
        <v>402</v>
      </c>
      <c r="G80" s="37" t="s">
        <v>402</v>
      </c>
      <c r="H80" s="37" t="s">
        <v>402</v>
      </c>
      <c r="I80" s="37" t="s">
        <v>402</v>
      </c>
      <c r="J80" s="37" t="s">
        <v>421</v>
      </c>
      <c r="K80" s="37" t="s">
        <v>361</v>
      </c>
      <c r="L80" s="37" t="s">
        <v>1436</v>
      </c>
      <c r="M80" s="37" t="s">
        <v>1071</v>
      </c>
      <c r="N80" s="37" t="s">
        <v>268</v>
      </c>
      <c r="O80" s="37" t="s">
        <v>335</v>
      </c>
      <c r="P80" s="40" t="s">
        <v>1437</v>
      </c>
      <c r="Q80" s="40"/>
      <c r="R80" s="37" t="s">
        <v>255</v>
      </c>
      <c r="S80" s="41" t="s">
        <v>1438</v>
      </c>
    </row>
    <row r="81" spans="1:19" x14ac:dyDescent="0.3">
      <c r="A81" s="38" t="s">
        <v>1439</v>
      </c>
      <c r="B81" s="38" t="s">
        <v>1440</v>
      </c>
      <c r="C81" s="38" t="s">
        <v>1441</v>
      </c>
      <c r="D81" s="38" t="s">
        <v>1077</v>
      </c>
      <c r="E81" s="42">
        <v>2300</v>
      </c>
      <c r="F81" s="38" t="s">
        <v>1042</v>
      </c>
      <c r="G81" s="38" t="s">
        <v>1055</v>
      </c>
      <c r="H81" s="38" t="s">
        <v>239</v>
      </c>
      <c r="I81" s="38" t="s">
        <v>239</v>
      </c>
      <c r="J81" s="38" t="s">
        <v>239</v>
      </c>
      <c r="K81" s="38" t="s">
        <v>282</v>
      </c>
      <c r="L81" s="38" t="s">
        <v>1062</v>
      </c>
      <c r="M81" s="38" t="s">
        <v>1012</v>
      </c>
      <c r="N81" s="38" t="s">
        <v>242</v>
      </c>
      <c r="O81" s="38" t="s">
        <v>335</v>
      </c>
      <c r="P81" s="43" t="s">
        <v>1442</v>
      </c>
      <c r="Q81" s="43" t="s">
        <v>1443</v>
      </c>
      <c r="R81" s="38" t="s">
        <v>255</v>
      </c>
      <c r="S81" s="44" t="s">
        <v>1044</v>
      </c>
    </row>
    <row r="82" spans="1:19" ht="28.8" x14ac:dyDescent="0.3">
      <c r="A82" s="37" t="s">
        <v>1444</v>
      </c>
      <c r="B82" s="37" t="s">
        <v>1445</v>
      </c>
      <c r="C82" s="37" t="s">
        <v>1234</v>
      </c>
      <c r="D82" s="37" t="s">
        <v>1446</v>
      </c>
      <c r="E82" s="39">
        <v>17900</v>
      </c>
      <c r="F82" s="37" t="s">
        <v>402</v>
      </c>
      <c r="G82" s="37" t="s">
        <v>402</v>
      </c>
      <c r="H82" s="37" t="s">
        <v>402</v>
      </c>
      <c r="I82" s="37" t="s">
        <v>1069</v>
      </c>
      <c r="J82" s="37" t="s">
        <v>420</v>
      </c>
      <c r="K82" s="37" t="s">
        <v>361</v>
      </c>
      <c r="L82" s="37" t="s">
        <v>1070</v>
      </c>
      <c r="M82" s="37" t="s">
        <v>1071</v>
      </c>
      <c r="N82" s="37" t="s">
        <v>268</v>
      </c>
      <c r="O82" s="37" t="s">
        <v>335</v>
      </c>
      <c r="P82" s="40" t="s">
        <v>1447</v>
      </c>
      <c r="Q82" s="40"/>
      <c r="R82" s="37" t="s">
        <v>255</v>
      </c>
      <c r="S82" s="41" t="s">
        <v>1073</v>
      </c>
    </row>
    <row r="83" spans="1:19" x14ac:dyDescent="0.3">
      <c r="A83" s="38" t="s">
        <v>1448</v>
      </c>
      <c r="B83" s="38" t="s">
        <v>1449</v>
      </c>
      <c r="C83" s="38" t="s">
        <v>362</v>
      </c>
      <c r="D83" s="38" t="s">
        <v>1450</v>
      </c>
      <c r="E83" s="42">
        <v>9500</v>
      </c>
      <c r="F83" s="38" t="s">
        <v>1061</v>
      </c>
      <c r="G83" s="38" t="s">
        <v>1055</v>
      </c>
      <c r="H83" s="38" t="s">
        <v>239</v>
      </c>
      <c r="I83" s="38" t="s">
        <v>239</v>
      </c>
      <c r="J83" s="38" t="s">
        <v>239</v>
      </c>
      <c r="K83" s="38" t="s">
        <v>240</v>
      </c>
      <c r="L83" s="38" t="s">
        <v>1113</v>
      </c>
      <c r="M83" s="38" t="s">
        <v>1063</v>
      </c>
      <c r="N83" s="38" t="s">
        <v>242</v>
      </c>
      <c r="O83" s="38" t="s">
        <v>335</v>
      </c>
      <c r="P83" s="43" t="s">
        <v>1451</v>
      </c>
      <c r="Q83" s="43"/>
      <c r="R83" s="38" t="s">
        <v>255</v>
      </c>
      <c r="S83" s="44" t="s">
        <v>1044</v>
      </c>
    </row>
    <row r="84" spans="1:19" x14ac:dyDescent="0.3">
      <c r="A84" s="37" t="s">
        <v>1452</v>
      </c>
      <c r="B84" s="37" t="s">
        <v>1449</v>
      </c>
      <c r="C84" s="37" t="s">
        <v>362</v>
      </c>
      <c r="D84" s="37" t="s">
        <v>1453</v>
      </c>
      <c r="E84" s="39">
        <v>9900</v>
      </c>
      <c r="F84" s="37" t="s">
        <v>1061</v>
      </c>
      <c r="G84" s="37" t="s">
        <v>1118</v>
      </c>
      <c r="H84" s="37" t="s">
        <v>1119</v>
      </c>
      <c r="I84" s="37" t="s">
        <v>1119</v>
      </c>
      <c r="J84" s="37" t="s">
        <v>405</v>
      </c>
      <c r="K84" s="37" t="s">
        <v>240</v>
      </c>
      <c r="L84" s="37" t="s">
        <v>1120</v>
      </c>
      <c r="M84" s="37" t="s">
        <v>1063</v>
      </c>
      <c r="N84" s="37" t="s">
        <v>242</v>
      </c>
      <c r="O84" s="37" t="s">
        <v>335</v>
      </c>
      <c r="P84" s="40" t="s">
        <v>1454</v>
      </c>
      <c r="Q84" s="40"/>
      <c r="R84" s="37" t="s">
        <v>255</v>
      </c>
      <c r="S84" s="41" t="s">
        <v>1044</v>
      </c>
    </row>
    <row r="85" spans="1:19" x14ac:dyDescent="0.3">
      <c r="A85" s="38" t="s">
        <v>1455</v>
      </c>
      <c r="B85" s="38" t="s">
        <v>1456</v>
      </c>
      <c r="C85" s="38" t="s">
        <v>306</v>
      </c>
      <c r="D85" s="38" t="s">
        <v>1457</v>
      </c>
      <c r="E85" s="42">
        <v>1420</v>
      </c>
      <c r="F85" s="38" t="s">
        <v>1061</v>
      </c>
      <c r="G85" s="38" t="s">
        <v>1079</v>
      </c>
      <c r="H85" s="38" t="s">
        <v>239</v>
      </c>
      <c r="I85" s="38" t="s">
        <v>239</v>
      </c>
      <c r="J85" s="38" t="s">
        <v>239</v>
      </c>
      <c r="K85" s="38" t="s">
        <v>282</v>
      </c>
      <c r="L85" s="38" t="s">
        <v>1062</v>
      </c>
      <c r="M85" s="38" t="s">
        <v>1012</v>
      </c>
      <c r="N85" s="38" t="s">
        <v>242</v>
      </c>
      <c r="O85" s="38" t="s">
        <v>335</v>
      </c>
      <c r="P85" s="43" t="s">
        <v>1458</v>
      </c>
      <c r="Q85" s="43" t="s">
        <v>1459</v>
      </c>
      <c r="R85" s="38" t="s">
        <v>255</v>
      </c>
      <c r="S85" s="44" t="s">
        <v>1044</v>
      </c>
    </row>
    <row r="86" spans="1:19" x14ac:dyDescent="0.3">
      <c r="A86" s="37" t="s">
        <v>1460</v>
      </c>
      <c r="B86" s="37" t="s">
        <v>1461</v>
      </c>
      <c r="C86" s="37" t="s">
        <v>1103</v>
      </c>
      <c r="D86" s="37" t="s">
        <v>1223</v>
      </c>
      <c r="E86" s="39">
        <v>850</v>
      </c>
      <c r="F86" s="37" t="s">
        <v>1061</v>
      </c>
      <c r="G86" s="37" t="s">
        <v>1055</v>
      </c>
      <c r="H86" s="37" t="s">
        <v>239</v>
      </c>
      <c r="I86" s="37" t="s">
        <v>239</v>
      </c>
      <c r="J86" s="37" t="s">
        <v>239</v>
      </c>
      <c r="K86" s="37" t="s">
        <v>240</v>
      </c>
      <c r="L86" s="37" t="s">
        <v>1056</v>
      </c>
      <c r="M86" s="37" t="s">
        <v>1063</v>
      </c>
      <c r="N86" s="37" t="s">
        <v>242</v>
      </c>
      <c r="O86" s="37" t="s">
        <v>335</v>
      </c>
      <c r="P86" s="40" t="s">
        <v>1462</v>
      </c>
      <c r="Q86" s="40"/>
      <c r="R86" s="37" t="s">
        <v>255</v>
      </c>
      <c r="S86" s="41" t="s">
        <v>1044</v>
      </c>
    </row>
    <row r="87" spans="1:19" x14ac:dyDescent="0.3">
      <c r="A87" s="38" t="s">
        <v>1463</v>
      </c>
      <c r="B87" s="38" t="s">
        <v>1464</v>
      </c>
      <c r="C87" s="38" t="s">
        <v>1103</v>
      </c>
      <c r="D87" s="38" t="s">
        <v>1223</v>
      </c>
      <c r="E87" s="42">
        <v>850</v>
      </c>
      <c r="F87" s="38" t="s">
        <v>1061</v>
      </c>
      <c r="G87" s="38" t="s">
        <v>1055</v>
      </c>
      <c r="H87" s="38" t="s">
        <v>239</v>
      </c>
      <c r="I87" s="38" t="s">
        <v>239</v>
      </c>
      <c r="J87" s="38" t="s">
        <v>239</v>
      </c>
      <c r="K87" s="38" t="s">
        <v>240</v>
      </c>
      <c r="L87" s="38" t="s">
        <v>1056</v>
      </c>
      <c r="M87" s="38" t="s">
        <v>1063</v>
      </c>
      <c r="N87" s="38" t="s">
        <v>242</v>
      </c>
      <c r="O87" s="38" t="s">
        <v>335</v>
      </c>
      <c r="P87" s="43" t="s">
        <v>1465</v>
      </c>
      <c r="Q87" s="43"/>
      <c r="R87" s="38" t="s">
        <v>255</v>
      </c>
      <c r="S87" s="44" t="s">
        <v>1044</v>
      </c>
    </row>
    <row r="88" spans="1:19" ht="28.8" x14ac:dyDescent="0.3">
      <c r="A88" s="37" t="s">
        <v>1466</v>
      </c>
      <c r="B88" s="37" t="s">
        <v>1467</v>
      </c>
      <c r="C88" s="37" t="s">
        <v>306</v>
      </c>
      <c r="D88" s="37" t="s">
        <v>1468</v>
      </c>
      <c r="E88" s="39">
        <v>170</v>
      </c>
      <c r="F88" s="37" t="s">
        <v>1042</v>
      </c>
      <c r="G88" s="37" t="s">
        <v>386</v>
      </c>
      <c r="H88" s="37" t="s">
        <v>386</v>
      </c>
      <c r="I88" s="37" t="s">
        <v>386</v>
      </c>
      <c r="J88" s="37" t="s">
        <v>386</v>
      </c>
      <c r="K88" s="37" t="s">
        <v>282</v>
      </c>
      <c r="L88" s="37" t="s">
        <v>1469</v>
      </c>
      <c r="M88" s="37" t="s">
        <v>1012</v>
      </c>
      <c r="N88" s="37" t="s">
        <v>242</v>
      </c>
      <c r="O88" s="37" t="s">
        <v>335</v>
      </c>
      <c r="P88" s="40" t="s">
        <v>1470</v>
      </c>
      <c r="Q88" s="40" t="s">
        <v>1471</v>
      </c>
      <c r="R88" s="37" t="s">
        <v>255</v>
      </c>
      <c r="S88" s="41" t="s">
        <v>1044</v>
      </c>
    </row>
    <row r="89" spans="1:19" ht="28.8" x14ac:dyDescent="0.3">
      <c r="A89" s="38" t="s">
        <v>1472</v>
      </c>
      <c r="B89" s="38" t="s">
        <v>1473</v>
      </c>
      <c r="C89" s="38" t="s">
        <v>306</v>
      </c>
      <c r="D89" s="38" t="s">
        <v>1474</v>
      </c>
      <c r="E89" s="42">
        <v>190</v>
      </c>
      <c r="F89" s="38" t="s">
        <v>1042</v>
      </c>
      <c r="G89" s="38" t="s">
        <v>386</v>
      </c>
      <c r="H89" s="38" t="s">
        <v>386</v>
      </c>
      <c r="I89" s="38" t="s">
        <v>386</v>
      </c>
      <c r="J89" s="38" t="s">
        <v>386</v>
      </c>
      <c r="K89" s="38" t="s">
        <v>282</v>
      </c>
      <c r="L89" s="38" t="s">
        <v>1469</v>
      </c>
      <c r="M89" s="38" t="s">
        <v>1012</v>
      </c>
      <c r="N89" s="38" t="s">
        <v>242</v>
      </c>
      <c r="O89" s="38" t="s">
        <v>335</v>
      </c>
      <c r="P89" s="43" t="s">
        <v>1475</v>
      </c>
      <c r="Q89" s="43" t="s">
        <v>1476</v>
      </c>
      <c r="R89" s="38" t="s">
        <v>255</v>
      </c>
      <c r="S89" s="44" t="s">
        <v>1044</v>
      </c>
    </row>
    <row r="90" spans="1:19" x14ac:dyDescent="0.3">
      <c r="A90" s="37" t="s">
        <v>1477</v>
      </c>
      <c r="B90" s="37" t="s">
        <v>1478</v>
      </c>
      <c r="C90" s="37" t="s">
        <v>306</v>
      </c>
      <c r="D90" s="37" t="s">
        <v>1479</v>
      </c>
      <c r="E90" s="39">
        <v>340</v>
      </c>
      <c r="F90" s="37" t="s">
        <v>1042</v>
      </c>
      <c r="G90" s="37" t="s">
        <v>1055</v>
      </c>
      <c r="H90" s="37" t="s">
        <v>239</v>
      </c>
      <c r="I90" s="37" t="s">
        <v>239</v>
      </c>
      <c r="J90" s="37" t="s">
        <v>239</v>
      </c>
      <c r="K90" s="37" t="s">
        <v>282</v>
      </c>
      <c r="L90" s="37" t="s">
        <v>1056</v>
      </c>
      <c r="M90" s="37" t="s">
        <v>1012</v>
      </c>
      <c r="N90" s="37" t="s">
        <v>242</v>
      </c>
      <c r="O90" s="37" t="s">
        <v>335</v>
      </c>
      <c r="P90" s="40" t="s">
        <v>1480</v>
      </c>
      <c r="Q90" s="40" t="s">
        <v>1481</v>
      </c>
      <c r="R90" s="37" t="s">
        <v>255</v>
      </c>
      <c r="S90" s="41" t="s">
        <v>1044</v>
      </c>
    </row>
    <row r="91" spans="1:19" ht="28.8" x14ac:dyDescent="0.3">
      <c r="A91" s="38" t="s">
        <v>1482</v>
      </c>
      <c r="B91" s="38" t="s">
        <v>1483</v>
      </c>
      <c r="C91" s="38" t="s">
        <v>306</v>
      </c>
      <c r="D91" s="38" t="s">
        <v>1484</v>
      </c>
      <c r="E91" s="42">
        <v>1520</v>
      </c>
      <c r="F91" s="38" t="s">
        <v>1042</v>
      </c>
      <c r="G91" s="38" t="s">
        <v>1086</v>
      </c>
      <c r="H91" s="38" t="s">
        <v>1086</v>
      </c>
      <c r="I91" s="38" t="s">
        <v>1086</v>
      </c>
      <c r="J91" s="38" t="s">
        <v>320</v>
      </c>
      <c r="K91" s="38" t="s">
        <v>282</v>
      </c>
      <c r="L91" s="38" t="s">
        <v>1485</v>
      </c>
      <c r="M91" s="38" t="s">
        <v>1012</v>
      </c>
      <c r="N91" s="38" t="s">
        <v>242</v>
      </c>
      <c r="O91" s="38" t="s">
        <v>335</v>
      </c>
      <c r="P91" s="43" t="s">
        <v>1486</v>
      </c>
      <c r="Q91" s="43" t="s">
        <v>1487</v>
      </c>
      <c r="R91" s="38" t="s">
        <v>255</v>
      </c>
      <c r="S91" s="44" t="s">
        <v>1044</v>
      </c>
    </row>
    <row r="92" spans="1:19" ht="28.8" x14ac:dyDescent="0.3">
      <c r="A92" s="37" t="s">
        <v>1488</v>
      </c>
      <c r="B92" s="37" t="s">
        <v>1489</v>
      </c>
      <c r="C92" s="37" t="s">
        <v>306</v>
      </c>
      <c r="D92" s="37" t="s">
        <v>1490</v>
      </c>
      <c r="E92" s="39">
        <v>2070</v>
      </c>
      <c r="F92" s="37" t="s">
        <v>1042</v>
      </c>
      <c r="G92" s="37" t="s">
        <v>1086</v>
      </c>
      <c r="H92" s="37" t="s">
        <v>1086</v>
      </c>
      <c r="I92" s="37" t="s">
        <v>1086</v>
      </c>
      <c r="J92" s="37" t="s">
        <v>320</v>
      </c>
      <c r="K92" s="37" t="s">
        <v>282</v>
      </c>
      <c r="L92" s="37" t="s">
        <v>1485</v>
      </c>
      <c r="M92" s="37" t="s">
        <v>1012</v>
      </c>
      <c r="N92" s="37" t="s">
        <v>242</v>
      </c>
      <c r="O92" s="37" t="s">
        <v>335</v>
      </c>
      <c r="P92" s="40" t="s">
        <v>1491</v>
      </c>
      <c r="Q92" s="40" t="s">
        <v>1492</v>
      </c>
      <c r="R92" s="37" t="s">
        <v>255</v>
      </c>
      <c r="S92" s="41" t="s">
        <v>1044</v>
      </c>
    </row>
    <row r="93" spans="1:19" ht="28.8" x14ac:dyDescent="0.3">
      <c r="A93" s="38" t="s">
        <v>1493</v>
      </c>
      <c r="B93" s="38" t="s">
        <v>1494</v>
      </c>
      <c r="C93" s="38" t="s">
        <v>306</v>
      </c>
      <c r="D93" s="38" t="s">
        <v>1495</v>
      </c>
      <c r="E93" s="42">
        <v>5400</v>
      </c>
      <c r="F93" s="38" t="s">
        <v>1042</v>
      </c>
      <c r="G93" s="38" t="s">
        <v>1086</v>
      </c>
      <c r="H93" s="38" t="s">
        <v>1086</v>
      </c>
      <c r="I93" s="38" t="s">
        <v>1086</v>
      </c>
      <c r="J93" s="38" t="s">
        <v>320</v>
      </c>
      <c r="K93" s="38" t="s">
        <v>282</v>
      </c>
      <c r="L93" s="38" t="s">
        <v>1485</v>
      </c>
      <c r="M93" s="38" t="s">
        <v>1012</v>
      </c>
      <c r="N93" s="38" t="s">
        <v>242</v>
      </c>
      <c r="O93" s="38" t="s">
        <v>335</v>
      </c>
      <c r="P93" s="43" t="s">
        <v>1496</v>
      </c>
      <c r="Q93" s="43" t="s">
        <v>1497</v>
      </c>
      <c r="R93" s="38" t="s">
        <v>255</v>
      </c>
      <c r="S93" s="44" t="s">
        <v>1044</v>
      </c>
    </row>
    <row r="94" spans="1:19" ht="28.8" x14ac:dyDescent="0.3">
      <c r="A94" s="37" t="s">
        <v>1498</v>
      </c>
      <c r="B94" s="37" t="s">
        <v>1499</v>
      </c>
      <c r="C94" s="37" t="s">
        <v>306</v>
      </c>
      <c r="D94" s="37" t="s">
        <v>1500</v>
      </c>
      <c r="E94" s="39">
        <v>5566</v>
      </c>
      <c r="F94" s="37" t="s">
        <v>1042</v>
      </c>
      <c r="G94" s="37" t="s">
        <v>1368</v>
      </c>
      <c r="H94" s="37" t="s">
        <v>1369</v>
      </c>
      <c r="I94" s="37" t="s">
        <v>1369</v>
      </c>
      <c r="J94" s="37" t="s">
        <v>360</v>
      </c>
      <c r="K94" s="37" t="s">
        <v>282</v>
      </c>
      <c r="L94" s="37" t="s">
        <v>1501</v>
      </c>
      <c r="M94" s="37" t="s">
        <v>1012</v>
      </c>
      <c r="N94" s="37" t="s">
        <v>242</v>
      </c>
      <c r="O94" s="37" t="s">
        <v>335</v>
      </c>
      <c r="P94" s="40" t="s">
        <v>1502</v>
      </c>
      <c r="Q94" s="40" t="s">
        <v>1503</v>
      </c>
      <c r="R94" s="37" t="s">
        <v>255</v>
      </c>
      <c r="S94" s="41" t="s">
        <v>1044</v>
      </c>
    </row>
    <row r="95" spans="1:19" ht="28.8" x14ac:dyDescent="0.3">
      <c r="A95" s="38" t="s">
        <v>1504</v>
      </c>
      <c r="B95" s="38" t="s">
        <v>1505</v>
      </c>
      <c r="C95" s="38" t="s">
        <v>306</v>
      </c>
      <c r="D95" s="38" t="s">
        <v>1506</v>
      </c>
      <c r="E95" s="42">
        <v>810</v>
      </c>
      <c r="F95" s="38" t="s">
        <v>1042</v>
      </c>
      <c r="G95" s="38" t="s">
        <v>1368</v>
      </c>
      <c r="H95" s="38" t="s">
        <v>1369</v>
      </c>
      <c r="I95" s="38" t="s">
        <v>1369</v>
      </c>
      <c r="J95" s="38" t="s">
        <v>360</v>
      </c>
      <c r="K95" s="38" t="s">
        <v>282</v>
      </c>
      <c r="L95" s="38" t="s">
        <v>1501</v>
      </c>
      <c r="M95" s="38" t="s">
        <v>1012</v>
      </c>
      <c r="N95" s="38" t="s">
        <v>242</v>
      </c>
      <c r="O95" s="38" t="s">
        <v>335</v>
      </c>
      <c r="P95" s="43" t="s">
        <v>1507</v>
      </c>
      <c r="Q95" s="43" t="s">
        <v>1508</v>
      </c>
      <c r="R95" s="38" t="s">
        <v>255</v>
      </c>
      <c r="S95" s="44" t="s">
        <v>1044</v>
      </c>
    </row>
    <row r="96" spans="1:19" ht="28.8" x14ac:dyDescent="0.3">
      <c r="A96" s="37" t="s">
        <v>1509</v>
      </c>
      <c r="B96" s="37" t="s">
        <v>1510</v>
      </c>
      <c r="C96" s="37" t="s">
        <v>306</v>
      </c>
      <c r="D96" s="37" t="s">
        <v>1511</v>
      </c>
      <c r="E96" s="39">
        <v>8165</v>
      </c>
      <c r="F96" s="37" t="s">
        <v>1042</v>
      </c>
      <c r="G96" s="37" t="s">
        <v>1368</v>
      </c>
      <c r="H96" s="37" t="s">
        <v>1369</v>
      </c>
      <c r="I96" s="37" t="s">
        <v>1369</v>
      </c>
      <c r="J96" s="37" t="s">
        <v>360</v>
      </c>
      <c r="K96" s="37" t="s">
        <v>282</v>
      </c>
      <c r="L96" s="37" t="s">
        <v>1501</v>
      </c>
      <c r="M96" s="37" t="s">
        <v>1012</v>
      </c>
      <c r="N96" s="37" t="s">
        <v>242</v>
      </c>
      <c r="O96" s="37" t="s">
        <v>335</v>
      </c>
      <c r="P96" s="40" t="s">
        <v>1512</v>
      </c>
      <c r="Q96" s="40" t="s">
        <v>1513</v>
      </c>
      <c r="R96" s="37" t="s">
        <v>255</v>
      </c>
      <c r="S96" s="41" t="s">
        <v>1044</v>
      </c>
    </row>
    <row r="97" spans="1:19" x14ac:dyDescent="0.3">
      <c r="A97" s="38" t="s">
        <v>1514</v>
      </c>
      <c r="B97" s="38" t="s">
        <v>1515</v>
      </c>
      <c r="C97" s="38" t="s">
        <v>388</v>
      </c>
      <c r="D97" s="38" t="s">
        <v>1516</v>
      </c>
      <c r="E97" s="42">
        <v>36000</v>
      </c>
      <c r="F97" s="38" t="s">
        <v>1061</v>
      </c>
      <c r="G97" s="38" t="s">
        <v>1086</v>
      </c>
      <c r="H97" s="38" t="s">
        <v>1086</v>
      </c>
      <c r="I97" s="38" t="s">
        <v>1086</v>
      </c>
      <c r="J97" s="38" t="s">
        <v>417</v>
      </c>
      <c r="K97" s="38" t="s">
        <v>240</v>
      </c>
      <c r="L97" s="38" t="s">
        <v>1517</v>
      </c>
      <c r="M97" s="38" t="s">
        <v>1063</v>
      </c>
      <c r="N97" s="38" t="s">
        <v>242</v>
      </c>
      <c r="O97" s="38" t="s">
        <v>335</v>
      </c>
      <c r="P97" s="43" t="s">
        <v>1518</v>
      </c>
      <c r="Q97" s="43"/>
      <c r="R97" s="38" t="s">
        <v>255</v>
      </c>
      <c r="S97" s="44" t="s">
        <v>1044</v>
      </c>
    </row>
    <row r="98" spans="1:19" ht="28.8" x14ac:dyDescent="0.3">
      <c r="A98" s="37" t="s">
        <v>1519</v>
      </c>
      <c r="B98" s="37" t="s">
        <v>1520</v>
      </c>
      <c r="C98" s="37" t="s">
        <v>1103</v>
      </c>
      <c r="D98" s="37" t="s">
        <v>1521</v>
      </c>
      <c r="E98" s="39">
        <v>50</v>
      </c>
      <c r="F98" s="37" t="s">
        <v>1061</v>
      </c>
      <c r="G98" s="37" t="s">
        <v>1251</v>
      </c>
      <c r="H98" s="37" t="s">
        <v>1251</v>
      </c>
      <c r="I98" s="37" t="s">
        <v>1251</v>
      </c>
      <c r="J98" s="37" t="s">
        <v>409</v>
      </c>
      <c r="K98" s="37" t="s">
        <v>240</v>
      </c>
      <c r="L98" s="37" t="s">
        <v>1522</v>
      </c>
      <c r="M98" s="37" t="s">
        <v>1063</v>
      </c>
      <c r="N98" s="37" t="s">
        <v>242</v>
      </c>
      <c r="O98" s="37" t="s">
        <v>335</v>
      </c>
      <c r="P98" s="40" t="s">
        <v>1523</v>
      </c>
      <c r="Q98" s="40"/>
      <c r="R98" s="37" t="s">
        <v>255</v>
      </c>
      <c r="S98" s="41" t="s">
        <v>1254</v>
      </c>
    </row>
    <row r="99" spans="1:19" ht="43.2" x14ac:dyDescent="0.3">
      <c r="A99" s="38" t="s">
        <v>1524</v>
      </c>
      <c r="B99" s="38" t="s">
        <v>1525</v>
      </c>
      <c r="C99" s="38" t="s">
        <v>388</v>
      </c>
      <c r="D99" s="38" t="s">
        <v>1526</v>
      </c>
      <c r="E99" s="42">
        <v>1000</v>
      </c>
      <c r="F99" s="38" t="s">
        <v>1042</v>
      </c>
      <c r="G99" s="38" t="s">
        <v>386</v>
      </c>
      <c r="H99" s="38" t="s">
        <v>386</v>
      </c>
      <c r="I99" s="38" t="s">
        <v>386</v>
      </c>
      <c r="J99" s="38" t="s">
        <v>386</v>
      </c>
      <c r="K99" s="38" t="s">
        <v>282</v>
      </c>
      <c r="L99" s="38" t="s">
        <v>1130</v>
      </c>
      <c r="M99" s="38" t="s">
        <v>1012</v>
      </c>
      <c r="N99" s="38" t="s">
        <v>242</v>
      </c>
      <c r="O99" s="38" t="s">
        <v>335</v>
      </c>
      <c r="P99" s="43" t="s">
        <v>1527</v>
      </c>
      <c r="Q99" s="43" t="s">
        <v>1528</v>
      </c>
      <c r="R99" s="38" t="s">
        <v>255</v>
      </c>
      <c r="S99" s="44" t="s">
        <v>1044</v>
      </c>
    </row>
    <row r="100" spans="1:19" ht="28.8" x14ac:dyDescent="0.3">
      <c r="A100" s="37" t="s">
        <v>1529</v>
      </c>
      <c r="B100" s="37" t="s">
        <v>1530</v>
      </c>
      <c r="C100" s="37" t="s">
        <v>241</v>
      </c>
      <c r="D100" s="37" t="s">
        <v>1531</v>
      </c>
      <c r="E100" s="39">
        <v>300</v>
      </c>
      <c r="F100" s="37" t="s">
        <v>1061</v>
      </c>
      <c r="G100" s="37" t="s">
        <v>1200</v>
      </c>
      <c r="H100" s="37" t="s">
        <v>1251</v>
      </c>
      <c r="I100" s="37" t="s">
        <v>1251</v>
      </c>
      <c r="J100" s="37" t="s">
        <v>413</v>
      </c>
      <c r="K100" s="37" t="s">
        <v>240</v>
      </c>
      <c r="L100" s="37" t="s">
        <v>1532</v>
      </c>
      <c r="M100" s="37" t="s">
        <v>1063</v>
      </c>
      <c r="N100" s="37" t="s">
        <v>242</v>
      </c>
      <c r="O100" s="37" t="s">
        <v>335</v>
      </c>
      <c r="P100" s="40" t="s">
        <v>1533</v>
      </c>
      <c r="Q100" s="40"/>
      <c r="R100" s="37" t="s">
        <v>255</v>
      </c>
      <c r="S100" s="41" t="s">
        <v>1254</v>
      </c>
    </row>
    <row r="101" spans="1:19" ht="28.8" x14ac:dyDescent="0.3">
      <c r="A101" s="38" t="s">
        <v>1534</v>
      </c>
      <c r="B101" s="38" t="s">
        <v>1535</v>
      </c>
      <c r="C101" s="38" t="s">
        <v>1053</v>
      </c>
      <c r="D101" s="38" t="s">
        <v>1536</v>
      </c>
      <c r="E101" s="42">
        <v>1300</v>
      </c>
      <c r="F101" s="38" t="s">
        <v>1042</v>
      </c>
      <c r="G101" s="38" t="s">
        <v>1055</v>
      </c>
      <c r="H101" s="38" t="s">
        <v>239</v>
      </c>
      <c r="I101" s="38" t="s">
        <v>239</v>
      </c>
      <c r="J101" s="38" t="s">
        <v>239</v>
      </c>
      <c r="K101" s="38" t="s">
        <v>282</v>
      </c>
      <c r="L101" s="38" t="s">
        <v>1056</v>
      </c>
      <c r="M101" s="38" t="s">
        <v>1012</v>
      </c>
      <c r="N101" s="38" t="s">
        <v>242</v>
      </c>
      <c r="O101" s="38" t="s">
        <v>335</v>
      </c>
      <c r="P101" s="43" t="s">
        <v>1537</v>
      </c>
      <c r="Q101" s="43" t="s">
        <v>1538</v>
      </c>
      <c r="R101" s="38" t="s">
        <v>255</v>
      </c>
      <c r="S101" s="44" t="s">
        <v>1044</v>
      </c>
    </row>
    <row r="102" spans="1:19" ht="28.8" x14ac:dyDescent="0.3">
      <c r="A102" s="37" t="s">
        <v>1539</v>
      </c>
      <c r="B102" s="37" t="s">
        <v>1540</v>
      </c>
      <c r="C102" s="37" t="s">
        <v>306</v>
      </c>
      <c r="D102" s="37" t="s">
        <v>1541</v>
      </c>
      <c r="E102" s="39">
        <v>4115</v>
      </c>
      <c r="F102" s="37" t="s">
        <v>1042</v>
      </c>
      <c r="G102" s="37" t="s">
        <v>1368</v>
      </c>
      <c r="H102" s="37" t="s">
        <v>1369</v>
      </c>
      <c r="I102" s="37" t="s">
        <v>1369</v>
      </c>
      <c r="J102" s="37" t="s">
        <v>360</v>
      </c>
      <c r="K102" s="37" t="s">
        <v>282</v>
      </c>
      <c r="L102" s="37" t="s">
        <v>1501</v>
      </c>
      <c r="M102" s="37" t="s">
        <v>1012</v>
      </c>
      <c r="N102" s="37" t="s">
        <v>242</v>
      </c>
      <c r="O102" s="37" t="s">
        <v>335</v>
      </c>
      <c r="P102" s="40" t="s">
        <v>1542</v>
      </c>
      <c r="Q102" s="40" t="s">
        <v>1543</v>
      </c>
      <c r="R102" s="37" t="s">
        <v>255</v>
      </c>
      <c r="S102" s="41" t="s">
        <v>1044</v>
      </c>
    </row>
    <row r="103" spans="1:19" x14ac:dyDescent="0.3">
      <c r="A103" s="38" t="s">
        <v>1544</v>
      </c>
      <c r="B103" s="38" t="s">
        <v>1545</v>
      </c>
      <c r="C103" s="38" t="s">
        <v>1103</v>
      </c>
      <c r="D103" s="38" t="s">
        <v>1546</v>
      </c>
      <c r="E103" s="42">
        <v>10000</v>
      </c>
      <c r="F103" s="38" t="s">
        <v>1042</v>
      </c>
      <c r="G103" s="38" t="s">
        <v>386</v>
      </c>
      <c r="H103" s="38" t="s">
        <v>386</v>
      </c>
      <c r="I103" s="38" t="s">
        <v>386</v>
      </c>
      <c r="J103" s="38" t="s">
        <v>386</v>
      </c>
      <c r="K103" s="38" t="s">
        <v>282</v>
      </c>
      <c r="L103" s="38" t="s">
        <v>1130</v>
      </c>
      <c r="M103" s="38" t="s">
        <v>1012</v>
      </c>
      <c r="N103" s="38" t="s">
        <v>242</v>
      </c>
      <c r="O103" s="38" t="s">
        <v>335</v>
      </c>
      <c r="P103" s="43" t="s">
        <v>1547</v>
      </c>
      <c r="Q103" s="43" t="s">
        <v>1548</v>
      </c>
      <c r="R103" s="38" t="s">
        <v>255</v>
      </c>
      <c r="S103" s="44" t="s">
        <v>1044</v>
      </c>
    </row>
    <row r="104" spans="1:19" x14ac:dyDescent="0.3">
      <c r="A104" s="37" t="s">
        <v>1549</v>
      </c>
      <c r="B104" s="37" t="s">
        <v>1550</v>
      </c>
      <c r="C104" s="37" t="s">
        <v>306</v>
      </c>
      <c r="D104" s="37" t="s">
        <v>1367</v>
      </c>
      <c r="E104" s="39">
        <v>1500</v>
      </c>
      <c r="F104" s="37" t="s">
        <v>1042</v>
      </c>
      <c r="G104" s="37" t="s">
        <v>386</v>
      </c>
      <c r="H104" s="37" t="s">
        <v>386</v>
      </c>
      <c r="I104" s="37" t="s">
        <v>386</v>
      </c>
      <c r="J104" s="37" t="s">
        <v>386</v>
      </c>
      <c r="K104" s="37" t="s">
        <v>282</v>
      </c>
      <c r="L104" s="37" t="s">
        <v>1469</v>
      </c>
      <c r="M104" s="37" t="s">
        <v>1012</v>
      </c>
      <c r="N104" s="37" t="s">
        <v>242</v>
      </c>
      <c r="O104" s="37" t="s">
        <v>335</v>
      </c>
      <c r="P104" s="40" t="s">
        <v>1551</v>
      </c>
      <c r="Q104" s="40" t="s">
        <v>1552</v>
      </c>
      <c r="R104" s="37" t="s">
        <v>255</v>
      </c>
      <c r="S104" s="41" t="s">
        <v>1044</v>
      </c>
    </row>
    <row r="105" spans="1:19" x14ac:dyDescent="0.3">
      <c r="A105" s="38" t="s">
        <v>1553</v>
      </c>
      <c r="B105" s="38" t="s">
        <v>1554</v>
      </c>
      <c r="C105" s="38" t="s">
        <v>306</v>
      </c>
      <c r="D105" s="38" t="s">
        <v>1555</v>
      </c>
      <c r="E105" s="42">
        <v>4000</v>
      </c>
      <c r="F105" s="38" t="s">
        <v>1042</v>
      </c>
      <c r="G105" s="38" t="s">
        <v>1055</v>
      </c>
      <c r="H105" s="38" t="s">
        <v>239</v>
      </c>
      <c r="I105" s="38" t="s">
        <v>239</v>
      </c>
      <c r="J105" s="38" t="s">
        <v>239</v>
      </c>
      <c r="K105" s="38" t="s">
        <v>282</v>
      </c>
      <c r="L105" s="38" t="s">
        <v>1062</v>
      </c>
      <c r="M105" s="38" t="s">
        <v>1012</v>
      </c>
      <c r="N105" s="38" t="s">
        <v>242</v>
      </c>
      <c r="O105" s="38" t="s">
        <v>335</v>
      </c>
      <c r="P105" s="43" t="s">
        <v>1556</v>
      </c>
      <c r="Q105" s="43" t="s">
        <v>1557</v>
      </c>
      <c r="R105" s="38" t="s">
        <v>255</v>
      </c>
      <c r="S105" s="44" t="s">
        <v>1044</v>
      </c>
    </row>
    <row r="106" spans="1:19" ht="28.8" x14ac:dyDescent="0.3">
      <c r="A106" s="37" t="s">
        <v>1558</v>
      </c>
      <c r="B106" s="37" t="s">
        <v>1559</v>
      </c>
      <c r="C106" s="37" t="s">
        <v>1103</v>
      </c>
      <c r="D106" s="37" t="s">
        <v>1560</v>
      </c>
      <c r="E106" s="39">
        <v>4010</v>
      </c>
      <c r="F106" s="37" t="s">
        <v>1042</v>
      </c>
      <c r="G106" s="37" t="s">
        <v>1368</v>
      </c>
      <c r="H106" s="37" t="s">
        <v>1369</v>
      </c>
      <c r="I106" s="37" t="s">
        <v>1369</v>
      </c>
      <c r="J106" s="37" t="s">
        <v>360</v>
      </c>
      <c r="K106" s="37" t="s">
        <v>282</v>
      </c>
      <c r="L106" s="37" t="s">
        <v>1384</v>
      </c>
      <c r="M106" s="37" t="s">
        <v>1012</v>
      </c>
      <c r="N106" s="37" t="s">
        <v>242</v>
      </c>
      <c r="O106" s="37" t="s">
        <v>335</v>
      </c>
      <c r="P106" s="40" t="s">
        <v>1561</v>
      </c>
      <c r="Q106" s="40" t="s">
        <v>1562</v>
      </c>
      <c r="R106" s="37" t="s">
        <v>255</v>
      </c>
      <c r="S106" s="41" t="s">
        <v>1044</v>
      </c>
    </row>
    <row r="107" spans="1:19" ht="28.8" x14ac:dyDescent="0.3">
      <c r="A107" s="38" t="s">
        <v>1563</v>
      </c>
      <c r="B107" s="38" t="s">
        <v>1564</v>
      </c>
      <c r="C107" s="38" t="s">
        <v>306</v>
      </c>
      <c r="D107" s="38" t="s">
        <v>1565</v>
      </c>
      <c r="E107" s="42">
        <v>3640</v>
      </c>
      <c r="F107" s="38" t="s">
        <v>1042</v>
      </c>
      <c r="G107" s="38" t="s">
        <v>1368</v>
      </c>
      <c r="H107" s="38" t="s">
        <v>1369</v>
      </c>
      <c r="I107" s="38" t="s">
        <v>1369</v>
      </c>
      <c r="J107" s="38" t="s">
        <v>360</v>
      </c>
      <c r="K107" s="38" t="s">
        <v>282</v>
      </c>
      <c r="L107" s="38" t="s">
        <v>1501</v>
      </c>
      <c r="M107" s="38" t="s">
        <v>1012</v>
      </c>
      <c r="N107" s="38" t="s">
        <v>242</v>
      </c>
      <c r="O107" s="38" t="s">
        <v>335</v>
      </c>
      <c r="P107" s="43" t="s">
        <v>1566</v>
      </c>
      <c r="Q107" s="43" t="s">
        <v>1567</v>
      </c>
      <c r="R107" s="38" t="s">
        <v>255</v>
      </c>
      <c r="S107" s="44" t="s">
        <v>1044</v>
      </c>
    </row>
    <row r="108" spans="1:19" x14ac:dyDescent="0.3">
      <c r="A108" s="37" t="s">
        <v>1568</v>
      </c>
      <c r="B108" s="37" t="s">
        <v>1569</v>
      </c>
      <c r="C108" s="37" t="s">
        <v>418</v>
      </c>
      <c r="D108" s="37" t="s">
        <v>1289</v>
      </c>
      <c r="E108" s="39">
        <v>330</v>
      </c>
      <c r="F108" s="37" t="s">
        <v>1042</v>
      </c>
      <c r="G108" s="37" t="s">
        <v>1055</v>
      </c>
      <c r="H108" s="37" t="s">
        <v>239</v>
      </c>
      <c r="I108" s="37" t="s">
        <v>239</v>
      </c>
      <c r="J108" s="37" t="s">
        <v>239</v>
      </c>
      <c r="K108" s="37" t="s">
        <v>282</v>
      </c>
      <c r="L108" s="37" t="s">
        <v>1113</v>
      </c>
      <c r="M108" s="37" t="s">
        <v>1012</v>
      </c>
      <c r="N108" s="37" t="s">
        <v>242</v>
      </c>
      <c r="O108" s="37" t="s">
        <v>335</v>
      </c>
      <c r="P108" s="40" t="s">
        <v>1570</v>
      </c>
      <c r="Q108" s="40" t="s">
        <v>1571</v>
      </c>
      <c r="R108" s="37" t="s">
        <v>255</v>
      </c>
      <c r="S108" s="41" t="s">
        <v>1044</v>
      </c>
    </row>
    <row r="109" spans="1:19" x14ac:dyDescent="0.3">
      <c r="A109" s="38" t="s">
        <v>1572</v>
      </c>
      <c r="B109" s="38" t="s">
        <v>1573</v>
      </c>
      <c r="C109" s="38" t="s">
        <v>306</v>
      </c>
      <c r="D109" s="38" t="s">
        <v>1574</v>
      </c>
      <c r="E109" s="42">
        <v>3910</v>
      </c>
      <c r="F109" s="38" t="s">
        <v>1042</v>
      </c>
      <c r="G109" s="38" t="s">
        <v>1368</v>
      </c>
      <c r="H109" s="38" t="s">
        <v>1369</v>
      </c>
      <c r="I109" s="38" t="s">
        <v>1369</v>
      </c>
      <c r="J109" s="38" t="s">
        <v>360</v>
      </c>
      <c r="K109" s="38" t="s">
        <v>282</v>
      </c>
      <c r="L109" s="38" t="s">
        <v>1316</v>
      </c>
      <c r="M109" s="38" t="s">
        <v>1012</v>
      </c>
      <c r="N109" s="38" t="s">
        <v>242</v>
      </c>
      <c r="O109" s="38" t="s">
        <v>335</v>
      </c>
      <c r="P109" s="43" t="s">
        <v>1575</v>
      </c>
      <c r="Q109" s="43" t="s">
        <v>1576</v>
      </c>
      <c r="R109" s="38" t="s">
        <v>255</v>
      </c>
      <c r="S109" s="44" t="s">
        <v>1044</v>
      </c>
    </row>
    <row r="110" spans="1:19" x14ac:dyDescent="0.3">
      <c r="A110" s="45" t="s">
        <v>1577</v>
      </c>
      <c r="B110" s="45" t="s">
        <v>1578</v>
      </c>
      <c r="C110" s="45" t="s">
        <v>388</v>
      </c>
      <c r="D110" s="45" t="s">
        <v>1579</v>
      </c>
      <c r="E110" s="46">
        <v>9000</v>
      </c>
      <c r="F110" s="45" t="s">
        <v>1042</v>
      </c>
      <c r="G110" s="45" t="s">
        <v>1200</v>
      </c>
      <c r="H110" s="45" t="s">
        <v>1200</v>
      </c>
      <c r="I110" s="45" t="s">
        <v>1200</v>
      </c>
      <c r="J110" s="45" t="s">
        <v>399</v>
      </c>
      <c r="K110" s="45" t="s">
        <v>282</v>
      </c>
      <c r="L110" s="45" t="s">
        <v>1012</v>
      </c>
      <c r="M110" s="45" t="s">
        <v>1012</v>
      </c>
      <c r="N110" s="45" t="s">
        <v>242</v>
      </c>
      <c r="O110" s="45" t="s">
        <v>293</v>
      </c>
      <c r="P110" s="47" t="s">
        <v>1580</v>
      </c>
      <c r="Q110" s="47" t="s">
        <v>1581</v>
      </c>
      <c r="R110" s="45" t="s">
        <v>245</v>
      </c>
      <c r="S110" s="48" t="s">
        <v>1044</v>
      </c>
    </row>
    <row r="111" spans="1:19" x14ac:dyDescent="0.3">
      <c r="A111" s="38" t="s">
        <v>1582</v>
      </c>
      <c r="B111" s="38" t="s">
        <v>1583</v>
      </c>
      <c r="C111" s="38" t="s">
        <v>418</v>
      </c>
      <c r="D111" s="38" t="s">
        <v>1219</v>
      </c>
      <c r="E111" s="42">
        <v>2000</v>
      </c>
      <c r="F111" s="38" t="s">
        <v>1042</v>
      </c>
      <c r="G111" s="38" t="s">
        <v>1055</v>
      </c>
      <c r="H111" s="38" t="s">
        <v>239</v>
      </c>
      <c r="I111" s="38" t="s">
        <v>239</v>
      </c>
      <c r="J111" s="38" t="s">
        <v>239</v>
      </c>
      <c r="K111" s="38" t="s">
        <v>282</v>
      </c>
      <c r="L111" s="38" t="s">
        <v>1062</v>
      </c>
      <c r="M111" s="38" t="s">
        <v>1012</v>
      </c>
      <c r="N111" s="38" t="s">
        <v>242</v>
      </c>
      <c r="O111" s="38" t="s">
        <v>335</v>
      </c>
      <c r="P111" s="43" t="s">
        <v>1584</v>
      </c>
      <c r="Q111" s="43" t="s">
        <v>1585</v>
      </c>
      <c r="R111" s="38" t="s">
        <v>255</v>
      </c>
      <c r="S111" s="44" t="s">
        <v>1044</v>
      </c>
    </row>
    <row r="112" spans="1:19" ht="28.8" x14ac:dyDescent="0.3">
      <c r="A112" s="37" t="s">
        <v>1586</v>
      </c>
      <c r="B112" s="37" t="s">
        <v>1587</v>
      </c>
      <c r="C112" s="37" t="s">
        <v>362</v>
      </c>
      <c r="D112" s="37" t="s">
        <v>1588</v>
      </c>
      <c r="E112" s="39">
        <v>500</v>
      </c>
      <c r="F112" s="37" t="s">
        <v>1061</v>
      </c>
      <c r="G112" s="37" t="s">
        <v>1195</v>
      </c>
      <c r="H112" s="37" t="s">
        <v>1195</v>
      </c>
      <c r="I112" s="37" t="s">
        <v>1195</v>
      </c>
      <c r="J112" s="37" t="s">
        <v>399</v>
      </c>
      <c r="K112" s="37" t="s">
        <v>240</v>
      </c>
      <c r="L112" s="37" t="s">
        <v>1012</v>
      </c>
      <c r="M112" s="37" t="s">
        <v>1063</v>
      </c>
      <c r="N112" s="37" t="s">
        <v>242</v>
      </c>
      <c r="O112" s="37" t="s">
        <v>335</v>
      </c>
      <c r="P112" s="40" t="s">
        <v>1589</v>
      </c>
      <c r="Q112" s="40"/>
      <c r="R112" s="37" t="s">
        <v>255</v>
      </c>
      <c r="S112" s="41" t="s">
        <v>1044</v>
      </c>
    </row>
    <row r="113" spans="1:19" ht="28.8" x14ac:dyDescent="0.3">
      <c r="A113" s="38" t="s">
        <v>1590</v>
      </c>
      <c r="B113" s="38" t="s">
        <v>1591</v>
      </c>
      <c r="C113" s="38" t="s">
        <v>362</v>
      </c>
      <c r="D113" s="38" t="s">
        <v>1352</v>
      </c>
      <c r="E113" s="42">
        <v>400</v>
      </c>
      <c r="F113" s="38" t="s">
        <v>1061</v>
      </c>
      <c r="G113" s="38" t="s">
        <v>1195</v>
      </c>
      <c r="H113" s="38" t="s">
        <v>1195</v>
      </c>
      <c r="I113" s="38" t="s">
        <v>1195</v>
      </c>
      <c r="J113" s="38" t="s">
        <v>399</v>
      </c>
      <c r="K113" s="38" t="s">
        <v>240</v>
      </c>
      <c r="L113" s="38" t="s">
        <v>1012</v>
      </c>
      <c r="M113" s="38" t="s">
        <v>1063</v>
      </c>
      <c r="N113" s="38" t="s">
        <v>242</v>
      </c>
      <c r="O113" s="38" t="s">
        <v>335</v>
      </c>
      <c r="P113" s="43" t="s">
        <v>1592</v>
      </c>
      <c r="Q113" s="43"/>
      <c r="R113" s="38" t="s">
        <v>255</v>
      </c>
      <c r="S113" s="44" t="s">
        <v>1044</v>
      </c>
    </row>
    <row r="114" spans="1:19" ht="28.8" x14ac:dyDescent="0.3">
      <c r="A114" s="37" t="s">
        <v>1593</v>
      </c>
      <c r="B114" s="37" t="s">
        <v>1594</v>
      </c>
      <c r="C114" s="37" t="s">
        <v>362</v>
      </c>
      <c r="D114" s="37" t="s">
        <v>1184</v>
      </c>
      <c r="E114" s="39">
        <v>1100</v>
      </c>
      <c r="F114" s="37" t="s">
        <v>1061</v>
      </c>
      <c r="G114" s="37" t="s">
        <v>1195</v>
      </c>
      <c r="H114" s="37" t="s">
        <v>1195</v>
      </c>
      <c r="I114" s="37" t="s">
        <v>1200</v>
      </c>
      <c r="J114" s="37" t="s">
        <v>399</v>
      </c>
      <c r="K114" s="37" t="s">
        <v>240</v>
      </c>
      <c r="L114" s="37" t="s">
        <v>1196</v>
      </c>
      <c r="M114" s="37" t="s">
        <v>1063</v>
      </c>
      <c r="N114" s="37" t="s">
        <v>242</v>
      </c>
      <c r="O114" s="37" t="s">
        <v>335</v>
      </c>
      <c r="P114" s="40" t="s">
        <v>1595</v>
      </c>
      <c r="Q114" s="40"/>
      <c r="R114" s="37" t="s">
        <v>255</v>
      </c>
      <c r="S114" s="41" t="s">
        <v>1044</v>
      </c>
    </row>
    <row r="115" spans="1:19" ht="28.8" x14ac:dyDescent="0.3">
      <c r="A115" s="38" t="s">
        <v>1596</v>
      </c>
      <c r="B115" s="38" t="s">
        <v>1597</v>
      </c>
      <c r="C115" s="38" t="s">
        <v>388</v>
      </c>
      <c r="D115" s="38" t="s">
        <v>1598</v>
      </c>
      <c r="E115" s="42">
        <v>30000</v>
      </c>
      <c r="F115" s="38" t="s">
        <v>1061</v>
      </c>
      <c r="G115" s="38" t="s">
        <v>1055</v>
      </c>
      <c r="H115" s="38" t="s">
        <v>239</v>
      </c>
      <c r="I115" s="38" t="s">
        <v>239</v>
      </c>
      <c r="J115" s="38" t="s">
        <v>239</v>
      </c>
      <c r="K115" s="38" t="s">
        <v>240</v>
      </c>
      <c r="L115" s="38" t="s">
        <v>1056</v>
      </c>
      <c r="M115" s="38" t="s">
        <v>1063</v>
      </c>
      <c r="N115" s="38" t="s">
        <v>242</v>
      </c>
      <c r="O115" s="38" t="s">
        <v>335</v>
      </c>
      <c r="P115" s="43" t="s">
        <v>1599</v>
      </c>
      <c r="Q115" s="43"/>
      <c r="R115" s="38" t="s">
        <v>255</v>
      </c>
      <c r="S115" s="44" t="s">
        <v>1044</v>
      </c>
    </row>
    <row r="116" spans="1:19" x14ac:dyDescent="0.3">
      <c r="A116" s="37" t="s">
        <v>1600</v>
      </c>
      <c r="B116" s="37" t="s">
        <v>1601</v>
      </c>
      <c r="C116" s="37" t="s">
        <v>306</v>
      </c>
      <c r="D116" s="37" t="s">
        <v>1257</v>
      </c>
      <c r="E116" s="39">
        <v>3500</v>
      </c>
      <c r="F116" s="37" t="s">
        <v>1061</v>
      </c>
      <c r="G116" s="37" t="s">
        <v>386</v>
      </c>
      <c r="H116" s="37" t="s">
        <v>386</v>
      </c>
      <c r="I116" s="37" t="s">
        <v>386</v>
      </c>
      <c r="J116" s="37" t="s">
        <v>386</v>
      </c>
      <c r="K116" s="37" t="s">
        <v>240</v>
      </c>
      <c r="L116" s="37" t="s">
        <v>1602</v>
      </c>
      <c r="M116" s="37" t="s">
        <v>1063</v>
      </c>
      <c r="N116" s="37" t="s">
        <v>242</v>
      </c>
      <c r="O116" s="37" t="s">
        <v>335</v>
      </c>
      <c r="P116" s="40" t="s">
        <v>1603</v>
      </c>
      <c r="Q116" s="40"/>
      <c r="R116" s="37" t="s">
        <v>255</v>
      </c>
      <c r="S116" s="41" t="s">
        <v>1044</v>
      </c>
    </row>
    <row r="117" spans="1:19" ht="28.8" x14ac:dyDescent="0.3">
      <c r="A117" s="38" t="s">
        <v>1604</v>
      </c>
      <c r="B117" s="38" t="s">
        <v>1605</v>
      </c>
      <c r="C117" s="38" t="s">
        <v>306</v>
      </c>
      <c r="D117" s="38" t="s">
        <v>1117</v>
      </c>
      <c r="E117" s="42">
        <v>15000</v>
      </c>
      <c r="F117" s="38" t="s">
        <v>1061</v>
      </c>
      <c r="G117" s="38" t="s">
        <v>1368</v>
      </c>
      <c r="H117" s="38" t="s">
        <v>1369</v>
      </c>
      <c r="I117" s="38" t="s">
        <v>1369</v>
      </c>
      <c r="J117" s="38" t="s">
        <v>360</v>
      </c>
      <c r="K117" s="38" t="s">
        <v>240</v>
      </c>
      <c r="L117" s="38" t="s">
        <v>1501</v>
      </c>
      <c r="M117" s="38" t="s">
        <v>1063</v>
      </c>
      <c r="N117" s="38" t="s">
        <v>242</v>
      </c>
      <c r="O117" s="38" t="s">
        <v>335</v>
      </c>
      <c r="P117" s="43" t="s">
        <v>1606</v>
      </c>
      <c r="Q117" s="43"/>
      <c r="R117" s="38" t="s">
        <v>255</v>
      </c>
      <c r="S117" s="44" t="s">
        <v>1044</v>
      </c>
    </row>
    <row r="118" spans="1:19" ht="28.8" x14ac:dyDescent="0.3">
      <c r="A118" s="37" t="s">
        <v>1607</v>
      </c>
      <c r="B118" s="37" t="s">
        <v>1608</v>
      </c>
      <c r="C118" s="37" t="s">
        <v>306</v>
      </c>
      <c r="D118" s="37" t="s">
        <v>1367</v>
      </c>
      <c r="E118" s="39">
        <v>1500</v>
      </c>
      <c r="F118" s="37" t="s">
        <v>1061</v>
      </c>
      <c r="G118" s="37" t="s">
        <v>386</v>
      </c>
      <c r="H118" s="37" t="s">
        <v>386</v>
      </c>
      <c r="I118" s="37" t="s">
        <v>386</v>
      </c>
      <c r="J118" s="37" t="s">
        <v>386</v>
      </c>
      <c r="K118" s="37" t="s">
        <v>240</v>
      </c>
      <c r="L118" s="37" t="s">
        <v>1130</v>
      </c>
      <c r="M118" s="37" t="s">
        <v>1063</v>
      </c>
      <c r="N118" s="37" t="s">
        <v>242</v>
      </c>
      <c r="O118" s="37" t="s">
        <v>335</v>
      </c>
      <c r="P118" s="40" t="s">
        <v>1609</v>
      </c>
      <c r="Q118" s="40"/>
      <c r="R118" s="37" t="s">
        <v>255</v>
      </c>
      <c r="S118" s="41" t="s">
        <v>1044</v>
      </c>
    </row>
    <row r="119" spans="1:19" x14ac:dyDescent="0.3">
      <c r="A119" s="38" t="s">
        <v>1610</v>
      </c>
      <c r="B119" s="38" t="s">
        <v>1611</v>
      </c>
      <c r="C119" s="38" t="s">
        <v>306</v>
      </c>
      <c r="D119" s="38" t="s">
        <v>1184</v>
      </c>
      <c r="E119" s="42">
        <v>1100</v>
      </c>
      <c r="F119" s="38" t="s">
        <v>1061</v>
      </c>
      <c r="G119" s="38" t="s">
        <v>386</v>
      </c>
      <c r="H119" s="38" t="s">
        <v>386</v>
      </c>
      <c r="I119" s="38" t="s">
        <v>386</v>
      </c>
      <c r="J119" s="38" t="s">
        <v>386</v>
      </c>
      <c r="K119" s="38" t="s">
        <v>240</v>
      </c>
      <c r="L119" s="38" t="s">
        <v>1130</v>
      </c>
      <c r="M119" s="38" t="s">
        <v>1063</v>
      </c>
      <c r="N119" s="38" t="s">
        <v>242</v>
      </c>
      <c r="O119" s="38" t="s">
        <v>335</v>
      </c>
      <c r="P119" s="43" t="s">
        <v>1612</v>
      </c>
      <c r="Q119" s="43"/>
      <c r="R119" s="38" t="s">
        <v>255</v>
      </c>
      <c r="S119" s="44" t="s">
        <v>1044</v>
      </c>
    </row>
    <row r="120" spans="1:19" x14ac:dyDescent="0.3">
      <c r="A120" s="37" t="s">
        <v>1613</v>
      </c>
      <c r="B120" s="37" t="s">
        <v>1614</v>
      </c>
      <c r="C120" s="37" t="s">
        <v>1103</v>
      </c>
      <c r="D120" s="37" t="s">
        <v>1615</v>
      </c>
      <c r="E120" s="39">
        <v>3000</v>
      </c>
      <c r="F120" s="37" t="s">
        <v>1061</v>
      </c>
      <c r="G120" s="37" t="s">
        <v>386</v>
      </c>
      <c r="H120" s="37" t="s">
        <v>386</v>
      </c>
      <c r="I120" s="37" t="s">
        <v>386</v>
      </c>
      <c r="J120" s="37" t="s">
        <v>386</v>
      </c>
      <c r="K120" s="37" t="s">
        <v>240</v>
      </c>
      <c r="L120" s="37" t="s">
        <v>1602</v>
      </c>
      <c r="M120" s="37" t="s">
        <v>1063</v>
      </c>
      <c r="N120" s="37" t="s">
        <v>242</v>
      </c>
      <c r="O120" s="37" t="s">
        <v>335</v>
      </c>
      <c r="P120" s="40" t="s">
        <v>1616</v>
      </c>
      <c r="Q120" s="40"/>
      <c r="R120" s="37" t="s">
        <v>255</v>
      </c>
      <c r="S120" s="41" t="s">
        <v>1044</v>
      </c>
    </row>
    <row r="121" spans="1:19" ht="43.2" x14ac:dyDescent="0.3">
      <c r="A121" s="38" t="s">
        <v>1617</v>
      </c>
      <c r="B121" s="38" t="s">
        <v>1618</v>
      </c>
      <c r="C121" s="38" t="s">
        <v>306</v>
      </c>
      <c r="D121" s="38" t="s">
        <v>1367</v>
      </c>
      <c r="E121" s="42">
        <v>1500</v>
      </c>
      <c r="F121" s="38" t="s">
        <v>1061</v>
      </c>
      <c r="G121" s="38" t="s">
        <v>1135</v>
      </c>
      <c r="H121" s="38" t="s">
        <v>239</v>
      </c>
      <c r="I121" s="38" t="s">
        <v>239</v>
      </c>
      <c r="J121" s="38" t="s">
        <v>239</v>
      </c>
      <c r="K121" s="38" t="s">
        <v>240</v>
      </c>
      <c r="L121" s="38" t="s">
        <v>1390</v>
      </c>
      <c r="M121" s="38" t="s">
        <v>1063</v>
      </c>
      <c r="N121" s="38" t="s">
        <v>242</v>
      </c>
      <c r="O121" s="38" t="s">
        <v>335</v>
      </c>
      <c r="P121" s="43" t="s">
        <v>1619</v>
      </c>
      <c r="Q121" s="43"/>
      <c r="R121" s="38" t="s">
        <v>255</v>
      </c>
      <c r="S121" s="44" t="s">
        <v>1044</v>
      </c>
    </row>
    <row r="122" spans="1:19" ht="28.8" x14ac:dyDescent="0.3">
      <c r="A122" s="37" t="s">
        <v>1620</v>
      </c>
      <c r="B122" s="37" t="s">
        <v>1621</v>
      </c>
      <c r="C122" s="37" t="s">
        <v>306</v>
      </c>
      <c r="D122" s="37" t="s">
        <v>1622</v>
      </c>
      <c r="E122" s="39">
        <v>2200</v>
      </c>
      <c r="F122" s="37" t="s">
        <v>1061</v>
      </c>
      <c r="G122" s="37" t="s">
        <v>1368</v>
      </c>
      <c r="H122" s="37" t="s">
        <v>1369</v>
      </c>
      <c r="I122" s="37" t="s">
        <v>1369</v>
      </c>
      <c r="J122" s="37" t="s">
        <v>360</v>
      </c>
      <c r="K122" s="37" t="s">
        <v>240</v>
      </c>
      <c r="L122" s="37" t="s">
        <v>1384</v>
      </c>
      <c r="M122" s="37" t="s">
        <v>1063</v>
      </c>
      <c r="N122" s="37" t="s">
        <v>242</v>
      </c>
      <c r="O122" s="37" t="s">
        <v>335</v>
      </c>
      <c r="P122" s="40" t="s">
        <v>1623</v>
      </c>
      <c r="Q122" s="40"/>
      <c r="R122" s="37" t="s">
        <v>255</v>
      </c>
      <c r="S122" s="41" t="s">
        <v>1044</v>
      </c>
    </row>
    <row r="123" spans="1:19" x14ac:dyDescent="0.3">
      <c r="A123" s="38" t="s">
        <v>1624</v>
      </c>
      <c r="B123" s="38" t="s">
        <v>1625</v>
      </c>
      <c r="C123" s="38" t="s">
        <v>241</v>
      </c>
      <c r="D123" s="38" t="s">
        <v>1315</v>
      </c>
      <c r="E123" s="42">
        <v>650</v>
      </c>
      <c r="F123" s="38" t="s">
        <v>1061</v>
      </c>
      <c r="G123" s="38" t="s">
        <v>1055</v>
      </c>
      <c r="H123" s="38" t="s">
        <v>239</v>
      </c>
      <c r="I123" s="38" t="s">
        <v>239</v>
      </c>
      <c r="J123" s="38" t="s">
        <v>239</v>
      </c>
      <c r="K123" s="38" t="s">
        <v>240</v>
      </c>
      <c r="L123" s="38" t="s">
        <v>1062</v>
      </c>
      <c r="M123" s="38" t="s">
        <v>1063</v>
      </c>
      <c r="N123" s="38" t="s">
        <v>242</v>
      </c>
      <c r="O123" s="38" t="s">
        <v>335</v>
      </c>
      <c r="P123" s="43" t="s">
        <v>1626</v>
      </c>
      <c r="Q123" s="43"/>
      <c r="R123" s="38" t="s">
        <v>255</v>
      </c>
      <c r="S123" s="44" t="s">
        <v>1044</v>
      </c>
    </row>
    <row r="124" spans="1:19" x14ac:dyDescent="0.3">
      <c r="A124" s="37" t="s">
        <v>1627</v>
      </c>
      <c r="B124" s="37" t="s">
        <v>1628</v>
      </c>
      <c r="C124" s="37" t="s">
        <v>306</v>
      </c>
      <c r="D124" s="37" t="s">
        <v>1204</v>
      </c>
      <c r="E124" s="39">
        <v>6500</v>
      </c>
      <c r="F124" s="37" t="s">
        <v>1061</v>
      </c>
      <c r="G124" s="37" t="s">
        <v>1086</v>
      </c>
      <c r="H124" s="37" t="s">
        <v>1086</v>
      </c>
      <c r="I124" s="37" t="s">
        <v>1086</v>
      </c>
      <c r="J124" s="37" t="s">
        <v>320</v>
      </c>
      <c r="K124" s="37" t="s">
        <v>240</v>
      </c>
      <c r="L124" s="37" t="s">
        <v>1629</v>
      </c>
      <c r="M124" s="37" t="s">
        <v>1063</v>
      </c>
      <c r="N124" s="37" t="s">
        <v>242</v>
      </c>
      <c r="O124" s="37" t="s">
        <v>335</v>
      </c>
      <c r="P124" s="40" t="s">
        <v>1630</v>
      </c>
      <c r="Q124" s="40"/>
      <c r="R124" s="37" t="s">
        <v>255</v>
      </c>
      <c r="S124" s="41" t="s">
        <v>1044</v>
      </c>
    </row>
    <row r="125" spans="1:19" x14ac:dyDescent="0.3">
      <c r="A125" s="38" t="s">
        <v>1631</v>
      </c>
      <c r="B125" s="38" t="s">
        <v>1632</v>
      </c>
      <c r="C125" s="38" t="s">
        <v>306</v>
      </c>
      <c r="D125" s="38" t="s">
        <v>1633</v>
      </c>
      <c r="E125" s="42">
        <v>3800</v>
      </c>
      <c r="F125" s="38" t="s">
        <v>1061</v>
      </c>
      <c r="G125" s="38" t="s">
        <v>1086</v>
      </c>
      <c r="H125" s="38" t="s">
        <v>1086</v>
      </c>
      <c r="I125" s="38" t="s">
        <v>1086</v>
      </c>
      <c r="J125" s="38" t="s">
        <v>320</v>
      </c>
      <c r="K125" s="38" t="s">
        <v>240</v>
      </c>
      <c r="L125" s="38" t="s">
        <v>1629</v>
      </c>
      <c r="M125" s="38" t="s">
        <v>1063</v>
      </c>
      <c r="N125" s="38" t="s">
        <v>242</v>
      </c>
      <c r="O125" s="38" t="s">
        <v>335</v>
      </c>
      <c r="P125" s="43" t="s">
        <v>1634</v>
      </c>
      <c r="Q125" s="43"/>
      <c r="R125" s="38" t="s">
        <v>255</v>
      </c>
      <c r="S125" s="44" t="s">
        <v>1044</v>
      </c>
    </row>
    <row r="126" spans="1:19" x14ac:dyDescent="0.3">
      <c r="A126" s="37" t="s">
        <v>1635</v>
      </c>
      <c r="B126" s="37" t="s">
        <v>1636</v>
      </c>
      <c r="C126" s="37" t="s">
        <v>306</v>
      </c>
      <c r="D126" s="37" t="s">
        <v>1637</v>
      </c>
      <c r="E126" s="39">
        <v>20000</v>
      </c>
      <c r="F126" s="37" t="s">
        <v>1061</v>
      </c>
      <c r="G126" s="37" t="s">
        <v>386</v>
      </c>
      <c r="H126" s="37" t="s">
        <v>386</v>
      </c>
      <c r="I126" s="37" t="s">
        <v>386</v>
      </c>
      <c r="J126" s="37" t="s">
        <v>386</v>
      </c>
      <c r="K126" s="37" t="s">
        <v>240</v>
      </c>
      <c r="L126" s="37" t="s">
        <v>1130</v>
      </c>
      <c r="M126" s="37" t="s">
        <v>1063</v>
      </c>
      <c r="N126" s="37" t="s">
        <v>242</v>
      </c>
      <c r="O126" s="37" t="s">
        <v>335</v>
      </c>
      <c r="P126" s="40" t="s">
        <v>1638</v>
      </c>
      <c r="Q126" s="40"/>
      <c r="R126" s="37" t="s">
        <v>255</v>
      </c>
      <c r="S126" s="41" t="s">
        <v>1044</v>
      </c>
    </row>
    <row r="127" spans="1:19" x14ac:dyDescent="0.3">
      <c r="A127" s="38" t="s">
        <v>1639</v>
      </c>
      <c r="B127" s="38" t="s">
        <v>1640</v>
      </c>
      <c r="C127" s="38" t="s">
        <v>241</v>
      </c>
      <c r="D127" s="38" t="s">
        <v>1641</v>
      </c>
      <c r="E127" s="42">
        <v>450</v>
      </c>
      <c r="F127" s="38" t="s">
        <v>1061</v>
      </c>
      <c r="G127" s="38" t="s">
        <v>1055</v>
      </c>
      <c r="H127" s="38" t="s">
        <v>239</v>
      </c>
      <c r="I127" s="38" t="s">
        <v>239</v>
      </c>
      <c r="J127" s="38" t="s">
        <v>239</v>
      </c>
      <c r="K127" s="38" t="s">
        <v>240</v>
      </c>
      <c r="L127" s="38" t="s">
        <v>1056</v>
      </c>
      <c r="M127" s="38" t="s">
        <v>1063</v>
      </c>
      <c r="N127" s="38" t="s">
        <v>242</v>
      </c>
      <c r="O127" s="38" t="s">
        <v>335</v>
      </c>
      <c r="P127" s="43" t="s">
        <v>1642</v>
      </c>
      <c r="Q127" s="43"/>
      <c r="R127" s="38" t="s">
        <v>255</v>
      </c>
      <c r="S127" s="44" t="s">
        <v>1044</v>
      </c>
    </row>
    <row r="128" spans="1:19" x14ac:dyDescent="0.3">
      <c r="A128" s="37" t="s">
        <v>1643</v>
      </c>
      <c r="B128" s="37" t="s">
        <v>1644</v>
      </c>
      <c r="C128" s="37" t="s">
        <v>306</v>
      </c>
      <c r="D128" s="37" t="s">
        <v>1633</v>
      </c>
      <c r="E128" s="39">
        <v>3800</v>
      </c>
      <c r="F128" s="37" t="s">
        <v>1061</v>
      </c>
      <c r="G128" s="37" t="s">
        <v>1368</v>
      </c>
      <c r="H128" s="37" t="s">
        <v>1369</v>
      </c>
      <c r="I128" s="37" t="s">
        <v>1369</v>
      </c>
      <c r="J128" s="37" t="s">
        <v>360</v>
      </c>
      <c r="K128" s="37" t="s">
        <v>240</v>
      </c>
      <c r="L128" s="37" t="s">
        <v>1501</v>
      </c>
      <c r="M128" s="37" t="s">
        <v>1063</v>
      </c>
      <c r="N128" s="37" t="s">
        <v>242</v>
      </c>
      <c r="O128" s="37" t="s">
        <v>335</v>
      </c>
      <c r="P128" s="40" t="s">
        <v>1645</v>
      </c>
      <c r="Q128" s="40"/>
      <c r="R128" s="37" t="s">
        <v>255</v>
      </c>
      <c r="S128" s="41" t="s">
        <v>1044</v>
      </c>
    </row>
    <row r="129" spans="1:19" ht="43.2" x14ac:dyDescent="0.3">
      <c r="A129" s="38" t="s">
        <v>1646</v>
      </c>
      <c r="B129" s="38" t="s">
        <v>1647</v>
      </c>
      <c r="C129" s="38" t="s">
        <v>1103</v>
      </c>
      <c r="D129" s="38" t="s">
        <v>1648</v>
      </c>
      <c r="E129" s="42">
        <v>1350</v>
      </c>
      <c r="F129" s="38" t="s">
        <v>1061</v>
      </c>
      <c r="G129" s="38" t="s">
        <v>1368</v>
      </c>
      <c r="H129" s="38" t="s">
        <v>1369</v>
      </c>
      <c r="I129" s="38" t="s">
        <v>1369</v>
      </c>
      <c r="J129" s="38" t="s">
        <v>360</v>
      </c>
      <c r="K129" s="38" t="s">
        <v>240</v>
      </c>
      <c r="L129" s="38" t="s">
        <v>1384</v>
      </c>
      <c r="M129" s="38" t="s">
        <v>1063</v>
      </c>
      <c r="N129" s="38" t="s">
        <v>242</v>
      </c>
      <c r="O129" s="38" t="s">
        <v>335</v>
      </c>
      <c r="P129" s="43" t="s">
        <v>1649</v>
      </c>
      <c r="Q129" s="43"/>
      <c r="R129" s="38" t="s">
        <v>255</v>
      </c>
      <c r="S129" s="44" t="s">
        <v>1044</v>
      </c>
    </row>
    <row r="130" spans="1:19" x14ac:dyDescent="0.3">
      <c r="A130" s="37" t="s">
        <v>1650</v>
      </c>
      <c r="B130" s="37" t="s">
        <v>1651</v>
      </c>
      <c r="C130" s="37" t="s">
        <v>306</v>
      </c>
      <c r="D130" s="37" t="s">
        <v>1622</v>
      </c>
      <c r="E130" s="39">
        <v>2200</v>
      </c>
      <c r="F130" s="37" t="s">
        <v>1061</v>
      </c>
      <c r="G130" s="37" t="s">
        <v>1368</v>
      </c>
      <c r="H130" s="37" t="s">
        <v>1369</v>
      </c>
      <c r="I130" s="37" t="s">
        <v>1369</v>
      </c>
      <c r="J130" s="37" t="s">
        <v>360</v>
      </c>
      <c r="K130" s="37" t="s">
        <v>240</v>
      </c>
      <c r="L130" s="37" t="s">
        <v>1384</v>
      </c>
      <c r="M130" s="37" t="s">
        <v>1063</v>
      </c>
      <c r="N130" s="37" t="s">
        <v>242</v>
      </c>
      <c r="O130" s="37" t="s">
        <v>335</v>
      </c>
      <c r="P130" s="40" t="s">
        <v>1652</v>
      </c>
      <c r="Q130" s="40"/>
      <c r="R130" s="37" t="s">
        <v>255</v>
      </c>
      <c r="S130" s="41" t="s">
        <v>1044</v>
      </c>
    </row>
    <row r="131" spans="1:19" ht="28.8" x14ac:dyDescent="0.3">
      <c r="A131" s="38" t="s">
        <v>1653</v>
      </c>
      <c r="B131" s="38" t="s">
        <v>1654</v>
      </c>
      <c r="C131" s="38" t="s">
        <v>306</v>
      </c>
      <c r="D131" s="38" t="s">
        <v>1227</v>
      </c>
      <c r="E131" s="42">
        <v>1200</v>
      </c>
      <c r="F131" s="38" t="s">
        <v>1061</v>
      </c>
      <c r="G131" s="38" t="s">
        <v>386</v>
      </c>
      <c r="H131" s="38" t="s">
        <v>386</v>
      </c>
      <c r="I131" s="38" t="s">
        <v>386</v>
      </c>
      <c r="J131" s="38" t="s">
        <v>386</v>
      </c>
      <c r="K131" s="38" t="s">
        <v>240</v>
      </c>
      <c r="L131" s="38" t="s">
        <v>1130</v>
      </c>
      <c r="M131" s="38" t="s">
        <v>1063</v>
      </c>
      <c r="N131" s="38" t="s">
        <v>242</v>
      </c>
      <c r="O131" s="38" t="s">
        <v>335</v>
      </c>
      <c r="P131" s="43" t="s">
        <v>1655</v>
      </c>
      <c r="Q131" s="43"/>
      <c r="R131" s="38" t="s">
        <v>255</v>
      </c>
      <c r="S131" s="44" t="s">
        <v>1044</v>
      </c>
    </row>
    <row r="132" spans="1:19" x14ac:dyDescent="0.3">
      <c r="A132" s="37" t="s">
        <v>1656</v>
      </c>
      <c r="B132" s="37" t="s">
        <v>1657</v>
      </c>
      <c r="C132" s="37" t="s">
        <v>306</v>
      </c>
      <c r="D132" s="37" t="s">
        <v>1184</v>
      </c>
      <c r="E132" s="39">
        <v>1100</v>
      </c>
      <c r="F132" s="37" t="s">
        <v>1061</v>
      </c>
      <c r="G132" s="37" t="s">
        <v>386</v>
      </c>
      <c r="H132" s="37" t="s">
        <v>386</v>
      </c>
      <c r="I132" s="37" t="s">
        <v>386</v>
      </c>
      <c r="J132" s="37" t="s">
        <v>386</v>
      </c>
      <c r="K132" s="37" t="s">
        <v>240</v>
      </c>
      <c r="L132" s="37" t="s">
        <v>1130</v>
      </c>
      <c r="M132" s="37" t="s">
        <v>1063</v>
      </c>
      <c r="N132" s="37" t="s">
        <v>242</v>
      </c>
      <c r="O132" s="37" t="s">
        <v>335</v>
      </c>
      <c r="P132" s="40" t="s">
        <v>1658</v>
      </c>
      <c r="Q132" s="40"/>
      <c r="R132" s="37" t="s">
        <v>255</v>
      </c>
      <c r="S132" s="41" t="s">
        <v>1044</v>
      </c>
    </row>
    <row r="133" spans="1:19" x14ac:dyDescent="0.3">
      <c r="A133" s="38" t="s">
        <v>1659</v>
      </c>
      <c r="B133" s="38" t="s">
        <v>1660</v>
      </c>
      <c r="C133" s="38" t="s">
        <v>1103</v>
      </c>
      <c r="D133" s="38" t="s">
        <v>1641</v>
      </c>
      <c r="E133" s="42">
        <v>450</v>
      </c>
      <c r="F133" s="38" t="s">
        <v>1061</v>
      </c>
      <c r="G133" s="38" t="s">
        <v>1055</v>
      </c>
      <c r="H133" s="38" t="s">
        <v>239</v>
      </c>
      <c r="I133" s="38" t="s">
        <v>239</v>
      </c>
      <c r="J133" s="38" t="s">
        <v>239</v>
      </c>
      <c r="K133" s="38" t="s">
        <v>240</v>
      </c>
      <c r="L133" s="38" t="s">
        <v>1113</v>
      </c>
      <c r="M133" s="38" t="s">
        <v>1063</v>
      </c>
      <c r="N133" s="38" t="s">
        <v>242</v>
      </c>
      <c r="O133" s="38" t="s">
        <v>335</v>
      </c>
      <c r="P133" s="43" t="s">
        <v>1661</v>
      </c>
      <c r="Q133" s="43"/>
      <c r="R133" s="38" t="s">
        <v>255</v>
      </c>
      <c r="S133" s="44" t="s">
        <v>1044</v>
      </c>
    </row>
    <row r="134" spans="1:19" x14ac:dyDescent="0.3">
      <c r="A134" s="37" t="s">
        <v>1662</v>
      </c>
      <c r="B134" s="37" t="s">
        <v>1660</v>
      </c>
      <c r="C134" s="37" t="s">
        <v>1103</v>
      </c>
      <c r="D134" s="37" t="s">
        <v>1663</v>
      </c>
      <c r="E134" s="39">
        <v>990</v>
      </c>
      <c r="F134" s="37" t="s">
        <v>1061</v>
      </c>
      <c r="G134" s="37" t="s">
        <v>1118</v>
      </c>
      <c r="H134" s="37" t="s">
        <v>1119</v>
      </c>
      <c r="I134" s="37" t="s">
        <v>1119</v>
      </c>
      <c r="J134" s="37" t="s">
        <v>405</v>
      </c>
      <c r="K134" s="37" t="s">
        <v>240</v>
      </c>
      <c r="L134" s="37" t="s">
        <v>1120</v>
      </c>
      <c r="M134" s="37" t="s">
        <v>1063</v>
      </c>
      <c r="N134" s="37" t="s">
        <v>242</v>
      </c>
      <c r="O134" s="37" t="s">
        <v>335</v>
      </c>
      <c r="P134" s="40" t="s">
        <v>1664</v>
      </c>
      <c r="Q134" s="40"/>
      <c r="R134" s="37" t="s">
        <v>255</v>
      </c>
      <c r="S134" s="41" t="s">
        <v>1044</v>
      </c>
    </row>
    <row r="135" spans="1:19" ht="28.8" x14ac:dyDescent="0.3">
      <c r="A135" s="38" t="s">
        <v>1665</v>
      </c>
      <c r="B135" s="38" t="s">
        <v>1666</v>
      </c>
      <c r="C135" s="38" t="s">
        <v>241</v>
      </c>
      <c r="D135" s="38" t="s">
        <v>1667</v>
      </c>
      <c r="E135" s="42">
        <v>3400</v>
      </c>
      <c r="F135" s="38" t="s">
        <v>1061</v>
      </c>
      <c r="G135" s="38" t="s">
        <v>1079</v>
      </c>
      <c r="H135" s="38" t="s">
        <v>239</v>
      </c>
      <c r="I135" s="38" t="s">
        <v>239</v>
      </c>
      <c r="J135" s="38" t="s">
        <v>239</v>
      </c>
      <c r="K135" s="38" t="s">
        <v>240</v>
      </c>
      <c r="L135" s="38" t="s">
        <v>252</v>
      </c>
      <c r="M135" s="38" t="s">
        <v>1063</v>
      </c>
      <c r="N135" s="38" t="s">
        <v>242</v>
      </c>
      <c r="O135" s="38" t="s">
        <v>335</v>
      </c>
      <c r="P135" s="43" t="s">
        <v>1668</v>
      </c>
      <c r="Q135" s="43"/>
      <c r="R135" s="38" t="s">
        <v>255</v>
      </c>
      <c r="S135" s="44" t="s">
        <v>1044</v>
      </c>
    </row>
    <row r="136" spans="1:19" ht="28.8" x14ac:dyDescent="0.3">
      <c r="A136" s="37" t="s">
        <v>1669</v>
      </c>
      <c r="B136" s="37" t="s">
        <v>1670</v>
      </c>
      <c r="C136" s="37" t="s">
        <v>241</v>
      </c>
      <c r="D136" s="37" t="s">
        <v>1671</v>
      </c>
      <c r="E136" s="39">
        <v>3700</v>
      </c>
      <c r="F136" s="37" t="s">
        <v>1061</v>
      </c>
      <c r="G136" s="37" t="s">
        <v>1079</v>
      </c>
      <c r="H136" s="37" t="s">
        <v>239</v>
      </c>
      <c r="I136" s="37" t="s">
        <v>239</v>
      </c>
      <c r="J136" s="37" t="s">
        <v>239</v>
      </c>
      <c r="K136" s="37" t="s">
        <v>240</v>
      </c>
      <c r="L136" s="37" t="s">
        <v>252</v>
      </c>
      <c r="M136" s="37" t="s">
        <v>1063</v>
      </c>
      <c r="N136" s="37" t="s">
        <v>242</v>
      </c>
      <c r="O136" s="37" t="s">
        <v>335</v>
      </c>
      <c r="P136" s="40" t="s">
        <v>1672</v>
      </c>
      <c r="Q136" s="40"/>
      <c r="R136" s="37" t="s">
        <v>255</v>
      </c>
      <c r="S136" s="41" t="s">
        <v>1044</v>
      </c>
    </row>
    <row r="137" spans="1:19" ht="28.8" x14ac:dyDescent="0.3">
      <c r="A137" s="38" t="s">
        <v>1673</v>
      </c>
      <c r="B137" s="38" t="s">
        <v>1674</v>
      </c>
      <c r="C137" s="38" t="s">
        <v>241</v>
      </c>
      <c r="D137" s="38" t="s">
        <v>1675</v>
      </c>
      <c r="E137" s="42">
        <v>2700</v>
      </c>
      <c r="F137" s="38" t="s">
        <v>1061</v>
      </c>
      <c r="G137" s="38" t="s">
        <v>1079</v>
      </c>
      <c r="H137" s="38" t="s">
        <v>239</v>
      </c>
      <c r="I137" s="38" t="s">
        <v>239</v>
      </c>
      <c r="J137" s="38" t="s">
        <v>239</v>
      </c>
      <c r="K137" s="38" t="s">
        <v>240</v>
      </c>
      <c r="L137" s="38" t="s">
        <v>252</v>
      </c>
      <c r="M137" s="38" t="s">
        <v>1063</v>
      </c>
      <c r="N137" s="38" t="s">
        <v>242</v>
      </c>
      <c r="O137" s="38" t="s">
        <v>335</v>
      </c>
      <c r="P137" s="43" t="s">
        <v>1676</v>
      </c>
      <c r="Q137" s="43"/>
      <c r="R137" s="38" t="s">
        <v>255</v>
      </c>
      <c r="S137" s="44" t="s">
        <v>1044</v>
      </c>
    </row>
    <row r="138" spans="1:19" ht="28.8" x14ac:dyDescent="0.3">
      <c r="A138" s="37" t="s">
        <v>1677</v>
      </c>
      <c r="B138" s="37" t="s">
        <v>1678</v>
      </c>
      <c r="C138" s="37" t="s">
        <v>241</v>
      </c>
      <c r="D138" s="37" t="s">
        <v>1622</v>
      </c>
      <c r="E138" s="39">
        <v>2200</v>
      </c>
      <c r="F138" s="37" t="s">
        <v>1061</v>
      </c>
      <c r="G138" s="37" t="s">
        <v>1055</v>
      </c>
      <c r="H138" s="37" t="s">
        <v>239</v>
      </c>
      <c r="I138" s="37" t="s">
        <v>239</v>
      </c>
      <c r="J138" s="37" t="s">
        <v>239</v>
      </c>
      <c r="K138" s="37" t="s">
        <v>240</v>
      </c>
      <c r="L138" s="37" t="s">
        <v>252</v>
      </c>
      <c r="M138" s="37" t="s">
        <v>1063</v>
      </c>
      <c r="N138" s="37" t="s">
        <v>242</v>
      </c>
      <c r="O138" s="37" t="s">
        <v>335</v>
      </c>
      <c r="P138" s="40" t="s">
        <v>1679</v>
      </c>
      <c r="Q138" s="40"/>
      <c r="R138" s="37" t="s">
        <v>255</v>
      </c>
      <c r="S138" s="41" t="s">
        <v>1044</v>
      </c>
    </row>
    <row r="139" spans="1:19" x14ac:dyDescent="0.3">
      <c r="A139" s="38" t="s">
        <v>1680</v>
      </c>
      <c r="B139" s="38" t="s">
        <v>1681</v>
      </c>
      <c r="C139" s="38" t="s">
        <v>241</v>
      </c>
      <c r="D139" s="38" t="s">
        <v>1077</v>
      </c>
      <c r="E139" s="42">
        <v>2300</v>
      </c>
      <c r="F139" s="38" t="s">
        <v>1061</v>
      </c>
      <c r="G139" s="38" t="s">
        <v>1086</v>
      </c>
      <c r="H139" s="38" t="s">
        <v>239</v>
      </c>
      <c r="I139" s="38" t="s">
        <v>239</v>
      </c>
      <c r="J139" s="38" t="s">
        <v>239</v>
      </c>
      <c r="K139" s="38" t="s">
        <v>240</v>
      </c>
      <c r="L139" s="38" t="s">
        <v>252</v>
      </c>
      <c r="M139" s="38" t="s">
        <v>1063</v>
      </c>
      <c r="N139" s="38" t="s">
        <v>242</v>
      </c>
      <c r="O139" s="38" t="s">
        <v>335</v>
      </c>
      <c r="P139" s="43" t="s">
        <v>1682</v>
      </c>
      <c r="Q139" s="43"/>
      <c r="R139" s="38" t="s">
        <v>255</v>
      </c>
      <c r="S139" s="44" t="s">
        <v>1044</v>
      </c>
    </row>
    <row r="140" spans="1:19" ht="28.8" x14ac:dyDescent="0.3">
      <c r="A140" s="37" t="s">
        <v>1683</v>
      </c>
      <c r="B140" s="37" t="s">
        <v>1684</v>
      </c>
      <c r="C140" s="37" t="s">
        <v>241</v>
      </c>
      <c r="D140" s="37" t="s">
        <v>1685</v>
      </c>
      <c r="E140" s="39">
        <v>1980</v>
      </c>
      <c r="F140" s="37" t="s">
        <v>1061</v>
      </c>
      <c r="G140" s="37" t="s">
        <v>1079</v>
      </c>
      <c r="H140" s="37" t="s">
        <v>239</v>
      </c>
      <c r="I140" s="37" t="s">
        <v>239</v>
      </c>
      <c r="J140" s="37" t="s">
        <v>239</v>
      </c>
      <c r="K140" s="37" t="s">
        <v>240</v>
      </c>
      <c r="L140" s="37" t="s">
        <v>252</v>
      </c>
      <c r="M140" s="37" t="s">
        <v>1063</v>
      </c>
      <c r="N140" s="37" t="s">
        <v>242</v>
      </c>
      <c r="O140" s="37" t="s">
        <v>335</v>
      </c>
      <c r="P140" s="40" t="s">
        <v>1686</v>
      </c>
      <c r="Q140" s="40"/>
      <c r="R140" s="37" t="s">
        <v>255</v>
      </c>
      <c r="S140" s="41" t="s">
        <v>1044</v>
      </c>
    </row>
    <row r="141" spans="1:19" ht="43.2" x14ac:dyDescent="0.3">
      <c r="A141" s="38" t="s">
        <v>1687</v>
      </c>
      <c r="B141" s="38" t="s">
        <v>1688</v>
      </c>
      <c r="C141" s="38" t="s">
        <v>241</v>
      </c>
      <c r="D141" s="38" t="s">
        <v>1267</v>
      </c>
      <c r="E141" s="42">
        <v>950</v>
      </c>
      <c r="F141" s="38" t="s">
        <v>1061</v>
      </c>
      <c r="G141" s="38" t="s">
        <v>1135</v>
      </c>
      <c r="H141" s="38" t="s">
        <v>239</v>
      </c>
      <c r="I141" s="38" t="s">
        <v>239</v>
      </c>
      <c r="J141" s="38" t="s">
        <v>239</v>
      </c>
      <c r="K141" s="38" t="s">
        <v>240</v>
      </c>
      <c r="L141" s="38" t="s">
        <v>252</v>
      </c>
      <c r="M141" s="38" t="s">
        <v>1063</v>
      </c>
      <c r="N141" s="38" t="s">
        <v>242</v>
      </c>
      <c r="O141" s="38" t="s">
        <v>335</v>
      </c>
      <c r="P141" s="43" t="s">
        <v>1689</v>
      </c>
      <c r="Q141" s="43"/>
      <c r="R141" s="38" t="s">
        <v>255</v>
      </c>
      <c r="S141" s="44" t="s">
        <v>1044</v>
      </c>
    </row>
    <row r="142" spans="1:19" ht="28.8" x14ac:dyDescent="0.3">
      <c r="A142" s="37" t="s">
        <v>1690</v>
      </c>
      <c r="B142" s="37" t="s">
        <v>1691</v>
      </c>
      <c r="C142" s="37" t="s">
        <v>241</v>
      </c>
      <c r="D142" s="37" t="s">
        <v>1692</v>
      </c>
      <c r="E142" s="39">
        <v>2900</v>
      </c>
      <c r="F142" s="37" t="s">
        <v>1061</v>
      </c>
      <c r="G142" s="37" t="s">
        <v>1055</v>
      </c>
      <c r="H142" s="37" t="s">
        <v>239</v>
      </c>
      <c r="I142" s="37" t="s">
        <v>239</v>
      </c>
      <c r="J142" s="37" t="s">
        <v>239</v>
      </c>
      <c r="K142" s="37" t="s">
        <v>240</v>
      </c>
      <c r="L142" s="37" t="s">
        <v>252</v>
      </c>
      <c r="M142" s="37" t="s">
        <v>1063</v>
      </c>
      <c r="N142" s="37" t="s">
        <v>242</v>
      </c>
      <c r="O142" s="37" t="s">
        <v>335</v>
      </c>
      <c r="P142" s="40" t="s">
        <v>1693</v>
      </c>
      <c r="Q142" s="40"/>
      <c r="R142" s="37" t="s">
        <v>255</v>
      </c>
      <c r="S142" s="41" t="s">
        <v>1044</v>
      </c>
    </row>
    <row r="143" spans="1:19" x14ac:dyDescent="0.3">
      <c r="A143" s="38" t="s">
        <v>1694</v>
      </c>
      <c r="B143" s="38" t="s">
        <v>1695</v>
      </c>
      <c r="C143" s="38" t="s">
        <v>241</v>
      </c>
      <c r="D143" s="38" t="s">
        <v>1696</v>
      </c>
      <c r="E143" s="42">
        <v>1600</v>
      </c>
      <c r="F143" s="38" t="s">
        <v>1061</v>
      </c>
      <c r="G143" s="38" t="s">
        <v>1079</v>
      </c>
      <c r="H143" s="38" t="s">
        <v>239</v>
      </c>
      <c r="I143" s="38" t="s">
        <v>239</v>
      </c>
      <c r="J143" s="38" t="s">
        <v>239</v>
      </c>
      <c r="K143" s="38" t="s">
        <v>240</v>
      </c>
      <c r="L143" s="38" t="s">
        <v>252</v>
      </c>
      <c r="M143" s="38" t="s">
        <v>1063</v>
      </c>
      <c r="N143" s="38" t="s">
        <v>242</v>
      </c>
      <c r="O143" s="38" t="s">
        <v>335</v>
      </c>
      <c r="P143" s="43" t="s">
        <v>1697</v>
      </c>
      <c r="Q143" s="43"/>
      <c r="R143" s="38" t="s">
        <v>255</v>
      </c>
      <c r="S143" s="44" t="s">
        <v>1044</v>
      </c>
    </row>
    <row r="144" spans="1:19" ht="43.2" x14ac:dyDescent="0.3">
      <c r="A144" s="37" t="s">
        <v>1698</v>
      </c>
      <c r="B144" s="37" t="s">
        <v>1695</v>
      </c>
      <c r="C144" s="37" t="s">
        <v>241</v>
      </c>
      <c r="D144" s="37" t="s">
        <v>1267</v>
      </c>
      <c r="E144" s="39">
        <v>950</v>
      </c>
      <c r="F144" s="37" t="s">
        <v>1061</v>
      </c>
      <c r="G144" s="37" t="s">
        <v>1135</v>
      </c>
      <c r="H144" s="37" t="s">
        <v>239</v>
      </c>
      <c r="I144" s="37" t="s">
        <v>239</v>
      </c>
      <c r="J144" s="37" t="s">
        <v>239</v>
      </c>
      <c r="K144" s="37" t="s">
        <v>240</v>
      </c>
      <c r="L144" s="37" t="s">
        <v>252</v>
      </c>
      <c r="M144" s="37" t="s">
        <v>1063</v>
      </c>
      <c r="N144" s="37" t="s">
        <v>242</v>
      </c>
      <c r="O144" s="37" t="s">
        <v>335</v>
      </c>
      <c r="P144" s="40" t="s">
        <v>1697</v>
      </c>
      <c r="Q144" s="40"/>
      <c r="R144" s="37" t="s">
        <v>255</v>
      </c>
      <c r="S144" s="41" t="s">
        <v>1044</v>
      </c>
    </row>
    <row r="145" spans="1:19" x14ac:dyDescent="0.3">
      <c r="A145" s="38" t="s">
        <v>1699</v>
      </c>
      <c r="B145" s="38" t="s">
        <v>1700</v>
      </c>
      <c r="C145" s="38" t="s">
        <v>241</v>
      </c>
      <c r="D145" s="38" t="s">
        <v>1536</v>
      </c>
      <c r="E145" s="42">
        <v>1300</v>
      </c>
      <c r="F145" s="38" t="s">
        <v>1061</v>
      </c>
      <c r="G145" s="38" t="s">
        <v>1079</v>
      </c>
      <c r="H145" s="38" t="s">
        <v>239</v>
      </c>
      <c r="I145" s="38" t="s">
        <v>239</v>
      </c>
      <c r="J145" s="38" t="s">
        <v>239</v>
      </c>
      <c r="K145" s="38" t="s">
        <v>240</v>
      </c>
      <c r="L145" s="38" t="s">
        <v>252</v>
      </c>
      <c r="M145" s="38" t="s">
        <v>1063</v>
      </c>
      <c r="N145" s="38" t="s">
        <v>242</v>
      </c>
      <c r="O145" s="38" t="s">
        <v>335</v>
      </c>
      <c r="P145" s="43" t="s">
        <v>1701</v>
      </c>
      <c r="Q145" s="43"/>
      <c r="R145" s="38" t="s">
        <v>255</v>
      </c>
      <c r="S145" s="44" t="s">
        <v>1044</v>
      </c>
    </row>
    <row r="146" spans="1:19" x14ac:dyDescent="0.3">
      <c r="A146" s="37" t="s">
        <v>1702</v>
      </c>
      <c r="B146" s="37" t="s">
        <v>1703</v>
      </c>
      <c r="C146" s="37" t="s">
        <v>241</v>
      </c>
      <c r="D146" s="37" t="s">
        <v>1357</v>
      </c>
      <c r="E146" s="39">
        <v>3900</v>
      </c>
      <c r="F146" s="37" t="s">
        <v>1061</v>
      </c>
      <c r="G146" s="37" t="s">
        <v>1079</v>
      </c>
      <c r="H146" s="37" t="s">
        <v>239</v>
      </c>
      <c r="I146" s="37" t="s">
        <v>239</v>
      </c>
      <c r="J146" s="37" t="s">
        <v>239</v>
      </c>
      <c r="K146" s="37" t="s">
        <v>240</v>
      </c>
      <c r="L146" s="37" t="s">
        <v>252</v>
      </c>
      <c r="M146" s="37" t="s">
        <v>1063</v>
      </c>
      <c r="N146" s="37" t="s">
        <v>242</v>
      </c>
      <c r="O146" s="37" t="s">
        <v>335</v>
      </c>
      <c r="P146" s="40" t="s">
        <v>1704</v>
      </c>
      <c r="Q146" s="40"/>
      <c r="R146" s="37" t="s">
        <v>255</v>
      </c>
      <c r="S146" s="41" t="s">
        <v>1044</v>
      </c>
    </row>
    <row r="147" spans="1:19" x14ac:dyDescent="0.3">
      <c r="A147" s="38" t="s">
        <v>1705</v>
      </c>
      <c r="B147" s="38" t="s">
        <v>1706</v>
      </c>
      <c r="C147" s="38" t="s">
        <v>306</v>
      </c>
      <c r="D147" s="38" t="s">
        <v>1707</v>
      </c>
      <c r="E147" s="42">
        <v>630</v>
      </c>
      <c r="F147" s="38" t="s">
        <v>1042</v>
      </c>
      <c r="G147" s="38" t="s">
        <v>1368</v>
      </c>
      <c r="H147" s="38" t="s">
        <v>1369</v>
      </c>
      <c r="I147" s="38" t="s">
        <v>1369</v>
      </c>
      <c r="J147" s="38" t="s">
        <v>360</v>
      </c>
      <c r="K147" s="38" t="s">
        <v>282</v>
      </c>
      <c r="L147" s="38" t="s">
        <v>1501</v>
      </c>
      <c r="M147" s="38" t="s">
        <v>1012</v>
      </c>
      <c r="N147" s="38" t="s">
        <v>242</v>
      </c>
      <c r="O147" s="38" t="s">
        <v>335</v>
      </c>
      <c r="P147" s="43" t="s">
        <v>1708</v>
      </c>
      <c r="Q147" s="43" t="s">
        <v>1709</v>
      </c>
      <c r="R147" s="38" t="s">
        <v>255</v>
      </c>
      <c r="S147" s="44" t="s">
        <v>1044</v>
      </c>
    </row>
    <row r="148" spans="1:19" x14ac:dyDescent="0.3">
      <c r="A148" s="37" t="s">
        <v>1710</v>
      </c>
      <c r="B148" s="37" t="s">
        <v>1711</v>
      </c>
      <c r="C148" s="37" t="s">
        <v>306</v>
      </c>
      <c r="D148" s="37" t="s">
        <v>1536</v>
      </c>
      <c r="E148" s="39">
        <v>1300</v>
      </c>
      <c r="F148" s="37" t="s">
        <v>1042</v>
      </c>
      <c r="G148" s="37" t="s">
        <v>1368</v>
      </c>
      <c r="H148" s="37" t="s">
        <v>1369</v>
      </c>
      <c r="I148" s="37" t="s">
        <v>1369</v>
      </c>
      <c r="J148" s="37" t="s">
        <v>360</v>
      </c>
      <c r="K148" s="37" t="s">
        <v>282</v>
      </c>
      <c r="L148" s="37" t="s">
        <v>1501</v>
      </c>
      <c r="M148" s="37" t="s">
        <v>1012</v>
      </c>
      <c r="N148" s="37" t="s">
        <v>242</v>
      </c>
      <c r="O148" s="37" t="s">
        <v>335</v>
      </c>
      <c r="P148" s="40" t="s">
        <v>1712</v>
      </c>
      <c r="Q148" s="40" t="s">
        <v>1713</v>
      </c>
      <c r="R148" s="37" t="s">
        <v>255</v>
      </c>
      <c r="S148" s="41" t="s">
        <v>1044</v>
      </c>
    </row>
    <row r="149" spans="1:19" ht="43.2" x14ac:dyDescent="0.3">
      <c r="A149" s="45" t="s">
        <v>1714</v>
      </c>
      <c r="B149" s="45" t="s">
        <v>1715</v>
      </c>
      <c r="C149" s="45" t="s">
        <v>402</v>
      </c>
      <c r="D149" s="45" t="s">
        <v>1716</v>
      </c>
      <c r="E149" s="46">
        <v>0.05</v>
      </c>
      <c r="F149" s="45" t="s">
        <v>402</v>
      </c>
      <c r="G149" s="45" t="s">
        <v>402</v>
      </c>
      <c r="H149" s="45" t="s">
        <v>402</v>
      </c>
      <c r="I149" s="45" t="s">
        <v>402</v>
      </c>
      <c r="J149" s="45" t="s">
        <v>422</v>
      </c>
      <c r="K149" s="45" t="s">
        <v>387</v>
      </c>
      <c r="L149" s="45" t="s">
        <v>1717</v>
      </c>
      <c r="M149" s="45" t="s">
        <v>1214</v>
      </c>
      <c r="N149" s="45" t="s">
        <v>322</v>
      </c>
      <c r="O149" s="45" t="s">
        <v>335</v>
      </c>
      <c r="P149" s="47" t="s">
        <v>1718</v>
      </c>
      <c r="Q149" s="47"/>
      <c r="R149" s="45" t="s">
        <v>245</v>
      </c>
      <c r="S149" s="48" t="s">
        <v>1719</v>
      </c>
    </row>
    <row r="150" spans="1:19" x14ac:dyDescent="0.3">
      <c r="A150" s="37" t="s">
        <v>1720</v>
      </c>
      <c r="B150" s="37" t="s">
        <v>1721</v>
      </c>
      <c r="C150" s="37" t="s">
        <v>362</v>
      </c>
      <c r="D150" s="37" t="s">
        <v>1722</v>
      </c>
      <c r="E150" s="39">
        <v>900</v>
      </c>
      <c r="F150" s="37" t="s">
        <v>1061</v>
      </c>
      <c r="G150" s="37" t="s">
        <v>1723</v>
      </c>
      <c r="H150" s="37" t="s">
        <v>1724</v>
      </c>
      <c r="I150" s="37" t="s">
        <v>1724</v>
      </c>
      <c r="J150" s="37" t="s">
        <v>409</v>
      </c>
      <c r="K150" s="37" t="s">
        <v>240</v>
      </c>
      <c r="L150" s="37" t="s">
        <v>1725</v>
      </c>
      <c r="M150" s="37" t="s">
        <v>1063</v>
      </c>
      <c r="N150" s="37" t="s">
        <v>242</v>
      </c>
      <c r="O150" s="37" t="s">
        <v>335</v>
      </c>
      <c r="P150" s="40" t="s">
        <v>1726</v>
      </c>
      <c r="Q150" s="40"/>
      <c r="R150" s="37" t="s">
        <v>255</v>
      </c>
      <c r="S150" s="41" t="s">
        <v>1044</v>
      </c>
    </row>
    <row r="151" spans="1:19" ht="28.8" x14ac:dyDescent="0.3">
      <c r="A151" s="38" t="s">
        <v>1727</v>
      </c>
      <c r="B151" s="38" t="s">
        <v>1728</v>
      </c>
      <c r="C151" s="38" t="s">
        <v>362</v>
      </c>
      <c r="D151" s="38" t="s">
        <v>1722</v>
      </c>
      <c r="E151" s="42">
        <v>900</v>
      </c>
      <c r="F151" s="38" t="s">
        <v>1061</v>
      </c>
      <c r="G151" s="38" t="s">
        <v>1055</v>
      </c>
      <c r="H151" s="38" t="s">
        <v>239</v>
      </c>
      <c r="I151" s="38" t="s">
        <v>239</v>
      </c>
      <c r="J151" s="38" t="s">
        <v>239</v>
      </c>
      <c r="K151" s="38" t="s">
        <v>240</v>
      </c>
      <c r="L151" s="38" t="s">
        <v>1244</v>
      </c>
      <c r="M151" s="38" t="s">
        <v>1063</v>
      </c>
      <c r="N151" s="38" t="s">
        <v>242</v>
      </c>
      <c r="O151" s="38" t="s">
        <v>335</v>
      </c>
      <c r="P151" s="43" t="s">
        <v>1729</v>
      </c>
      <c r="Q151" s="43"/>
      <c r="R151" s="38" t="s">
        <v>255</v>
      </c>
      <c r="S151" s="44" t="s">
        <v>1044</v>
      </c>
    </row>
    <row r="152" spans="1:19" ht="28.8" x14ac:dyDescent="0.3">
      <c r="A152" s="37" t="s">
        <v>1730</v>
      </c>
      <c r="B152" s="37" t="s">
        <v>1731</v>
      </c>
      <c r="C152" s="37" t="s">
        <v>1103</v>
      </c>
      <c r="D152" s="37" t="s">
        <v>1352</v>
      </c>
      <c r="E152" s="39">
        <v>400</v>
      </c>
      <c r="F152" s="37" t="s">
        <v>1061</v>
      </c>
      <c r="G152" s="37" t="s">
        <v>386</v>
      </c>
      <c r="H152" s="37" t="s">
        <v>386</v>
      </c>
      <c r="I152" s="37" t="s">
        <v>386</v>
      </c>
      <c r="J152" s="37" t="s">
        <v>386</v>
      </c>
      <c r="K152" s="37" t="s">
        <v>240</v>
      </c>
      <c r="L152" s="37" t="s">
        <v>1469</v>
      </c>
      <c r="M152" s="37" t="s">
        <v>1063</v>
      </c>
      <c r="N152" s="37" t="s">
        <v>242</v>
      </c>
      <c r="O152" s="37" t="s">
        <v>335</v>
      </c>
      <c r="P152" s="40" t="s">
        <v>1732</v>
      </c>
      <c r="Q152" s="40"/>
      <c r="R152" s="37" t="s">
        <v>255</v>
      </c>
      <c r="S152" s="41" t="s">
        <v>1044</v>
      </c>
    </row>
    <row r="153" spans="1:19" x14ac:dyDescent="0.3">
      <c r="A153" s="38" t="s">
        <v>1733</v>
      </c>
      <c r="B153" s="38" t="s">
        <v>1734</v>
      </c>
      <c r="C153" s="38" t="s">
        <v>1103</v>
      </c>
      <c r="D153" s="38" t="s">
        <v>1735</v>
      </c>
      <c r="E153" s="42">
        <v>220</v>
      </c>
      <c r="F153" s="38" t="s">
        <v>1061</v>
      </c>
      <c r="G153" s="38" t="s">
        <v>1047</v>
      </c>
      <c r="H153" s="38" t="s">
        <v>1048</v>
      </c>
      <c r="I153" s="38" t="s">
        <v>1048</v>
      </c>
      <c r="J153" s="38" t="s">
        <v>281</v>
      </c>
      <c r="K153" s="38" t="s">
        <v>240</v>
      </c>
      <c r="L153" s="38" t="s">
        <v>1290</v>
      </c>
      <c r="M153" s="38" t="s">
        <v>1063</v>
      </c>
      <c r="N153" s="38" t="s">
        <v>242</v>
      </c>
      <c r="O153" s="38" t="s">
        <v>335</v>
      </c>
      <c r="P153" s="43" t="s">
        <v>1736</v>
      </c>
      <c r="Q153" s="43"/>
      <c r="R153" s="38" t="s">
        <v>255</v>
      </c>
      <c r="S153" s="44" t="s">
        <v>1044</v>
      </c>
    </row>
    <row r="154" spans="1:19" ht="28.8" x14ac:dyDescent="0.3">
      <c r="A154" s="37" t="s">
        <v>1737</v>
      </c>
      <c r="B154" s="37" t="s">
        <v>1738</v>
      </c>
      <c r="C154" s="37" t="s">
        <v>306</v>
      </c>
      <c r="D154" s="37" t="s">
        <v>1117</v>
      </c>
      <c r="E154" s="39">
        <v>15000</v>
      </c>
      <c r="F154" s="37" t="s">
        <v>1061</v>
      </c>
      <c r="G154" s="37" t="s">
        <v>1251</v>
      </c>
      <c r="H154" s="37" t="s">
        <v>1251</v>
      </c>
      <c r="I154" s="37" t="s">
        <v>1251</v>
      </c>
      <c r="J154" s="37" t="s">
        <v>415</v>
      </c>
      <c r="K154" s="37" t="s">
        <v>240</v>
      </c>
      <c r="L154" s="37" t="s">
        <v>1739</v>
      </c>
      <c r="M154" s="37" t="s">
        <v>1063</v>
      </c>
      <c r="N154" s="37" t="s">
        <v>242</v>
      </c>
      <c r="O154" s="37" t="s">
        <v>335</v>
      </c>
      <c r="P154" s="40" t="s">
        <v>1740</v>
      </c>
      <c r="Q154" s="40"/>
      <c r="R154" s="37" t="s">
        <v>255</v>
      </c>
      <c r="S154" s="41" t="s">
        <v>1254</v>
      </c>
    </row>
    <row r="155" spans="1:19" x14ac:dyDescent="0.3">
      <c r="A155" s="38" t="s">
        <v>1741</v>
      </c>
      <c r="B155" s="38" t="s">
        <v>1742</v>
      </c>
      <c r="C155" s="38" t="s">
        <v>388</v>
      </c>
      <c r="D155" s="38" t="s">
        <v>1743</v>
      </c>
      <c r="E155" s="42">
        <v>26400</v>
      </c>
      <c r="F155" s="38" t="s">
        <v>1061</v>
      </c>
      <c r="G155" s="38" t="s">
        <v>1055</v>
      </c>
      <c r="H155" s="38" t="s">
        <v>239</v>
      </c>
      <c r="I155" s="38" t="s">
        <v>239</v>
      </c>
      <c r="J155" s="38" t="s">
        <v>239</v>
      </c>
      <c r="K155" s="38" t="s">
        <v>240</v>
      </c>
      <c r="L155" s="38" t="s">
        <v>1056</v>
      </c>
      <c r="M155" s="38" t="s">
        <v>1063</v>
      </c>
      <c r="N155" s="38" t="s">
        <v>242</v>
      </c>
      <c r="O155" s="38" t="s">
        <v>335</v>
      </c>
      <c r="P155" s="43" t="s">
        <v>1744</v>
      </c>
      <c r="Q155" s="43"/>
      <c r="R155" s="38" t="s">
        <v>255</v>
      </c>
      <c r="S155" s="44" t="s">
        <v>1044</v>
      </c>
    </row>
    <row r="156" spans="1:19" ht="28.8" x14ac:dyDescent="0.3">
      <c r="A156" s="37" t="s">
        <v>1745</v>
      </c>
      <c r="B156" s="37" t="s">
        <v>1746</v>
      </c>
      <c r="C156" s="37" t="s">
        <v>241</v>
      </c>
      <c r="D156" s="37" t="s">
        <v>1060</v>
      </c>
      <c r="E156" s="39">
        <v>250</v>
      </c>
      <c r="F156" s="37" t="s">
        <v>1061</v>
      </c>
      <c r="G156" s="37" t="s">
        <v>1055</v>
      </c>
      <c r="H156" s="37" t="s">
        <v>239</v>
      </c>
      <c r="I156" s="37" t="s">
        <v>239</v>
      </c>
      <c r="J156" s="37" t="s">
        <v>239</v>
      </c>
      <c r="K156" s="37" t="s">
        <v>240</v>
      </c>
      <c r="L156" s="37" t="s">
        <v>1056</v>
      </c>
      <c r="M156" s="37" t="s">
        <v>1063</v>
      </c>
      <c r="N156" s="37" t="s">
        <v>242</v>
      </c>
      <c r="O156" s="37" t="s">
        <v>335</v>
      </c>
      <c r="P156" s="40" t="s">
        <v>1747</v>
      </c>
      <c r="Q156" s="40"/>
      <c r="R156" s="37" t="s">
        <v>255</v>
      </c>
      <c r="S156" s="41" t="s">
        <v>1044</v>
      </c>
    </row>
    <row r="157" spans="1:19" ht="28.8" x14ac:dyDescent="0.3">
      <c r="A157" s="38" t="s">
        <v>1748</v>
      </c>
      <c r="B157" s="38" t="s">
        <v>1749</v>
      </c>
      <c r="C157" s="38" t="s">
        <v>306</v>
      </c>
      <c r="D157" s="38" t="s">
        <v>1750</v>
      </c>
      <c r="E157" s="42">
        <v>2150</v>
      </c>
      <c r="F157" s="38" t="s">
        <v>1042</v>
      </c>
      <c r="G157" s="38" t="s">
        <v>386</v>
      </c>
      <c r="H157" s="38" t="s">
        <v>386</v>
      </c>
      <c r="I157" s="38" t="s">
        <v>386</v>
      </c>
      <c r="J157" s="38" t="s">
        <v>386</v>
      </c>
      <c r="K157" s="38" t="s">
        <v>282</v>
      </c>
      <c r="L157" s="38" t="s">
        <v>1130</v>
      </c>
      <c r="M157" s="38" t="s">
        <v>1012</v>
      </c>
      <c r="N157" s="38" t="s">
        <v>242</v>
      </c>
      <c r="O157" s="38" t="s">
        <v>335</v>
      </c>
      <c r="P157" s="43" t="s">
        <v>1751</v>
      </c>
      <c r="Q157" s="43" t="s">
        <v>1752</v>
      </c>
      <c r="R157" s="38" t="s">
        <v>255</v>
      </c>
      <c r="S157" s="44" t="s">
        <v>1044</v>
      </c>
    </row>
    <row r="158" spans="1:19" x14ac:dyDescent="0.3">
      <c r="A158" s="37" t="s">
        <v>1753</v>
      </c>
      <c r="B158" s="37" t="s">
        <v>1754</v>
      </c>
      <c r="C158" s="37" t="s">
        <v>362</v>
      </c>
      <c r="D158" s="37" t="s">
        <v>1755</v>
      </c>
      <c r="E158" s="39">
        <v>3100</v>
      </c>
      <c r="F158" s="37" t="s">
        <v>1042</v>
      </c>
      <c r="G158" s="37" t="s">
        <v>1079</v>
      </c>
      <c r="H158" s="37" t="s">
        <v>239</v>
      </c>
      <c r="I158" s="37" t="s">
        <v>239</v>
      </c>
      <c r="J158" s="37" t="s">
        <v>239</v>
      </c>
      <c r="K158" s="37" t="s">
        <v>282</v>
      </c>
      <c r="L158" s="37" t="s">
        <v>522</v>
      </c>
      <c r="M158" s="37" t="s">
        <v>1012</v>
      </c>
      <c r="N158" s="37" t="s">
        <v>242</v>
      </c>
      <c r="O158" s="37" t="s">
        <v>335</v>
      </c>
      <c r="P158" s="40" t="s">
        <v>1756</v>
      </c>
      <c r="Q158" s="40" t="s">
        <v>1757</v>
      </c>
      <c r="R158" s="37" t="s">
        <v>255</v>
      </c>
      <c r="S158" s="41" t="s">
        <v>1044</v>
      </c>
    </row>
    <row r="159" spans="1:19" ht="43.2" x14ac:dyDescent="0.3">
      <c r="A159" s="38" t="s">
        <v>1758</v>
      </c>
      <c r="B159" s="38" t="s">
        <v>1759</v>
      </c>
      <c r="C159" s="38" t="s">
        <v>362</v>
      </c>
      <c r="D159" s="38" t="s">
        <v>1367</v>
      </c>
      <c r="E159" s="42">
        <v>1500</v>
      </c>
      <c r="F159" s="38" t="s">
        <v>1042</v>
      </c>
      <c r="G159" s="38" t="s">
        <v>1135</v>
      </c>
      <c r="H159" s="38" t="s">
        <v>239</v>
      </c>
      <c r="I159" s="38" t="s">
        <v>239</v>
      </c>
      <c r="J159" s="38" t="s">
        <v>239</v>
      </c>
      <c r="K159" s="38" t="s">
        <v>282</v>
      </c>
      <c r="L159" s="38" t="s">
        <v>522</v>
      </c>
      <c r="M159" s="38" t="s">
        <v>1012</v>
      </c>
      <c r="N159" s="38" t="s">
        <v>242</v>
      </c>
      <c r="O159" s="38" t="s">
        <v>335</v>
      </c>
      <c r="P159" s="43" t="s">
        <v>1760</v>
      </c>
      <c r="Q159" s="43" t="s">
        <v>1761</v>
      </c>
      <c r="R159" s="38" t="s">
        <v>255</v>
      </c>
      <c r="S159" s="44" t="s">
        <v>1044</v>
      </c>
    </row>
    <row r="160" spans="1:19" x14ac:dyDescent="0.3">
      <c r="A160" s="37" t="s">
        <v>1762</v>
      </c>
      <c r="B160" s="37" t="s">
        <v>1763</v>
      </c>
      <c r="C160" s="37" t="s">
        <v>306</v>
      </c>
      <c r="D160" s="37" t="s">
        <v>1641</v>
      </c>
      <c r="E160" s="39">
        <v>450</v>
      </c>
      <c r="F160" s="37" t="s">
        <v>1042</v>
      </c>
      <c r="G160" s="37" t="s">
        <v>1086</v>
      </c>
      <c r="H160" s="37" t="s">
        <v>1086</v>
      </c>
      <c r="I160" s="37" t="s">
        <v>1086</v>
      </c>
      <c r="J160" s="37" t="s">
        <v>320</v>
      </c>
      <c r="K160" s="37" t="s">
        <v>282</v>
      </c>
      <c r="L160" s="37" t="s">
        <v>1316</v>
      </c>
      <c r="M160" s="37" t="s">
        <v>1012</v>
      </c>
      <c r="N160" s="37" t="s">
        <v>242</v>
      </c>
      <c r="O160" s="37" t="s">
        <v>335</v>
      </c>
      <c r="P160" s="40" t="s">
        <v>1764</v>
      </c>
      <c r="Q160" s="40" t="s">
        <v>1765</v>
      </c>
      <c r="R160" s="37" t="s">
        <v>255</v>
      </c>
      <c r="S160" s="41" t="s">
        <v>1044</v>
      </c>
    </row>
    <row r="161" spans="1:19" ht="43.2" x14ac:dyDescent="0.3">
      <c r="A161" s="38" t="s">
        <v>1766</v>
      </c>
      <c r="B161" s="38" t="s">
        <v>1767</v>
      </c>
      <c r="C161" s="38" t="s">
        <v>241</v>
      </c>
      <c r="D161" s="38" t="s">
        <v>1352</v>
      </c>
      <c r="E161" s="42">
        <v>400</v>
      </c>
      <c r="F161" s="38" t="s">
        <v>1061</v>
      </c>
      <c r="G161" s="38" t="s">
        <v>1200</v>
      </c>
      <c r="H161" s="38" t="s">
        <v>1200</v>
      </c>
      <c r="I161" s="38" t="s">
        <v>1200</v>
      </c>
      <c r="J161" s="38" t="s">
        <v>399</v>
      </c>
      <c r="K161" s="38" t="s">
        <v>240</v>
      </c>
      <c r="L161" s="38" t="s">
        <v>1012</v>
      </c>
      <c r="M161" s="38" t="s">
        <v>1063</v>
      </c>
      <c r="N161" s="38" t="s">
        <v>242</v>
      </c>
      <c r="O161" s="38" t="s">
        <v>335</v>
      </c>
      <c r="P161" s="43" t="s">
        <v>1768</v>
      </c>
      <c r="Q161" s="43"/>
      <c r="R161" s="38" t="s">
        <v>255</v>
      </c>
      <c r="S161" s="44" t="s">
        <v>1044</v>
      </c>
    </row>
    <row r="162" spans="1:19" ht="43.2" x14ac:dyDescent="0.3">
      <c r="A162" s="37" t="s">
        <v>1769</v>
      </c>
      <c r="B162" s="37" t="s">
        <v>1770</v>
      </c>
      <c r="C162" s="37" t="s">
        <v>241</v>
      </c>
      <c r="D162" s="37" t="s">
        <v>1771</v>
      </c>
      <c r="E162" s="39">
        <v>470</v>
      </c>
      <c r="F162" s="37" t="s">
        <v>1061</v>
      </c>
      <c r="G162" s="37" t="s">
        <v>1047</v>
      </c>
      <c r="H162" s="37" t="s">
        <v>1048</v>
      </c>
      <c r="I162" s="37" t="s">
        <v>1048</v>
      </c>
      <c r="J162" s="37" t="s">
        <v>281</v>
      </c>
      <c r="K162" s="37" t="s">
        <v>240</v>
      </c>
      <c r="L162" s="37" t="s">
        <v>447</v>
      </c>
      <c r="M162" s="37" t="s">
        <v>1063</v>
      </c>
      <c r="N162" s="37" t="s">
        <v>242</v>
      </c>
      <c r="O162" s="37" t="s">
        <v>335</v>
      </c>
      <c r="P162" s="40" t="s">
        <v>1772</v>
      </c>
      <c r="Q162" s="40"/>
      <c r="R162" s="37" t="s">
        <v>255</v>
      </c>
      <c r="S162" s="41" t="s">
        <v>1044</v>
      </c>
    </row>
    <row r="163" spans="1:19" x14ac:dyDescent="0.3">
      <c r="A163" s="38" t="s">
        <v>1773</v>
      </c>
      <c r="B163" s="38" t="s">
        <v>1774</v>
      </c>
      <c r="C163" s="38" t="s">
        <v>362</v>
      </c>
      <c r="D163" s="38" t="s">
        <v>1722</v>
      </c>
      <c r="E163" s="42">
        <v>900</v>
      </c>
      <c r="F163" s="38" t="s">
        <v>1061</v>
      </c>
      <c r="G163" s="38" t="s">
        <v>1086</v>
      </c>
      <c r="H163" s="38" t="s">
        <v>239</v>
      </c>
      <c r="I163" s="38" t="s">
        <v>239</v>
      </c>
      <c r="J163" s="38" t="s">
        <v>239</v>
      </c>
      <c r="K163" s="38" t="s">
        <v>240</v>
      </c>
      <c r="L163" s="38" t="s">
        <v>1244</v>
      </c>
      <c r="M163" s="38" t="s">
        <v>1063</v>
      </c>
      <c r="N163" s="38" t="s">
        <v>242</v>
      </c>
      <c r="O163" s="38" t="s">
        <v>335</v>
      </c>
      <c r="P163" s="43" t="s">
        <v>1775</v>
      </c>
      <c r="Q163" s="43"/>
      <c r="R163" s="38" t="s">
        <v>255</v>
      </c>
      <c r="S163" s="44" t="s">
        <v>1044</v>
      </c>
    </row>
    <row r="164" spans="1:19" x14ac:dyDescent="0.3">
      <c r="A164" s="37" t="s">
        <v>1776</v>
      </c>
      <c r="B164" s="37" t="s">
        <v>1777</v>
      </c>
      <c r="C164" s="37" t="s">
        <v>362</v>
      </c>
      <c r="D164" s="37" t="s">
        <v>1778</v>
      </c>
      <c r="E164" s="39">
        <v>600</v>
      </c>
      <c r="F164" s="37" t="s">
        <v>1061</v>
      </c>
      <c r="G164" s="37" t="s">
        <v>1086</v>
      </c>
      <c r="H164" s="37" t="s">
        <v>239</v>
      </c>
      <c r="I164" s="37" t="s">
        <v>239</v>
      </c>
      <c r="J164" s="37" t="s">
        <v>239</v>
      </c>
      <c r="K164" s="37" t="s">
        <v>240</v>
      </c>
      <c r="L164" s="37" t="s">
        <v>1244</v>
      </c>
      <c r="M164" s="37" t="s">
        <v>1063</v>
      </c>
      <c r="N164" s="37" t="s">
        <v>242</v>
      </c>
      <c r="O164" s="37" t="s">
        <v>335</v>
      </c>
      <c r="P164" s="40" t="s">
        <v>1779</v>
      </c>
      <c r="Q164" s="40"/>
      <c r="R164" s="37" t="s">
        <v>255</v>
      </c>
      <c r="S164" s="41" t="s">
        <v>1044</v>
      </c>
    </row>
    <row r="165" spans="1:19" x14ac:dyDescent="0.3">
      <c r="A165" s="38" t="s">
        <v>1780</v>
      </c>
      <c r="B165" s="38" t="s">
        <v>1781</v>
      </c>
      <c r="C165" s="38" t="s">
        <v>362</v>
      </c>
      <c r="D165" s="38" t="s">
        <v>1085</v>
      </c>
      <c r="E165" s="42">
        <v>800</v>
      </c>
      <c r="F165" s="38" t="s">
        <v>1061</v>
      </c>
      <c r="G165" s="38" t="s">
        <v>1086</v>
      </c>
      <c r="H165" s="38" t="s">
        <v>239</v>
      </c>
      <c r="I165" s="38" t="s">
        <v>239</v>
      </c>
      <c r="J165" s="38" t="s">
        <v>239</v>
      </c>
      <c r="K165" s="38" t="s">
        <v>240</v>
      </c>
      <c r="L165" s="38" t="s">
        <v>522</v>
      </c>
      <c r="M165" s="38" t="s">
        <v>1063</v>
      </c>
      <c r="N165" s="38" t="s">
        <v>242</v>
      </c>
      <c r="O165" s="38" t="s">
        <v>335</v>
      </c>
      <c r="P165" s="43" t="s">
        <v>1782</v>
      </c>
      <c r="Q165" s="43"/>
      <c r="R165" s="38" t="s">
        <v>255</v>
      </c>
      <c r="S165" s="44" t="s">
        <v>1044</v>
      </c>
    </row>
    <row r="166" spans="1:19" ht="43.2" x14ac:dyDescent="0.3">
      <c r="A166" s="37" t="s">
        <v>1783</v>
      </c>
      <c r="B166" s="37" t="s">
        <v>1784</v>
      </c>
      <c r="C166" s="37" t="s">
        <v>306</v>
      </c>
      <c r="D166" s="37" t="s">
        <v>1675</v>
      </c>
      <c r="E166" s="39">
        <v>2700</v>
      </c>
      <c r="F166" s="37" t="s">
        <v>1042</v>
      </c>
      <c r="G166" s="37" t="s">
        <v>1368</v>
      </c>
      <c r="H166" s="37" t="s">
        <v>1369</v>
      </c>
      <c r="I166" s="37" t="s">
        <v>1369</v>
      </c>
      <c r="J166" s="37" t="s">
        <v>360</v>
      </c>
      <c r="K166" s="37" t="s">
        <v>282</v>
      </c>
      <c r="L166" s="37" t="s">
        <v>1384</v>
      </c>
      <c r="M166" s="37" t="s">
        <v>1012</v>
      </c>
      <c r="N166" s="37" t="s">
        <v>242</v>
      </c>
      <c r="O166" s="37" t="s">
        <v>335</v>
      </c>
      <c r="P166" s="40" t="s">
        <v>1785</v>
      </c>
      <c r="Q166" s="40" t="s">
        <v>1786</v>
      </c>
      <c r="R166" s="37" t="s">
        <v>255</v>
      </c>
      <c r="S166" s="41" t="s">
        <v>1044</v>
      </c>
    </row>
    <row r="167" spans="1:19" x14ac:dyDescent="0.3">
      <c r="A167" s="38" t="s">
        <v>1787</v>
      </c>
      <c r="B167" s="38" t="s">
        <v>1788</v>
      </c>
      <c r="C167" s="38" t="s">
        <v>362</v>
      </c>
      <c r="D167" s="38" t="s">
        <v>1789</v>
      </c>
      <c r="E167" s="42">
        <v>2600</v>
      </c>
      <c r="F167" s="38" t="s">
        <v>1042</v>
      </c>
      <c r="G167" s="38" t="s">
        <v>1047</v>
      </c>
      <c r="H167" s="38" t="s">
        <v>1048</v>
      </c>
      <c r="I167" s="38" t="s">
        <v>1048</v>
      </c>
      <c r="J167" s="38" t="s">
        <v>281</v>
      </c>
      <c r="K167" s="38" t="s">
        <v>282</v>
      </c>
      <c r="L167" s="38" t="s">
        <v>1316</v>
      </c>
      <c r="M167" s="38" t="s">
        <v>1012</v>
      </c>
      <c r="N167" s="38" t="s">
        <v>242</v>
      </c>
      <c r="O167" s="38" t="s">
        <v>335</v>
      </c>
      <c r="P167" s="43" t="s">
        <v>1790</v>
      </c>
      <c r="Q167" s="43" t="s">
        <v>1791</v>
      </c>
      <c r="R167" s="38" t="s">
        <v>255</v>
      </c>
      <c r="S167" s="44" t="s">
        <v>1044</v>
      </c>
    </row>
    <row r="168" spans="1:19" ht="43.2" x14ac:dyDescent="0.3">
      <c r="A168" s="37" t="s">
        <v>1792</v>
      </c>
      <c r="B168" s="37" t="s">
        <v>1793</v>
      </c>
      <c r="C168" s="37" t="s">
        <v>306</v>
      </c>
      <c r="D168" s="37" t="s">
        <v>1794</v>
      </c>
      <c r="E168" s="39">
        <v>399</v>
      </c>
      <c r="F168" s="37" t="s">
        <v>1042</v>
      </c>
      <c r="G168" s="37" t="s">
        <v>1135</v>
      </c>
      <c r="H168" s="37" t="s">
        <v>239</v>
      </c>
      <c r="I168" s="37" t="s">
        <v>239</v>
      </c>
      <c r="J168" s="37" t="s">
        <v>239</v>
      </c>
      <c r="K168" s="37" t="s">
        <v>282</v>
      </c>
      <c r="L168" s="37" t="s">
        <v>522</v>
      </c>
      <c r="M168" s="37" t="s">
        <v>1012</v>
      </c>
      <c r="N168" s="37" t="s">
        <v>242</v>
      </c>
      <c r="O168" s="37" t="s">
        <v>335</v>
      </c>
      <c r="P168" s="40" t="s">
        <v>1795</v>
      </c>
      <c r="Q168" s="40" t="s">
        <v>1796</v>
      </c>
      <c r="R168" s="37" t="s">
        <v>255</v>
      </c>
      <c r="S168" s="41" t="s">
        <v>1044</v>
      </c>
    </row>
    <row r="169" spans="1:19" ht="43.2" x14ac:dyDescent="0.3">
      <c r="A169" s="38" t="s">
        <v>1797</v>
      </c>
      <c r="B169" s="38" t="s">
        <v>1798</v>
      </c>
      <c r="C169" s="38" t="s">
        <v>306</v>
      </c>
      <c r="D169" s="38" t="s">
        <v>1060</v>
      </c>
      <c r="E169" s="42">
        <v>250</v>
      </c>
      <c r="F169" s="38" t="s">
        <v>1042</v>
      </c>
      <c r="G169" s="38" t="s">
        <v>1135</v>
      </c>
      <c r="H169" s="38" t="s">
        <v>239</v>
      </c>
      <c r="I169" s="38" t="s">
        <v>239</v>
      </c>
      <c r="J169" s="38" t="s">
        <v>239</v>
      </c>
      <c r="K169" s="38" t="s">
        <v>282</v>
      </c>
      <c r="L169" s="38" t="s">
        <v>522</v>
      </c>
      <c r="M169" s="38" t="s">
        <v>1012</v>
      </c>
      <c r="N169" s="38" t="s">
        <v>242</v>
      </c>
      <c r="O169" s="38" t="s">
        <v>335</v>
      </c>
      <c r="P169" s="43" t="s">
        <v>1799</v>
      </c>
      <c r="Q169" s="43" t="s">
        <v>1800</v>
      </c>
      <c r="R169" s="38" t="s">
        <v>255</v>
      </c>
      <c r="S169" s="44" t="s">
        <v>1044</v>
      </c>
    </row>
    <row r="170" spans="1:19" x14ac:dyDescent="0.3">
      <c r="A170" s="37" t="s">
        <v>1801</v>
      </c>
      <c r="B170" s="37" t="s">
        <v>1802</v>
      </c>
      <c r="C170" s="37" t="s">
        <v>241</v>
      </c>
      <c r="D170" s="37" t="s">
        <v>1803</v>
      </c>
      <c r="E170" s="39">
        <v>30</v>
      </c>
      <c r="F170" s="37" t="s">
        <v>1042</v>
      </c>
      <c r="G170" s="37" t="s">
        <v>1055</v>
      </c>
      <c r="H170" s="37" t="s">
        <v>239</v>
      </c>
      <c r="I170" s="37" t="s">
        <v>239</v>
      </c>
      <c r="J170" s="37" t="s">
        <v>239</v>
      </c>
      <c r="K170" s="37" t="s">
        <v>282</v>
      </c>
      <c r="L170" s="37" t="s">
        <v>1062</v>
      </c>
      <c r="M170" s="37" t="s">
        <v>1012</v>
      </c>
      <c r="N170" s="37" t="s">
        <v>242</v>
      </c>
      <c r="O170" s="37" t="s">
        <v>335</v>
      </c>
      <c r="P170" s="40" t="s">
        <v>1804</v>
      </c>
      <c r="Q170" s="40" t="s">
        <v>1805</v>
      </c>
      <c r="R170" s="37" t="s">
        <v>255</v>
      </c>
      <c r="S170" s="41" t="s">
        <v>1044</v>
      </c>
    </row>
    <row r="171" spans="1:19" ht="43.2" x14ac:dyDescent="0.3">
      <c r="A171" s="38" t="s">
        <v>1806</v>
      </c>
      <c r="B171" s="38" t="s">
        <v>1807</v>
      </c>
      <c r="C171" s="38" t="s">
        <v>241</v>
      </c>
      <c r="D171" s="38" t="s">
        <v>1160</v>
      </c>
      <c r="E171" s="42">
        <v>2500</v>
      </c>
      <c r="F171" s="38" t="s">
        <v>1042</v>
      </c>
      <c r="G171" s="38" t="s">
        <v>1135</v>
      </c>
      <c r="H171" s="38" t="s">
        <v>239</v>
      </c>
      <c r="I171" s="38" t="s">
        <v>239</v>
      </c>
      <c r="J171" s="38" t="s">
        <v>239</v>
      </c>
      <c r="K171" s="38" t="s">
        <v>282</v>
      </c>
      <c r="L171" s="38" t="s">
        <v>252</v>
      </c>
      <c r="M171" s="38" t="s">
        <v>1012</v>
      </c>
      <c r="N171" s="38" t="s">
        <v>242</v>
      </c>
      <c r="O171" s="38" t="s">
        <v>335</v>
      </c>
      <c r="P171" s="43" t="s">
        <v>1808</v>
      </c>
      <c r="Q171" s="43" t="s">
        <v>1809</v>
      </c>
      <c r="R171" s="38" t="s">
        <v>255</v>
      </c>
      <c r="S171" s="44" t="s">
        <v>1044</v>
      </c>
    </row>
    <row r="172" spans="1:19" ht="28.8" x14ac:dyDescent="0.3">
      <c r="A172" s="37" t="s">
        <v>1810</v>
      </c>
      <c r="B172" s="37" t="s">
        <v>1811</v>
      </c>
      <c r="C172" s="37" t="s">
        <v>241</v>
      </c>
      <c r="D172" s="37" t="s">
        <v>1812</v>
      </c>
      <c r="E172" s="39">
        <v>8500</v>
      </c>
      <c r="F172" s="37" t="s">
        <v>1042</v>
      </c>
      <c r="G172" s="37" t="s">
        <v>1055</v>
      </c>
      <c r="H172" s="37" t="s">
        <v>239</v>
      </c>
      <c r="I172" s="37" t="s">
        <v>239</v>
      </c>
      <c r="J172" s="37" t="s">
        <v>239</v>
      </c>
      <c r="K172" s="37" t="s">
        <v>282</v>
      </c>
      <c r="L172" s="37" t="s">
        <v>252</v>
      </c>
      <c r="M172" s="37" t="s">
        <v>1012</v>
      </c>
      <c r="N172" s="37" t="s">
        <v>242</v>
      </c>
      <c r="O172" s="37" t="s">
        <v>335</v>
      </c>
      <c r="P172" s="40" t="s">
        <v>1813</v>
      </c>
      <c r="Q172" s="40" t="s">
        <v>1814</v>
      </c>
      <c r="R172" s="37" t="s">
        <v>255</v>
      </c>
      <c r="S172" s="41" t="s">
        <v>1044</v>
      </c>
    </row>
    <row r="173" spans="1:19" ht="28.8" x14ac:dyDescent="0.3">
      <c r="A173" s="38" t="s">
        <v>1815</v>
      </c>
      <c r="B173" s="38" t="s">
        <v>1816</v>
      </c>
      <c r="C173" s="38" t="s">
        <v>362</v>
      </c>
      <c r="D173" s="38" t="s">
        <v>1588</v>
      </c>
      <c r="E173" s="42">
        <v>500</v>
      </c>
      <c r="F173" s="38" t="s">
        <v>1061</v>
      </c>
      <c r="G173" s="38" t="s">
        <v>1236</v>
      </c>
      <c r="H173" s="38" t="s">
        <v>1228</v>
      </c>
      <c r="I173" s="38" t="s">
        <v>1228</v>
      </c>
      <c r="J173" s="38" t="s">
        <v>419</v>
      </c>
      <c r="K173" s="38" t="s">
        <v>240</v>
      </c>
      <c r="L173" s="38" t="s">
        <v>1229</v>
      </c>
      <c r="M173" s="38" t="s">
        <v>1071</v>
      </c>
      <c r="N173" s="38" t="s">
        <v>268</v>
      </c>
      <c r="O173" s="38" t="s">
        <v>335</v>
      </c>
      <c r="P173" s="43" t="s">
        <v>1817</v>
      </c>
      <c r="Q173" s="43"/>
      <c r="R173" s="38" t="s">
        <v>255</v>
      </c>
      <c r="S173" s="44" t="s">
        <v>1231</v>
      </c>
    </row>
    <row r="174" spans="1:19" x14ac:dyDescent="0.3">
      <c r="A174" s="37" t="s">
        <v>1818</v>
      </c>
      <c r="B174" s="37" t="s">
        <v>1819</v>
      </c>
      <c r="C174" s="37" t="s">
        <v>241</v>
      </c>
      <c r="D174" s="37" t="s">
        <v>1219</v>
      </c>
      <c r="E174" s="39">
        <v>2000</v>
      </c>
      <c r="F174" s="37" t="s">
        <v>1061</v>
      </c>
      <c r="G174" s="37" t="s">
        <v>1118</v>
      </c>
      <c r="H174" s="37" t="s">
        <v>1119</v>
      </c>
      <c r="I174" s="37" t="s">
        <v>1119</v>
      </c>
      <c r="J174" s="37" t="s">
        <v>405</v>
      </c>
      <c r="K174" s="37" t="s">
        <v>240</v>
      </c>
      <c r="L174" s="37" t="s">
        <v>522</v>
      </c>
      <c r="M174" s="37" t="s">
        <v>1063</v>
      </c>
      <c r="N174" s="37" t="s">
        <v>242</v>
      </c>
      <c r="O174" s="37" t="s">
        <v>335</v>
      </c>
      <c r="P174" s="40" t="s">
        <v>1820</v>
      </c>
      <c r="Q174" s="40"/>
      <c r="R174" s="37" t="s">
        <v>255</v>
      </c>
      <c r="S174" s="41" t="s">
        <v>1044</v>
      </c>
    </row>
    <row r="175" spans="1:19" x14ac:dyDescent="0.3">
      <c r="A175" s="38" t="s">
        <v>1821</v>
      </c>
      <c r="B175" s="38" t="s">
        <v>1822</v>
      </c>
      <c r="C175" s="38" t="s">
        <v>1103</v>
      </c>
      <c r="D175" s="38" t="s">
        <v>1054</v>
      </c>
      <c r="E175" s="42">
        <v>580</v>
      </c>
      <c r="F175" s="38" t="s">
        <v>1061</v>
      </c>
      <c r="G175" s="38" t="s">
        <v>1055</v>
      </c>
      <c r="H175" s="38" t="s">
        <v>239</v>
      </c>
      <c r="I175" s="38" t="s">
        <v>239</v>
      </c>
      <c r="J175" s="38" t="s">
        <v>239</v>
      </c>
      <c r="K175" s="38" t="s">
        <v>240</v>
      </c>
      <c r="L175" s="38" t="s">
        <v>1113</v>
      </c>
      <c r="M175" s="38" t="s">
        <v>1063</v>
      </c>
      <c r="N175" s="38" t="s">
        <v>242</v>
      </c>
      <c r="O175" s="38" t="s">
        <v>335</v>
      </c>
      <c r="P175" s="43" t="s">
        <v>1823</v>
      </c>
      <c r="Q175" s="43"/>
      <c r="R175" s="38" t="s">
        <v>255</v>
      </c>
      <c r="S175" s="44" t="s">
        <v>1044</v>
      </c>
    </row>
    <row r="176" spans="1:19" x14ac:dyDescent="0.3">
      <c r="A176" s="37" t="s">
        <v>1824</v>
      </c>
      <c r="B176" s="37" t="s">
        <v>1825</v>
      </c>
      <c r="C176" s="37" t="s">
        <v>1103</v>
      </c>
      <c r="D176" s="37" t="s">
        <v>1826</v>
      </c>
      <c r="E176" s="39">
        <v>700</v>
      </c>
      <c r="F176" s="37" t="s">
        <v>1061</v>
      </c>
      <c r="G176" s="37" t="s">
        <v>1079</v>
      </c>
      <c r="H176" s="37" t="s">
        <v>239</v>
      </c>
      <c r="I176" s="37" t="s">
        <v>239</v>
      </c>
      <c r="J176" s="37" t="s">
        <v>239</v>
      </c>
      <c r="K176" s="37" t="s">
        <v>240</v>
      </c>
      <c r="L176" s="37" t="s">
        <v>1062</v>
      </c>
      <c r="M176" s="37" t="s">
        <v>1063</v>
      </c>
      <c r="N176" s="37" t="s">
        <v>242</v>
      </c>
      <c r="O176" s="37" t="s">
        <v>335</v>
      </c>
      <c r="P176" s="40" t="s">
        <v>1827</v>
      </c>
      <c r="Q176" s="40"/>
      <c r="R176" s="37" t="s">
        <v>255</v>
      </c>
      <c r="S176" s="41" t="s">
        <v>1044</v>
      </c>
    </row>
    <row r="177" spans="1:19" x14ac:dyDescent="0.3">
      <c r="A177" s="38" t="s">
        <v>1828</v>
      </c>
      <c r="B177" s="38" t="s">
        <v>1829</v>
      </c>
      <c r="C177" s="38" t="s">
        <v>388</v>
      </c>
      <c r="D177" s="38" t="s">
        <v>1219</v>
      </c>
      <c r="E177" s="42">
        <v>2000</v>
      </c>
      <c r="F177" s="38" t="s">
        <v>1061</v>
      </c>
      <c r="G177" s="38" t="s">
        <v>386</v>
      </c>
      <c r="H177" s="38" t="s">
        <v>386</v>
      </c>
      <c r="I177" s="38" t="s">
        <v>386</v>
      </c>
      <c r="J177" s="38" t="s">
        <v>386</v>
      </c>
      <c r="K177" s="38" t="s">
        <v>240</v>
      </c>
      <c r="L177" s="38" t="s">
        <v>1130</v>
      </c>
      <c r="M177" s="38" t="s">
        <v>1063</v>
      </c>
      <c r="N177" s="38" t="s">
        <v>242</v>
      </c>
      <c r="O177" s="38" t="s">
        <v>335</v>
      </c>
      <c r="P177" s="43" t="s">
        <v>1830</v>
      </c>
      <c r="Q177" s="43"/>
      <c r="R177" s="38" t="s">
        <v>255</v>
      </c>
      <c r="S177" s="44" t="s">
        <v>1044</v>
      </c>
    </row>
    <row r="178" spans="1:19" ht="57.6" x14ac:dyDescent="0.3">
      <c r="A178" s="37" t="s">
        <v>1831</v>
      </c>
      <c r="B178" s="37" t="s">
        <v>1832</v>
      </c>
      <c r="C178" s="37" t="s">
        <v>241</v>
      </c>
      <c r="D178" s="37" t="s">
        <v>1622</v>
      </c>
      <c r="E178" s="39">
        <v>2200</v>
      </c>
      <c r="F178" s="37" t="s">
        <v>1042</v>
      </c>
      <c r="G178" s="37" t="s">
        <v>1079</v>
      </c>
      <c r="H178" s="37" t="s">
        <v>239</v>
      </c>
      <c r="I178" s="37" t="s">
        <v>239</v>
      </c>
      <c r="J178" s="37" t="s">
        <v>239</v>
      </c>
      <c r="K178" s="37" t="s">
        <v>282</v>
      </c>
      <c r="L178" s="37" t="s">
        <v>252</v>
      </c>
      <c r="M178" s="37" t="s">
        <v>1012</v>
      </c>
      <c r="N178" s="37" t="s">
        <v>242</v>
      </c>
      <c r="O178" s="37" t="s">
        <v>335</v>
      </c>
      <c r="P178" s="40" t="s">
        <v>1833</v>
      </c>
      <c r="Q178" s="40" t="s">
        <v>1834</v>
      </c>
      <c r="R178" s="37" t="s">
        <v>255</v>
      </c>
      <c r="S178" s="41" t="s">
        <v>1044</v>
      </c>
    </row>
    <row r="179" spans="1:19" x14ac:dyDescent="0.3">
      <c r="A179" s="38" t="s">
        <v>1835</v>
      </c>
      <c r="B179" s="38" t="s">
        <v>1836</v>
      </c>
      <c r="C179" s="38" t="s">
        <v>306</v>
      </c>
      <c r="D179" s="38" t="s">
        <v>1837</v>
      </c>
      <c r="E179" s="42">
        <v>605</v>
      </c>
      <c r="F179" s="38" t="s">
        <v>1042</v>
      </c>
      <c r="G179" s="38" t="s">
        <v>1079</v>
      </c>
      <c r="H179" s="38" t="s">
        <v>239</v>
      </c>
      <c r="I179" s="38" t="s">
        <v>239</v>
      </c>
      <c r="J179" s="38" t="s">
        <v>239</v>
      </c>
      <c r="K179" s="38" t="s">
        <v>282</v>
      </c>
      <c r="L179" s="38" t="s">
        <v>1113</v>
      </c>
      <c r="M179" s="38" t="s">
        <v>1012</v>
      </c>
      <c r="N179" s="38" t="s">
        <v>242</v>
      </c>
      <c r="O179" s="38" t="s">
        <v>335</v>
      </c>
      <c r="P179" s="43" t="s">
        <v>1838</v>
      </c>
      <c r="Q179" s="43" t="s">
        <v>1839</v>
      </c>
      <c r="R179" s="38" t="s">
        <v>255</v>
      </c>
      <c r="S179" s="44" t="s">
        <v>1044</v>
      </c>
    </row>
    <row r="180" spans="1:19" ht="28.8" x14ac:dyDescent="0.3">
      <c r="A180" s="37" t="s">
        <v>1840</v>
      </c>
      <c r="B180" s="37" t="s">
        <v>1841</v>
      </c>
      <c r="C180" s="37" t="s">
        <v>306</v>
      </c>
      <c r="D180" s="37" t="s">
        <v>1267</v>
      </c>
      <c r="E180" s="39">
        <v>950</v>
      </c>
      <c r="F180" s="37" t="s">
        <v>1061</v>
      </c>
      <c r="G180" s="37" t="s">
        <v>1251</v>
      </c>
      <c r="H180" s="37" t="s">
        <v>1251</v>
      </c>
      <c r="I180" s="37" t="s">
        <v>1251</v>
      </c>
      <c r="J180" s="37" t="s">
        <v>415</v>
      </c>
      <c r="K180" s="37" t="s">
        <v>240</v>
      </c>
      <c r="L180" s="37" t="s">
        <v>1739</v>
      </c>
      <c r="M180" s="37" t="s">
        <v>1063</v>
      </c>
      <c r="N180" s="37" t="s">
        <v>242</v>
      </c>
      <c r="O180" s="37" t="s">
        <v>335</v>
      </c>
      <c r="P180" s="40" t="s">
        <v>1842</v>
      </c>
      <c r="Q180" s="40"/>
      <c r="R180" s="37" t="s">
        <v>255</v>
      </c>
      <c r="S180" s="41" t="s">
        <v>1254</v>
      </c>
    </row>
    <row r="181" spans="1:19" x14ac:dyDescent="0.3">
      <c r="A181" s="38" t="s">
        <v>1843</v>
      </c>
      <c r="B181" s="38" t="s">
        <v>1844</v>
      </c>
      <c r="C181" s="38" t="s">
        <v>306</v>
      </c>
      <c r="D181" s="38" t="s">
        <v>1184</v>
      </c>
      <c r="E181" s="42">
        <v>1100</v>
      </c>
      <c r="F181" s="38" t="s">
        <v>1042</v>
      </c>
      <c r="G181" s="38" t="s">
        <v>1118</v>
      </c>
      <c r="H181" s="38" t="s">
        <v>1119</v>
      </c>
      <c r="I181" s="38" t="s">
        <v>1119</v>
      </c>
      <c r="J181" s="38" t="s">
        <v>405</v>
      </c>
      <c r="K181" s="38" t="s">
        <v>282</v>
      </c>
      <c r="L181" s="38" t="s">
        <v>1120</v>
      </c>
      <c r="M181" s="38" t="s">
        <v>1012</v>
      </c>
      <c r="N181" s="38" t="s">
        <v>242</v>
      </c>
      <c r="O181" s="38" t="s">
        <v>335</v>
      </c>
      <c r="P181" s="43" t="s">
        <v>1845</v>
      </c>
      <c r="Q181" s="43" t="s">
        <v>1846</v>
      </c>
      <c r="R181" s="38" t="s">
        <v>255</v>
      </c>
      <c r="S181" s="44" t="s">
        <v>1044</v>
      </c>
    </row>
    <row r="182" spans="1:19" x14ac:dyDescent="0.3">
      <c r="A182" s="37" t="s">
        <v>1847</v>
      </c>
      <c r="B182" s="37" t="s">
        <v>1848</v>
      </c>
      <c r="C182" s="37" t="s">
        <v>241</v>
      </c>
      <c r="D182" s="37" t="s">
        <v>1321</v>
      </c>
      <c r="E182" s="39">
        <v>150</v>
      </c>
      <c r="F182" s="37" t="s">
        <v>1061</v>
      </c>
      <c r="G182" s="37" t="s">
        <v>1079</v>
      </c>
      <c r="H182" s="37" t="s">
        <v>239</v>
      </c>
      <c r="I182" s="37" t="s">
        <v>239</v>
      </c>
      <c r="J182" s="37" t="s">
        <v>239</v>
      </c>
      <c r="K182" s="37" t="s">
        <v>240</v>
      </c>
      <c r="L182" s="37" t="s">
        <v>522</v>
      </c>
      <c r="M182" s="37" t="s">
        <v>1063</v>
      </c>
      <c r="N182" s="37" t="s">
        <v>242</v>
      </c>
      <c r="O182" s="37" t="s">
        <v>335</v>
      </c>
      <c r="P182" s="40" t="s">
        <v>1849</v>
      </c>
      <c r="Q182" s="40"/>
      <c r="R182" s="37" t="s">
        <v>255</v>
      </c>
      <c r="S182" s="41" t="s">
        <v>1044</v>
      </c>
    </row>
    <row r="183" spans="1:19" x14ac:dyDescent="0.3">
      <c r="A183" s="38" t="s">
        <v>1850</v>
      </c>
      <c r="B183" s="38" t="s">
        <v>1851</v>
      </c>
      <c r="C183" s="38" t="s">
        <v>362</v>
      </c>
      <c r="D183" s="38" t="s">
        <v>1852</v>
      </c>
      <c r="E183" s="42">
        <v>1700</v>
      </c>
      <c r="F183" s="38" t="s">
        <v>1061</v>
      </c>
      <c r="G183" s="38" t="s">
        <v>1047</v>
      </c>
      <c r="H183" s="38" t="s">
        <v>1048</v>
      </c>
      <c r="I183" s="38" t="s">
        <v>1048</v>
      </c>
      <c r="J183" s="38" t="s">
        <v>281</v>
      </c>
      <c r="K183" s="38" t="s">
        <v>282</v>
      </c>
      <c r="L183" s="38" t="s">
        <v>447</v>
      </c>
      <c r="M183" s="38" t="s">
        <v>1012</v>
      </c>
      <c r="N183" s="38" t="s">
        <v>242</v>
      </c>
      <c r="O183" s="38" t="s">
        <v>335</v>
      </c>
      <c r="P183" s="43" t="s">
        <v>1853</v>
      </c>
      <c r="Q183" s="43" t="s">
        <v>1854</v>
      </c>
      <c r="R183" s="38" t="s">
        <v>255</v>
      </c>
      <c r="S183" s="44" t="s">
        <v>1044</v>
      </c>
    </row>
    <row r="184" spans="1:19" x14ac:dyDescent="0.3">
      <c r="A184" s="37" t="s">
        <v>1855</v>
      </c>
      <c r="B184" s="37" t="s">
        <v>1856</v>
      </c>
      <c r="C184" s="37" t="s">
        <v>388</v>
      </c>
      <c r="D184" s="37" t="s">
        <v>1857</v>
      </c>
      <c r="E184" s="39">
        <v>131400</v>
      </c>
      <c r="F184" s="37" t="s">
        <v>1042</v>
      </c>
      <c r="G184" s="37" t="s">
        <v>1055</v>
      </c>
      <c r="H184" s="37" t="s">
        <v>239</v>
      </c>
      <c r="I184" s="37" t="s">
        <v>239</v>
      </c>
      <c r="J184" s="37" t="s">
        <v>239</v>
      </c>
      <c r="K184" s="37" t="s">
        <v>282</v>
      </c>
      <c r="L184" s="37" t="s">
        <v>1056</v>
      </c>
      <c r="M184" s="37" t="s">
        <v>1012</v>
      </c>
      <c r="N184" s="37" t="s">
        <v>242</v>
      </c>
      <c r="O184" s="37" t="s">
        <v>335</v>
      </c>
      <c r="P184" s="40" t="s">
        <v>1858</v>
      </c>
      <c r="Q184" s="40" t="s">
        <v>1859</v>
      </c>
      <c r="R184" s="37" t="s">
        <v>255</v>
      </c>
      <c r="S184" s="41" t="s">
        <v>1044</v>
      </c>
    </row>
    <row r="185" spans="1:19" x14ac:dyDescent="0.3">
      <c r="A185" s="38" t="s">
        <v>1860</v>
      </c>
      <c r="B185" s="38" t="s">
        <v>1861</v>
      </c>
      <c r="C185" s="38" t="s">
        <v>1124</v>
      </c>
      <c r="D185" s="38" t="s">
        <v>1862</v>
      </c>
      <c r="E185" s="42">
        <v>26000</v>
      </c>
      <c r="F185" s="38" t="s">
        <v>1078</v>
      </c>
      <c r="G185" s="38" t="s">
        <v>1086</v>
      </c>
      <c r="H185" s="38" t="s">
        <v>1086</v>
      </c>
      <c r="I185" s="38" t="s">
        <v>1078</v>
      </c>
      <c r="J185" s="38" t="s">
        <v>320</v>
      </c>
      <c r="K185" s="38" t="s">
        <v>321</v>
      </c>
      <c r="L185" s="38" t="s">
        <v>1080</v>
      </c>
      <c r="M185" s="38" t="s">
        <v>1080</v>
      </c>
      <c r="N185" s="38" t="s">
        <v>268</v>
      </c>
      <c r="O185" s="38" t="s">
        <v>335</v>
      </c>
      <c r="P185" s="43" t="s">
        <v>1863</v>
      </c>
      <c r="Q185" s="43"/>
      <c r="R185" s="38" t="s">
        <v>255</v>
      </c>
      <c r="S185" s="44" t="s">
        <v>1044</v>
      </c>
    </row>
    <row r="186" spans="1:19" ht="43.2" x14ac:dyDescent="0.3">
      <c r="A186" s="37" t="s">
        <v>1864</v>
      </c>
      <c r="B186" s="37" t="s">
        <v>1865</v>
      </c>
      <c r="C186" s="37" t="s">
        <v>388</v>
      </c>
      <c r="D186" s="37" t="s">
        <v>1546</v>
      </c>
      <c r="E186" s="39">
        <v>10000</v>
      </c>
      <c r="F186" s="37" t="s">
        <v>1061</v>
      </c>
      <c r="G186" s="37" t="s">
        <v>386</v>
      </c>
      <c r="H186" s="37" t="s">
        <v>386</v>
      </c>
      <c r="I186" s="37" t="s">
        <v>386</v>
      </c>
      <c r="J186" s="37" t="s">
        <v>386</v>
      </c>
      <c r="K186" s="37" t="s">
        <v>240</v>
      </c>
      <c r="L186" s="37" t="s">
        <v>1866</v>
      </c>
      <c r="M186" s="37" t="s">
        <v>1063</v>
      </c>
      <c r="N186" s="37" t="s">
        <v>242</v>
      </c>
      <c r="O186" s="37" t="s">
        <v>335</v>
      </c>
      <c r="P186" s="40" t="s">
        <v>1867</v>
      </c>
      <c r="Q186" s="40"/>
      <c r="R186" s="37" t="s">
        <v>255</v>
      </c>
      <c r="S186" s="41" t="s">
        <v>1044</v>
      </c>
    </row>
    <row r="187" spans="1:19" ht="28.8" x14ac:dyDescent="0.3">
      <c r="A187" s="38" t="s">
        <v>1868</v>
      </c>
      <c r="B187" s="38" t="s">
        <v>1869</v>
      </c>
      <c r="C187" s="38" t="s">
        <v>241</v>
      </c>
      <c r="D187" s="38" t="s">
        <v>1826</v>
      </c>
      <c r="E187" s="42">
        <v>700</v>
      </c>
      <c r="F187" s="38" t="s">
        <v>1061</v>
      </c>
      <c r="G187" s="38" t="s">
        <v>1251</v>
      </c>
      <c r="H187" s="38" t="s">
        <v>1251</v>
      </c>
      <c r="I187" s="38" t="s">
        <v>1251</v>
      </c>
      <c r="J187" s="38" t="s">
        <v>413</v>
      </c>
      <c r="K187" s="38" t="s">
        <v>240</v>
      </c>
      <c r="L187" s="38" t="s">
        <v>1252</v>
      </c>
      <c r="M187" s="38" t="s">
        <v>1063</v>
      </c>
      <c r="N187" s="38" t="s">
        <v>242</v>
      </c>
      <c r="O187" s="38" t="s">
        <v>335</v>
      </c>
      <c r="P187" s="43" t="s">
        <v>1870</v>
      </c>
      <c r="Q187" s="43"/>
      <c r="R187" s="38" t="s">
        <v>255</v>
      </c>
      <c r="S187" s="44" t="s">
        <v>1254</v>
      </c>
    </row>
    <row r="188" spans="1:19" ht="43.2" x14ac:dyDescent="0.3">
      <c r="A188" s="37" t="s">
        <v>1871</v>
      </c>
      <c r="B188" s="37" t="s">
        <v>1872</v>
      </c>
      <c r="C188" s="37" t="s">
        <v>241</v>
      </c>
      <c r="D188" s="37" t="s">
        <v>1803</v>
      </c>
      <c r="E188" s="39">
        <v>30</v>
      </c>
      <c r="F188" s="37" t="s">
        <v>1061</v>
      </c>
      <c r="G188" s="37" t="s">
        <v>1195</v>
      </c>
      <c r="H188" s="37" t="s">
        <v>1195</v>
      </c>
      <c r="I188" s="37" t="s">
        <v>1200</v>
      </c>
      <c r="J188" s="37" t="s">
        <v>399</v>
      </c>
      <c r="K188" s="37" t="s">
        <v>240</v>
      </c>
      <c r="L188" s="37" t="s">
        <v>1274</v>
      </c>
      <c r="M188" s="37" t="s">
        <v>1063</v>
      </c>
      <c r="N188" s="37" t="s">
        <v>242</v>
      </c>
      <c r="O188" s="37" t="s">
        <v>335</v>
      </c>
      <c r="P188" s="40" t="s">
        <v>1873</v>
      </c>
      <c r="Q188" s="40"/>
      <c r="R188" s="37" t="s">
        <v>255</v>
      </c>
      <c r="S188" s="41" t="s">
        <v>1044</v>
      </c>
    </row>
    <row r="189" spans="1:19" ht="28.8" x14ac:dyDescent="0.3">
      <c r="A189" s="45" t="s">
        <v>1874</v>
      </c>
      <c r="B189" s="45" t="s">
        <v>1875</v>
      </c>
      <c r="C189" s="45" t="s">
        <v>388</v>
      </c>
      <c r="D189" s="45"/>
      <c r="E189" s="46"/>
      <c r="F189" s="45" t="s">
        <v>1042</v>
      </c>
      <c r="G189" s="45" t="s">
        <v>1086</v>
      </c>
      <c r="H189" s="45" t="s">
        <v>1086</v>
      </c>
      <c r="I189" s="45" t="s">
        <v>1086</v>
      </c>
      <c r="J189" s="45" t="s">
        <v>320</v>
      </c>
      <c r="K189" s="45" t="s">
        <v>282</v>
      </c>
      <c r="L189" s="45" t="s">
        <v>1316</v>
      </c>
      <c r="M189" s="45" t="s">
        <v>1012</v>
      </c>
      <c r="N189" s="45" t="s">
        <v>268</v>
      </c>
      <c r="O189" s="45" t="s">
        <v>293</v>
      </c>
      <c r="P189" s="47" t="s">
        <v>1876</v>
      </c>
      <c r="Q189" s="47" t="s">
        <v>1877</v>
      </c>
      <c r="R189" s="45" t="s">
        <v>245</v>
      </c>
      <c r="S189" s="48" t="s">
        <v>1878</v>
      </c>
    </row>
    <row r="190" spans="1:19" ht="43.2" x14ac:dyDescent="0.3">
      <c r="A190" s="37" t="s">
        <v>1879</v>
      </c>
      <c r="B190" s="37" t="s">
        <v>1880</v>
      </c>
      <c r="C190" s="37" t="s">
        <v>306</v>
      </c>
      <c r="D190" s="37" t="s">
        <v>1881</v>
      </c>
      <c r="E190" s="39">
        <v>645</v>
      </c>
      <c r="F190" s="37" t="s">
        <v>1042</v>
      </c>
      <c r="G190" s="37" t="s">
        <v>1135</v>
      </c>
      <c r="H190" s="37" t="s">
        <v>239</v>
      </c>
      <c r="I190" s="37" t="s">
        <v>239</v>
      </c>
      <c r="J190" s="37" t="s">
        <v>239</v>
      </c>
      <c r="K190" s="37" t="s">
        <v>282</v>
      </c>
      <c r="L190" s="37" t="s">
        <v>1113</v>
      </c>
      <c r="M190" s="37" t="s">
        <v>1012</v>
      </c>
      <c r="N190" s="37" t="s">
        <v>242</v>
      </c>
      <c r="O190" s="37" t="s">
        <v>335</v>
      </c>
      <c r="P190" s="40" t="s">
        <v>1882</v>
      </c>
      <c r="Q190" s="40" t="s">
        <v>1883</v>
      </c>
      <c r="R190" s="37" t="s">
        <v>255</v>
      </c>
      <c r="S190" s="41" t="s">
        <v>1044</v>
      </c>
    </row>
    <row r="191" spans="1:19" ht="28.8" x14ac:dyDescent="0.3">
      <c r="A191" s="38" t="s">
        <v>1884</v>
      </c>
      <c r="B191" s="38" t="s">
        <v>1885</v>
      </c>
      <c r="C191" s="38" t="s">
        <v>306</v>
      </c>
      <c r="D191" s="38" t="s">
        <v>1184</v>
      </c>
      <c r="E191" s="42">
        <v>1100</v>
      </c>
      <c r="F191" s="38" t="s">
        <v>1042</v>
      </c>
      <c r="G191" s="38" t="s">
        <v>386</v>
      </c>
      <c r="H191" s="38" t="s">
        <v>386</v>
      </c>
      <c r="I191" s="38" t="s">
        <v>386</v>
      </c>
      <c r="J191" s="38" t="s">
        <v>386</v>
      </c>
      <c r="K191" s="38" t="s">
        <v>282</v>
      </c>
      <c r="L191" s="38" t="s">
        <v>1130</v>
      </c>
      <c r="M191" s="38" t="s">
        <v>1012</v>
      </c>
      <c r="N191" s="38" t="s">
        <v>242</v>
      </c>
      <c r="O191" s="38" t="s">
        <v>335</v>
      </c>
      <c r="P191" s="43" t="s">
        <v>1886</v>
      </c>
      <c r="Q191" s="43" t="s">
        <v>1887</v>
      </c>
      <c r="R191" s="38" t="s">
        <v>255</v>
      </c>
      <c r="S191" s="44" t="s">
        <v>1044</v>
      </c>
    </row>
    <row r="192" spans="1:19" ht="28.8" x14ac:dyDescent="0.3">
      <c r="A192" s="37" t="s">
        <v>1888</v>
      </c>
      <c r="B192" s="37" t="s">
        <v>1889</v>
      </c>
      <c r="C192" s="37" t="s">
        <v>306</v>
      </c>
      <c r="D192" s="37" t="s">
        <v>1890</v>
      </c>
      <c r="E192" s="39">
        <v>7900</v>
      </c>
      <c r="F192" s="37" t="s">
        <v>1042</v>
      </c>
      <c r="G192" s="37" t="s">
        <v>386</v>
      </c>
      <c r="H192" s="37" t="s">
        <v>386</v>
      </c>
      <c r="I192" s="37" t="s">
        <v>386</v>
      </c>
      <c r="J192" s="37" t="s">
        <v>386</v>
      </c>
      <c r="K192" s="37" t="s">
        <v>282</v>
      </c>
      <c r="L192" s="37" t="s">
        <v>1130</v>
      </c>
      <c r="M192" s="37" t="s">
        <v>1012</v>
      </c>
      <c r="N192" s="37" t="s">
        <v>242</v>
      </c>
      <c r="O192" s="37" t="s">
        <v>335</v>
      </c>
      <c r="P192" s="40" t="s">
        <v>1891</v>
      </c>
      <c r="Q192" s="40" t="s">
        <v>1892</v>
      </c>
      <c r="R192" s="37" t="s">
        <v>255</v>
      </c>
      <c r="S192" s="41" t="s">
        <v>1044</v>
      </c>
    </row>
    <row r="193" spans="1:19" ht="28.8" x14ac:dyDescent="0.3">
      <c r="A193" s="38" t="s">
        <v>1893</v>
      </c>
      <c r="B193" s="38" t="s">
        <v>1894</v>
      </c>
      <c r="C193" s="38" t="s">
        <v>241</v>
      </c>
      <c r="D193" s="38" t="s">
        <v>1735</v>
      </c>
      <c r="E193" s="42">
        <v>220</v>
      </c>
      <c r="F193" s="38" t="s">
        <v>1061</v>
      </c>
      <c r="G193" s="38" t="s">
        <v>1251</v>
      </c>
      <c r="H193" s="38" t="s">
        <v>1251</v>
      </c>
      <c r="I193" s="38" t="s">
        <v>1251</v>
      </c>
      <c r="J193" s="38" t="s">
        <v>399</v>
      </c>
      <c r="K193" s="38" t="s">
        <v>240</v>
      </c>
      <c r="L193" s="38" t="s">
        <v>1895</v>
      </c>
      <c r="M193" s="38" t="s">
        <v>1063</v>
      </c>
      <c r="N193" s="38" t="s">
        <v>242</v>
      </c>
      <c r="O193" s="38" t="s">
        <v>335</v>
      </c>
      <c r="P193" s="43" t="s">
        <v>1896</v>
      </c>
      <c r="Q193" s="43"/>
      <c r="R193" s="38" t="s">
        <v>255</v>
      </c>
      <c r="S193" s="44" t="s">
        <v>1254</v>
      </c>
    </row>
    <row r="194" spans="1:19" x14ac:dyDescent="0.3">
      <c r="A194" s="37" t="s">
        <v>1897</v>
      </c>
      <c r="B194" s="37" t="s">
        <v>1898</v>
      </c>
      <c r="C194" s="37" t="s">
        <v>1441</v>
      </c>
      <c r="D194" s="37" t="s">
        <v>1899</v>
      </c>
      <c r="E194" s="39">
        <v>1470</v>
      </c>
      <c r="F194" s="37" t="s">
        <v>1042</v>
      </c>
      <c r="G194" s="37" t="s">
        <v>1079</v>
      </c>
      <c r="H194" s="37" t="s">
        <v>239</v>
      </c>
      <c r="I194" s="37" t="s">
        <v>239</v>
      </c>
      <c r="J194" s="37" t="s">
        <v>239</v>
      </c>
      <c r="K194" s="37" t="s">
        <v>282</v>
      </c>
      <c r="L194" s="37" t="s">
        <v>1056</v>
      </c>
      <c r="M194" s="37" t="s">
        <v>1012</v>
      </c>
      <c r="N194" s="37" t="s">
        <v>242</v>
      </c>
      <c r="O194" s="37" t="s">
        <v>335</v>
      </c>
      <c r="P194" s="40" t="s">
        <v>1900</v>
      </c>
      <c r="Q194" s="40" t="s">
        <v>1901</v>
      </c>
      <c r="R194" s="37" t="s">
        <v>255</v>
      </c>
      <c r="S194" s="41" t="s">
        <v>1044</v>
      </c>
    </row>
    <row r="195" spans="1:19" x14ac:dyDescent="0.3">
      <c r="A195" s="38" t="s">
        <v>1902</v>
      </c>
      <c r="B195" s="38" t="s">
        <v>1903</v>
      </c>
      <c r="C195" s="38" t="s">
        <v>1441</v>
      </c>
      <c r="D195" s="38" t="s">
        <v>1904</v>
      </c>
      <c r="E195" s="42">
        <v>680</v>
      </c>
      <c r="F195" s="38" t="s">
        <v>1042</v>
      </c>
      <c r="G195" s="38" t="s">
        <v>1055</v>
      </c>
      <c r="H195" s="38" t="s">
        <v>239</v>
      </c>
      <c r="I195" s="38" t="s">
        <v>239</v>
      </c>
      <c r="J195" s="38" t="s">
        <v>239</v>
      </c>
      <c r="K195" s="38" t="s">
        <v>282</v>
      </c>
      <c r="L195" s="38" t="s">
        <v>1056</v>
      </c>
      <c r="M195" s="38" t="s">
        <v>1012</v>
      </c>
      <c r="N195" s="38" t="s">
        <v>242</v>
      </c>
      <c r="O195" s="38" t="s">
        <v>335</v>
      </c>
      <c r="P195" s="43" t="s">
        <v>1905</v>
      </c>
      <c r="Q195" s="43" t="s">
        <v>1906</v>
      </c>
      <c r="R195" s="38" t="s">
        <v>255</v>
      </c>
      <c r="S195" s="44" t="s">
        <v>1044</v>
      </c>
    </row>
    <row r="196" spans="1:19" x14ac:dyDescent="0.3">
      <c r="A196" s="37" t="s">
        <v>1907</v>
      </c>
      <c r="B196" s="37" t="s">
        <v>1908</v>
      </c>
      <c r="C196" s="37" t="s">
        <v>306</v>
      </c>
      <c r="D196" s="37" t="s">
        <v>1909</v>
      </c>
      <c r="E196" s="39">
        <v>540</v>
      </c>
      <c r="F196" s="37" t="s">
        <v>1042</v>
      </c>
      <c r="G196" s="37" t="s">
        <v>1055</v>
      </c>
      <c r="H196" s="37" t="s">
        <v>239</v>
      </c>
      <c r="I196" s="37" t="s">
        <v>239</v>
      </c>
      <c r="J196" s="37" t="s">
        <v>239</v>
      </c>
      <c r="K196" s="37" t="s">
        <v>282</v>
      </c>
      <c r="L196" s="37" t="s">
        <v>1056</v>
      </c>
      <c r="M196" s="37" t="s">
        <v>1012</v>
      </c>
      <c r="N196" s="37" t="s">
        <v>242</v>
      </c>
      <c r="O196" s="37" t="s">
        <v>335</v>
      </c>
      <c r="P196" s="40" t="s">
        <v>1910</v>
      </c>
      <c r="Q196" s="40" t="s">
        <v>1911</v>
      </c>
      <c r="R196" s="37" t="s">
        <v>255</v>
      </c>
      <c r="S196" s="41" t="s">
        <v>1044</v>
      </c>
    </row>
    <row r="197" spans="1:19" x14ac:dyDescent="0.3">
      <c r="A197" s="38" t="s">
        <v>1912</v>
      </c>
      <c r="B197" s="38" t="s">
        <v>1913</v>
      </c>
      <c r="C197" s="38" t="s">
        <v>306</v>
      </c>
      <c r="D197" s="38" t="s">
        <v>1914</v>
      </c>
      <c r="E197" s="42">
        <v>12000</v>
      </c>
      <c r="F197" s="38" t="s">
        <v>1042</v>
      </c>
      <c r="G197" s="38" t="s">
        <v>386</v>
      </c>
      <c r="H197" s="38" t="s">
        <v>386</v>
      </c>
      <c r="I197" s="38" t="s">
        <v>386</v>
      </c>
      <c r="J197" s="38" t="s">
        <v>386</v>
      </c>
      <c r="K197" s="38" t="s">
        <v>282</v>
      </c>
      <c r="L197" s="38" t="s">
        <v>1130</v>
      </c>
      <c r="M197" s="38" t="s">
        <v>1012</v>
      </c>
      <c r="N197" s="38" t="s">
        <v>242</v>
      </c>
      <c r="O197" s="38" t="s">
        <v>335</v>
      </c>
      <c r="P197" s="43" t="s">
        <v>1915</v>
      </c>
      <c r="Q197" s="43" t="s">
        <v>1916</v>
      </c>
      <c r="R197" s="38" t="s">
        <v>255</v>
      </c>
      <c r="S197" s="44" t="s">
        <v>1044</v>
      </c>
    </row>
    <row r="198" spans="1:19" x14ac:dyDescent="0.3">
      <c r="A198" s="37" t="s">
        <v>1917</v>
      </c>
      <c r="B198" s="37" t="s">
        <v>1918</v>
      </c>
      <c r="C198" s="37" t="s">
        <v>306</v>
      </c>
      <c r="D198" s="37" t="s">
        <v>1637</v>
      </c>
      <c r="E198" s="39">
        <v>20000</v>
      </c>
      <c r="F198" s="37" t="s">
        <v>1042</v>
      </c>
      <c r="G198" s="37" t="s">
        <v>386</v>
      </c>
      <c r="H198" s="37" t="s">
        <v>386</v>
      </c>
      <c r="I198" s="37" t="s">
        <v>386</v>
      </c>
      <c r="J198" s="37" t="s">
        <v>386</v>
      </c>
      <c r="K198" s="37" t="s">
        <v>282</v>
      </c>
      <c r="L198" s="37" t="s">
        <v>1130</v>
      </c>
      <c r="M198" s="37" t="s">
        <v>1012</v>
      </c>
      <c r="N198" s="37" t="s">
        <v>242</v>
      </c>
      <c r="O198" s="37" t="s">
        <v>335</v>
      </c>
      <c r="P198" s="40" t="s">
        <v>1919</v>
      </c>
      <c r="Q198" s="40" t="s">
        <v>1920</v>
      </c>
      <c r="R198" s="37" t="s">
        <v>255</v>
      </c>
      <c r="S198" s="41" t="s">
        <v>1044</v>
      </c>
    </row>
    <row r="199" spans="1:19" x14ac:dyDescent="0.3">
      <c r="A199" s="38" t="s">
        <v>1921</v>
      </c>
      <c r="B199" s="38" t="s">
        <v>1922</v>
      </c>
      <c r="C199" s="38" t="s">
        <v>306</v>
      </c>
      <c r="D199" s="38" t="s">
        <v>1923</v>
      </c>
      <c r="E199" s="42">
        <v>18000</v>
      </c>
      <c r="F199" s="38" t="s">
        <v>1042</v>
      </c>
      <c r="G199" s="38" t="s">
        <v>386</v>
      </c>
      <c r="H199" s="38" t="s">
        <v>386</v>
      </c>
      <c r="I199" s="38" t="s">
        <v>386</v>
      </c>
      <c r="J199" s="38" t="s">
        <v>386</v>
      </c>
      <c r="K199" s="38" t="s">
        <v>282</v>
      </c>
      <c r="L199" s="38" t="s">
        <v>1130</v>
      </c>
      <c r="M199" s="38" t="s">
        <v>1012</v>
      </c>
      <c r="N199" s="38" t="s">
        <v>242</v>
      </c>
      <c r="O199" s="38" t="s">
        <v>335</v>
      </c>
      <c r="P199" s="43" t="s">
        <v>1924</v>
      </c>
      <c r="Q199" s="43" t="s">
        <v>1925</v>
      </c>
      <c r="R199" s="38" t="s">
        <v>255</v>
      </c>
      <c r="S199" s="44" t="s">
        <v>1044</v>
      </c>
    </row>
    <row r="200" spans="1:19" ht="43.2" x14ac:dyDescent="0.3">
      <c r="A200" s="37" t="s">
        <v>1926</v>
      </c>
      <c r="B200" s="37" t="s">
        <v>1927</v>
      </c>
      <c r="C200" s="37" t="s">
        <v>306</v>
      </c>
      <c r="D200" s="37" t="s">
        <v>1928</v>
      </c>
      <c r="E200" s="39">
        <v>225</v>
      </c>
      <c r="F200" s="37" t="s">
        <v>1042</v>
      </c>
      <c r="G200" s="37" t="s">
        <v>1135</v>
      </c>
      <c r="H200" s="37" t="s">
        <v>239</v>
      </c>
      <c r="I200" s="37" t="s">
        <v>239</v>
      </c>
      <c r="J200" s="37" t="s">
        <v>239</v>
      </c>
      <c r="K200" s="37" t="s">
        <v>282</v>
      </c>
      <c r="L200" s="37" t="s">
        <v>1113</v>
      </c>
      <c r="M200" s="37" t="s">
        <v>1012</v>
      </c>
      <c r="N200" s="37" t="s">
        <v>242</v>
      </c>
      <c r="O200" s="37" t="s">
        <v>335</v>
      </c>
      <c r="P200" s="40" t="s">
        <v>1929</v>
      </c>
      <c r="Q200" s="40" t="s">
        <v>1930</v>
      </c>
      <c r="R200" s="37" t="s">
        <v>255</v>
      </c>
      <c r="S200" s="41" t="s">
        <v>1044</v>
      </c>
    </row>
    <row r="201" spans="1:19" x14ac:dyDescent="0.3">
      <c r="A201" s="38" t="s">
        <v>1931</v>
      </c>
      <c r="B201" s="38" t="s">
        <v>1932</v>
      </c>
      <c r="C201" s="38" t="s">
        <v>241</v>
      </c>
      <c r="D201" s="38" t="s">
        <v>1696</v>
      </c>
      <c r="E201" s="42">
        <v>1600</v>
      </c>
      <c r="F201" s="38" t="s">
        <v>1042</v>
      </c>
      <c r="G201" s="38" t="s">
        <v>1079</v>
      </c>
      <c r="H201" s="38" t="s">
        <v>239</v>
      </c>
      <c r="I201" s="38" t="s">
        <v>239</v>
      </c>
      <c r="J201" s="38" t="s">
        <v>239</v>
      </c>
      <c r="K201" s="38" t="s">
        <v>282</v>
      </c>
      <c r="L201" s="38" t="s">
        <v>252</v>
      </c>
      <c r="M201" s="38" t="s">
        <v>1012</v>
      </c>
      <c r="N201" s="38" t="s">
        <v>242</v>
      </c>
      <c r="O201" s="38" t="s">
        <v>335</v>
      </c>
      <c r="P201" s="43" t="s">
        <v>1933</v>
      </c>
      <c r="Q201" s="43" t="s">
        <v>1934</v>
      </c>
      <c r="R201" s="38" t="s">
        <v>255</v>
      </c>
      <c r="S201" s="44" t="s">
        <v>1044</v>
      </c>
    </row>
    <row r="202" spans="1:19" x14ac:dyDescent="0.3">
      <c r="A202" s="37" t="s">
        <v>1935</v>
      </c>
      <c r="B202" s="37" t="s">
        <v>1936</v>
      </c>
      <c r="C202" s="37" t="s">
        <v>241</v>
      </c>
      <c r="D202" s="37" t="s">
        <v>1531</v>
      </c>
      <c r="E202" s="39">
        <v>300</v>
      </c>
      <c r="F202" s="37" t="s">
        <v>1061</v>
      </c>
      <c r="G202" s="37" t="s">
        <v>1086</v>
      </c>
      <c r="H202" s="37" t="s">
        <v>1086</v>
      </c>
      <c r="I202" s="37" t="s">
        <v>1086</v>
      </c>
      <c r="J202" s="37" t="s">
        <v>320</v>
      </c>
      <c r="K202" s="37" t="s">
        <v>240</v>
      </c>
      <c r="L202" s="37" t="s">
        <v>1209</v>
      </c>
      <c r="M202" s="37" t="s">
        <v>1063</v>
      </c>
      <c r="N202" s="37" t="s">
        <v>242</v>
      </c>
      <c r="O202" s="37" t="s">
        <v>335</v>
      </c>
      <c r="P202" s="40" t="s">
        <v>1937</v>
      </c>
      <c r="Q202" s="40"/>
      <c r="R202" s="37" t="s">
        <v>255</v>
      </c>
      <c r="S202" s="41" t="s">
        <v>1044</v>
      </c>
    </row>
    <row r="203" spans="1:19" ht="28.8" x14ac:dyDescent="0.3">
      <c r="A203" s="38" t="s">
        <v>1938</v>
      </c>
      <c r="B203" s="38" t="s">
        <v>1939</v>
      </c>
      <c r="C203" s="38" t="s">
        <v>241</v>
      </c>
      <c r="D203" s="38" t="s">
        <v>1940</v>
      </c>
      <c r="E203" s="42">
        <v>3650</v>
      </c>
      <c r="F203" s="38" t="s">
        <v>1061</v>
      </c>
      <c r="G203" s="38" t="s">
        <v>1251</v>
      </c>
      <c r="H203" s="38" t="s">
        <v>1251</v>
      </c>
      <c r="I203" s="38" t="s">
        <v>1251</v>
      </c>
      <c r="J203" s="38" t="s">
        <v>413</v>
      </c>
      <c r="K203" s="38" t="s">
        <v>240</v>
      </c>
      <c r="L203" s="38" t="s">
        <v>1252</v>
      </c>
      <c r="M203" s="38" t="s">
        <v>1063</v>
      </c>
      <c r="N203" s="38" t="s">
        <v>242</v>
      </c>
      <c r="O203" s="38" t="s">
        <v>335</v>
      </c>
      <c r="P203" s="43" t="s">
        <v>1941</v>
      </c>
      <c r="Q203" s="43"/>
      <c r="R203" s="38" t="s">
        <v>255</v>
      </c>
      <c r="S203" s="44" t="s">
        <v>1254</v>
      </c>
    </row>
    <row r="204" spans="1:19" x14ac:dyDescent="0.3">
      <c r="A204" s="37" t="s">
        <v>1942</v>
      </c>
      <c r="B204" s="37" t="s">
        <v>1943</v>
      </c>
      <c r="C204" s="37" t="s">
        <v>306</v>
      </c>
      <c r="D204" s="37" t="s">
        <v>1160</v>
      </c>
      <c r="E204" s="39">
        <v>2500</v>
      </c>
      <c r="F204" s="37" t="s">
        <v>1042</v>
      </c>
      <c r="G204" s="37" t="s">
        <v>386</v>
      </c>
      <c r="H204" s="37" t="s">
        <v>386</v>
      </c>
      <c r="I204" s="37" t="s">
        <v>386</v>
      </c>
      <c r="J204" s="37" t="s">
        <v>386</v>
      </c>
      <c r="K204" s="37" t="s">
        <v>282</v>
      </c>
      <c r="L204" s="37" t="s">
        <v>1130</v>
      </c>
      <c r="M204" s="37" t="s">
        <v>1012</v>
      </c>
      <c r="N204" s="37" t="s">
        <v>242</v>
      </c>
      <c r="O204" s="37" t="s">
        <v>335</v>
      </c>
      <c r="P204" s="40" t="s">
        <v>1944</v>
      </c>
      <c r="Q204" s="40" t="s">
        <v>1945</v>
      </c>
      <c r="R204" s="37" t="s">
        <v>255</v>
      </c>
      <c r="S204" s="41" t="s">
        <v>1044</v>
      </c>
    </row>
    <row r="205" spans="1:19" ht="28.8" x14ac:dyDescent="0.3">
      <c r="A205" s="38" t="s">
        <v>1946</v>
      </c>
      <c r="B205" s="38" t="s">
        <v>1947</v>
      </c>
      <c r="C205" s="38" t="s">
        <v>306</v>
      </c>
      <c r="D205" s="38" t="s">
        <v>1633</v>
      </c>
      <c r="E205" s="42">
        <v>3800</v>
      </c>
      <c r="F205" s="38" t="s">
        <v>1061</v>
      </c>
      <c r="G205" s="38" t="s">
        <v>1251</v>
      </c>
      <c r="H205" s="38" t="s">
        <v>1251</v>
      </c>
      <c r="I205" s="38" t="s">
        <v>1251</v>
      </c>
      <c r="J205" s="38" t="s">
        <v>413</v>
      </c>
      <c r="K205" s="38" t="s">
        <v>240</v>
      </c>
      <c r="L205" s="38" t="s">
        <v>1948</v>
      </c>
      <c r="M205" s="38" t="s">
        <v>1063</v>
      </c>
      <c r="N205" s="38" t="s">
        <v>242</v>
      </c>
      <c r="O205" s="38" t="s">
        <v>335</v>
      </c>
      <c r="P205" s="43" t="s">
        <v>1949</v>
      </c>
      <c r="Q205" s="43"/>
      <c r="R205" s="38" t="s">
        <v>255</v>
      </c>
      <c r="S205" s="44" t="s">
        <v>1254</v>
      </c>
    </row>
    <row r="206" spans="1:19" x14ac:dyDescent="0.3">
      <c r="A206" s="45" t="s">
        <v>1950</v>
      </c>
      <c r="B206" s="45" t="s">
        <v>1951</v>
      </c>
      <c r="C206" s="45" t="s">
        <v>1952</v>
      </c>
      <c r="D206" s="45" t="s">
        <v>1227</v>
      </c>
      <c r="E206" s="46">
        <v>1200</v>
      </c>
      <c r="F206" s="45" t="s">
        <v>1042</v>
      </c>
      <c r="G206" s="45" t="s">
        <v>1200</v>
      </c>
      <c r="H206" s="45" t="s">
        <v>1200</v>
      </c>
      <c r="I206" s="45" t="s">
        <v>1200</v>
      </c>
      <c r="J206" s="45" t="s">
        <v>399</v>
      </c>
      <c r="K206" s="45" t="s">
        <v>282</v>
      </c>
      <c r="L206" s="45" t="s">
        <v>1012</v>
      </c>
      <c r="M206" s="45" t="s">
        <v>1012</v>
      </c>
      <c r="N206" s="45" t="s">
        <v>242</v>
      </c>
      <c r="O206" s="45" t="s">
        <v>293</v>
      </c>
      <c r="P206" s="47" t="s">
        <v>1953</v>
      </c>
      <c r="Q206" s="47" t="s">
        <v>1954</v>
      </c>
      <c r="R206" s="45" t="s">
        <v>245</v>
      </c>
      <c r="S206" s="48" t="s">
        <v>1044</v>
      </c>
    </row>
    <row r="207" spans="1:19" x14ac:dyDescent="0.3">
      <c r="A207" s="38" t="s">
        <v>1955</v>
      </c>
      <c r="B207" s="38" t="s">
        <v>1956</v>
      </c>
      <c r="C207" s="38" t="s">
        <v>1952</v>
      </c>
      <c r="D207" s="38" t="s">
        <v>1622</v>
      </c>
      <c r="E207" s="42">
        <v>2200</v>
      </c>
      <c r="F207" s="38" t="s">
        <v>1042</v>
      </c>
      <c r="G207" s="38" t="s">
        <v>1047</v>
      </c>
      <c r="H207" s="38" t="s">
        <v>1048</v>
      </c>
      <c r="I207" s="38" t="s">
        <v>1048</v>
      </c>
      <c r="J207" s="38" t="s">
        <v>281</v>
      </c>
      <c r="K207" s="38" t="s">
        <v>282</v>
      </c>
      <c r="L207" s="38" t="s">
        <v>1316</v>
      </c>
      <c r="M207" s="38" t="s">
        <v>1012</v>
      </c>
      <c r="N207" s="38" t="s">
        <v>242</v>
      </c>
      <c r="O207" s="38" t="s">
        <v>335</v>
      </c>
      <c r="P207" s="43" t="s">
        <v>1957</v>
      </c>
      <c r="Q207" s="43" t="s">
        <v>1958</v>
      </c>
      <c r="R207" s="38" t="s">
        <v>255</v>
      </c>
      <c r="S207" s="44" t="s">
        <v>1044</v>
      </c>
    </row>
    <row r="208" spans="1:19" ht="28.8" x14ac:dyDescent="0.3">
      <c r="A208" s="45" t="s">
        <v>1959</v>
      </c>
      <c r="B208" s="45" t="s">
        <v>1960</v>
      </c>
      <c r="C208" s="45" t="s">
        <v>402</v>
      </c>
      <c r="D208" s="45" t="s">
        <v>1961</v>
      </c>
      <c r="E208" s="46">
        <v>0.01</v>
      </c>
      <c r="F208" s="45" t="s">
        <v>402</v>
      </c>
      <c r="G208" s="45" t="s">
        <v>402</v>
      </c>
      <c r="H208" s="45" t="s">
        <v>402</v>
      </c>
      <c r="I208" s="45" t="s">
        <v>402</v>
      </c>
      <c r="J208" s="45" t="s">
        <v>421</v>
      </c>
      <c r="K208" s="45" t="s">
        <v>387</v>
      </c>
      <c r="L208" s="45" t="s">
        <v>1962</v>
      </c>
      <c r="M208" s="45" t="s">
        <v>1214</v>
      </c>
      <c r="N208" s="45" t="s">
        <v>322</v>
      </c>
      <c r="O208" s="45" t="s">
        <v>335</v>
      </c>
      <c r="P208" s="47" t="s">
        <v>1963</v>
      </c>
      <c r="Q208" s="47"/>
      <c r="R208" s="45" t="s">
        <v>245</v>
      </c>
      <c r="S208" s="48" t="s">
        <v>1964</v>
      </c>
    </row>
    <row r="209" spans="1:19" ht="28.8" x14ac:dyDescent="0.3">
      <c r="A209" s="38" t="s">
        <v>1965</v>
      </c>
      <c r="B209" s="38" t="s">
        <v>1966</v>
      </c>
      <c r="C209" s="38" t="s">
        <v>1103</v>
      </c>
      <c r="D209" s="38" t="s">
        <v>1967</v>
      </c>
      <c r="E209" s="42">
        <v>480</v>
      </c>
      <c r="F209" s="38" t="s">
        <v>1042</v>
      </c>
      <c r="G209" s="38" t="s">
        <v>1368</v>
      </c>
      <c r="H209" s="38" t="s">
        <v>1369</v>
      </c>
      <c r="I209" s="38" t="s">
        <v>1369</v>
      </c>
      <c r="J209" s="38" t="s">
        <v>360</v>
      </c>
      <c r="K209" s="38" t="s">
        <v>282</v>
      </c>
      <c r="L209" s="38" t="s">
        <v>1968</v>
      </c>
      <c r="M209" s="38" t="s">
        <v>1012</v>
      </c>
      <c r="N209" s="38" t="s">
        <v>242</v>
      </c>
      <c r="O209" s="38" t="s">
        <v>335</v>
      </c>
      <c r="P209" s="43" t="s">
        <v>1969</v>
      </c>
      <c r="Q209" s="43" t="s">
        <v>1970</v>
      </c>
      <c r="R209" s="38" t="s">
        <v>255</v>
      </c>
      <c r="S209" s="44" t="s">
        <v>1044</v>
      </c>
    </row>
    <row r="210" spans="1:19" x14ac:dyDescent="0.3">
      <c r="A210" s="37" t="s">
        <v>1971</v>
      </c>
      <c r="B210" s="37" t="s">
        <v>1972</v>
      </c>
      <c r="C210" s="37" t="s">
        <v>1103</v>
      </c>
      <c r="D210" s="37" t="s">
        <v>1973</v>
      </c>
      <c r="E210" s="39">
        <v>185</v>
      </c>
      <c r="F210" s="37" t="s">
        <v>1042</v>
      </c>
      <c r="G210" s="37" t="s">
        <v>1086</v>
      </c>
      <c r="H210" s="37" t="s">
        <v>1086</v>
      </c>
      <c r="I210" s="37" t="s">
        <v>1086</v>
      </c>
      <c r="J210" s="37" t="s">
        <v>320</v>
      </c>
      <c r="K210" s="37" t="s">
        <v>282</v>
      </c>
      <c r="L210" s="37" t="s">
        <v>1974</v>
      </c>
      <c r="M210" s="37" t="s">
        <v>1012</v>
      </c>
      <c r="N210" s="37" t="s">
        <v>242</v>
      </c>
      <c r="O210" s="37" t="s">
        <v>335</v>
      </c>
      <c r="P210" s="40" t="s">
        <v>1975</v>
      </c>
      <c r="Q210" s="40" t="s">
        <v>1976</v>
      </c>
      <c r="R210" s="37" t="s">
        <v>255</v>
      </c>
      <c r="S210" s="41" t="s">
        <v>1044</v>
      </c>
    </row>
    <row r="211" spans="1:19" x14ac:dyDescent="0.3">
      <c r="A211" s="38" t="s">
        <v>1977</v>
      </c>
      <c r="B211" s="38" t="s">
        <v>1978</v>
      </c>
      <c r="C211" s="38" t="s">
        <v>1103</v>
      </c>
      <c r="D211" s="38" t="s">
        <v>1979</v>
      </c>
      <c r="E211" s="42">
        <v>305</v>
      </c>
      <c r="F211" s="38" t="s">
        <v>1042</v>
      </c>
      <c r="G211" s="38" t="s">
        <v>1055</v>
      </c>
      <c r="H211" s="38" t="s">
        <v>239</v>
      </c>
      <c r="I211" s="38" t="s">
        <v>239</v>
      </c>
      <c r="J211" s="38" t="s">
        <v>239</v>
      </c>
      <c r="K211" s="38" t="s">
        <v>282</v>
      </c>
      <c r="L211" s="38" t="s">
        <v>1062</v>
      </c>
      <c r="M211" s="38" t="s">
        <v>1012</v>
      </c>
      <c r="N211" s="38" t="s">
        <v>242</v>
      </c>
      <c r="O211" s="38" t="s">
        <v>335</v>
      </c>
      <c r="P211" s="43" t="s">
        <v>1980</v>
      </c>
      <c r="Q211" s="43" t="s">
        <v>1981</v>
      </c>
      <c r="R211" s="38" t="s">
        <v>255</v>
      </c>
      <c r="S211" s="44" t="s">
        <v>1044</v>
      </c>
    </row>
    <row r="212" spans="1:19" x14ac:dyDescent="0.3">
      <c r="A212" s="37" t="s">
        <v>1982</v>
      </c>
      <c r="B212" s="37" t="s">
        <v>1983</v>
      </c>
      <c r="C212" s="37" t="s">
        <v>306</v>
      </c>
      <c r="D212" s="37" t="s">
        <v>1984</v>
      </c>
      <c r="E212" s="39">
        <v>710</v>
      </c>
      <c r="F212" s="37" t="s">
        <v>1042</v>
      </c>
      <c r="G212" s="37" t="s">
        <v>1368</v>
      </c>
      <c r="H212" s="37" t="s">
        <v>1369</v>
      </c>
      <c r="I212" s="37" t="s">
        <v>1369</v>
      </c>
      <c r="J212" s="37" t="s">
        <v>360</v>
      </c>
      <c r="K212" s="37" t="s">
        <v>282</v>
      </c>
      <c r="L212" s="37" t="s">
        <v>1968</v>
      </c>
      <c r="M212" s="37" t="s">
        <v>1012</v>
      </c>
      <c r="N212" s="37" t="s">
        <v>242</v>
      </c>
      <c r="O212" s="37" t="s">
        <v>335</v>
      </c>
      <c r="P212" s="40" t="s">
        <v>1985</v>
      </c>
      <c r="Q212" s="40" t="s">
        <v>1986</v>
      </c>
      <c r="R212" s="37" t="s">
        <v>255</v>
      </c>
      <c r="S212" s="41" t="s">
        <v>1044</v>
      </c>
    </row>
    <row r="213" spans="1:19" x14ac:dyDescent="0.3">
      <c r="A213" s="38" t="s">
        <v>1987</v>
      </c>
      <c r="B213" s="38" t="s">
        <v>1988</v>
      </c>
      <c r="C213" s="38" t="s">
        <v>1103</v>
      </c>
      <c r="D213" s="38" t="s">
        <v>1989</v>
      </c>
      <c r="E213" s="42">
        <v>460</v>
      </c>
      <c r="F213" s="38" t="s">
        <v>1042</v>
      </c>
      <c r="G213" s="38" t="s">
        <v>1055</v>
      </c>
      <c r="H213" s="38" t="s">
        <v>239</v>
      </c>
      <c r="I213" s="38" t="s">
        <v>239</v>
      </c>
      <c r="J213" s="38" t="s">
        <v>239</v>
      </c>
      <c r="K213" s="38" t="s">
        <v>282</v>
      </c>
      <c r="L213" s="38" t="s">
        <v>1049</v>
      </c>
      <c r="M213" s="38" t="s">
        <v>1012</v>
      </c>
      <c r="N213" s="38" t="s">
        <v>242</v>
      </c>
      <c r="O213" s="38" t="s">
        <v>335</v>
      </c>
      <c r="P213" s="43" t="s">
        <v>1990</v>
      </c>
      <c r="Q213" s="43" t="s">
        <v>1991</v>
      </c>
      <c r="R213" s="38" t="s">
        <v>255</v>
      </c>
      <c r="S213" s="44" t="s">
        <v>1044</v>
      </c>
    </row>
    <row r="214" spans="1:19" ht="43.2" x14ac:dyDescent="0.3">
      <c r="A214" s="37" t="s">
        <v>1992</v>
      </c>
      <c r="B214" s="37" t="s">
        <v>1993</v>
      </c>
      <c r="C214" s="37" t="s">
        <v>418</v>
      </c>
      <c r="D214" s="37" t="s">
        <v>1994</v>
      </c>
      <c r="E214" s="39">
        <v>615</v>
      </c>
      <c r="F214" s="37" t="s">
        <v>1042</v>
      </c>
      <c r="G214" s="37" t="s">
        <v>1135</v>
      </c>
      <c r="H214" s="37" t="s">
        <v>239</v>
      </c>
      <c r="I214" s="37" t="s">
        <v>239</v>
      </c>
      <c r="J214" s="37" t="s">
        <v>239</v>
      </c>
      <c r="K214" s="37" t="s">
        <v>282</v>
      </c>
      <c r="L214" s="37" t="s">
        <v>1062</v>
      </c>
      <c r="M214" s="37" t="s">
        <v>1012</v>
      </c>
      <c r="N214" s="37" t="s">
        <v>242</v>
      </c>
      <c r="O214" s="37" t="s">
        <v>335</v>
      </c>
      <c r="P214" s="40" t="s">
        <v>1995</v>
      </c>
      <c r="Q214" s="40" t="s">
        <v>1996</v>
      </c>
      <c r="R214" s="37" t="s">
        <v>255</v>
      </c>
      <c r="S214" s="41" t="s">
        <v>1044</v>
      </c>
    </row>
    <row r="215" spans="1:19" x14ac:dyDescent="0.3">
      <c r="A215" s="38" t="s">
        <v>1997</v>
      </c>
      <c r="B215" s="38" t="s">
        <v>1998</v>
      </c>
      <c r="C215" s="38" t="s">
        <v>418</v>
      </c>
      <c r="D215" s="38" t="s">
        <v>1474</v>
      </c>
      <c r="E215" s="42">
        <v>190</v>
      </c>
      <c r="F215" s="38" t="s">
        <v>1042</v>
      </c>
      <c r="G215" s="38" t="s">
        <v>1047</v>
      </c>
      <c r="H215" s="38" t="s">
        <v>1048</v>
      </c>
      <c r="I215" s="38" t="s">
        <v>1048</v>
      </c>
      <c r="J215" s="38" t="s">
        <v>281</v>
      </c>
      <c r="K215" s="38" t="s">
        <v>282</v>
      </c>
      <c r="L215" s="38" t="s">
        <v>1290</v>
      </c>
      <c r="M215" s="38" t="s">
        <v>1012</v>
      </c>
      <c r="N215" s="38" t="s">
        <v>242</v>
      </c>
      <c r="O215" s="38" t="s">
        <v>335</v>
      </c>
      <c r="P215" s="43" t="s">
        <v>1999</v>
      </c>
      <c r="Q215" s="43" t="s">
        <v>2000</v>
      </c>
      <c r="R215" s="38" t="s">
        <v>255</v>
      </c>
      <c r="S215" s="44" t="s">
        <v>1044</v>
      </c>
    </row>
    <row r="216" spans="1:19" ht="28.8" x14ac:dyDescent="0.3">
      <c r="A216" s="37" t="s">
        <v>2001</v>
      </c>
      <c r="B216" s="37" t="s">
        <v>2002</v>
      </c>
      <c r="C216" s="37" t="s">
        <v>1103</v>
      </c>
      <c r="D216" s="37" t="s">
        <v>1321</v>
      </c>
      <c r="E216" s="39">
        <v>150</v>
      </c>
      <c r="F216" s="37" t="s">
        <v>1061</v>
      </c>
      <c r="G216" s="37" t="s">
        <v>386</v>
      </c>
      <c r="H216" s="37" t="s">
        <v>386</v>
      </c>
      <c r="I216" s="37" t="s">
        <v>386</v>
      </c>
      <c r="J216" s="37" t="s">
        <v>386</v>
      </c>
      <c r="K216" s="37" t="s">
        <v>240</v>
      </c>
      <c r="L216" s="37" t="s">
        <v>1469</v>
      </c>
      <c r="M216" s="37" t="s">
        <v>1063</v>
      </c>
      <c r="N216" s="37" t="s">
        <v>242</v>
      </c>
      <c r="O216" s="37" t="s">
        <v>335</v>
      </c>
      <c r="P216" s="40" t="s">
        <v>2003</v>
      </c>
      <c r="Q216" s="40"/>
      <c r="R216" s="37" t="s">
        <v>255</v>
      </c>
      <c r="S216" s="41" t="s">
        <v>1044</v>
      </c>
    </row>
    <row r="217" spans="1:19" x14ac:dyDescent="0.3">
      <c r="A217" s="38" t="s">
        <v>2004</v>
      </c>
      <c r="B217" s="38" t="s">
        <v>2005</v>
      </c>
      <c r="C217" s="38" t="s">
        <v>241</v>
      </c>
      <c r="D217" s="38" t="s">
        <v>1273</v>
      </c>
      <c r="E217" s="42">
        <v>40</v>
      </c>
      <c r="F217" s="38" t="s">
        <v>1061</v>
      </c>
      <c r="G217" s="38" t="s">
        <v>239</v>
      </c>
      <c r="H217" s="38" t="s">
        <v>239</v>
      </c>
      <c r="I217" s="38" t="s">
        <v>239</v>
      </c>
      <c r="J217" s="38" t="s">
        <v>239</v>
      </c>
      <c r="K217" s="38" t="s">
        <v>240</v>
      </c>
      <c r="L217" s="38" t="s">
        <v>522</v>
      </c>
      <c r="M217" s="38" t="s">
        <v>1063</v>
      </c>
      <c r="N217" s="38" t="s">
        <v>242</v>
      </c>
      <c r="O217" s="38" t="s">
        <v>335</v>
      </c>
      <c r="P217" s="43" t="s">
        <v>2006</v>
      </c>
      <c r="Q217" s="43"/>
      <c r="R217" s="38" t="s">
        <v>255</v>
      </c>
      <c r="S217" s="44" t="s">
        <v>1044</v>
      </c>
    </row>
    <row r="218" spans="1:19" ht="43.2" x14ac:dyDescent="0.3">
      <c r="A218" s="37" t="s">
        <v>2007</v>
      </c>
      <c r="B218" s="37" t="s">
        <v>2008</v>
      </c>
      <c r="C218" s="37" t="s">
        <v>1103</v>
      </c>
      <c r="D218" s="37" t="s">
        <v>2009</v>
      </c>
      <c r="E218" s="39">
        <v>180</v>
      </c>
      <c r="F218" s="37" t="s">
        <v>1061</v>
      </c>
      <c r="G218" s="37" t="s">
        <v>386</v>
      </c>
      <c r="H218" s="37" t="s">
        <v>386</v>
      </c>
      <c r="I218" s="37" t="s">
        <v>386</v>
      </c>
      <c r="J218" s="37" t="s">
        <v>386</v>
      </c>
      <c r="K218" s="37" t="s">
        <v>240</v>
      </c>
      <c r="L218" s="37" t="s">
        <v>1602</v>
      </c>
      <c r="M218" s="37" t="s">
        <v>1063</v>
      </c>
      <c r="N218" s="37" t="s">
        <v>242</v>
      </c>
      <c r="O218" s="37" t="s">
        <v>335</v>
      </c>
      <c r="P218" s="40" t="s">
        <v>2010</v>
      </c>
      <c r="Q218" s="40"/>
      <c r="R218" s="37" t="s">
        <v>255</v>
      </c>
      <c r="S218" s="41" t="s">
        <v>1044</v>
      </c>
    </row>
    <row r="219" spans="1:19" x14ac:dyDescent="0.3">
      <c r="A219" s="38" t="s">
        <v>2011</v>
      </c>
      <c r="B219" s="38" t="s">
        <v>2012</v>
      </c>
      <c r="C219" s="38" t="s">
        <v>1103</v>
      </c>
      <c r="D219" s="38" t="s">
        <v>1778</v>
      </c>
      <c r="E219" s="42">
        <v>600</v>
      </c>
      <c r="F219" s="38" t="s">
        <v>1061</v>
      </c>
      <c r="G219" s="38" t="s">
        <v>239</v>
      </c>
      <c r="H219" s="38" t="s">
        <v>239</v>
      </c>
      <c r="I219" s="38" t="s">
        <v>239</v>
      </c>
      <c r="J219" s="38" t="s">
        <v>239</v>
      </c>
      <c r="K219" s="38" t="s">
        <v>240</v>
      </c>
      <c r="L219" s="38" t="s">
        <v>1062</v>
      </c>
      <c r="M219" s="38" t="s">
        <v>1063</v>
      </c>
      <c r="N219" s="38" t="s">
        <v>242</v>
      </c>
      <c r="O219" s="38" t="s">
        <v>335</v>
      </c>
      <c r="P219" s="43" t="s">
        <v>2013</v>
      </c>
      <c r="Q219" s="43"/>
      <c r="R219" s="38" t="s">
        <v>255</v>
      </c>
      <c r="S219" s="44" t="s">
        <v>1044</v>
      </c>
    </row>
    <row r="220" spans="1:19" x14ac:dyDescent="0.3">
      <c r="A220" s="37" t="s">
        <v>2014</v>
      </c>
      <c r="B220" s="37" t="s">
        <v>2015</v>
      </c>
      <c r="C220" s="37" t="s">
        <v>241</v>
      </c>
      <c r="D220" s="37" t="s">
        <v>2016</v>
      </c>
      <c r="E220" s="39">
        <v>80</v>
      </c>
      <c r="F220" s="37" t="s">
        <v>1061</v>
      </c>
      <c r="G220" s="37" t="s">
        <v>239</v>
      </c>
      <c r="H220" s="37" t="s">
        <v>239</v>
      </c>
      <c r="I220" s="37" t="s">
        <v>239</v>
      </c>
      <c r="J220" s="37" t="s">
        <v>239</v>
      </c>
      <c r="K220" s="37" t="s">
        <v>240</v>
      </c>
      <c r="L220" s="37" t="s">
        <v>1062</v>
      </c>
      <c r="M220" s="37" t="s">
        <v>1063</v>
      </c>
      <c r="N220" s="37" t="s">
        <v>242</v>
      </c>
      <c r="O220" s="37" t="s">
        <v>335</v>
      </c>
      <c r="P220" s="40" t="s">
        <v>2017</v>
      </c>
      <c r="Q220" s="40"/>
      <c r="R220" s="37" t="s">
        <v>255</v>
      </c>
      <c r="S220" s="41" t="s">
        <v>1044</v>
      </c>
    </row>
    <row r="221" spans="1:19" x14ac:dyDescent="0.3">
      <c r="A221" s="38" t="s">
        <v>2018</v>
      </c>
      <c r="B221" s="38" t="s">
        <v>2019</v>
      </c>
      <c r="C221" s="38" t="s">
        <v>1103</v>
      </c>
      <c r="D221" s="38" t="s">
        <v>2020</v>
      </c>
      <c r="E221" s="42">
        <v>240</v>
      </c>
      <c r="F221" s="38" t="s">
        <v>1061</v>
      </c>
      <c r="G221" s="38" t="s">
        <v>1047</v>
      </c>
      <c r="H221" s="38" t="s">
        <v>1048</v>
      </c>
      <c r="I221" s="38" t="s">
        <v>1048</v>
      </c>
      <c r="J221" s="38" t="s">
        <v>281</v>
      </c>
      <c r="K221" s="38" t="s">
        <v>282</v>
      </c>
      <c r="L221" s="38" t="s">
        <v>1049</v>
      </c>
      <c r="M221" s="38" t="s">
        <v>1012</v>
      </c>
      <c r="N221" s="38" t="s">
        <v>242</v>
      </c>
      <c r="O221" s="38" t="s">
        <v>335</v>
      </c>
      <c r="P221" s="43" t="s">
        <v>2021</v>
      </c>
      <c r="Q221" s="43" t="s">
        <v>2022</v>
      </c>
      <c r="R221" s="38" t="s">
        <v>255</v>
      </c>
      <c r="S221" s="44" t="s">
        <v>1044</v>
      </c>
    </row>
    <row r="222" spans="1:19" ht="43.2" x14ac:dyDescent="0.3">
      <c r="A222" s="37" t="s">
        <v>2023</v>
      </c>
      <c r="B222" s="37" t="s">
        <v>2024</v>
      </c>
      <c r="C222" s="37" t="s">
        <v>1103</v>
      </c>
      <c r="D222" s="37" t="s">
        <v>1208</v>
      </c>
      <c r="E222" s="39">
        <v>260</v>
      </c>
      <c r="F222" s="37" t="s">
        <v>1061</v>
      </c>
      <c r="G222" s="37" t="s">
        <v>1135</v>
      </c>
      <c r="H222" s="37" t="s">
        <v>239</v>
      </c>
      <c r="I222" s="37" t="s">
        <v>239</v>
      </c>
      <c r="J222" s="37" t="s">
        <v>239</v>
      </c>
      <c r="K222" s="37" t="s">
        <v>282</v>
      </c>
      <c r="L222" s="37" t="s">
        <v>1049</v>
      </c>
      <c r="M222" s="37" t="s">
        <v>1012</v>
      </c>
      <c r="N222" s="37" t="s">
        <v>242</v>
      </c>
      <c r="O222" s="37" t="s">
        <v>335</v>
      </c>
      <c r="P222" s="40" t="s">
        <v>2025</v>
      </c>
      <c r="Q222" s="40" t="s">
        <v>2026</v>
      </c>
      <c r="R222" s="37" t="s">
        <v>255</v>
      </c>
      <c r="S222" s="41" t="s">
        <v>1044</v>
      </c>
    </row>
    <row r="223" spans="1:19" ht="28.8" x14ac:dyDescent="0.3">
      <c r="A223" s="38" t="s">
        <v>2027</v>
      </c>
      <c r="B223" s="38" t="s">
        <v>2028</v>
      </c>
      <c r="C223" s="38" t="s">
        <v>1103</v>
      </c>
      <c r="D223" s="38" t="s">
        <v>1641</v>
      </c>
      <c r="E223" s="42">
        <v>450</v>
      </c>
      <c r="F223" s="38" t="s">
        <v>1061</v>
      </c>
      <c r="G223" s="38" t="s">
        <v>1047</v>
      </c>
      <c r="H223" s="38" t="s">
        <v>1048</v>
      </c>
      <c r="I223" s="38" t="s">
        <v>1048</v>
      </c>
      <c r="J223" s="38" t="s">
        <v>281</v>
      </c>
      <c r="K223" s="38" t="s">
        <v>282</v>
      </c>
      <c r="L223" s="38" t="s">
        <v>1049</v>
      </c>
      <c r="M223" s="38" t="s">
        <v>1012</v>
      </c>
      <c r="N223" s="38" t="s">
        <v>242</v>
      </c>
      <c r="O223" s="38" t="s">
        <v>335</v>
      </c>
      <c r="P223" s="43" t="s">
        <v>2029</v>
      </c>
      <c r="Q223" s="43" t="s">
        <v>2030</v>
      </c>
      <c r="R223" s="38" t="s">
        <v>255</v>
      </c>
      <c r="S223" s="44" t="s">
        <v>1044</v>
      </c>
    </row>
    <row r="224" spans="1:19" ht="43.2" x14ac:dyDescent="0.3">
      <c r="A224" s="37" t="s">
        <v>2031</v>
      </c>
      <c r="B224" s="37" t="s">
        <v>2032</v>
      </c>
      <c r="C224" s="37" t="s">
        <v>1103</v>
      </c>
      <c r="D224" s="37" t="s">
        <v>2033</v>
      </c>
      <c r="E224" s="39">
        <v>120</v>
      </c>
      <c r="F224" s="37" t="s">
        <v>1061</v>
      </c>
      <c r="G224" s="37" t="s">
        <v>1135</v>
      </c>
      <c r="H224" s="37" t="s">
        <v>239</v>
      </c>
      <c r="I224" s="37" t="s">
        <v>239</v>
      </c>
      <c r="J224" s="37" t="s">
        <v>239</v>
      </c>
      <c r="K224" s="37" t="s">
        <v>282</v>
      </c>
      <c r="L224" s="37" t="s">
        <v>1049</v>
      </c>
      <c r="M224" s="37" t="s">
        <v>1012</v>
      </c>
      <c r="N224" s="37" t="s">
        <v>242</v>
      </c>
      <c r="O224" s="37" t="s">
        <v>335</v>
      </c>
      <c r="P224" s="40" t="s">
        <v>2034</v>
      </c>
      <c r="Q224" s="40" t="s">
        <v>2035</v>
      </c>
      <c r="R224" s="37" t="s">
        <v>255</v>
      </c>
      <c r="S224" s="41" t="s">
        <v>1044</v>
      </c>
    </row>
    <row r="225" spans="1:19" x14ac:dyDescent="0.3">
      <c r="A225" s="38" t="s">
        <v>2036</v>
      </c>
      <c r="B225" s="38" t="s">
        <v>2037</v>
      </c>
      <c r="C225" s="38" t="s">
        <v>362</v>
      </c>
      <c r="D225" s="38" t="s">
        <v>1675</v>
      </c>
      <c r="E225" s="42">
        <v>2700</v>
      </c>
      <c r="F225" s="38" t="s">
        <v>1061</v>
      </c>
      <c r="G225" s="38" t="s">
        <v>1118</v>
      </c>
      <c r="H225" s="38" t="s">
        <v>1119</v>
      </c>
      <c r="I225" s="38" t="s">
        <v>1119</v>
      </c>
      <c r="J225" s="38" t="s">
        <v>405</v>
      </c>
      <c r="K225" s="38" t="s">
        <v>240</v>
      </c>
      <c r="L225" s="38" t="s">
        <v>1120</v>
      </c>
      <c r="M225" s="38" t="s">
        <v>1063</v>
      </c>
      <c r="N225" s="38" t="s">
        <v>242</v>
      </c>
      <c r="O225" s="38" t="s">
        <v>335</v>
      </c>
      <c r="P225" s="43" t="s">
        <v>2038</v>
      </c>
      <c r="Q225" s="43"/>
      <c r="R225" s="38" t="s">
        <v>255</v>
      </c>
      <c r="S225" s="44" t="s">
        <v>1044</v>
      </c>
    </row>
    <row r="226" spans="1:19" ht="43.2" x14ac:dyDescent="0.3">
      <c r="A226" s="37" t="s">
        <v>2039</v>
      </c>
      <c r="B226" s="37" t="s">
        <v>2040</v>
      </c>
      <c r="C226" s="37" t="s">
        <v>241</v>
      </c>
      <c r="D226" s="37" t="s">
        <v>2041</v>
      </c>
      <c r="E226" s="39">
        <v>1150</v>
      </c>
      <c r="F226" s="37" t="s">
        <v>1061</v>
      </c>
      <c r="G226" s="37" t="s">
        <v>1135</v>
      </c>
      <c r="H226" s="37" t="s">
        <v>239</v>
      </c>
      <c r="I226" s="37" t="s">
        <v>239</v>
      </c>
      <c r="J226" s="37" t="s">
        <v>239</v>
      </c>
      <c r="K226" s="37" t="s">
        <v>240</v>
      </c>
      <c r="L226" s="37" t="s">
        <v>252</v>
      </c>
      <c r="M226" s="37" t="s">
        <v>1063</v>
      </c>
      <c r="N226" s="37" t="s">
        <v>242</v>
      </c>
      <c r="O226" s="37" t="s">
        <v>335</v>
      </c>
      <c r="P226" s="40" t="s">
        <v>2042</v>
      </c>
      <c r="Q226" s="40"/>
      <c r="R226" s="37" t="s">
        <v>255</v>
      </c>
      <c r="S226" s="41" t="s">
        <v>1044</v>
      </c>
    </row>
    <row r="227" spans="1:19" ht="28.8" x14ac:dyDescent="0.3">
      <c r="A227" s="38" t="s">
        <v>2043</v>
      </c>
      <c r="B227" s="38" t="s">
        <v>2044</v>
      </c>
      <c r="C227" s="38" t="s">
        <v>1103</v>
      </c>
      <c r="D227" s="38" t="s">
        <v>2045</v>
      </c>
      <c r="E227" s="42">
        <v>1900</v>
      </c>
      <c r="F227" s="38" t="s">
        <v>1061</v>
      </c>
      <c r="G227" s="38" t="s">
        <v>1079</v>
      </c>
      <c r="H227" s="38" t="s">
        <v>239</v>
      </c>
      <c r="I227" s="38" t="s">
        <v>239</v>
      </c>
      <c r="J227" s="38" t="s">
        <v>239</v>
      </c>
      <c r="K227" s="38" t="s">
        <v>240</v>
      </c>
      <c r="L227" s="38" t="s">
        <v>1049</v>
      </c>
      <c r="M227" s="38" t="s">
        <v>1063</v>
      </c>
      <c r="N227" s="38" t="s">
        <v>242</v>
      </c>
      <c r="O227" s="38" t="s">
        <v>335</v>
      </c>
      <c r="P227" s="43" t="s">
        <v>2046</v>
      </c>
      <c r="Q227" s="43"/>
      <c r="R227" s="38" t="s">
        <v>255</v>
      </c>
      <c r="S227" s="44" t="s">
        <v>1044</v>
      </c>
    </row>
    <row r="228" spans="1:19" ht="28.8" x14ac:dyDescent="0.3">
      <c r="A228" s="37" t="s">
        <v>2047</v>
      </c>
      <c r="B228" s="37" t="s">
        <v>2048</v>
      </c>
      <c r="C228" s="37" t="s">
        <v>1103</v>
      </c>
      <c r="D228" s="37" t="s">
        <v>1389</v>
      </c>
      <c r="E228" s="39">
        <v>1400</v>
      </c>
      <c r="F228" s="37" t="s">
        <v>1061</v>
      </c>
      <c r="G228" s="37" t="s">
        <v>1079</v>
      </c>
      <c r="H228" s="37" t="s">
        <v>239</v>
      </c>
      <c r="I228" s="37" t="s">
        <v>239</v>
      </c>
      <c r="J228" s="37" t="s">
        <v>239</v>
      </c>
      <c r="K228" s="37" t="s">
        <v>240</v>
      </c>
      <c r="L228" s="37" t="s">
        <v>1049</v>
      </c>
      <c r="M228" s="37" t="s">
        <v>1063</v>
      </c>
      <c r="N228" s="37" t="s">
        <v>242</v>
      </c>
      <c r="O228" s="37" t="s">
        <v>335</v>
      </c>
      <c r="P228" s="40" t="s">
        <v>2049</v>
      </c>
      <c r="Q228" s="40"/>
      <c r="R228" s="37" t="s">
        <v>255</v>
      </c>
      <c r="S228" s="41" t="s">
        <v>1044</v>
      </c>
    </row>
    <row r="229" spans="1:19" ht="28.8" x14ac:dyDescent="0.3">
      <c r="A229" s="38" t="s">
        <v>2050</v>
      </c>
      <c r="B229" s="38" t="s">
        <v>2051</v>
      </c>
      <c r="C229" s="38" t="s">
        <v>306</v>
      </c>
      <c r="D229" s="38" t="s">
        <v>1722</v>
      </c>
      <c r="E229" s="42">
        <v>900</v>
      </c>
      <c r="F229" s="38" t="s">
        <v>1061</v>
      </c>
      <c r="G229" s="38" t="s">
        <v>1368</v>
      </c>
      <c r="H229" s="38" t="s">
        <v>1369</v>
      </c>
      <c r="I229" s="38" t="s">
        <v>1369</v>
      </c>
      <c r="J229" s="38" t="s">
        <v>360</v>
      </c>
      <c r="K229" s="38" t="s">
        <v>240</v>
      </c>
      <c r="L229" s="38" t="s">
        <v>1501</v>
      </c>
      <c r="M229" s="38" t="s">
        <v>1063</v>
      </c>
      <c r="N229" s="38" t="s">
        <v>242</v>
      </c>
      <c r="O229" s="38" t="s">
        <v>335</v>
      </c>
      <c r="P229" s="43" t="s">
        <v>2052</v>
      </c>
      <c r="Q229" s="43"/>
      <c r="R229" s="38" t="s">
        <v>255</v>
      </c>
      <c r="S229" s="44" t="s">
        <v>1044</v>
      </c>
    </row>
    <row r="230" spans="1:19" ht="28.8" x14ac:dyDescent="0.3">
      <c r="A230" s="37" t="s">
        <v>2053</v>
      </c>
      <c r="B230" s="37" t="s">
        <v>2054</v>
      </c>
      <c r="C230" s="37" t="s">
        <v>306</v>
      </c>
      <c r="D230" s="37" t="s">
        <v>1389</v>
      </c>
      <c r="E230" s="39">
        <v>1400</v>
      </c>
      <c r="F230" s="37" t="s">
        <v>1061</v>
      </c>
      <c r="G230" s="37" t="s">
        <v>1368</v>
      </c>
      <c r="H230" s="37" t="s">
        <v>1369</v>
      </c>
      <c r="I230" s="37" t="s">
        <v>1369</v>
      </c>
      <c r="J230" s="37" t="s">
        <v>360</v>
      </c>
      <c r="K230" s="37" t="s">
        <v>240</v>
      </c>
      <c r="L230" s="37" t="s">
        <v>1501</v>
      </c>
      <c r="M230" s="37" t="s">
        <v>1063</v>
      </c>
      <c r="N230" s="37" t="s">
        <v>242</v>
      </c>
      <c r="O230" s="37" t="s">
        <v>335</v>
      </c>
      <c r="P230" s="40" t="s">
        <v>2055</v>
      </c>
      <c r="Q230" s="40"/>
      <c r="R230" s="37" t="s">
        <v>255</v>
      </c>
      <c r="S230" s="41" t="s">
        <v>1044</v>
      </c>
    </row>
    <row r="231" spans="1:19" x14ac:dyDescent="0.3">
      <c r="A231" s="38" t="s">
        <v>2056</v>
      </c>
      <c r="B231" s="38" t="s">
        <v>2057</v>
      </c>
      <c r="C231" s="38" t="s">
        <v>306</v>
      </c>
      <c r="D231" s="38" t="s">
        <v>1112</v>
      </c>
      <c r="E231" s="42">
        <v>350</v>
      </c>
      <c r="F231" s="38" t="s">
        <v>1061</v>
      </c>
      <c r="G231" s="38" t="s">
        <v>1368</v>
      </c>
      <c r="H231" s="38" t="s">
        <v>1369</v>
      </c>
      <c r="I231" s="38" t="s">
        <v>1369</v>
      </c>
      <c r="J231" s="38" t="s">
        <v>360</v>
      </c>
      <c r="K231" s="38" t="s">
        <v>240</v>
      </c>
      <c r="L231" s="38" t="s">
        <v>1501</v>
      </c>
      <c r="M231" s="38" t="s">
        <v>1063</v>
      </c>
      <c r="N231" s="38" t="s">
        <v>242</v>
      </c>
      <c r="O231" s="38" t="s">
        <v>335</v>
      </c>
      <c r="P231" s="43" t="s">
        <v>2058</v>
      </c>
      <c r="Q231" s="43"/>
      <c r="R231" s="38" t="s">
        <v>255</v>
      </c>
      <c r="S231" s="44" t="s">
        <v>1044</v>
      </c>
    </row>
    <row r="232" spans="1:19" ht="43.2" x14ac:dyDescent="0.3">
      <c r="A232" s="37" t="s">
        <v>2059</v>
      </c>
      <c r="B232" s="37" t="s">
        <v>2060</v>
      </c>
      <c r="C232" s="37" t="s">
        <v>1103</v>
      </c>
      <c r="D232" s="37" t="s">
        <v>2061</v>
      </c>
      <c r="E232" s="39">
        <v>100</v>
      </c>
      <c r="F232" s="37" t="s">
        <v>1061</v>
      </c>
      <c r="G232" s="37" t="s">
        <v>1135</v>
      </c>
      <c r="H232" s="37" t="s">
        <v>239</v>
      </c>
      <c r="I232" s="37" t="s">
        <v>239</v>
      </c>
      <c r="J232" s="37" t="s">
        <v>239</v>
      </c>
      <c r="K232" s="37" t="s">
        <v>240</v>
      </c>
      <c r="L232" s="37" t="s">
        <v>1113</v>
      </c>
      <c r="M232" s="37" t="s">
        <v>1063</v>
      </c>
      <c r="N232" s="37" t="s">
        <v>242</v>
      </c>
      <c r="O232" s="37" t="s">
        <v>335</v>
      </c>
      <c r="P232" s="40" t="s">
        <v>2062</v>
      </c>
      <c r="Q232" s="40"/>
      <c r="R232" s="37" t="s">
        <v>255</v>
      </c>
      <c r="S232" s="41" t="s">
        <v>1044</v>
      </c>
    </row>
    <row r="233" spans="1:19" ht="43.2" x14ac:dyDescent="0.3">
      <c r="A233" s="38" t="s">
        <v>2063</v>
      </c>
      <c r="B233" s="38" t="s">
        <v>2064</v>
      </c>
      <c r="C233" s="38" t="s">
        <v>241</v>
      </c>
      <c r="D233" s="38" t="s">
        <v>1060</v>
      </c>
      <c r="E233" s="42">
        <v>250</v>
      </c>
      <c r="F233" s="38" t="s">
        <v>1061</v>
      </c>
      <c r="G233" s="38" t="s">
        <v>1135</v>
      </c>
      <c r="H233" s="38" t="s">
        <v>239</v>
      </c>
      <c r="I233" s="38" t="s">
        <v>239</v>
      </c>
      <c r="J233" s="38" t="s">
        <v>239</v>
      </c>
      <c r="K233" s="38" t="s">
        <v>240</v>
      </c>
      <c r="L233" s="38" t="s">
        <v>522</v>
      </c>
      <c r="M233" s="38" t="s">
        <v>1063</v>
      </c>
      <c r="N233" s="38" t="s">
        <v>242</v>
      </c>
      <c r="O233" s="38" t="s">
        <v>335</v>
      </c>
      <c r="P233" s="43" t="s">
        <v>2065</v>
      </c>
      <c r="Q233" s="43"/>
      <c r="R233" s="38" t="s">
        <v>255</v>
      </c>
      <c r="S233" s="44" t="s">
        <v>1044</v>
      </c>
    </row>
    <row r="234" spans="1:19" x14ac:dyDescent="0.3">
      <c r="A234" s="37" t="s">
        <v>2066</v>
      </c>
      <c r="B234" s="37" t="s">
        <v>452</v>
      </c>
      <c r="C234" s="37" t="s">
        <v>241</v>
      </c>
      <c r="D234" s="37" t="s">
        <v>1904</v>
      </c>
      <c r="E234" s="39">
        <v>680</v>
      </c>
      <c r="F234" s="37" t="s">
        <v>1061</v>
      </c>
      <c r="G234" s="37" t="s">
        <v>1047</v>
      </c>
      <c r="H234" s="37" t="s">
        <v>1048</v>
      </c>
      <c r="I234" s="37" t="s">
        <v>1048</v>
      </c>
      <c r="J234" s="37" t="s">
        <v>281</v>
      </c>
      <c r="K234" s="37" t="s">
        <v>240</v>
      </c>
      <c r="L234" s="37" t="s">
        <v>1290</v>
      </c>
      <c r="M234" s="37" t="s">
        <v>1063</v>
      </c>
      <c r="N234" s="37" t="s">
        <v>242</v>
      </c>
      <c r="O234" s="37" t="s">
        <v>335</v>
      </c>
      <c r="P234" s="40" t="s">
        <v>2067</v>
      </c>
      <c r="Q234" s="40"/>
      <c r="R234" s="37" t="s">
        <v>255</v>
      </c>
      <c r="S234" s="41" t="s">
        <v>1044</v>
      </c>
    </row>
    <row r="235" spans="1:19" ht="57.6" x14ac:dyDescent="0.3">
      <c r="A235" s="38" t="s">
        <v>2068</v>
      </c>
      <c r="B235" s="38" t="s">
        <v>2069</v>
      </c>
      <c r="C235" s="38" t="s">
        <v>241</v>
      </c>
      <c r="D235" s="38" t="s">
        <v>2070</v>
      </c>
      <c r="E235" s="42">
        <v>195</v>
      </c>
      <c r="F235" s="38" t="s">
        <v>1061</v>
      </c>
      <c r="G235" s="38" t="s">
        <v>1135</v>
      </c>
      <c r="H235" s="38" t="s">
        <v>239</v>
      </c>
      <c r="I235" s="38" t="s">
        <v>239</v>
      </c>
      <c r="J235" s="38" t="s">
        <v>239</v>
      </c>
      <c r="K235" s="38" t="s">
        <v>240</v>
      </c>
      <c r="L235" s="38" t="s">
        <v>522</v>
      </c>
      <c r="M235" s="38" t="s">
        <v>1063</v>
      </c>
      <c r="N235" s="38" t="s">
        <v>242</v>
      </c>
      <c r="O235" s="38" t="s">
        <v>335</v>
      </c>
      <c r="P235" s="43" t="s">
        <v>2071</v>
      </c>
      <c r="Q235" s="43"/>
      <c r="R235" s="38" t="s">
        <v>255</v>
      </c>
      <c r="S235" s="44" t="s">
        <v>1044</v>
      </c>
    </row>
    <row r="236" spans="1:19" ht="57.6" x14ac:dyDescent="0.3">
      <c r="A236" s="37" t="s">
        <v>2072</v>
      </c>
      <c r="B236" s="37" t="s">
        <v>2073</v>
      </c>
      <c r="C236" s="37" t="s">
        <v>241</v>
      </c>
      <c r="D236" s="37" t="s">
        <v>2074</v>
      </c>
      <c r="E236" s="39">
        <v>208</v>
      </c>
      <c r="F236" s="37" t="s">
        <v>1061</v>
      </c>
      <c r="G236" s="37" t="s">
        <v>1047</v>
      </c>
      <c r="H236" s="37" t="s">
        <v>1048</v>
      </c>
      <c r="I236" s="37" t="s">
        <v>1048</v>
      </c>
      <c r="J236" s="37" t="s">
        <v>281</v>
      </c>
      <c r="K236" s="37" t="s">
        <v>240</v>
      </c>
      <c r="L236" s="37" t="s">
        <v>1290</v>
      </c>
      <c r="M236" s="37" t="s">
        <v>1063</v>
      </c>
      <c r="N236" s="37" t="s">
        <v>242</v>
      </c>
      <c r="O236" s="37" t="s">
        <v>335</v>
      </c>
      <c r="P236" s="40" t="s">
        <v>2075</v>
      </c>
      <c r="Q236" s="40"/>
      <c r="R236" s="37" t="s">
        <v>255</v>
      </c>
      <c r="S236" s="41" t="s">
        <v>1044</v>
      </c>
    </row>
    <row r="237" spans="1:19" x14ac:dyDescent="0.3">
      <c r="A237" s="38" t="s">
        <v>2076</v>
      </c>
      <c r="B237" s="38" t="s">
        <v>2077</v>
      </c>
      <c r="C237" s="38" t="s">
        <v>241</v>
      </c>
      <c r="D237" s="38" t="s">
        <v>1722</v>
      </c>
      <c r="E237" s="42">
        <v>900</v>
      </c>
      <c r="F237" s="38" t="s">
        <v>1061</v>
      </c>
      <c r="G237" s="38" t="s">
        <v>1079</v>
      </c>
      <c r="H237" s="38" t="s">
        <v>239</v>
      </c>
      <c r="I237" s="38" t="s">
        <v>239</v>
      </c>
      <c r="J237" s="38" t="s">
        <v>239</v>
      </c>
      <c r="K237" s="38" t="s">
        <v>240</v>
      </c>
      <c r="L237" s="38" t="s">
        <v>522</v>
      </c>
      <c r="M237" s="38" t="s">
        <v>1063</v>
      </c>
      <c r="N237" s="38" t="s">
        <v>242</v>
      </c>
      <c r="O237" s="38" t="s">
        <v>335</v>
      </c>
      <c r="P237" s="43" t="s">
        <v>2078</v>
      </c>
      <c r="Q237" s="43"/>
      <c r="R237" s="38" t="s">
        <v>255</v>
      </c>
      <c r="S237" s="44" t="s">
        <v>1044</v>
      </c>
    </row>
    <row r="238" spans="1:19" x14ac:dyDescent="0.3">
      <c r="A238" s="37" t="s">
        <v>2079</v>
      </c>
      <c r="B238" s="37" t="s">
        <v>2080</v>
      </c>
      <c r="C238" s="37" t="s">
        <v>241</v>
      </c>
      <c r="D238" s="37" t="s">
        <v>1204</v>
      </c>
      <c r="E238" s="39">
        <v>6500</v>
      </c>
      <c r="F238" s="37" t="s">
        <v>1061</v>
      </c>
      <c r="G238" s="37" t="s">
        <v>1079</v>
      </c>
      <c r="H238" s="37" t="s">
        <v>239</v>
      </c>
      <c r="I238" s="37" t="s">
        <v>239</v>
      </c>
      <c r="J238" s="37" t="s">
        <v>239</v>
      </c>
      <c r="K238" s="37" t="s">
        <v>240</v>
      </c>
      <c r="L238" s="37" t="s">
        <v>252</v>
      </c>
      <c r="M238" s="37" t="s">
        <v>1063</v>
      </c>
      <c r="N238" s="37" t="s">
        <v>242</v>
      </c>
      <c r="O238" s="37" t="s">
        <v>335</v>
      </c>
      <c r="P238" s="40" t="s">
        <v>2081</v>
      </c>
      <c r="Q238" s="40"/>
      <c r="R238" s="37" t="s">
        <v>255</v>
      </c>
      <c r="S238" s="41" t="s">
        <v>1044</v>
      </c>
    </row>
    <row r="239" spans="1:19" x14ac:dyDescent="0.3">
      <c r="A239" s="38" t="s">
        <v>2082</v>
      </c>
      <c r="B239" s="38" t="s">
        <v>2083</v>
      </c>
      <c r="C239" s="38" t="s">
        <v>1103</v>
      </c>
      <c r="D239" s="38" t="s">
        <v>1321</v>
      </c>
      <c r="E239" s="42">
        <v>150</v>
      </c>
      <c r="F239" s="38" t="s">
        <v>1061</v>
      </c>
      <c r="G239" s="38" t="s">
        <v>1086</v>
      </c>
      <c r="H239" s="38" t="s">
        <v>1086</v>
      </c>
      <c r="I239" s="38" t="s">
        <v>1086</v>
      </c>
      <c r="J239" s="38" t="s">
        <v>320</v>
      </c>
      <c r="K239" s="38" t="s">
        <v>240</v>
      </c>
      <c r="L239" s="38" t="s">
        <v>2084</v>
      </c>
      <c r="M239" s="38" t="s">
        <v>1063</v>
      </c>
      <c r="N239" s="38" t="s">
        <v>242</v>
      </c>
      <c r="O239" s="38" t="s">
        <v>335</v>
      </c>
      <c r="P239" s="43" t="s">
        <v>2085</v>
      </c>
      <c r="Q239" s="43"/>
      <c r="R239" s="38" t="s">
        <v>255</v>
      </c>
      <c r="S239" s="44" t="s">
        <v>1044</v>
      </c>
    </row>
    <row r="240" spans="1:19" ht="43.2" x14ac:dyDescent="0.3">
      <c r="A240" s="37" t="s">
        <v>2086</v>
      </c>
      <c r="B240" s="37" t="s">
        <v>2087</v>
      </c>
      <c r="C240" s="37" t="s">
        <v>241</v>
      </c>
      <c r="D240" s="37" t="s">
        <v>2088</v>
      </c>
      <c r="E240" s="39">
        <v>860</v>
      </c>
      <c r="F240" s="37" t="s">
        <v>1061</v>
      </c>
      <c r="G240" s="37" t="s">
        <v>1079</v>
      </c>
      <c r="H240" s="37" t="s">
        <v>239</v>
      </c>
      <c r="I240" s="37" t="s">
        <v>239</v>
      </c>
      <c r="J240" s="37" t="s">
        <v>239</v>
      </c>
      <c r="K240" s="37" t="s">
        <v>240</v>
      </c>
      <c r="L240" s="37" t="s">
        <v>522</v>
      </c>
      <c r="M240" s="37" t="s">
        <v>1063</v>
      </c>
      <c r="N240" s="37" t="s">
        <v>242</v>
      </c>
      <c r="O240" s="37" t="s">
        <v>335</v>
      </c>
      <c r="P240" s="40" t="s">
        <v>2089</v>
      </c>
      <c r="Q240" s="40"/>
      <c r="R240" s="37" t="s">
        <v>255</v>
      </c>
      <c r="S240" s="41" t="s">
        <v>1044</v>
      </c>
    </row>
    <row r="241" spans="1:19" ht="43.2" x14ac:dyDescent="0.3">
      <c r="A241" s="38" t="s">
        <v>2090</v>
      </c>
      <c r="B241" s="38" t="s">
        <v>2091</v>
      </c>
      <c r="C241" s="38" t="s">
        <v>241</v>
      </c>
      <c r="D241" s="38" t="s">
        <v>2092</v>
      </c>
      <c r="E241" s="42">
        <v>640</v>
      </c>
      <c r="F241" s="38" t="s">
        <v>1061</v>
      </c>
      <c r="G241" s="38" t="s">
        <v>1079</v>
      </c>
      <c r="H241" s="38" t="s">
        <v>239</v>
      </c>
      <c r="I241" s="38" t="s">
        <v>239</v>
      </c>
      <c r="J241" s="38" t="s">
        <v>239</v>
      </c>
      <c r="K241" s="38" t="s">
        <v>240</v>
      </c>
      <c r="L241" s="38" t="s">
        <v>522</v>
      </c>
      <c r="M241" s="38" t="s">
        <v>1063</v>
      </c>
      <c r="N241" s="38" t="s">
        <v>242</v>
      </c>
      <c r="O241" s="38" t="s">
        <v>335</v>
      </c>
      <c r="P241" s="43" t="s">
        <v>2093</v>
      </c>
      <c r="Q241" s="43"/>
      <c r="R241" s="38" t="s">
        <v>255</v>
      </c>
      <c r="S241" s="44" t="s">
        <v>1044</v>
      </c>
    </row>
    <row r="242" spans="1:19" x14ac:dyDescent="0.3">
      <c r="A242" s="37" t="s">
        <v>2094</v>
      </c>
      <c r="B242" s="37" t="s">
        <v>2095</v>
      </c>
      <c r="C242" s="37" t="s">
        <v>1103</v>
      </c>
      <c r="D242" s="37" t="s">
        <v>2096</v>
      </c>
      <c r="E242" s="39">
        <v>920</v>
      </c>
      <c r="F242" s="37" t="s">
        <v>1061</v>
      </c>
      <c r="G242" s="37" t="s">
        <v>1086</v>
      </c>
      <c r="H242" s="37" t="s">
        <v>1086</v>
      </c>
      <c r="I242" s="37" t="s">
        <v>1086</v>
      </c>
      <c r="J242" s="37" t="s">
        <v>320</v>
      </c>
      <c r="K242" s="37" t="s">
        <v>240</v>
      </c>
      <c r="L242" s="37" t="s">
        <v>1629</v>
      </c>
      <c r="M242" s="37" t="s">
        <v>1063</v>
      </c>
      <c r="N242" s="37" t="s">
        <v>242</v>
      </c>
      <c r="O242" s="37" t="s">
        <v>335</v>
      </c>
      <c r="P242" s="40" t="s">
        <v>2097</v>
      </c>
      <c r="Q242" s="40"/>
      <c r="R242" s="37" t="s">
        <v>255</v>
      </c>
      <c r="S242" s="41" t="s">
        <v>1044</v>
      </c>
    </row>
    <row r="243" spans="1:19" x14ac:dyDescent="0.3">
      <c r="A243" s="38" t="s">
        <v>2098</v>
      </c>
      <c r="B243" s="38" t="s">
        <v>2099</v>
      </c>
      <c r="C243" s="38" t="s">
        <v>1103</v>
      </c>
      <c r="D243" s="38" t="s">
        <v>1588</v>
      </c>
      <c r="E243" s="42">
        <v>500</v>
      </c>
      <c r="F243" s="38" t="s">
        <v>1061</v>
      </c>
      <c r="G243" s="38" t="s">
        <v>1723</v>
      </c>
      <c r="H243" s="38" t="s">
        <v>1724</v>
      </c>
      <c r="I243" s="38" t="s">
        <v>1724</v>
      </c>
      <c r="J243" s="38" t="s">
        <v>409</v>
      </c>
      <c r="K243" s="38" t="s">
        <v>240</v>
      </c>
      <c r="L243" s="38" t="s">
        <v>2100</v>
      </c>
      <c r="M243" s="38" t="s">
        <v>1063</v>
      </c>
      <c r="N243" s="38" t="s">
        <v>242</v>
      </c>
      <c r="O243" s="38" t="s">
        <v>335</v>
      </c>
      <c r="P243" s="43" t="s">
        <v>2101</v>
      </c>
      <c r="Q243" s="43"/>
      <c r="R243" s="38" t="s">
        <v>255</v>
      </c>
      <c r="S243" s="44" t="s">
        <v>1044</v>
      </c>
    </row>
    <row r="244" spans="1:19" x14ac:dyDescent="0.3">
      <c r="A244" s="37" t="s">
        <v>2102</v>
      </c>
      <c r="B244" s="37" t="s">
        <v>2103</v>
      </c>
      <c r="C244" s="37" t="s">
        <v>1103</v>
      </c>
      <c r="D244" s="37" t="s">
        <v>1588</v>
      </c>
      <c r="E244" s="39">
        <v>500</v>
      </c>
      <c r="F244" s="37" t="s">
        <v>1061</v>
      </c>
      <c r="G244" s="37" t="s">
        <v>1055</v>
      </c>
      <c r="H244" s="37" t="s">
        <v>239</v>
      </c>
      <c r="I244" s="37" t="s">
        <v>239</v>
      </c>
      <c r="J244" s="37" t="s">
        <v>239</v>
      </c>
      <c r="K244" s="37" t="s">
        <v>240</v>
      </c>
      <c r="L244" s="37" t="s">
        <v>1062</v>
      </c>
      <c r="M244" s="37" t="s">
        <v>1063</v>
      </c>
      <c r="N244" s="37" t="s">
        <v>242</v>
      </c>
      <c r="O244" s="37" t="s">
        <v>335</v>
      </c>
      <c r="P244" s="40" t="s">
        <v>2104</v>
      </c>
      <c r="Q244" s="40"/>
      <c r="R244" s="37" t="s">
        <v>255</v>
      </c>
      <c r="S244" s="41" t="s">
        <v>1044</v>
      </c>
    </row>
    <row r="245" spans="1:19" x14ac:dyDescent="0.3">
      <c r="A245" s="38" t="s">
        <v>2105</v>
      </c>
      <c r="B245" s="38" t="s">
        <v>2106</v>
      </c>
      <c r="C245" s="38" t="s">
        <v>1103</v>
      </c>
      <c r="D245" s="38" t="s">
        <v>2107</v>
      </c>
      <c r="E245" s="42">
        <v>750</v>
      </c>
      <c r="F245" s="38" t="s">
        <v>1061</v>
      </c>
      <c r="G245" s="38" t="s">
        <v>1723</v>
      </c>
      <c r="H245" s="38" t="s">
        <v>1724</v>
      </c>
      <c r="I245" s="38" t="s">
        <v>1724</v>
      </c>
      <c r="J245" s="38" t="s">
        <v>409</v>
      </c>
      <c r="K245" s="38" t="s">
        <v>240</v>
      </c>
      <c r="L245" s="38" t="s">
        <v>2100</v>
      </c>
      <c r="M245" s="38" t="s">
        <v>1063</v>
      </c>
      <c r="N245" s="38" t="s">
        <v>242</v>
      </c>
      <c r="O245" s="38" t="s">
        <v>335</v>
      </c>
      <c r="P245" s="43" t="s">
        <v>2108</v>
      </c>
      <c r="Q245" s="43"/>
      <c r="R245" s="38" t="s">
        <v>255</v>
      </c>
      <c r="S245" s="44" t="s">
        <v>1044</v>
      </c>
    </row>
    <row r="246" spans="1:19" ht="43.2" x14ac:dyDescent="0.3">
      <c r="A246" s="37" t="s">
        <v>2109</v>
      </c>
      <c r="B246" s="37" t="s">
        <v>2110</v>
      </c>
      <c r="C246" s="37" t="s">
        <v>1103</v>
      </c>
      <c r="D246" s="37" t="s">
        <v>1261</v>
      </c>
      <c r="E246" s="39">
        <v>1800</v>
      </c>
      <c r="F246" s="37" t="s">
        <v>1061</v>
      </c>
      <c r="G246" s="37" t="s">
        <v>1368</v>
      </c>
      <c r="H246" s="37" t="s">
        <v>1369</v>
      </c>
      <c r="I246" s="37" t="s">
        <v>1369</v>
      </c>
      <c r="J246" s="37" t="s">
        <v>360</v>
      </c>
      <c r="K246" s="37" t="s">
        <v>240</v>
      </c>
      <c r="L246" s="37" t="s">
        <v>1629</v>
      </c>
      <c r="M246" s="37" t="s">
        <v>1063</v>
      </c>
      <c r="N246" s="37" t="s">
        <v>242</v>
      </c>
      <c r="O246" s="37" t="s">
        <v>335</v>
      </c>
      <c r="P246" s="40" t="s">
        <v>2111</v>
      </c>
      <c r="Q246" s="40"/>
      <c r="R246" s="37" t="s">
        <v>255</v>
      </c>
      <c r="S246" s="41" t="s">
        <v>1044</v>
      </c>
    </row>
    <row r="247" spans="1:19" ht="43.2" x14ac:dyDescent="0.3">
      <c r="A247" s="38" t="s">
        <v>2112</v>
      </c>
      <c r="B247" s="38" t="s">
        <v>2113</v>
      </c>
      <c r="C247" s="38" t="s">
        <v>1103</v>
      </c>
      <c r="D247" s="38" t="s">
        <v>1778</v>
      </c>
      <c r="E247" s="42">
        <v>600</v>
      </c>
      <c r="F247" s="38" t="s">
        <v>1061</v>
      </c>
      <c r="G247" s="38" t="s">
        <v>1135</v>
      </c>
      <c r="H247" s="38" t="s">
        <v>239</v>
      </c>
      <c r="I247" s="38" t="s">
        <v>239</v>
      </c>
      <c r="J247" s="38" t="s">
        <v>239</v>
      </c>
      <c r="K247" s="38" t="s">
        <v>240</v>
      </c>
      <c r="L247" s="38" t="s">
        <v>1390</v>
      </c>
      <c r="M247" s="38" t="s">
        <v>1063</v>
      </c>
      <c r="N247" s="38" t="s">
        <v>242</v>
      </c>
      <c r="O247" s="38" t="s">
        <v>335</v>
      </c>
      <c r="P247" s="43" t="s">
        <v>2114</v>
      </c>
      <c r="Q247" s="43"/>
      <c r="R247" s="38" t="s">
        <v>255</v>
      </c>
      <c r="S247" s="44" t="s">
        <v>1044</v>
      </c>
    </row>
    <row r="248" spans="1:19" ht="28.8" x14ac:dyDescent="0.3">
      <c r="A248" s="37" t="s">
        <v>2115</v>
      </c>
      <c r="B248" s="37" t="s">
        <v>2116</v>
      </c>
      <c r="C248" s="37" t="s">
        <v>241</v>
      </c>
      <c r="D248" s="37" t="s">
        <v>1396</v>
      </c>
      <c r="E248" s="39">
        <v>70</v>
      </c>
      <c r="F248" s="37" t="s">
        <v>1061</v>
      </c>
      <c r="G248" s="37" t="s">
        <v>1086</v>
      </c>
      <c r="H248" s="37" t="s">
        <v>239</v>
      </c>
      <c r="I248" s="37" t="s">
        <v>239</v>
      </c>
      <c r="J248" s="37" t="s">
        <v>239</v>
      </c>
      <c r="K248" s="37" t="s">
        <v>240</v>
      </c>
      <c r="L248" s="37" t="s">
        <v>522</v>
      </c>
      <c r="M248" s="37" t="s">
        <v>1063</v>
      </c>
      <c r="N248" s="37" t="s">
        <v>242</v>
      </c>
      <c r="O248" s="37" t="s">
        <v>335</v>
      </c>
      <c r="P248" s="40" t="s">
        <v>2117</v>
      </c>
      <c r="Q248" s="40"/>
      <c r="R248" s="37" t="s">
        <v>255</v>
      </c>
      <c r="S248" s="41" t="s">
        <v>1044</v>
      </c>
    </row>
    <row r="249" spans="1:19" ht="28.8" x14ac:dyDescent="0.3">
      <c r="A249" s="38" t="s">
        <v>2118</v>
      </c>
      <c r="B249" s="38" t="s">
        <v>2119</v>
      </c>
      <c r="C249" s="38" t="s">
        <v>241</v>
      </c>
      <c r="D249" s="38" t="s">
        <v>2120</v>
      </c>
      <c r="E249" s="42">
        <v>230</v>
      </c>
      <c r="F249" s="38" t="s">
        <v>1061</v>
      </c>
      <c r="G249" s="38" t="s">
        <v>1079</v>
      </c>
      <c r="H249" s="38" t="s">
        <v>239</v>
      </c>
      <c r="I249" s="38" t="s">
        <v>239</v>
      </c>
      <c r="J249" s="38" t="s">
        <v>239</v>
      </c>
      <c r="K249" s="38" t="s">
        <v>240</v>
      </c>
      <c r="L249" s="38" t="s">
        <v>522</v>
      </c>
      <c r="M249" s="38" t="s">
        <v>1063</v>
      </c>
      <c r="N249" s="38" t="s">
        <v>242</v>
      </c>
      <c r="O249" s="38" t="s">
        <v>335</v>
      </c>
      <c r="P249" s="43" t="s">
        <v>2121</v>
      </c>
      <c r="Q249" s="43"/>
      <c r="R249" s="38" t="s">
        <v>255</v>
      </c>
      <c r="S249" s="44" t="s">
        <v>1044</v>
      </c>
    </row>
    <row r="250" spans="1:19" ht="28.8" x14ac:dyDescent="0.3">
      <c r="A250" s="37" t="s">
        <v>2122</v>
      </c>
      <c r="B250" s="37" t="s">
        <v>2123</v>
      </c>
      <c r="C250" s="37" t="s">
        <v>241</v>
      </c>
      <c r="D250" s="37" t="s">
        <v>1735</v>
      </c>
      <c r="E250" s="39">
        <v>220</v>
      </c>
      <c r="F250" s="37" t="s">
        <v>1061</v>
      </c>
      <c r="G250" s="37" t="s">
        <v>1079</v>
      </c>
      <c r="H250" s="37" t="s">
        <v>239</v>
      </c>
      <c r="I250" s="37" t="s">
        <v>239</v>
      </c>
      <c r="J250" s="37" t="s">
        <v>239</v>
      </c>
      <c r="K250" s="37" t="s">
        <v>240</v>
      </c>
      <c r="L250" s="37" t="s">
        <v>1113</v>
      </c>
      <c r="M250" s="37" t="s">
        <v>1063</v>
      </c>
      <c r="N250" s="37" t="s">
        <v>242</v>
      </c>
      <c r="O250" s="37" t="s">
        <v>335</v>
      </c>
      <c r="P250" s="40" t="s">
        <v>2124</v>
      </c>
      <c r="Q250" s="40"/>
      <c r="R250" s="37" t="s">
        <v>255</v>
      </c>
      <c r="S250" s="41" t="s">
        <v>1044</v>
      </c>
    </row>
    <row r="251" spans="1:19" ht="43.2" x14ac:dyDescent="0.3">
      <c r="A251" s="38" t="s">
        <v>2125</v>
      </c>
      <c r="B251" s="38" t="s">
        <v>2126</v>
      </c>
      <c r="C251" s="38" t="s">
        <v>241</v>
      </c>
      <c r="D251" s="38" t="s">
        <v>2127</v>
      </c>
      <c r="E251" s="42">
        <v>200</v>
      </c>
      <c r="F251" s="38" t="s">
        <v>1061</v>
      </c>
      <c r="G251" s="38" t="s">
        <v>1135</v>
      </c>
      <c r="H251" s="38" t="s">
        <v>239</v>
      </c>
      <c r="I251" s="38" t="s">
        <v>239</v>
      </c>
      <c r="J251" s="38" t="s">
        <v>239</v>
      </c>
      <c r="K251" s="38" t="s">
        <v>240</v>
      </c>
      <c r="L251" s="38" t="s">
        <v>1062</v>
      </c>
      <c r="M251" s="38" t="s">
        <v>1063</v>
      </c>
      <c r="N251" s="38" t="s">
        <v>242</v>
      </c>
      <c r="O251" s="38" t="s">
        <v>335</v>
      </c>
      <c r="P251" s="43" t="s">
        <v>2128</v>
      </c>
      <c r="Q251" s="43"/>
      <c r="R251" s="38" t="s">
        <v>255</v>
      </c>
      <c r="S251" s="44" t="s">
        <v>1044</v>
      </c>
    </row>
    <row r="252" spans="1:19" ht="43.2" x14ac:dyDescent="0.3">
      <c r="A252" s="37" t="s">
        <v>2129</v>
      </c>
      <c r="B252" s="37" t="s">
        <v>2130</v>
      </c>
      <c r="C252" s="37" t="s">
        <v>241</v>
      </c>
      <c r="D252" s="37" t="s">
        <v>2131</v>
      </c>
      <c r="E252" s="39">
        <v>130</v>
      </c>
      <c r="F252" s="37" t="s">
        <v>1061</v>
      </c>
      <c r="G252" s="37" t="s">
        <v>1135</v>
      </c>
      <c r="H252" s="37" t="s">
        <v>239</v>
      </c>
      <c r="I252" s="37" t="s">
        <v>239</v>
      </c>
      <c r="J252" s="37" t="s">
        <v>239</v>
      </c>
      <c r="K252" s="37" t="s">
        <v>240</v>
      </c>
      <c r="L252" s="37" t="s">
        <v>522</v>
      </c>
      <c r="M252" s="37" t="s">
        <v>1063</v>
      </c>
      <c r="N252" s="37" t="s">
        <v>242</v>
      </c>
      <c r="O252" s="37" t="s">
        <v>335</v>
      </c>
      <c r="P252" s="40" t="s">
        <v>2132</v>
      </c>
      <c r="Q252" s="40"/>
      <c r="R252" s="37" t="s">
        <v>255</v>
      </c>
      <c r="S252" s="41" t="s">
        <v>1044</v>
      </c>
    </row>
    <row r="253" spans="1:19" ht="57.6" x14ac:dyDescent="0.3">
      <c r="A253" s="38" t="s">
        <v>2133</v>
      </c>
      <c r="B253" s="38" t="s">
        <v>2134</v>
      </c>
      <c r="C253" s="38" t="s">
        <v>241</v>
      </c>
      <c r="D253" s="38" t="s">
        <v>2135</v>
      </c>
      <c r="E253" s="42">
        <v>289</v>
      </c>
      <c r="F253" s="38" t="s">
        <v>1061</v>
      </c>
      <c r="G253" s="38" t="s">
        <v>1055</v>
      </c>
      <c r="H253" s="38" t="s">
        <v>239</v>
      </c>
      <c r="I253" s="38" t="s">
        <v>239</v>
      </c>
      <c r="J253" s="38" t="s">
        <v>239</v>
      </c>
      <c r="K253" s="38" t="s">
        <v>240</v>
      </c>
      <c r="L253" s="38" t="s">
        <v>522</v>
      </c>
      <c r="M253" s="38" t="s">
        <v>1063</v>
      </c>
      <c r="N253" s="38" t="s">
        <v>242</v>
      </c>
      <c r="O253" s="38" t="s">
        <v>335</v>
      </c>
      <c r="P253" s="43" t="s">
        <v>2136</v>
      </c>
      <c r="Q253" s="43"/>
      <c r="R253" s="38" t="s">
        <v>255</v>
      </c>
      <c r="S253" s="44" t="s">
        <v>1044</v>
      </c>
    </row>
    <row r="254" spans="1:19" ht="57.6" x14ac:dyDescent="0.3">
      <c r="A254" s="37" t="s">
        <v>2137</v>
      </c>
      <c r="B254" s="37" t="s">
        <v>2138</v>
      </c>
      <c r="C254" s="37" t="s">
        <v>241</v>
      </c>
      <c r="D254" s="37" t="s">
        <v>1967</v>
      </c>
      <c r="E254" s="39">
        <v>480</v>
      </c>
      <c r="F254" s="37" t="s">
        <v>1061</v>
      </c>
      <c r="G254" s="37" t="s">
        <v>1055</v>
      </c>
      <c r="H254" s="37" t="s">
        <v>239</v>
      </c>
      <c r="I254" s="37" t="s">
        <v>239</v>
      </c>
      <c r="J254" s="37" t="s">
        <v>239</v>
      </c>
      <c r="K254" s="37" t="s">
        <v>240</v>
      </c>
      <c r="L254" s="37" t="s">
        <v>522</v>
      </c>
      <c r="M254" s="37" t="s">
        <v>1063</v>
      </c>
      <c r="N254" s="37" t="s">
        <v>242</v>
      </c>
      <c r="O254" s="37" t="s">
        <v>335</v>
      </c>
      <c r="P254" s="40" t="s">
        <v>2139</v>
      </c>
      <c r="Q254" s="40"/>
      <c r="R254" s="37" t="s">
        <v>255</v>
      </c>
      <c r="S254" s="41" t="s">
        <v>1044</v>
      </c>
    </row>
    <row r="255" spans="1:19" ht="57.6" x14ac:dyDescent="0.3">
      <c r="A255" s="38" t="s">
        <v>2140</v>
      </c>
      <c r="B255" s="38" t="s">
        <v>2141</v>
      </c>
      <c r="C255" s="38" t="s">
        <v>241</v>
      </c>
      <c r="D255" s="38" t="s">
        <v>1352</v>
      </c>
      <c r="E255" s="42">
        <v>400</v>
      </c>
      <c r="F255" s="38" t="s">
        <v>1061</v>
      </c>
      <c r="G255" s="38" t="s">
        <v>1086</v>
      </c>
      <c r="H255" s="38" t="s">
        <v>239</v>
      </c>
      <c r="I255" s="38" t="s">
        <v>239</v>
      </c>
      <c r="J255" s="38" t="s">
        <v>239</v>
      </c>
      <c r="K255" s="38" t="s">
        <v>240</v>
      </c>
      <c r="L255" s="38" t="s">
        <v>522</v>
      </c>
      <c r="M255" s="38" t="s">
        <v>1063</v>
      </c>
      <c r="N255" s="38" t="s">
        <v>242</v>
      </c>
      <c r="O255" s="38" t="s">
        <v>335</v>
      </c>
      <c r="P255" s="43" t="s">
        <v>2142</v>
      </c>
      <c r="Q255" s="43"/>
      <c r="R255" s="38" t="s">
        <v>255</v>
      </c>
      <c r="S255" s="44" t="s">
        <v>1044</v>
      </c>
    </row>
    <row r="256" spans="1:19" ht="72" x14ac:dyDescent="0.3">
      <c r="A256" s="37" t="s">
        <v>2143</v>
      </c>
      <c r="B256" s="37" t="s">
        <v>2144</v>
      </c>
      <c r="C256" s="37" t="s">
        <v>241</v>
      </c>
      <c r="D256" s="37" t="s">
        <v>2145</v>
      </c>
      <c r="E256" s="39">
        <v>510</v>
      </c>
      <c r="F256" s="37" t="s">
        <v>1061</v>
      </c>
      <c r="G256" s="37" t="s">
        <v>1055</v>
      </c>
      <c r="H256" s="37" t="s">
        <v>239</v>
      </c>
      <c r="I256" s="37" t="s">
        <v>239</v>
      </c>
      <c r="J256" s="37" t="s">
        <v>239</v>
      </c>
      <c r="K256" s="37" t="s">
        <v>240</v>
      </c>
      <c r="L256" s="37" t="s">
        <v>252</v>
      </c>
      <c r="M256" s="37" t="s">
        <v>1063</v>
      </c>
      <c r="N256" s="37" t="s">
        <v>242</v>
      </c>
      <c r="O256" s="37" t="s">
        <v>335</v>
      </c>
      <c r="P256" s="40" t="s">
        <v>2146</v>
      </c>
      <c r="Q256" s="40"/>
      <c r="R256" s="37" t="s">
        <v>255</v>
      </c>
      <c r="S256" s="41" t="s">
        <v>1044</v>
      </c>
    </row>
    <row r="257" spans="1:19" ht="28.8" x14ac:dyDescent="0.3">
      <c r="A257" s="38" t="s">
        <v>2147</v>
      </c>
      <c r="B257" s="38" t="s">
        <v>2148</v>
      </c>
      <c r="C257" s="38" t="s">
        <v>1103</v>
      </c>
      <c r="D257" s="38" t="s">
        <v>1826</v>
      </c>
      <c r="E257" s="42">
        <v>700</v>
      </c>
      <c r="F257" s="38" t="s">
        <v>1061</v>
      </c>
      <c r="G257" s="38" t="s">
        <v>1055</v>
      </c>
      <c r="H257" s="38" t="s">
        <v>239</v>
      </c>
      <c r="I257" s="38" t="s">
        <v>239</v>
      </c>
      <c r="J257" s="38" t="s">
        <v>239</v>
      </c>
      <c r="K257" s="38" t="s">
        <v>240</v>
      </c>
      <c r="L257" s="38" t="s">
        <v>1049</v>
      </c>
      <c r="M257" s="38" t="s">
        <v>1063</v>
      </c>
      <c r="N257" s="38" t="s">
        <v>242</v>
      </c>
      <c r="O257" s="38" t="s">
        <v>335</v>
      </c>
      <c r="P257" s="43" t="s">
        <v>2149</v>
      </c>
      <c r="Q257" s="43"/>
      <c r="R257" s="38" t="s">
        <v>255</v>
      </c>
      <c r="S257" s="44" t="s">
        <v>1044</v>
      </c>
    </row>
    <row r="258" spans="1:19" ht="43.2" x14ac:dyDescent="0.3">
      <c r="A258" s="37" t="s">
        <v>2150</v>
      </c>
      <c r="B258" s="37" t="s">
        <v>2151</v>
      </c>
      <c r="C258" s="37" t="s">
        <v>241</v>
      </c>
      <c r="D258" s="37" t="s">
        <v>2033</v>
      </c>
      <c r="E258" s="39">
        <v>120</v>
      </c>
      <c r="F258" s="37" t="s">
        <v>1061</v>
      </c>
      <c r="G258" s="37" t="s">
        <v>1135</v>
      </c>
      <c r="H258" s="37" t="s">
        <v>239</v>
      </c>
      <c r="I258" s="37" t="s">
        <v>239</v>
      </c>
      <c r="J258" s="37" t="s">
        <v>239</v>
      </c>
      <c r="K258" s="37" t="s">
        <v>240</v>
      </c>
      <c r="L258" s="37" t="s">
        <v>522</v>
      </c>
      <c r="M258" s="37" t="s">
        <v>1063</v>
      </c>
      <c r="N258" s="37" t="s">
        <v>242</v>
      </c>
      <c r="O258" s="37" t="s">
        <v>335</v>
      </c>
      <c r="P258" s="40" t="s">
        <v>2152</v>
      </c>
      <c r="Q258" s="40"/>
      <c r="R258" s="37" t="s">
        <v>255</v>
      </c>
      <c r="S258" s="41" t="s">
        <v>1044</v>
      </c>
    </row>
    <row r="259" spans="1:19" ht="43.2" x14ac:dyDescent="0.3">
      <c r="A259" s="38" t="s">
        <v>2153</v>
      </c>
      <c r="B259" s="38" t="s">
        <v>2154</v>
      </c>
      <c r="C259" s="38" t="s">
        <v>241</v>
      </c>
      <c r="D259" s="38" t="s">
        <v>2155</v>
      </c>
      <c r="E259" s="42">
        <v>165</v>
      </c>
      <c r="F259" s="38" t="s">
        <v>1061</v>
      </c>
      <c r="G259" s="38" t="s">
        <v>1135</v>
      </c>
      <c r="H259" s="38" t="s">
        <v>239</v>
      </c>
      <c r="I259" s="38" t="s">
        <v>239</v>
      </c>
      <c r="J259" s="38" t="s">
        <v>239</v>
      </c>
      <c r="K259" s="38" t="s">
        <v>240</v>
      </c>
      <c r="L259" s="38" t="s">
        <v>522</v>
      </c>
      <c r="M259" s="38" t="s">
        <v>1063</v>
      </c>
      <c r="N259" s="38" t="s">
        <v>242</v>
      </c>
      <c r="O259" s="38" t="s">
        <v>335</v>
      </c>
      <c r="P259" s="43" t="s">
        <v>2156</v>
      </c>
      <c r="Q259" s="43"/>
      <c r="R259" s="38" t="s">
        <v>255</v>
      </c>
      <c r="S259" s="44" t="s">
        <v>1044</v>
      </c>
    </row>
    <row r="260" spans="1:19" x14ac:dyDescent="0.3">
      <c r="A260" s="37" t="s">
        <v>2157</v>
      </c>
      <c r="B260" s="37" t="s">
        <v>2158</v>
      </c>
      <c r="C260" s="37" t="s">
        <v>241</v>
      </c>
      <c r="D260" s="37" t="s">
        <v>2159</v>
      </c>
      <c r="E260" s="39">
        <v>198</v>
      </c>
      <c r="F260" s="37" t="s">
        <v>1061</v>
      </c>
      <c r="G260" s="37" t="s">
        <v>1055</v>
      </c>
      <c r="H260" s="37" t="s">
        <v>239</v>
      </c>
      <c r="I260" s="37" t="s">
        <v>239</v>
      </c>
      <c r="J260" s="37" t="s">
        <v>239</v>
      </c>
      <c r="K260" s="37" t="s">
        <v>240</v>
      </c>
      <c r="L260" s="37" t="s">
        <v>522</v>
      </c>
      <c r="M260" s="37" t="s">
        <v>1063</v>
      </c>
      <c r="N260" s="37" t="s">
        <v>242</v>
      </c>
      <c r="O260" s="37" t="s">
        <v>335</v>
      </c>
      <c r="P260" s="40" t="s">
        <v>2160</v>
      </c>
      <c r="Q260" s="40"/>
      <c r="R260" s="37" t="s">
        <v>255</v>
      </c>
      <c r="S260" s="41" t="s">
        <v>1044</v>
      </c>
    </row>
    <row r="261" spans="1:19" ht="43.2" x14ac:dyDescent="0.3">
      <c r="A261" s="38" t="s">
        <v>2161</v>
      </c>
      <c r="B261" s="38" t="s">
        <v>2162</v>
      </c>
      <c r="C261" s="38" t="s">
        <v>241</v>
      </c>
      <c r="D261" s="38" t="s">
        <v>2163</v>
      </c>
      <c r="E261" s="42">
        <v>253</v>
      </c>
      <c r="F261" s="38" t="s">
        <v>1061</v>
      </c>
      <c r="G261" s="38" t="s">
        <v>1135</v>
      </c>
      <c r="H261" s="38" t="s">
        <v>239</v>
      </c>
      <c r="I261" s="38" t="s">
        <v>239</v>
      </c>
      <c r="J261" s="38" t="s">
        <v>239</v>
      </c>
      <c r="K261" s="38" t="s">
        <v>240</v>
      </c>
      <c r="L261" s="38" t="s">
        <v>522</v>
      </c>
      <c r="M261" s="38" t="s">
        <v>1063</v>
      </c>
      <c r="N261" s="38" t="s">
        <v>242</v>
      </c>
      <c r="O261" s="38" t="s">
        <v>335</v>
      </c>
      <c r="P261" s="43" t="s">
        <v>2164</v>
      </c>
      <c r="Q261" s="43"/>
      <c r="R261" s="38" t="s">
        <v>255</v>
      </c>
      <c r="S261" s="44" t="s">
        <v>1044</v>
      </c>
    </row>
    <row r="262" spans="1:19" x14ac:dyDescent="0.3">
      <c r="A262" s="37" t="s">
        <v>2165</v>
      </c>
      <c r="B262" s="37" t="s">
        <v>2166</v>
      </c>
      <c r="C262" s="37" t="s">
        <v>241</v>
      </c>
      <c r="D262" s="37" t="s">
        <v>2167</v>
      </c>
      <c r="E262" s="39">
        <v>275</v>
      </c>
      <c r="F262" s="37" t="s">
        <v>1061</v>
      </c>
      <c r="G262" s="37" t="s">
        <v>1086</v>
      </c>
      <c r="H262" s="37" t="s">
        <v>239</v>
      </c>
      <c r="I262" s="37" t="s">
        <v>239</v>
      </c>
      <c r="J262" s="37" t="s">
        <v>239</v>
      </c>
      <c r="K262" s="37" t="s">
        <v>240</v>
      </c>
      <c r="L262" s="37" t="s">
        <v>522</v>
      </c>
      <c r="M262" s="37" t="s">
        <v>1063</v>
      </c>
      <c r="N262" s="37" t="s">
        <v>242</v>
      </c>
      <c r="O262" s="37" t="s">
        <v>335</v>
      </c>
      <c r="P262" s="40" t="s">
        <v>2168</v>
      </c>
      <c r="Q262" s="40"/>
      <c r="R262" s="37" t="s">
        <v>255</v>
      </c>
      <c r="S262" s="41" t="s">
        <v>1044</v>
      </c>
    </row>
    <row r="263" spans="1:19" x14ac:dyDescent="0.3">
      <c r="A263" s="38" t="s">
        <v>2169</v>
      </c>
      <c r="B263" s="38" t="s">
        <v>2170</v>
      </c>
      <c r="C263" s="38" t="s">
        <v>241</v>
      </c>
      <c r="D263" s="38" t="s">
        <v>1289</v>
      </c>
      <c r="E263" s="42">
        <v>330</v>
      </c>
      <c r="F263" s="38" t="s">
        <v>1061</v>
      </c>
      <c r="G263" s="38" t="s">
        <v>1055</v>
      </c>
      <c r="H263" s="38" t="s">
        <v>239</v>
      </c>
      <c r="I263" s="38" t="s">
        <v>239</v>
      </c>
      <c r="J263" s="38" t="s">
        <v>239</v>
      </c>
      <c r="K263" s="38" t="s">
        <v>240</v>
      </c>
      <c r="L263" s="38" t="s">
        <v>522</v>
      </c>
      <c r="M263" s="38" t="s">
        <v>1063</v>
      </c>
      <c r="N263" s="38" t="s">
        <v>242</v>
      </c>
      <c r="O263" s="38" t="s">
        <v>335</v>
      </c>
      <c r="P263" s="43" t="s">
        <v>2171</v>
      </c>
      <c r="Q263" s="43"/>
      <c r="R263" s="38" t="s">
        <v>255</v>
      </c>
      <c r="S263" s="44" t="s">
        <v>1044</v>
      </c>
    </row>
    <row r="264" spans="1:19" x14ac:dyDescent="0.3">
      <c r="A264" s="37" t="s">
        <v>2172</v>
      </c>
      <c r="B264" s="37" t="s">
        <v>2173</v>
      </c>
      <c r="C264" s="37" t="s">
        <v>241</v>
      </c>
      <c r="D264" s="37" t="s">
        <v>2174</v>
      </c>
      <c r="E264" s="39">
        <v>660</v>
      </c>
      <c r="F264" s="37" t="s">
        <v>1061</v>
      </c>
      <c r="G264" s="37" t="s">
        <v>1055</v>
      </c>
      <c r="H264" s="37" t="s">
        <v>239</v>
      </c>
      <c r="I264" s="37" t="s">
        <v>239</v>
      </c>
      <c r="J264" s="37" t="s">
        <v>239</v>
      </c>
      <c r="K264" s="37" t="s">
        <v>240</v>
      </c>
      <c r="L264" s="37" t="s">
        <v>522</v>
      </c>
      <c r="M264" s="37" t="s">
        <v>1063</v>
      </c>
      <c r="N264" s="37" t="s">
        <v>242</v>
      </c>
      <c r="O264" s="37" t="s">
        <v>335</v>
      </c>
      <c r="P264" s="40" t="s">
        <v>2175</v>
      </c>
      <c r="Q264" s="40"/>
      <c r="R264" s="37" t="s">
        <v>255</v>
      </c>
      <c r="S264" s="41" t="s">
        <v>1044</v>
      </c>
    </row>
    <row r="265" spans="1:19" ht="28.8" x14ac:dyDescent="0.3">
      <c r="A265" s="38" t="s">
        <v>2176</v>
      </c>
      <c r="B265" s="38" t="s">
        <v>2177</v>
      </c>
      <c r="C265" s="38" t="s">
        <v>241</v>
      </c>
      <c r="D265" s="38" t="s">
        <v>1348</v>
      </c>
      <c r="E265" s="42">
        <v>60</v>
      </c>
      <c r="F265" s="38" t="s">
        <v>1061</v>
      </c>
      <c r="G265" s="38" t="s">
        <v>1047</v>
      </c>
      <c r="H265" s="38" t="s">
        <v>1048</v>
      </c>
      <c r="I265" s="38" t="s">
        <v>1048</v>
      </c>
      <c r="J265" s="38" t="s">
        <v>281</v>
      </c>
      <c r="K265" s="38" t="s">
        <v>240</v>
      </c>
      <c r="L265" s="38" t="s">
        <v>447</v>
      </c>
      <c r="M265" s="38" t="s">
        <v>1063</v>
      </c>
      <c r="N265" s="38" t="s">
        <v>242</v>
      </c>
      <c r="O265" s="38" t="s">
        <v>335</v>
      </c>
      <c r="P265" s="43" t="s">
        <v>2178</v>
      </c>
      <c r="Q265" s="43"/>
      <c r="R265" s="38" t="s">
        <v>255</v>
      </c>
      <c r="S265" s="44" t="s">
        <v>1044</v>
      </c>
    </row>
    <row r="266" spans="1:19" ht="28.8" x14ac:dyDescent="0.3">
      <c r="A266" s="37" t="s">
        <v>2179</v>
      </c>
      <c r="B266" s="37" t="s">
        <v>2180</v>
      </c>
      <c r="C266" s="37" t="s">
        <v>241</v>
      </c>
      <c r="D266" s="37" t="s">
        <v>1208</v>
      </c>
      <c r="E266" s="39">
        <v>260</v>
      </c>
      <c r="F266" s="37" t="s">
        <v>1061</v>
      </c>
      <c r="G266" s="37" t="s">
        <v>1047</v>
      </c>
      <c r="H266" s="37" t="s">
        <v>1048</v>
      </c>
      <c r="I266" s="37" t="s">
        <v>1048</v>
      </c>
      <c r="J266" s="37" t="s">
        <v>281</v>
      </c>
      <c r="K266" s="37" t="s">
        <v>240</v>
      </c>
      <c r="L266" s="37" t="s">
        <v>1290</v>
      </c>
      <c r="M266" s="37" t="s">
        <v>1063</v>
      </c>
      <c r="N266" s="37" t="s">
        <v>242</v>
      </c>
      <c r="O266" s="37" t="s">
        <v>335</v>
      </c>
      <c r="P266" s="40" t="s">
        <v>2181</v>
      </c>
      <c r="Q266" s="40"/>
      <c r="R266" s="37" t="s">
        <v>255</v>
      </c>
      <c r="S266" s="41" t="s">
        <v>1044</v>
      </c>
    </row>
    <row r="267" spans="1:19" ht="43.2" x14ac:dyDescent="0.3">
      <c r="A267" s="38" t="s">
        <v>2182</v>
      </c>
      <c r="B267" s="38" t="s">
        <v>2183</v>
      </c>
      <c r="C267" s="38" t="s">
        <v>241</v>
      </c>
      <c r="D267" s="38" t="s">
        <v>2184</v>
      </c>
      <c r="E267" s="42">
        <v>2550</v>
      </c>
      <c r="F267" s="38" t="s">
        <v>1061</v>
      </c>
      <c r="G267" s="38" t="s">
        <v>1079</v>
      </c>
      <c r="H267" s="38" t="s">
        <v>239</v>
      </c>
      <c r="I267" s="38" t="s">
        <v>239</v>
      </c>
      <c r="J267" s="38" t="s">
        <v>239</v>
      </c>
      <c r="K267" s="38" t="s">
        <v>240</v>
      </c>
      <c r="L267" s="38" t="s">
        <v>252</v>
      </c>
      <c r="M267" s="38" t="s">
        <v>1063</v>
      </c>
      <c r="N267" s="38" t="s">
        <v>242</v>
      </c>
      <c r="O267" s="38" t="s">
        <v>335</v>
      </c>
      <c r="P267" s="43" t="s">
        <v>2185</v>
      </c>
      <c r="Q267" s="43"/>
      <c r="R267" s="38" t="s">
        <v>255</v>
      </c>
      <c r="S267" s="44" t="s">
        <v>1044</v>
      </c>
    </row>
    <row r="268" spans="1:19" ht="28.8" x14ac:dyDescent="0.3">
      <c r="A268" s="37" t="s">
        <v>2186</v>
      </c>
      <c r="B268" s="37" t="s">
        <v>2187</v>
      </c>
      <c r="C268" s="37" t="s">
        <v>1103</v>
      </c>
      <c r="D268" s="37" t="s">
        <v>1722</v>
      </c>
      <c r="E268" s="39">
        <v>900</v>
      </c>
      <c r="F268" s="37" t="s">
        <v>1061</v>
      </c>
      <c r="G268" s="37" t="s">
        <v>386</v>
      </c>
      <c r="H268" s="37" t="s">
        <v>386</v>
      </c>
      <c r="I268" s="37" t="s">
        <v>386</v>
      </c>
      <c r="J268" s="37" t="s">
        <v>386</v>
      </c>
      <c r="K268" s="37" t="s">
        <v>240</v>
      </c>
      <c r="L268" s="37" t="s">
        <v>1469</v>
      </c>
      <c r="M268" s="37" t="s">
        <v>1063</v>
      </c>
      <c r="N268" s="37" t="s">
        <v>242</v>
      </c>
      <c r="O268" s="37" t="s">
        <v>335</v>
      </c>
      <c r="P268" s="40" t="s">
        <v>2188</v>
      </c>
      <c r="Q268" s="40"/>
      <c r="R268" s="37" t="s">
        <v>255</v>
      </c>
      <c r="S268" s="41" t="s">
        <v>1044</v>
      </c>
    </row>
    <row r="269" spans="1:19" ht="28.8" x14ac:dyDescent="0.3">
      <c r="A269" s="38" t="s">
        <v>2189</v>
      </c>
      <c r="B269" s="38" t="s">
        <v>2190</v>
      </c>
      <c r="C269" s="38" t="s">
        <v>306</v>
      </c>
      <c r="D269" s="38" t="s">
        <v>1671</v>
      </c>
      <c r="E269" s="42">
        <v>3700</v>
      </c>
      <c r="F269" s="38" t="s">
        <v>1061</v>
      </c>
      <c r="G269" s="38" t="s">
        <v>386</v>
      </c>
      <c r="H269" s="38" t="s">
        <v>386</v>
      </c>
      <c r="I269" s="38" t="s">
        <v>386</v>
      </c>
      <c r="J269" s="38" t="s">
        <v>386</v>
      </c>
      <c r="K269" s="38" t="s">
        <v>240</v>
      </c>
      <c r="L269" s="38" t="s">
        <v>1130</v>
      </c>
      <c r="M269" s="38" t="s">
        <v>1063</v>
      </c>
      <c r="N269" s="38" t="s">
        <v>242</v>
      </c>
      <c r="O269" s="38" t="s">
        <v>335</v>
      </c>
      <c r="P269" s="43" t="s">
        <v>2191</v>
      </c>
      <c r="Q269" s="43"/>
      <c r="R269" s="38" t="s">
        <v>255</v>
      </c>
      <c r="S269" s="44" t="s">
        <v>1044</v>
      </c>
    </row>
    <row r="270" spans="1:19" x14ac:dyDescent="0.3">
      <c r="A270" s="37" t="s">
        <v>2192</v>
      </c>
      <c r="B270" s="37" t="s">
        <v>2193</v>
      </c>
      <c r="C270" s="37" t="s">
        <v>306</v>
      </c>
      <c r="D270" s="37" t="s">
        <v>2194</v>
      </c>
      <c r="E270" s="39">
        <v>2880</v>
      </c>
      <c r="F270" s="37" t="s">
        <v>1042</v>
      </c>
      <c r="G270" s="37" t="s">
        <v>1055</v>
      </c>
      <c r="H270" s="37" t="s">
        <v>239</v>
      </c>
      <c r="I270" s="37" t="s">
        <v>239</v>
      </c>
      <c r="J270" s="37" t="s">
        <v>239</v>
      </c>
      <c r="K270" s="37" t="s">
        <v>282</v>
      </c>
      <c r="L270" s="37" t="s">
        <v>1113</v>
      </c>
      <c r="M270" s="37" t="s">
        <v>1012</v>
      </c>
      <c r="N270" s="37" t="s">
        <v>242</v>
      </c>
      <c r="O270" s="37" t="s">
        <v>335</v>
      </c>
      <c r="P270" s="40" t="s">
        <v>2195</v>
      </c>
      <c r="Q270" s="40" t="s">
        <v>2196</v>
      </c>
      <c r="R270" s="37" t="s">
        <v>255</v>
      </c>
      <c r="S270" s="41" t="s">
        <v>1044</v>
      </c>
    </row>
    <row r="271" spans="1:19" ht="28.8" x14ac:dyDescent="0.3">
      <c r="A271" s="38" t="s">
        <v>2197</v>
      </c>
      <c r="B271" s="38" t="s">
        <v>2198</v>
      </c>
      <c r="C271" s="38" t="s">
        <v>388</v>
      </c>
      <c r="D271" s="38" t="s">
        <v>2127</v>
      </c>
      <c r="E271" s="42">
        <v>200</v>
      </c>
      <c r="F271" s="38" t="s">
        <v>1042</v>
      </c>
      <c r="G271" s="38" t="s">
        <v>1368</v>
      </c>
      <c r="H271" s="38" t="s">
        <v>1369</v>
      </c>
      <c r="I271" s="38" t="s">
        <v>1369</v>
      </c>
      <c r="J271" s="38" t="s">
        <v>360</v>
      </c>
      <c r="K271" s="38" t="s">
        <v>282</v>
      </c>
      <c r="L271" s="38" t="s">
        <v>1968</v>
      </c>
      <c r="M271" s="38" t="s">
        <v>1012</v>
      </c>
      <c r="N271" s="38" t="s">
        <v>242</v>
      </c>
      <c r="O271" s="38" t="s">
        <v>335</v>
      </c>
      <c r="P271" s="43" t="s">
        <v>2199</v>
      </c>
      <c r="Q271" s="43" t="s">
        <v>2200</v>
      </c>
      <c r="R271" s="38" t="s">
        <v>255</v>
      </c>
      <c r="S271" s="44" t="s">
        <v>1044</v>
      </c>
    </row>
    <row r="272" spans="1:19" x14ac:dyDescent="0.3">
      <c r="A272" s="37" t="s">
        <v>2201</v>
      </c>
      <c r="B272" s="37" t="s">
        <v>2202</v>
      </c>
      <c r="C272" s="37" t="s">
        <v>306</v>
      </c>
      <c r="D272" s="37" t="s">
        <v>2145</v>
      </c>
      <c r="E272" s="39">
        <v>510</v>
      </c>
      <c r="F272" s="37" t="s">
        <v>1042</v>
      </c>
      <c r="G272" s="37" t="s">
        <v>1368</v>
      </c>
      <c r="H272" s="37" t="s">
        <v>1369</v>
      </c>
      <c r="I272" s="37" t="s">
        <v>1369</v>
      </c>
      <c r="J272" s="37" t="s">
        <v>360</v>
      </c>
      <c r="K272" s="37" t="s">
        <v>282</v>
      </c>
      <c r="L272" s="37" t="s">
        <v>1316</v>
      </c>
      <c r="M272" s="37" t="s">
        <v>1012</v>
      </c>
      <c r="N272" s="37" t="s">
        <v>242</v>
      </c>
      <c r="O272" s="37" t="s">
        <v>335</v>
      </c>
      <c r="P272" s="40" t="s">
        <v>2203</v>
      </c>
      <c r="Q272" s="40" t="s">
        <v>2204</v>
      </c>
      <c r="R272" s="37" t="s">
        <v>255</v>
      </c>
      <c r="S272" s="41" t="s">
        <v>1044</v>
      </c>
    </row>
    <row r="273" spans="1:19" x14ac:dyDescent="0.3">
      <c r="A273" s="38" t="s">
        <v>2205</v>
      </c>
      <c r="B273" s="38" t="s">
        <v>2206</v>
      </c>
      <c r="C273" s="38" t="s">
        <v>306</v>
      </c>
      <c r="D273" s="38" t="s">
        <v>2207</v>
      </c>
      <c r="E273" s="42">
        <v>265</v>
      </c>
      <c r="F273" s="38" t="s">
        <v>1042</v>
      </c>
      <c r="G273" s="38" t="s">
        <v>386</v>
      </c>
      <c r="H273" s="38" t="s">
        <v>386</v>
      </c>
      <c r="I273" s="38" t="s">
        <v>386</v>
      </c>
      <c r="J273" s="38" t="s">
        <v>386</v>
      </c>
      <c r="K273" s="38" t="s">
        <v>282</v>
      </c>
      <c r="L273" s="38" t="s">
        <v>2208</v>
      </c>
      <c r="M273" s="38" t="s">
        <v>1012</v>
      </c>
      <c r="N273" s="38" t="s">
        <v>242</v>
      </c>
      <c r="O273" s="38" t="s">
        <v>335</v>
      </c>
      <c r="P273" s="43" t="s">
        <v>2209</v>
      </c>
      <c r="Q273" s="43" t="s">
        <v>2210</v>
      </c>
      <c r="R273" s="38" t="s">
        <v>255</v>
      </c>
      <c r="S273" s="44" t="s">
        <v>1044</v>
      </c>
    </row>
    <row r="274" spans="1:19" x14ac:dyDescent="0.3">
      <c r="A274" s="37" t="s">
        <v>2211</v>
      </c>
      <c r="B274" s="37" t="s">
        <v>2212</v>
      </c>
      <c r="C274" s="37" t="s">
        <v>241</v>
      </c>
      <c r="D274" s="37" t="s">
        <v>1267</v>
      </c>
      <c r="E274" s="39">
        <v>950</v>
      </c>
      <c r="F274" s="37" t="s">
        <v>1061</v>
      </c>
      <c r="G274" s="37" t="s">
        <v>1086</v>
      </c>
      <c r="H274" s="37" t="s">
        <v>239</v>
      </c>
      <c r="I274" s="37" t="s">
        <v>239</v>
      </c>
      <c r="J274" s="37" t="s">
        <v>239</v>
      </c>
      <c r="K274" s="37" t="s">
        <v>240</v>
      </c>
      <c r="L274" s="37" t="s">
        <v>1244</v>
      </c>
      <c r="M274" s="37" t="s">
        <v>1063</v>
      </c>
      <c r="N274" s="37" t="s">
        <v>242</v>
      </c>
      <c r="O274" s="37" t="s">
        <v>335</v>
      </c>
      <c r="P274" s="40" t="s">
        <v>2213</v>
      </c>
      <c r="Q274" s="40"/>
      <c r="R274" s="37" t="s">
        <v>255</v>
      </c>
      <c r="S274" s="41" t="s">
        <v>1044</v>
      </c>
    </row>
    <row r="275" spans="1:19" ht="43.2" x14ac:dyDescent="0.3">
      <c r="A275" s="38" t="s">
        <v>2214</v>
      </c>
      <c r="B275" s="38" t="s">
        <v>2215</v>
      </c>
      <c r="C275" s="38" t="s">
        <v>241</v>
      </c>
      <c r="D275" s="38" t="s">
        <v>1521</v>
      </c>
      <c r="E275" s="42">
        <v>50</v>
      </c>
      <c r="F275" s="38" t="s">
        <v>1061</v>
      </c>
      <c r="G275" s="38" t="s">
        <v>1135</v>
      </c>
      <c r="H275" s="38" t="s">
        <v>239</v>
      </c>
      <c r="I275" s="38" t="s">
        <v>239</v>
      </c>
      <c r="J275" s="38" t="s">
        <v>239</v>
      </c>
      <c r="K275" s="38" t="s">
        <v>240</v>
      </c>
      <c r="L275" s="38" t="s">
        <v>1113</v>
      </c>
      <c r="M275" s="38" t="s">
        <v>1063</v>
      </c>
      <c r="N275" s="38" t="s">
        <v>242</v>
      </c>
      <c r="O275" s="38" t="s">
        <v>335</v>
      </c>
      <c r="P275" s="43" t="s">
        <v>2216</v>
      </c>
      <c r="Q275" s="43"/>
      <c r="R275" s="38" t="s">
        <v>255</v>
      </c>
      <c r="S275" s="44" t="s">
        <v>1044</v>
      </c>
    </row>
    <row r="276" spans="1:19" x14ac:dyDescent="0.3">
      <c r="A276" s="37" t="s">
        <v>2217</v>
      </c>
      <c r="B276" s="37" t="s">
        <v>2218</v>
      </c>
      <c r="C276" s="37" t="s">
        <v>362</v>
      </c>
      <c r="D276" s="37" t="s">
        <v>2219</v>
      </c>
      <c r="E276" s="39">
        <v>2060</v>
      </c>
      <c r="F276" s="37" t="s">
        <v>1042</v>
      </c>
      <c r="G276" s="37" t="s">
        <v>1086</v>
      </c>
      <c r="H276" s="37" t="s">
        <v>1086</v>
      </c>
      <c r="I276" s="37" t="s">
        <v>1086</v>
      </c>
      <c r="J276" s="37" t="s">
        <v>320</v>
      </c>
      <c r="K276" s="37" t="s">
        <v>282</v>
      </c>
      <c r="L276" s="37" t="s">
        <v>1316</v>
      </c>
      <c r="M276" s="37" t="s">
        <v>1012</v>
      </c>
      <c r="N276" s="37" t="s">
        <v>242</v>
      </c>
      <c r="O276" s="37" t="s">
        <v>335</v>
      </c>
      <c r="P276" s="40" t="s">
        <v>2220</v>
      </c>
      <c r="Q276" s="40" t="s">
        <v>2221</v>
      </c>
      <c r="R276" s="37" t="s">
        <v>255</v>
      </c>
      <c r="S276" s="41" t="s">
        <v>1044</v>
      </c>
    </row>
    <row r="277" spans="1:19" x14ac:dyDescent="0.3">
      <c r="A277" s="38" t="s">
        <v>2222</v>
      </c>
      <c r="B277" s="38" t="s">
        <v>2223</v>
      </c>
      <c r="C277" s="38" t="s">
        <v>362</v>
      </c>
      <c r="D277" s="38" t="s">
        <v>2224</v>
      </c>
      <c r="E277" s="42">
        <v>2840</v>
      </c>
      <c r="F277" s="38" t="s">
        <v>1042</v>
      </c>
      <c r="G277" s="38" t="s">
        <v>1086</v>
      </c>
      <c r="H277" s="38" t="s">
        <v>1086</v>
      </c>
      <c r="I277" s="38" t="s">
        <v>1086</v>
      </c>
      <c r="J277" s="38" t="s">
        <v>320</v>
      </c>
      <c r="K277" s="38" t="s">
        <v>282</v>
      </c>
      <c r="L277" s="38" t="s">
        <v>1316</v>
      </c>
      <c r="M277" s="38" t="s">
        <v>1012</v>
      </c>
      <c r="N277" s="38" t="s">
        <v>242</v>
      </c>
      <c r="O277" s="38" t="s">
        <v>335</v>
      </c>
      <c r="P277" s="43" t="s">
        <v>2225</v>
      </c>
      <c r="Q277" s="43" t="s">
        <v>2226</v>
      </c>
      <c r="R277" s="38" t="s">
        <v>255</v>
      </c>
      <c r="S277" s="44" t="s">
        <v>1044</v>
      </c>
    </row>
    <row r="278" spans="1:19" x14ac:dyDescent="0.3">
      <c r="A278" s="37" t="s">
        <v>2227</v>
      </c>
      <c r="B278" s="37" t="s">
        <v>2228</v>
      </c>
      <c r="C278" s="37" t="s">
        <v>306</v>
      </c>
      <c r="D278" s="37" t="s">
        <v>1479</v>
      </c>
      <c r="E278" s="39">
        <v>340</v>
      </c>
      <c r="F278" s="37" t="s">
        <v>1042</v>
      </c>
      <c r="G278" s="37" t="s">
        <v>386</v>
      </c>
      <c r="H278" s="37" t="s">
        <v>386</v>
      </c>
      <c r="I278" s="37" t="s">
        <v>386</v>
      </c>
      <c r="J278" s="37" t="s">
        <v>386</v>
      </c>
      <c r="K278" s="37" t="s">
        <v>282</v>
      </c>
      <c r="L278" s="37" t="s">
        <v>2208</v>
      </c>
      <c r="M278" s="37" t="s">
        <v>1012</v>
      </c>
      <c r="N278" s="37" t="s">
        <v>242</v>
      </c>
      <c r="O278" s="37" t="s">
        <v>335</v>
      </c>
      <c r="P278" s="40" t="s">
        <v>2229</v>
      </c>
      <c r="Q278" s="40" t="s">
        <v>2230</v>
      </c>
      <c r="R278" s="37" t="s">
        <v>255</v>
      </c>
      <c r="S278" s="41" t="s">
        <v>1044</v>
      </c>
    </row>
    <row r="279" spans="1:19" ht="57.6" x14ac:dyDescent="0.3">
      <c r="A279" s="38" t="s">
        <v>2231</v>
      </c>
      <c r="B279" s="38" t="s">
        <v>2232</v>
      </c>
      <c r="C279" s="38" t="s">
        <v>306</v>
      </c>
      <c r="D279" s="38" t="s">
        <v>2233</v>
      </c>
      <c r="E279" s="42">
        <v>35000</v>
      </c>
      <c r="F279" s="38" t="s">
        <v>1061</v>
      </c>
      <c r="G279" s="38" t="s">
        <v>386</v>
      </c>
      <c r="H279" s="38" t="s">
        <v>386</v>
      </c>
      <c r="I279" s="38" t="s">
        <v>386</v>
      </c>
      <c r="J279" s="38" t="s">
        <v>386</v>
      </c>
      <c r="K279" s="38" t="s">
        <v>282</v>
      </c>
      <c r="L279" s="38" t="s">
        <v>1130</v>
      </c>
      <c r="M279" s="38" t="s">
        <v>1012</v>
      </c>
      <c r="N279" s="38" t="s">
        <v>242</v>
      </c>
      <c r="O279" s="38" t="s">
        <v>335</v>
      </c>
      <c r="P279" s="43" t="s">
        <v>2234</v>
      </c>
      <c r="Q279" s="43" t="s">
        <v>2235</v>
      </c>
      <c r="R279" s="38" t="s">
        <v>255</v>
      </c>
      <c r="S279" s="44" t="s">
        <v>1044</v>
      </c>
    </row>
    <row r="280" spans="1:19" x14ac:dyDescent="0.3">
      <c r="A280" s="37" t="s">
        <v>2236</v>
      </c>
      <c r="B280" s="37" t="s">
        <v>2237</v>
      </c>
      <c r="C280" s="37" t="s">
        <v>1441</v>
      </c>
      <c r="D280" s="37" t="s">
        <v>2238</v>
      </c>
      <c r="E280" s="39">
        <v>690</v>
      </c>
      <c r="F280" s="37" t="s">
        <v>1042</v>
      </c>
      <c r="G280" s="37" t="s">
        <v>1055</v>
      </c>
      <c r="H280" s="37" t="s">
        <v>239</v>
      </c>
      <c r="I280" s="37" t="s">
        <v>239</v>
      </c>
      <c r="J280" s="37" t="s">
        <v>239</v>
      </c>
      <c r="K280" s="37" t="s">
        <v>282</v>
      </c>
      <c r="L280" s="37" t="s">
        <v>1056</v>
      </c>
      <c r="M280" s="37" t="s">
        <v>1012</v>
      </c>
      <c r="N280" s="37" t="s">
        <v>242</v>
      </c>
      <c r="O280" s="37" t="s">
        <v>335</v>
      </c>
      <c r="P280" s="40" t="s">
        <v>2239</v>
      </c>
      <c r="Q280" s="40" t="s">
        <v>2240</v>
      </c>
      <c r="R280" s="37" t="s">
        <v>255</v>
      </c>
      <c r="S280" s="41" t="s">
        <v>1044</v>
      </c>
    </row>
  </sheetData>
  <autoFilter ref="A1:S280" xr:uid="{00000000-0009-0000-0000-000020000000}"/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T158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3" width="40" customWidth="1"/>
    <col min="4" max="4" width="39" customWidth="1"/>
    <col min="5" max="5" width="37" customWidth="1"/>
    <col min="6" max="6" width="14" customWidth="1"/>
    <col min="7" max="7" width="12" customWidth="1"/>
    <col min="8" max="8" width="14" customWidth="1"/>
    <col min="9" max="9" width="11" customWidth="1"/>
    <col min="10" max="10" width="18" customWidth="1"/>
    <col min="11" max="11" width="29" customWidth="1"/>
    <col min="12" max="12" width="40" customWidth="1"/>
    <col min="13" max="13" width="16" customWidth="1"/>
    <col min="14" max="14" width="10" customWidth="1"/>
    <col min="15" max="15" width="40" customWidth="1"/>
    <col min="16" max="16" width="17" customWidth="1"/>
    <col min="17" max="17" width="24" customWidth="1"/>
    <col min="18" max="18" width="19" customWidth="1"/>
    <col min="19" max="19" width="17" customWidth="1"/>
    <col min="20" max="20" width="20" customWidth="1"/>
  </cols>
  <sheetData>
    <row r="1" spans="1:20" x14ac:dyDescent="0.3">
      <c r="A1" s="36" t="s">
        <v>424</v>
      </c>
      <c r="B1" s="36" t="s">
        <v>425</v>
      </c>
      <c r="C1" s="36" t="s">
        <v>426</v>
      </c>
      <c r="D1" s="36" t="s">
        <v>302</v>
      </c>
      <c r="E1" s="36" t="s">
        <v>427</v>
      </c>
      <c r="F1" s="36" t="s">
        <v>428</v>
      </c>
      <c r="G1" s="36" t="s">
        <v>429</v>
      </c>
      <c r="H1" s="36" t="s">
        <v>430</v>
      </c>
      <c r="I1" s="36" t="s">
        <v>431</v>
      </c>
      <c r="J1" s="36" t="s">
        <v>432</v>
      </c>
      <c r="K1" s="36" t="s">
        <v>433</v>
      </c>
      <c r="L1" s="36" t="s">
        <v>434</v>
      </c>
      <c r="M1" s="36" t="s">
        <v>435</v>
      </c>
      <c r="N1" s="36" t="s">
        <v>436</v>
      </c>
      <c r="O1" s="36" t="s">
        <v>116</v>
      </c>
      <c r="P1" s="36" t="s">
        <v>437</v>
      </c>
      <c r="Q1" s="36" t="s">
        <v>438</v>
      </c>
      <c r="R1" s="36" t="s">
        <v>196</v>
      </c>
      <c r="S1" s="36" t="s">
        <v>2241</v>
      </c>
      <c r="T1" s="36" t="s">
        <v>2242</v>
      </c>
    </row>
    <row r="2" spans="1:20" ht="28.8" x14ac:dyDescent="0.3">
      <c r="A2" s="37" t="s">
        <v>1038</v>
      </c>
      <c r="B2" s="37" t="s">
        <v>1035</v>
      </c>
      <c r="C2" s="37" t="s">
        <v>1035</v>
      </c>
      <c r="D2" s="37" t="s">
        <v>423</v>
      </c>
      <c r="E2" s="37" t="s">
        <v>1035</v>
      </c>
      <c r="F2" s="37" t="s">
        <v>400</v>
      </c>
      <c r="G2" s="37" t="s">
        <v>402</v>
      </c>
      <c r="H2" s="37" t="s">
        <v>402</v>
      </c>
      <c r="I2" s="39">
        <v>0.03</v>
      </c>
      <c r="J2" s="37" t="s">
        <v>243</v>
      </c>
      <c r="K2" s="37" t="s">
        <v>242</v>
      </c>
      <c r="L2" s="37" t="s">
        <v>2243</v>
      </c>
      <c r="M2" s="37" t="s">
        <v>245</v>
      </c>
      <c r="N2" s="37" t="s">
        <v>245</v>
      </c>
      <c r="O2" s="41" t="s">
        <v>2244</v>
      </c>
      <c r="P2" s="37" t="s">
        <v>245</v>
      </c>
      <c r="Q2" s="37" t="s">
        <v>2245</v>
      </c>
      <c r="R2" s="37" t="s">
        <v>335</v>
      </c>
      <c r="S2" s="37">
        <v>1</v>
      </c>
      <c r="T2" s="37" t="s">
        <v>563</v>
      </c>
    </row>
    <row r="3" spans="1:20" ht="28.8" x14ac:dyDescent="0.3">
      <c r="A3" s="38" t="s">
        <v>1064</v>
      </c>
      <c r="B3" s="38" t="s">
        <v>1059</v>
      </c>
      <c r="C3" s="38" t="s">
        <v>1059</v>
      </c>
      <c r="D3" s="38" t="s">
        <v>239</v>
      </c>
      <c r="E3" s="38" t="s">
        <v>1062</v>
      </c>
      <c r="F3" s="38" t="s">
        <v>240</v>
      </c>
      <c r="G3" s="38" t="s">
        <v>241</v>
      </c>
      <c r="H3" s="38" t="s">
        <v>244</v>
      </c>
      <c r="I3" s="42">
        <v>250</v>
      </c>
      <c r="J3" s="38" t="s">
        <v>243</v>
      </c>
      <c r="K3" s="38" t="s">
        <v>242</v>
      </c>
      <c r="L3" s="38" t="s">
        <v>2246</v>
      </c>
      <c r="M3" s="38" t="s">
        <v>245</v>
      </c>
      <c r="N3" s="38" t="s">
        <v>245</v>
      </c>
      <c r="O3" s="44" t="s">
        <v>2244</v>
      </c>
      <c r="P3" s="38" t="s">
        <v>245</v>
      </c>
      <c r="Q3" s="38" t="s">
        <v>2245</v>
      </c>
      <c r="R3" s="38" t="s">
        <v>335</v>
      </c>
      <c r="S3" s="38">
        <v>1</v>
      </c>
      <c r="T3" s="38" t="s">
        <v>1058</v>
      </c>
    </row>
    <row r="4" spans="1:20" ht="28.8" x14ac:dyDescent="0.3">
      <c r="A4" s="37" t="s">
        <v>1072</v>
      </c>
      <c r="B4" s="37" t="s">
        <v>1066</v>
      </c>
      <c r="C4" s="37" t="s">
        <v>1066</v>
      </c>
      <c r="D4" s="37" t="s">
        <v>420</v>
      </c>
      <c r="E4" s="37" t="s">
        <v>1070</v>
      </c>
      <c r="F4" s="37" t="s">
        <v>361</v>
      </c>
      <c r="G4" s="37" t="s">
        <v>1067</v>
      </c>
      <c r="H4" s="37" t="s">
        <v>2247</v>
      </c>
      <c r="I4" s="39">
        <v>8000</v>
      </c>
      <c r="J4" s="37" t="s">
        <v>243</v>
      </c>
      <c r="K4" s="37" t="s">
        <v>268</v>
      </c>
      <c r="L4" s="37" t="s">
        <v>2248</v>
      </c>
      <c r="M4" s="37" t="s">
        <v>245</v>
      </c>
      <c r="N4" s="37" t="s">
        <v>245</v>
      </c>
      <c r="O4" s="41" t="s">
        <v>2244</v>
      </c>
      <c r="P4" s="37" t="s">
        <v>255</v>
      </c>
      <c r="Q4" s="37" t="s">
        <v>2245</v>
      </c>
      <c r="R4" s="37" t="s">
        <v>335</v>
      </c>
      <c r="S4" s="37">
        <v>1</v>
      </c>
      <c r="T4" s="37" t="s">
        <v>1065</v>
      </c>
    </row>
    <row r="5" spans="1:20" ht="28.8" x14ac:dyDescent="0.3">
      <c r="A5" s="38" t="s">
        <v>1081</v>
      </c>
      <c r="B5" s="38" t="s">
        <v>1075</v>
      </c>
      <c r="C5" s="38" t="s">
        <v>1075</v>
      </c>
      <c r="D5" s="38" t="s">
        <v>239</v>
      </c>
      <c r="E5" s="38" t="s">
        <v>1080</v>
      </c>
      <c r="F5" s="38" t="s">
        <v>321</v>
      </c>
      <c r="G5" s="38" t="s">
        <v>1076</v>
      </c>
      <c r="H5" s="38" t="s">
        <v>2247</v>
      </c>
      <c r="I5" s="42">
        <v>2300</v>
      </c>
      <c r="J5" s="38" t="s">
        <v>323</v>
      </c>
      <c r="K5" s="38" t="s">
        <v>268</v>
      </c>
      <c r="L5" s="38" t="s">
        <v>2249</v>
      </c>
      <c r="M5" s="38" t="s">
        <v>245</v>
      </c>
      <c r="N5" s="38" t="s">
        <v>245</v>
      </c>
      <c r="O5" s="44" t="s">
        <v>2244</v>
      </c>
      <c r="P5" s="38" t="s">
        <v>255</v>
      </c>
      <c r="Q5" s="38" t="s">
        <v>2245</v>
      </c>
      <c r="R5" s="38" t="s">
        <v>335</v>
      </c>
      <c r="S5" s="38">
        <v>1</v>
      </c>
      <c r="T5" s="38" t="s">
        <v>1074</v>
      </c>
    </row>
    <row r="6" spans="1:20" ht="28.8" x14ac:dyDescent="0.3">
      <c r="A6" s="37" t="s">
        <v>1087</v>
      </c>
      <c r="B6" s="37" t="s">
        <v>1084</v>
      </c>
      <c r="C6" s="37" t="s">
        <v>1084</v>
      </c>
      <c r="D6" s="37" t="s">
        <v>320</v>
      </c>
      <c r="E6" s="37" t="s">
        <v>1080</v>
      </c>
      <c r="F6" s="37" t="s">
        <v>321</v>
      </c>
      <c r="G6" s="37" t="s">
        <v>1076</v>
      </c>
      <c r="H6" s="37" t="s">
        <v>2247</v>
      </c>
      <c r="I6" s="39">
        <v>800</v>
      </c>
      <c r="J6" s="37" t="s">
        <v>323</v>
      </c>
      <c r="K6" s="37" t="s">
        <v>268</v>
      </c>
      <c r="L6" s="37" t="s">
        <v>2250</v>
      </c>
      <c r="M6" s="37" t="s">
        <v>245</v>
      </c>
      <c r="N6" s="37" t="s">
        <v>245</v>
      </c>
      <c r="O6" s="41" t="s">
        <v>2244</v>
      </c>
      <c r="P6" s="37" t="s">
        <v>255</v>
      </c>
      <c r="Q6" s="37" t="s">
        <v>2245</v>
      </c>
      <c r="R6" s="37" t="s">
        <v>335</v>
      </c>
      <c r="S6" s="37">
        <v>1</v>
      </c>
      <c r="T6" s="37" t="s">
        <v>1083</v>
      </c>
    </row>
    <row r="7" spans="1:20" ht="28.8" x14ac:dyDescent="0.3">
      <c r="A7" s="38" t="s">
        <v>1091</v>
      </c>
      <c r="B7" s="38" t="s">
        <v>1089</v>
      </c>
      <c r="C7" s="38" t="s">
        <v>1089</v>
      </c>
      <c r="D7" s="38" t="s">
        <v>239</v>
      </c>
      <c r="E7" s="38" t="s">
        <v>1080</v>
      </c>
      <c r="F7" s="38" t="s">
        <v>321</v>
      </c>
      <c r="G7" s="38" t="s">
        <v>1076</v>
      </c>
      <c r="H7" s="38" t="s">
        <v>2247</v>
      </c>
      <c r="I7" s="42">
        <v>5500</v>
      </c>
      <c r="J7" s="38" t="s">
        <v>323</v>
      </c>
      <c r="K7" s="38" t="s">
        <v>268</v>
      </c>
      <c r="L7" s="38" t="s">
        <v>2251</v>
      </c>
      <c r="M7" s="38" t="s">
        <v>245</v>
      </c>
      <c r="N7" s="38" t="s">
        <v>245</v>
      </c>
      <c r="O7" s="44" t="s">
        <v>2244</v>
      </c>
      <c r="P7" s="38" t="s">
        <v>255</v>
      </c>
      <c r="Q7" s="38" t="s">
        <v>2245</v>
      </c>
      <c r="R7" s="38" t="s">
        <v>335</v>
      </c>
      <c r="S7" s="38">
        <v>1</v>
      </c>
      <c r="T7" s="38" t="s">
        <v>1088</v>
      </c>
    </row>
    <row r="8" spans="1:20" ht="28.8" x14ac:dyDescent="0.3">
      <c r="A8" s="37" t="s">
        <v>1096</v>
      </c>
      <c r="B8" s="37" t="s">
        <v>1093</v>
      </c>
      <c r="C8" s="37" t="s">
        <v>1093</v>
      </c>
      <c r="D8" s="37" t="s">
        <v>420</v>
      </c>
      <c r="E8" s="37" t="s">
        <v>1070</v>
      </c>
      <c r="F8" s="37" t="s">
        <v>361</v>
      </c>
      <c r="G8" s="37" t="s">
        <v>1067</v>
      </c>
      <c r="H8" s="37" t="s">
        <v>2247</v>
      </c>
      <c r="I8" s="39">
        <v>11700</v>
      </c>
      <c r="J8" s="37" t="s">
        <v>243</v>
      </c>
      <c r="K8" s="37" t="s">
        <v>268</v>
      </c>
      <c r="L8" s="37" t="s">
        <v>2252</v>
      </c>
      <c r="M8" s="37" t="s">
        <v>245</v>
      </c>
      <c r="N8" s="37" t="s">
        <v>245</v>
      </c>
      <c r="O8" s="41" t="s">
        <v>2244</v>
      </c>
      <c r="P8" s="37" t="s">
        <v>255</v>
      </c>
      <c r="Q8" s="37" t="s">
        <v>2245</v>
      </c>
      <c r="R8" s="37" t="s">
        <v>335</v>
      </c>
      <c r="S8" s="37">
        <v>1</v>
      </c>
      <c r="T8" s="37" t="s">
        <v>1092</v>
      </c>
    </row>
    <row r="9" spans="1:20" ht="28.8" x14ac:dyDescent="0.3">
      <c r="A9" s="38" t="s">
        <v>1100</v>
      </c>
      <c r="B9" s="38" t="s">
        <v>1098</v>
      </c>
      <c r="C9" s="38" t="s">
        <v>1098</v>
      </c>
      <c r="D9" s="38" t="s">
        <v>239</v>
      </c>
      <c r="E9" s="38" t="s">
        <v>1080</v>
      </c>
      <c r="F9" s="38" t="s">
        <v>321</v>
      </c>
      <c r="G9" s="38" t="s">
        <v>1076</v>
      </c>
      <c r="H9" s="38" t="s">
        <v>2247</v>
      </c>
      <c r="I9" s="42">
        <v>770</v>
      </c>
      <c r="J9" s="38" t="s">
        <v>323</v>
      </c>
      <c r="K9" s="38" t="s">
        <v>268</v>
      </c>
      <c r="L9" s="38" t="s">
        <v>2253</v>
      </c>
      <c r="M9" s="38" t="s">
        <v>245</v>
      </c>
      <c r="N9" s="38" t="s">
        <v>245</v>
      </c>
      <c r="O9" s="44" t="s">
        <v>2244</v>
      </c>
      <c r="P9" s="38" t="s">
        <v>255</v>
      </c>
      <c r="Q9" s="38" t="s">
        <v>2245</v>
      </c>
      <c r="R9" s="38" t="s">
        <v>335</v>
      </c>
      <c r="S9" s="38">
        <v>1</v>
      </c>
      <c r="T9" s="38" t="s">
        <v>1097</v>
      </c>
    </row>
    <row r="10" spans="1:20" ht="28.8" x14ac:dyDescent="0.3">
      <c r="A10" s="37" t="s">
        <v>1114</v>
      </c>
      <c r="B10" s="37" t="s">
        <v>1111</v>
      </c>
      <c r="C10" s="37" t="s">
        <v>1111</v>
      </c>
      <c r="D10" s="37" t="s">
        <v>239</v>
      </c>
      <c r="E10" s="37" t="s">
        <v>1113</v>
      </c>
      <c r="F10" s="37" t="s">
        <v>240</v>
      </c>
      <c r="G10" s="37" t="s">
        <v>1103</v>
      </c>
      <c r="H10" s="37" t="s">
        <v>2247</v>
      </c>
      <c r="I10" s="39">
        <v>350</v>
      </c>
      <c r="J10" s="37" t="s">
        <v>243</v>
      </c>
      <c r="K10" s="37" t="s">
        <v>242</v>
      </c>
      <c r="L10" s="37" t="s">
        <v>2254</v>
      </c>
      <c r="M10" s="37" t="s">
        <v>245</v>
      </c>
      <c r="N10" s="37" t="s">
        <v>245</v>
      </c>
      <c r="O10" s="41" t="s">
        <v>2244</v>
      </c>
      <c r="P10" s="37" t="s">
        <v>245</v>
      </c>
      <c r="Q10" s="37" t="s">
        <v>2245</v>
      </c>
      <c r="R10" s="37" t="s">
        <v>335</v>
      </c>
      <c r="S10" s="37">
        <v>1</v>
      </c>
      <c r="T10" s="37" t="s">
        <v>1110</v>
      </c>
    </row>
    <row r="11" spans="1:20" ht="28.8" x14ac:dyDescent="0.3">
      <c r="A11" s="38" t="s">
        <v>1126</v>
      </c>
      <c r="B11" s="38" t="s">
        <v>1123</v>
      </c>
      <c r="C11" s="38" t="s">
        <v>1123</v>
      </c>
      <c r="D11" s="38" t="s">
        <v>405</v>
      </c>
      <c r="E11" s="38" t="s">
        <v>1120</v>
      </c>
      <c r="F11" s="38" t="s">
        <v>321</v>
      </c>
      <c r="G11" s="38" t="s">
        <v>1124</v>
      </c>
      <c r="H11" s="38" t="s">
        <v>2247</v>
      </c>
      <c r="I11" s="42">
        <v>24000</v>
      </c>
      <c r="J11" s="38" t="s">
        <v>323</v>
      </c>
      <c r="K11" s="38" t="s">
        <v>268</v>
      </c>
      <c r="L11" s="38" t="s">
        <v>2255</v>
      </c>
      <c r="M11" s="38" t="s">
        <v>245</v>
      </c>
      <c r="N11" s="38" t="s">
        <v>245</v>
      </c>
      <c r="O11" s="44" t="s">
        <v>2244</v>
      </c>
      <c r="P11" s="38" t="s">
        <v>255</v>
      </c>
      <c r="Q11" s="38" t="s">
        <v>2245</v>
      </c>
      <c r="R11" s="38" t="s">
        <v>335</v>
      </c>
      <c r="S11" s="38">
        <v>1</v>
      </c>
      <c r="T11" s="38" t="s">
        <v>1122</v>
      </c>
    </row>
    <row r="12" spans="1:20" ht="28.8" x14ac:dyDescent="0.3">
      <c r="A12" s="37" t="s">
        <v>1197</v>
      </c>
      <c r="B12" s="37" t="s">
        <v>1193</v>
      </c>
      <c r="C12" s="37" t="s">
        <v>1193</v>
      </c>
      <c r="D12" s="37" t="s">
        <v>399</v>
      </c>
      <c r="E12" s="37" t="s">
        <v>1196</v>
      </c>
      <c r="F12" s="37" t="s">
        <v>240</v>
      </c>
      <c r="G12" s="37" t="s">
        <v>241</v>
      </c>
      <c r="H12" s="37" t="s">
        <v>244</v>
      </c>
      <c r="I12" s="39">
        <v>360</v>
      </c>
      <c r="J12" s="37" t="s">
        <v>243</v>
      </c>
      <c r="K12" s="37" t="s">
        <v>242</v>
      </c>
      <c r="L12" s="37" t="s">
        <v>2256</v>
      </c>
      <c r="M12" s="37" t="s">
        <v>245</v>
      </c>
      <c r="N12" s="37" t="s">
        <v>245</v>
      </c>
      <c r="O12" s="41" t="s">
        <v>2244</v>
      </c>
      <c r="P12" s="37" t="s">
        <v>245</v>
      </c>
      <c r="Q12" s="37" t="s">
        <v>2245</v>
      </c>
      <c r="R12" s="37" t="s">
        <v>335</v>
      </c>
      <c r="S12" s="37">
        <v>1</v>
      </c>
      <c r="T12" s="37" t="s">
        <v>1192</v>
      </c>
    </row>
    <row r="13" spans="1:20" ht="28.8" x14ac:dyDescent="0.3">
      <c r="A13" s="38" t="s">
        <v>1201</v>
      </c>
      <c r="B13" s="38" t="s">
        <v>1199</v>
      </c>
      <c r="C13" s="38" t="s">
        <v>1199</v>
      </c>
      <c r="D13" s="38" t="s">
        <v>399</v>
      </c>
      <c r="E13" s="38" t="s">
        <v>1196</v>
      </c>
      <c r="F13" s="38" t="s">
        <v>240</v>
      </c>
      <c r="G13" s="38" t="s">
        <v>362</v>
      </c>
      <c r="H13" s="38" t="s">
        <v>364</v>
      </c>
      <c r="I13" s="42">
        <v>1100</v>
      </c>
      <c r="J13" s="38" t="s">
        <v>243</v>
      </c>
      <c r="K13" s="38" t="s">
        <v>242</v>
      </c>
      <c r="L13" s="38" t="s">
        <v>2257</v>
      </c>
      <c r="M13" s="38" t="s">
        <v>245</v>
      </c>
      <c r="N13" s="38" t="s">
        <v>245</v>
      </c>
      <c r="O13" s="44" t="s">
        <v>2244</v>
      </c>
      <c r="P13" s="38" t="s">
        <v>245</v>
      </c>
      <c r="Q13" s="38" t="s">
        <v>2245</v>
      </c>
      <c r="R13" s="38" t="s">
        <v>335</v>
      </c>
      <c r="S13" s="38">
        <v>1</v>
      </c>
      <c r="T13" s="38" t="s">
        <v>1198</v>
      </c>
    </row>
    <row r="14" spans="1:20" ht="28.8" x14ac:dyDescent="0.3">
      <c r="A14" s="37" t="s">
        <v>1205</v>
      </c>
      <c r="B14" s="37" t="s">
        <v>1203</v>
      </c>
      <c r="C14" s="37" t="s">
        <v>1203</v>
      </c>
      <c r="D14" s="37" t="s">
        <v>239</v>
      </c>
      <c r="E14" s="37" t="s">
        <v>1113</v>
      </c>
      <c r="F14" s="37" t="s">
        <v>240</v>
      </c>
      <c r="G14" s="37" t="s">
        <v>241</v>
      </c>
      <c r="H14" s="37" t="s">
        <v>244</v>
      </c>
      <c r="I14" s="39">
        <v>6500</v>
      </c>
      <c r="J14" s="37" t="s">
        <v>243</v>
      </c>
      <c r="K14" s="37" t="s">
        <v>242</v>
      </c>
      <c r="L14" s="37" t="s">
        <v>2258</v>
      </c>
      <c r="M14" s="37" t="s">
        <v>245</v>
      </c>
      <c r="N14" s="37" t="s">
        <v>245</v>
      </c>
      <c r="O14" s="41" t="s">
        <v>2244</v>
      </c>
      <c r="P14" s="37" t="s">
        <v>245</v>
      </c>
      <c r="Q14" s="37" t="s">
        <v>2245</v>
      </c>
      <c r="R14" s="37" t="s">
        <v>335</v>
      </c>
      <c r="S14" s="37">
        <v>1</v>
      </c>
      <c r="T14" s="37" t="s">
        <v>1202</v>
      </c>
    </row>
    <row r="15" spans="1:20" ht="28.8" x14ac:dyDescent="0.3">
      <c r="A15" s="38" t="s">
        <v>1210</v>
      </c>
      <c r="B15" s="38" t="s">
        <v>1207</v>
      </c>
      <c r="C15" s="38" t="s">
        <v>1207</v>
      </c>
      <c r="D15" s="38" t="s">
        <v>320</v>
      </c>
      <c r="E15" s="38" t="s">
        <v>1209</v>
      </c>
      <c r="F15" s="38" t="s">
        <v>240</v>
      </c>
      <c r="G15" s="38" t="s">
        <v>241</v>
      </c>
      <c r="H15" s="38" t="s">
        <v>244</v>
      </c>
      <c r="I15" s="42">
        <v>260</v>
      </c>
      <c r="J15" s="38" t="s">
        <v>243</v>
      </c>
      <c r="K15" s="38" t="s">
        <v>242</v>
      </c>
      <c r="L15" s="38" t="s">
        <v>2259</v>
      </c>
      <c r="M15" s="38" t="s">
        <v>245</v>
      </c>
      <c r="N15" s="38" t="s">
        <v>245</v>
      </c>
      <c r="O15" s="44" t="s">
        <v>2244</v>
      </c>
      <c r="P15" s="38" t="s">
        <v>245</v>
      </c>
      <c r="Q15" s="38" t="s">
        <v>2245</v>
      </c>
      <c r="R15" s="38" t="s">
        <v>335</v>
      </c>
      <c r="S15" s="38">
        <v>1</v>
      </c>
      <c r="T15" s="38" t="s">
        <v>1206</v>
      </c>
    </row>
    <row r="16" spans="1:20" ht="28.8" x14ac:dyDescent="0.3">
      <c r="A16" s="37" t="s">
        <v>1215</v>
      </c>
      <c r="B16" s="37" t="s">
        <v>1212</v>
      </c>
      <c r="C16" s="37" t="s">
        <v>1212</v>
      </c>
      <c r="D16" s="37" t="s">
        <v>420</v>
      </c>
      <c r="E16" s="37" t="s">
        <v>1070</v>
      </c>
      <c r="F16" s="37" t="s">
        <v>387</v>
      </c>
      <c r="G16" s="37" t="s">
        <v>402</v>
      </c>
      <c r="H16" s="37" t="s">
        <v>402</v>
      </c>
      <c r="I16" s="39">
        <v>1.4999999999999999E-2</v>
      </c>
      <c r="J16" s="37" t="s">
        <v>243</v>
      </c>
      <c r="K16" s="37" t="s">
        <v>322</v>
      </c>
      <c r="L16" s="37" t="s">
        <v>2260</v>
      </c>
      <c r="M16" s="37" t="s">
        <v>255</v>
      </c>
      <c r="N16" s="37" t="s">
        <v>245</v>
      </c>
      <c r="O16" s="41" t="s">
        <v>2244</v>
      </c>
      <c r="P16" s="37" t="s">
        <v>255</v>
      </c>
      <c r="Q16" s="37" t="s">
        <v>2245</v>
      </c>
      <c r="R16" s="37" t="s">
        <v>335</v>
      </c>
      <c r="S16" s="37">
        <v>1</v>
      </c>
      <c r="T16" s="37" t="s">
        <v>1211</v>
      </c>
    </row>
    <row r="17" spans="1:20" ht="28.8" x14ac:dyDescent="0.3">
      <c r="A17" s="38" t="s">
        <v>1220</v>
      </c>
      <c r="B17" s="38" t="s">
        <v>1218</v>
      </c>
      <c r="C17" s="38" t="s">
        <v>1218</v>
      </c>
      <c r="D17" s="38" t="s">
        <v>281</v>
      </c>
      <c r="E17" s="38" t="s">
        <v>447</v>
      </c>
      <c r="F17" s="38" t="s">
        <v>240</v>
      </c>
      <c r="G17" s="38" t="s">
        <v>362</v>
      </c>
      <c r="H17" s="38" t="s">
        <v>364</v>
      </c>
      <c r="I17" s="42">
        <v>2000</v>
      </c>
      <c r="J17" s="38" t="s">
        <v>284</v>
      </c>
      <c r="K17" s="38" t="s">
        <v>242</v>
      </c>
      <c r="L17" s="38" t="s">
        <v>2261</v>
      </c>
      <c r="M17" s="38" t="s">
        <v>245</v>
      </c>
      <c r="N17" s="38" t="s">
        <v>245</v>
      </c>
      <c r="O17" s="44" t="s">
        <v>2244</v>
      </c>
      <c r="P17" s="38" t="s">
        <v>245</v>
      </c>
      <c r="Q17" s="38" t="s">
        <v>2245</v>
      </c>
      <c r="R17" s="38" t="s">
        <v>335</v>
      </c>
      <c r="S17" s="38">
        <v>1</v>
      </c>
      <c r="T17" s="38" t="s">
        <v>1217</v>
      </c>
    </row>
    <row r="18" spans="1:20" ht="28.8" x14ac:dyDescent="0.3">
      <c r="A18" s="37" t="s">
        <v>1224</v>
      </c>
      <c r="B18" s="37" t="s">
        <v>1222</v>
      </c>
      <c r="C18" s="37" t="s">
        <v>1222</v>
      </c>
      <c r="D18" s="37" t="s">
        <v>320</v>
      </c>
      <c r="E18" s="37" t="s">
        <v>1209</v>
      </c>
      <c r="F18" s="37" t="s">
        <v>240</v>
      </c>
      <c r="G18" s="37" t="s">
        <v>362</v>
      </c>
      <c r="H18" s="37" t="s">
        <v>364</v>
      </c>
      <c r="I18" s="39">
        <v>850</v>
      </c>
      <c r="J18" s="37" t="s">
        <v>243</v>
      </c>
      <c r="K18" s="37" t="s">
        <v>242</v>
      </c>
      <c r="L18" s="37" t="s">
        <v>2262</v>
      </c>
      <c r="M18" s="37" t="s">
        <v>245</v>
      </c>
      <c r="N18" s="37" t="s">
        <v>245</v>
      </c>
      <c r="O18" s="41" t="s">
        <v>2244</v>
      </c>
      <c r="P18" s="37" t="s">
        <v>245</v>
      </c>
      <c r="Q18" s="37" t="s">
        <v>2245</v>
      </c>
      <c r="R18" s="37" t="s">
        <v>335</v>
      </c>
      <c r="S18" s="37">
        <v>1</v>
      </c>
      <c r="T18" s="37" t="s">
        <v>1221</v>
      </c>
    </row>
    <row r="19" spans="1:20" ht="28.8" x14ac:dyDescent="0.3">
      <c r="A19" s="38" t="s">
        <v>1230</v>
      </c>
      <c r="B19" s="38" t="s">
        <v>1226</v>
      </c>
      <c r="C19" s="38" t="s">
        <v>1226</v>
      </c>
      <c r="D19" s="38" t="s">
        <v>419</v>
      </c>
      <c r="E19" s="38" t="s">
        <v>1229</v>
      </c>
      <c r="F19" s="38" t="s">
        <v>361</v>
      </c>
      <c r="G19" s="38" t="s">
        <v>362</v>
      </c>
      <c r="H19" s="38" t="s">
        <v>364</v>
      </c>
      <c r="I19" s="42">
        <v>1200</v>
      </c>
      <c r="J19" s="38" t="s">
        <v>243</v>
      </c>
      <c r="K19" s="38" t="s">
        <v>268</v>
      </c>
      <c r="L19" s="38" t="s">
        <v>2263</v>
      </c>
      <c r="M19" s="38" t="s">
        <v>245</v>
      </c>
      <c r="N19" s="38" t="s">
        <v>245</v>
      </c>
      <c r="O19" s="44" t="s">
        <v>2244</v>
      </c>
      <c r="P19" s="38" t="s">
        <v>255</v>
      </c>
      <c r="Q19" s="38" t="s">
        <v>2245</v>
      </c>
      <c r="R19" s="38" t="s">
        <v>335</v>
      </c>
      <c r="S19" s="38">
        <v>1</v>
      </c>
      <c r="T19" s="38" t="s">
        <v>1225</v>
      </c>
    </row>
    <row r="20" spans="1:20" ht="28.8" x14ac:dyDescent="0.3">
      <c r="A20" s="37" t="s">
        <v>1237</v>
      </c>
      <c r="B20" s="37" t="s">
        <v>1233</v>
      </c>
      <c r="C20" s="37" t="s">
        <v>1233</v>
      </c>
      <c r="D20" s="37" t="s">
        <v>419</v>
      </c>
      <c r="E20" s="37" t="s">
        <v>1229</v>
      </c>
      <c r="F20" s="37" t="s">
        <v>361</v>
      </c>
      <c r="G20" s="37" t="s">
        <v>1234</v>
      </c>
      <c r="H20" s="37" t="s">
        <v>2247</v>
      </c>
      <c r="I20" s="39">
        <v>32000</v>
      </c>
      <c r="J20" s="37" t="s">
        <v>243</v>
      </c>
      <c r="K20" s="37" t="s">
        <v>268</v>
      </c>
      <c r="L20" s="37" t="s">
        <v>2264</v>
      </c>
      <c r="M20" s="37" t="s">
        <v>245</v>
      </c>
      <c r="N20" s="37" t="s">
        <v>245</v>
      </c>
      <c r="O20" s="41" t="s">
        <v>2244</v>
      </c>
      <c r="P20" s="37" t="s">
        <v>255</v>
      </c>
      <c r="Q20" s="37" t="s">
        <v>2245</v>
      </c>
      <c r="R20" s="37" t="s">
        <v>335</v>
      </c>
      <c r="S20" s="37">
        <v>1</v>
      </c>
      <c r="T20" s="37" t="s">
        <v>1232</v>
      </c>
    </row>
    <row r="21" spans="1:20" ht="28.8" x14ac:dyDescent="0.3">
      <c r="A21" s="38" t="s">
        <v>1241</v>
      </c>
      <c r="B21" s="38" t="s">
        <v>1239</v>
      </c>
      <c r="C21" s="38" t="s">
        <v>1239</v>
      </c>
      <c r="D21" s="38" t="s">
        <v>420</v>
      </c>
      <c r="E21" s="38" t="s">
        <v>1070</v>
      </c>
      <c r="F21" s="38" t="s">
        <v>361</v>
      </c>
      <c r="G21" s="38" t="s">
        <v>1234</v>
      </c>
      <c r="H21" s="38" t="s">
        <v>2247</v>
      </c>
      <c r="I21" s="42">
        <v>5000</v>
      </c>
      <c r="J21" s="38" t="s">
        <v>243</v>
      </c>
      <c r="K21" s="38" t="s">
        <v>268</v>
      </c>
      <c r="L21" s="38" t="s">
        <v>2265</v>
      </c>
      <c r="M21" s="38" t="s">
        <v>245</v>
      </c>
      <c r="N21" s="38" t="s">
        <v>245</v>
      </c>
      <c r="O21" s="44" t="s">
        <v>2244</v>
      </c>
      <c r="P21" s="38" t="s">
        <v>255</v>
      </c>
      <c r="Q21" s="38" t="s">
        <v>2245</v>
      </c>
      <c r="R21" s="38" t="s">
        <v>335</v>
      </c>
      <c r="S21" s="38">
        <v>1</v>
      </c>
      <c r="T21" s="38" t="s">
        <v>1238</v>
      </c>
    </row>
    <row r="22" spans="1:20" ht="28.8" x14ac:dyDescent="0.3">
      <c r="A22" s="37" t="s">
        <v>1245</v>
      </c>
      <c r="B22" s="37" t="s">
        <v>1243</v>
      </c>
      <c r="C22" s="37" t="s">
        <v>1243</v>
      </c>
      <c r="D22" s="37" t="s">
        <v>239</v>
      </c>
      <c r="E22" s="37" t="s">
        <v>1244</v>
      </c>
      <c r="F22" s="37" t="s">
        <v>240</v>
      </c>
      <c r="G22" s="37" t="s">
        <v>362</v>
      </c>
      <c r="H22" s="37" t="s">
        <v>364</v>
      </c>
      <c r="I22" s="39">
        <v>1100</v>
      </c>
      <c r="J22" s="37" t="s">
        <v>284</v>
      </c>
      <c r="K22" s="37" t="s">
        <v>242</v>
      </c>
      <c r="L22" s="37" t="s">
        <v>2266</v>
      </c>
      <c r="M22" s="37" t="s">
        <v>245</v>
      </c>
      <c r="N22" s="37" t="s">
        <v>245</v>
      </c>
      <c r="O22" s="41" t="s">
        <v>2244</v>
      </c>
      <c r="P22" s="37" t="s">
        <v>245</v>
      </c>
      <c r="Q22" s="37" t="s">
        <v>2245</v>
      </c>
      <c r="R22" s="37" t="s">
        <v>335</v>
      </c>
      <c r="S22" s="37">
        <v>1</v>
      </c>
      <c r="T22" s="37" t="s">
        <v>1242</v>
      </c>
    </row>
    <row r="23" spans="1:20" ht="28.8" x14ac:dyDescent="0.3">
      <c r="A23" s="38" t="s">
        <v>1248</v>
      </c>
      <c r="B23" s="38" t="s">
        <v>1247</v>
      </c>
      <c r="C23" s="38" t="s">
        <v>1247</v>
      </c>
      <c r="D23" s="38" t="s">
        <v>239</v>
      </c>
      <c r="E23" s="38" t="s">
        <v>1244</v>
      </c>
      <c r="F23" s="38" t="s">
        <v>240</v>
      </c>
      <c r="G23" s="38" t="s">
        <v>362</v>
      </c>
      <c r="H23" s="38" t="s">
        <v>364</v>
      </c>
      <c r="I23" s="42">
        <v>800</v>
      </c>
      <c r="J23" s="38" t="s">
        <v>243</v>
      </c>
      <c r="K23" s="38" t="s">
        <v>242</v>
      </c>
      <c r="L23" s="38" t="s">
        <v>2267</v>
      </c>
      <c r="M23" s="38" t="s">
        <v>245</v>
      </c>
      <c r="N23" s="38" t="s">
        <v>245</v>
      </c>
      <c r="O23" s="44" t="s">
        <v>2244</v>
      </c>
      <c r="P23" s="38" t="s">
        <v>245</v>
      </c>
      <c r="Q23" s="38" t="s">
        <v>2245</v>
      </c>
      <c r="R23" s="38" t="s">
        <v>335</v>
      </c>
      <c r="S23" s="38">
        <v>1</v>
      </c>
      <c r="T23" s="38" t="s">
        <v>1246</v>
      </c>
    </row>
    <row r="24" spans="1:20" ht="28.8" x14ac:dyDescent="0.3">
      <c r="A24" s="37" t="s">
        <v>1253</v>
      </c>
      <c r="B24" s="37" t="s">
        <v>1250</v>
      </c>
      <c r="C24" s="37" t="s">
        <v>1250</v>
      </c>
      <c r="D24" s="37" t="s">
        <v>413</v>
      </c>
      <c r="E24" s="37" t="s">
        <v>1252</v>
      </c>
      <c r="F24" s="37" t="s">
        <v>240</v>
      </c>
      <c r="G24" s="37" t="s">
        <v>1103</v>
      </c>
      <c r="H24" s="37" t="s">
        <v>2247</v>
      </c>
      <c r="I24" s="39">
        <v>1200</v>
      </c>
      <c r="J24" s="37" t="s">
        <v>243</v>
      </c>
      <c r="K24" s="37" t="s">
        <v>242</v>
      </c>
      <c r="L24" s="37" t="s">
        <v>2268</v>
      </c>
      <c r="M24" s="37" t="s">
        <v>245</v>
      </c>
      <c r="N24" s="37" t="s">
        <v>245</v>
      </c>
      <c r="O24" s="41" t="s">
        <v>2244</v>
      </c>
      <c r="P24" s="37" t="s">
        <v>245</v>
      </c>
      <c r="Q24" s="37" t="s">
        <v>2245</v>
      </c>
      <c r="R24" s="37" t="s">
        <v>335</v>
      </c>
      <c r="S24" s="37">
        <v>1</v>
      </c>
      <c r="T24" s="37" t="s">
        <v>1249</v>
      </c>
    </row>
    <row r="25" spans="1:20" ht="28.8" x14ac:dyDescent="0.3">
      <c r="A25" s="38" t="s">
        <v>1258</v>
      </c>
      <c r="B25" s="38" t="s">
        <v>1256</v>
      </c>
      <c r="C25" s="38" t="s">
        <v>1256</v>
      </c>
      <c r="D25" s="38" t="s">
        <v>413</v>
      </c>
      <c r="E25" s="38" t="s">
        <v>1252</v>
      </c>
      <c r="F25" s="38" t="s">
        <v>240</v>
      </c>
      <c r="G25" s="38" t="s">
        <v>362</v>
      </c>
      <c r="H25" s="38" t="s">
        <v>364</v>
      </c>
      <c r="I25" s="42">
        <v>3500</v>
      </c>
      <c r="J25" s="38" t="s">
        <v>243</v>
      </c>
      <c r="K25" s="38" t="s">
        <v>242</v>
      </c>
      <c r="L25" s="38" t="s">
        <v>2269</v>
      </c>
      <c r="M25" s="38" t="s">
        <v>245</v>
      </c>
      <c r="N25" s="38" t="s">
        <v>245</v>
      </c>
      <c r="O25" s="44" t="s">
        <v>2244</v>
      </c>
      <c r="P25" s="38" t="s">
        <v>245</v>
      </c>
      <c r="Q25" s="38" t="s">
        <v>2245</v>
      </c>
      <c r="R25" s="38" t="s">
        <v>335</v>
      </c>
      <c r="S25" s="38">
        <v>1</v>
      </c>
      <c r="T25" s="38" t="s">
        <v>1255</v>
      </c>
    </row>
    <row r="26" spans="1:20" ht="28.8" x14ac:dyDescent="0.3">
      <c r="A26" s="37" t="s">
        <v>1263</v>
      </c>
      <c r="B26" s="37" t="s">
        <v>1260</v>
      </c>
      <c r="C26" s="37" t="s">
        <v>1260</v>
      </c>
      <c r="D26" s="37" t="s">
        <v>415</v>
      </c>
      <c r="E26" s="37" t="s">
        <v>1262</v>
      </c>
      <c r="F26" s="37" t="s">
        <v>240</v>
      </c>
      <c r="G26" s="37" t="s">
        <v>306</v>
      </c>
      <c r="H26" s="37" t="s">
        <v>324</v>
      </c>
      <c r="I26" s="39">
        <v>1800</v>
      </c>
      <c r="J26" s="37" t="s">
        <v>243</v>
      </c>
      <c r="K26" s="37" t="s">
        <v>242</v>
      </c>
      <c r="L26" s="37" t="s">
        <v>2270</v>
      </c>
      <c r="M26" s="37" t="s">
        <v>245</v>
      </c>
      <c r="N26" s="37" t="s">
        <v>245</v>
      </c>
      <c r="O26" s="41" t="s">
        <v>2244</v>
      </c>
      <c r="P26" s="37" t="s">
        <v>245</v>
      </c>
      <c r="Q26" s="37" t="s">
        <v>2245</v>
      </c>
      <c r="R26" s="37" t="s">
        <v>293</v>
      </c>
      <c r="S26" s="37">
        <v>1</v>
      </c>
      <c r="T26" s="37" t="s">
        <v>1259</v>
      </c>
    </row>
    <row r="27" spans="1:20" ht="28.8" x14ac:dyDescent="0.3">
      <c r="A27" s="38" t="s">
        <v>1269</v>
      </c>
      <c r="B27" s="38" t="s">
        <v>1266</v>
      </c>
      <c r="C27" s="38" t="s">
        <v>1266</v>
      </c>
      <c r="D27" s="38" t="s">
        <v>413</v>
      </c>
      <c r="E27" s="38" t="s">
        <v>1268</v>
      </c>
      <c r="F27" s="38" t="s">
        <v>240</v>
      </c>
      <c r="G27" s="38" t="s">
        <v>306</v>
      </c>
      <c r="H27" s="38" t="s">
        <v>324</v>
      </c>
      <c r="I27" s="42">
        <v>950</v>
      </c>
      <c r="J27" s="38" t="s">
        <v>243</v>
      </c>
      <c r="K27" s="38" t="s">
        <v>242</v>
      </c>
      <c r="L27" s="38" t="s">
        <v>2271</v>
      </c>
      <c r="M27" s="38" t="s">
        <v>245</v>
      </c>
      <c r="N27" s="38" t="s">
        <v>245</v>
      </c>
      <c r="O27" s="44" t="s">
        <v>2244</v>
      </c>
      <c r="P27" s="38" t="s">
        <v>245</v>
      </c>
      <c r="Q27" s="38" t="s">
        <v>2245</v>
      </c>
      <c r="R27" s="38" t="s">
        <v>293</v>
      </c>
      <c r="S27" s="38">
        <v>1</v>
      </c>
      <c r="T27" s="38" t="s">
        <v>1265</v>
      </c>
    </row>
    <row r="28" spans="1:20" ht="28.8" x14ac:dyDescent="0.3">
      <c r="A28" s="37" t="s">
        <v>1275</v>
      </c>
      <c r="B28" s="37" t="s">
        <v>1272</v>
      </c>
      <c r="C28" s="37" t="s">
        <v>1272</v>
      </c>
      <c r="D28" s="37" t="s">
        <v>399</v>
      </c>
      <c r="E28" s="37" t="s">
        <v>1274</v>
      </c>
      <c r="F28" s="37" t="s">
        <v>240</v>
      </c>
      <c r="G28" s="37" t="s">
        <v>241</v>
      </c>
      <c r="H28" s="37" t="s">
        <v>244</v>
      </c>
      <c r="I28" s="39">
        <v>40</v>
      </c>
      <c r="J28" s="37" t="s">
        <v>243</v>
      </c>
      <c r="K28" s="37" t="s">
        <v>242</v>
      </c>
      <c r="L28" s="37" t="s">
        <v>2272</v>
      </c>
      <c r="M28" s="37" t="s">
        <v>245</v>
      </c>
      <c r="N28" s="37" t="s">
        <v>245</v>
      </c>
      <c r="O28" s="41" t="s">
        <v>2244</v>
      </c>
      <c r="P28" s="37" t="s">
        <v>245</v>
      </c>
      <c r="Q28" s="37" t="s">
        <v>2245</v>
      </c>
      <c r="R28" s="37" t="s">
        <v>335</v>
      </c>
      <c r="S28" s="37">
        <v>1</v>
      </c>
      <c r="T28" s="37" t="s">
        <v>1271</v>
      </c>
    </row>
    <row r="29" spans="1:20" ht="28.8" x14ac:dyDescent="0.3">
      <c r="A29" s="38" t="s">
        <v>1349</v>
      </c>
      <c r="B29" s="38" t="s">
        <v>1347</v>
      </c>
      <c r="C29" s="38" t="s">
        <v>1347</v>
      </c>
      <c r="D29" s="38" t="s">
        <v>239</v>
      </c>
      <c r="E29" s="38" t="s">
        <v>1113</v>
      </c>
      <c r="F29" s="38" t="s">
        <v>240</v>
      </c>
      <c r="G29" s="38" t="s">
        <v>241</v>
      </c>
      <c r="H29" s="38" t="s">
        <v>244</v>
      </c>
      <c r="I29" s="42">
        <v>60</v>
      </c>
      <c r="J29" s="38" t="s">
        <v>243</v>
      </c>
      <c r="K29" s="38" t="s">
        <v>242</v>
      </c>
      <c r="L29" s="38" t="s">
        <v>2273</v>
      </c>
      <c r="M29" s="38" t="s">
        <v>245</v>
      </c>
      <c r="N29" s="38" t="s">
        <v>245</v>
      </c>
      <c r="O29" s="44" t="s">
        <v>2244</v>
      </c>
      <c r="P29" s="38" t="s">
        <v>245</v>
      </c>
      <c r="Q29" s="38" t="s">
        <v>2245</v>
      </c>
      <c r="R29" s="38" t="s">
        <v>335</v>
      </c>
      <c r="S29" s="38">
        <v>1</v>
      </c>
      <c r="T29" s="38" t="s">
        <v>1346</v>
      </c>
    </row>
    <row r="30" spans="1:20" ht="28.8" x14ac:dyDescent="0.3">
      <c r="A30" s="37" t="s">
        <v>1358</v>
      </c>
      <c r="B30" s="37" t="s">
        <v>1356</v>
      </c>
      <c r="C30" s="37" t="s">
        <v>1356</v>
      </c>
      <c r="D30" s="37" t="s">
        <v>413</v>
      </c>
      <c r="E30" s="37" t="s">
        <v>1252</v>
      </c>
      <c r="F30" s="37" t="s">
        <v>240</v>
      </c>
      <c r="G30" s="37" t="s">
        <v>362</v>
      </c>
      <c r="H30" s="37" t="s">
        <v>364</v>
      </c>
      <c r="I30" s="39">
        <v>3900</v>
      </c>
      <c r="J30" s="37" t="s">
        <v>243</v>
      </c>
      <c r="K30" s="37" t="s">
        <v>242</v>
      </c>
      <c r="L30" s="37" t="s">
        <v>2274</v>
      </c>
      <c r="M30" s="37" t="s">
        <v>245</v>
      </c>
      <c r="N30" s="37" t="s">
        <v>245</v>
      </c>
      <c r="O30" s="41" t="s">
        <v>2244</v>
      </c>
      <c r="P30" s="37" t="s">
        <v>245</v>
      </c>
      <c r="Q30" s="37" t="s">
        <v>2245</v>
      </c>
      <c r="R30" s="37" t="s">
        <v>335</v>
      </c>
      <c r="S30" s="37">
        <v>1</v>
      </c>
      <c r="T30" s="37" t="s">
        <v>1355</v>
      </c>
    </row>
    <row r="31" spans="1:20" ht="28.8" x14ac:dyDescent="0.3">
      <c r="A31" s="38" t="s">
        <v>1361</v>
      </c>
      <c r="B31" s="38" t="s">
        <v>1360</v>
      </c>
      <c r="C31" s="38" t="s">
        <v>1360</v>
      </c>
      <c r="D31" s="38" t="s">
        <v>413</v>
      </c>
      <c r="E31" s="38" t="s">
        <v>1252</v>
      </c>
      <c r="F31" s="38" t="s">
        <v>240</v>
      </c>
      <c r="G31" s="38" t="s">
        <v>1103</v>
      </c>
      <c r="H31" s="38" t="s">
        <v>2247</v>
      </c>
      <c r="I31" s="42">
        <v>950</v>
      </c>
      <c r="J31" s="38" t="s">
        <v>243</v>
      </c>
      <c r="K31" s="38" t="s">
        <v>242</v>
      </c>
      <c r="L31" s="38" t="s">
        <v>2275</v>
      </c>
      <c r="M31" s="38" t="s">
        <v>245</v>
      </c>
      <c r="N31" s="38" t="s">
        <v>245</v>
      </c>
      <c r="O31" s="44" t="s">
        <v>2244</v>
      </c>
      <c r="P31" s="38" t="s">
        <v>245</v>
      </c>
      <c r="Q31" s="38" t="s">
        <v>2245</v>
      </c>
      <c r="R31" s="38" t="s">
        <v>335</v>
      </c>
      <c r="S31" s="38">
        <v>1</v>
      </c>
      <c r="T31" s="38" t="s">
        <v>1359</v>
      </c>
    </row>
    <row r="32" spans="1:20" ht="28.8" x14ac:dyDescent="0.3">
      <c r="A32" s="37" t="s">
        <v>1364</v>
      </c>
      <c r="B32" s="37" t="s">
        <v>1363</v>
      </c>
      <c r="C32" s="37" t="s">
        <v>1363</v>
      </c>
      <c r="D32" s="37" t="s">
        <v>413</v>
      </c>
      <c r="E32" s="37" t="s">
        <v>1252</v>
      </c>
      <c r="F32" s="37" t="s">
        <v>240</v>
      </c>
      <c r="G32" s="37" t="s">
        <v>241</v>
      </c>
      <c r="H32" s="37" t="s">
        <v>244</v>
      </c>
      <c r="I32" s="39">
        <v>650</v>
      </c>
      <c r="J32" s="37" t="s">
        <v>243</v>
      </c>
      <c r="K32" s="37" t="s">
        <v>242</v>
      </c>
      <c r="L32" s="37" t="s">
        <v>2276</v>
      </c>
      <c r="M32" s="37" t="s">
        <v>245</v>
      </c>
      <c r="N32" s="37" t="s">
        <v>245</v>
      </c>
      <c r="O32" s="41" t="s">
        <v>2244</v>
      </c>
      <c r="P32" s="37" t="s">
        <v>245</v>
      </c>
      <c r="Q32" s="37" t="s">
        <v>2245</v>
      </c>
      <c r="R32" s="37" t="s">
        <v>335</v>
      </c>
      <c r="S32" s="37">
        <v>1</v>
      </c>
      <c r="T32" s="37" t="s">
        <v>1362</v>
      </c>
    </row>
    <row r="33" spans="1:20" ht="28.8" x14ac:dyDescent="0.3">
      <c r="A33" s="38" t="s">
        <v>1370</v>
      </c>
      <c r="B33" s="38" t="s">
        <v>1366</v>
      </c>
      <c r="C33" s="38" t="s">
        <v>1366</v>
      </c>
      <c r="D33" s="38" t="s">
        <v>360</v>
      </c>
      <c r="E33" s="38" t="s">
        <v>1252</v>
      </c>
      <c r="F33" s="38" t="s">
        <v>240</v>
      </c>
      <c r="G33" s="38" t="s">
        <v>306</v>
      </c>
      <c r="H33" s="38" t="s">
        <v>324</v>
      </c>
      <c r="I33" s="42">
        <v>1500</v>
      </c>
      <c r="J33" s="38" t="s">
        <v>243</v>
      </c>
      <c r="K33" s="38" t="s">
        <v>242</v>
      </c>
      <c r="L33" s="38" t="s">
        <v>2277</v>
      </c>
      <c r="M33" s="38" t="s">
        <v>245</v>
      </c>
      <c r="N33" s="38" t="s">
        <v>245</v>
      </c>
      <c r="O33" s="44" t="s">
        <v>2244</v>
      </c>
      <c r="P33" s="38" t="s">
        <v>245</v>
      </c>
      <c r="Q33" s="38" t="s">
        <v>2245</v>
      </c>
      <c r="R33" s="38" t="s">
        <v>335</v>
      </c>
      <c r="S33" s="38">
        <v>1</v>
      </c>
      <c r="T33" s="38" t="s">
        <v>1365</v>
      </c>
    </row>
    <row r="34" spans="1:20" ht="28.8" x14ac:dyDescent="0.3">
      <c r="A34" s="37" t="s">
        <v>1432</v>
      </c>
      <c r="B34" s="37" t="s">
        <v>1430</v>
      </c>
      <c r="C34" s="37" t="s">
        <v>1430</v>
      </c>
      <c r="D34" s="37" t="s">
        <v>420</v>
      </c>
      <c r="E34" s="37" t="s">
        <v>1070</v>
      </c>
      <c r="F34" s="37" t="s">
        <v>361</v>
      </c>
      <c r="G34" s="37" t="s">
        <v>1234</v>
      </c>
      <c r="H34" s="37" t="s">
        <v>2247</v>
      </c>
      <c r="I34" s="39">
        <v>3600</v>
      </c>
      <c r="J34" s="37" t="s">
        <v>243</v>
      </c>
      <c r="K34" s="37" t="s">
        <v>268</v>
      </c>
      <c r="L34" s="37" t="s">
        <v>2278</v>
      </c>
      <c r="M34" s="37" t="s">
        <v>245</v>
      </c>
      <c r="N34" s="37" t="s">
        <v>245</v>
      </c>
      <c r="O34" s="41" t="s">
        <v>2244</v>
      </c>
      <c r="P34" s="37" t="s">
        <v>255</v>
      </c>
      <c r="Q34" s="37" t="s">
        <v>2245</v>
      </c>
      <c r="R34" s="37" t="s">
        <v>335</v>
      </c>
      <c r="S34" s="37">
        <v>1</v>
      </c>
      <c r="T34" s="37" t="s">
        <v>1429</v>
      </c>
    </row>
    <row r="35" spans="1:20" ht="28.8" x14ac:dyDescent="0.3">
      <c r="A35" s="38" t="s">
        <v>1437</v>
      </c>
      <c r="B35" s="38" t="s">
        <v>1434</v>
      </c>
      <c r="C35" s="38" t="s">
        <v>1434</v>
      </c>
      <c r="D35" s="38" t="s">
        <v>421</v>
      </c>
      <c r="E35" s="38" t="s">
        <v>1436</v>
      </c>
      <c r="F35" s="38" t="s">
        <v>361</v>
      </c>
      <c r="G35" s="38" t="s">
        <v>402</v>
      </c>
      <c r="H35" s="38" t="s">
        <v>402</v>
      </c>
      <c r="I35" s="42">
        <v>5.6000000000000001E-2</v>
      </c>
      <c r="J35" s="38" t="s">
        <v>243</v>
      </c>
      <c r="K35" s="38" t="s">
        <v>268</v>
      </c>
      <c r="L35" s="38" t="s">
        <v>2279</v>
      </c>
      <c r="M35" s="38" t="s">
        <v>245</v>
      </c>
      <c r="N35" s="38" t="s">
        <v>245</v>
      </c>
      <c r="O35" s="44" t="s">
        <v>2244</v>
      </c>
      <c r="P35" s="38" t="s">
        <v>255</v>
      </c>
      <c r="Q35" s="38" t="s">
        <v>2245</v>
      </c>
      <c r="R35" s="38" t="s">
        <v>335</v>
      </c>
      <c r="S35" s="38">
        <v>1</v>
      </c>
      <c r="T35" s="38" t="s">
        <v>1433</v>
      </c>
    </row>
    <row r="36" spans="1:20" ht="28.8" x14ac:dyDescent="0.3">
      <c r="A36" s="37" t="s">
        <v>1447</v>
      </c>
      <c r="B36" s="37" t="s">
        <v>1445</v>
      </c>
      <c r="C36" s="37" t="s">
        <v>1445</v>
      </c>
      <c r="D36" s="37" t="s">
        <v>420</v>
      </c>
      <c r="E36" s="37" t="s">
        <v>1070</v>
      </c>
      <c r="F36" s="37" t="s">
        <v>361</v>
      </c>
      <c r="G36" s="37" t="s">
        <v>1234</v>
      </c>
      <c r="H36" s="37" t="s">
        <v>2247</v>
      </c>
      <c r="I36" s="39">
        <v>17900</v>
      </c>
      <c r="J36" s="37" t="s">
        <v>243</v>
      </c>
      <c r="K36" s="37" t="s">
        <v>268</v>
      </c>
      <c r="L36" s="37" t="s">
        <v>2280</v>
      </c>
      <c r="M36" s="37" t="s">
        <v>245</v>
      </c>
      <c r="N36" s="37" t="s">
        <v>245</v>
      </c>
      <c r="O36" s="41" t="s">
        <v>2244</v>
      </c>
      <c r="P36" s="37" t="s">
        <v>255</v>
      </c>
      <c r="Q36" s="37" t="s">
        <v>2245</v>
      </c>
      <c r="R36" s="37" t="s">
        <v>335</v>
      </c>
      <c r="S36" s="37">
        <v>1</v>
      </c>
      <c r="T36" s="37" t="s">
        <v>1444</v>
      </c>
    </row>
    <row r="37" spans="1:20" ht="28.8" x14ac:dyDescent="0.3">
      <c r="A37" s="38" t="s">
        <v>1451</v>
      </c>
      <c r="B37" s="38" t="s">
        <v>1449</v>
      </c>
      <c r="C37" s="38" t="s">
        <v>1449</v>
      </c>
      <c r="D37" s="38" t="s">
        <v>239</v>
      </c>
      <c r="E37" s="38" t="s">
        <v>1113</v>
      </c>
      <c r="F37" s="38" t="s">
        <v>240</v>
      </c>
      <c r="G37" s="38" t="s">
        <v>362</v>
      </c>
      <c r="H37" s="38" t="s">
        <v>364</v>
      </c>
      <c r="I37" s="42">
        <v>9500</v>
      </c>
      <c r="J37" s="38" t="s">
        <v>243</v>
      </c>
      <c r="K37" s="38" t="s">
        <v>242</v>
      </c>
      <c r="L37" s="38" t="s">
        <v>2281</v>
      </c>
      <c r="M37" s="38" t="s">
        <v>245</v>
      </c>
      <c r="N37" s="38" t="s">
        <v>245</v>
      </c>
      <c r="O37" s="44" t="s">
        <v>2244</v>
      </c>
      <c r="P37" s="38" t="s">
        <v>245</v>
      </c>
      <c r="Q37" s="38" t="s">
        <v>2245</v>
      </c>
      <c r="R37" s="38" t="s">
        <v>335</v>
      </c>
      <c r="S37" s="38">
        <v>1</v>
      </c>
      <c r="T37" s="38" t="s">
        <v>1448</v>
      </c>
    </row>
    <row r="38" spans="1:20" ht="28.8" x14ac:dyDescent="0.3">
      <c r="A38" s="37" t="s">
        <v>1454</v>
      </c>
      <c r="B38" s="37" t="s">
        <v>1449</v>
      </c>
      <c r="C38" s="37" t="s">
        <v>1449</v>
      </c>
      <c r="D38" s="37" t="s">
        <v>405</v>
      </c>
      <c r="E38" s="37" t="s">
        <v>1120</v>
      </c>
      <c r="F38" s="37" t="s">
        <v>240</v>
      </c>
      <c r="G38" s="37" t="s">
        <v>362</v>
      </c>
      <c r="H38" s="37" t="s">
        <v>364</v>
      </c>
      <c r="I38" s="39">
        <v>9900</v>
      </c>
      <c r="J38" s="37" t="s">
        <v>243</v>
      </c>
      <c r="K38" s="37" t="s">
        <v>242</v>
      </c>
      <c r="L38" s="37" t="s">
        <v>2281</v>
      </c>
      <c r="M38" s="37" t="s">
        <v>245</v>
      </c>
      <c r="N38" s="37" t="s">
        <v>245</v>
      </c>
      <c r="O38" s="41" t="s">
        <v>2244</v>
      </c>
      <c r="P38" s="37" t="s">
        <v>245</v>
      </c>
      <c r="Q38" s="37" t="s">
        <v>2245</v>
      </c>
      <c r="R38" s="37" t="s">
        <v>335</v>
      </c>
      <c r="S38" s="37">
        <v>1</v>
      </c>
      <c r="T38" s="37" t="s">
        <v>1452</v>
      </c>
    </row>
    <row r="39" spans="1:20" ht="28.8" x14ac:dyDescent="0.3">
      <c r="A39" s="38" t="s">
        <v>1462</v>
      </c>
      <c r="B39" s="38" t="s">
        <v>1461</v>
      </c>
      <c r="C39" s="38" t="s">
        <v>1461</v>
      </c>
      <c r="D39" s="38" t="s">
        <v>239</v>
      </c>
      <c r="E39" s="38" t="s">
        <v>1056</v>
      </c>
      <c r="F39" s="38" t="s">
        <v>240</v>
      </c>
      <c r="G39" s="38" t="s">
        <v>1103</v>
      </c>
      <c r="H39" s="38" t="s">
        <v>2247</v>
      </c>
      <c r="I39" s="42">
        <v>850</v>
      </c>
      <c r="J39" s="38" t="s">
        <v>243</v>
      </c>
      <c r="K39" s="38" t="s">
        <v>242</v>
      </c>
      <c r="L39" s="38" t="s">
        <v>2282</v>
      </c>
      <c r="M39" s="38" t="s">
        <v>245</v>
      </c>
      <c r="N39" s="38" t="s">
        <v>245</v>
      </c>
      <c r="O39" s="44" t="s">
        <v>2244</v>
      </c>
      <c r="P39" s="38" t="s">
        <v>245</v>
      </c>
      <c r="Q39" s="38" t="s">
        <v>2245</v>
      </c>
      <c r="R39" s="38" t="s">
        <v>335</v>
      </c>
      <c r="S39" s="38">
        <v>1</v>
      </c>
      <c r="T39" s="38" t="s">
        <v>1460</v>
      </c>
    </row>
    <row r="40" spans="1:20" ht="28.8" x14ac:dyDescent="0.3">
      <c r="A40" s="37" t="s">
        <v>1465</v>
      </c>
      <c r="B40" s="37" t="s">
        <v>1464</v>
      </c>
      <c r="C40" s="37" t="s">
        <v>1464</v>
      </c>
      <c r="D40" s="37" t="s">
        <v>239</v>
      </c>
      <c r="E40" s="37" t="s">
        <v>1056</v>
      </c>
      <c r="F40" s="37" t="s">
        <v>240</v>
      </c>
      <c r="G40" s="37" t="s">
        <v>1103</v>
      </c>
      <c r="H40" s="37" t="s">
        <v>2247</v>
      </c>
      <c r="I40" s="39">
        <v>850</v>
      </c>
      <c r="J40" s="37" t="s">
        <v>243</v>
      </c>
      <c r="K40" s="37" t="s">
        <v>242</v>
      </c>
      <c r="L40" s="37" t="s">
        <v>2283</v>
      </c>
      <c r="M40" s="37" t="s">
        <v>245</v>
      </c>
      <c r="N40" s="37" t="s">
        <v>245</v>
      </c>
      <c r="O40" s="41" t="s">
        <v>2244</v>
      </c>
      <c r="P40" s="37" t="s">
        <v>245</v>
      </c>
      <c r="Q40" s="37" t="s">
        <v>2245</v>
      </c>
      <c r="R40" s="37" t="s">
        <v>335</v>
      </c>
      <c r="S40" s="37">
        <v>1</v>
      </c>
      <c r="T40" s="37" t="s">
        <v>1463</v>
      </c>
    </row>
    <row r="41" spans="1:20" ht="28.8" x14ac:dyDescent="0.3">
      <c r="A41" s="38" t="s">
        <v>1518</v>
      </c>
      <c r="B41" s="38" t="s">
        <v>1515</v>
      </c>
      <c r="C41" s="38" t="s">
        <v>1515</v>
      </c>
      <c r="D41" s="38" t="s">
        <v>417</v>
      </c>
      <c r="E41" s="38" t="s">
        <v>1517</v>
      </c>
      <c r="F41" s="38" t="s">
        <v>240</v>
      </c>
      <c r="G41" s="38" t="s">
        <v>388</v>
      </c>
      <c r="H41" s="38" t="s">
        <v>2284</v>
      </c>
      <c r="I41" s="42">
        <v>36000</v>
      </c>
      <c r="J41" s="38" t="s">
        <v>243</v>
      </c>
      <c r="K41" s="38" t="s">
        <v>242</v>
      </c>
      <c r="L41" s="38" t="s">
        <v>2285</v>
      </c>
      <c r="M41" s="38" t="s">
        <v>245</v>
      </c>
      <c r="N41" s="38" t="s">
        <v>245</v>
      </c>
      <c r="O41" s="44" t="s">
        <v>2244</v>
      </c>
      <c r="P41" s="38" t="s">
        <v>245</v>
      </c>
      <c r="Q41" s="38" t="s">
        <v>2245</v>
      </c>
      <c r="R41" s="38" t="s">
        <v>335</v>
      </c>
      <c r="S41" s="38">
        <v>1</v>
      </c>
      <c r="T41" s="38" t="s">
        <v>1514</v>
      </c>
    </row>
    <row r="42" spans="1:20" ht="28.8" x14ac:dyDescent="0.3">
      <c r="A42" s="37" t="s">
        <v>1523</v>
      </c>
      <c r="B42" s="37" t="s">
        <v>1520</v>
      </c>
      <c r="C42" s="37" t="s">
        <v>1520</v>
      </c>
      <c r="D42" s="37" t="s">
        <v>409</v>
      </c>
      <c r="E42" s="37" t="s">
        <v>1522</v>
      </c>
      <c r="F42" s="37" t="s">
        <v>240</v>
      </c>
      <c r="G42" s="37" t="s">
        <v>1103</v>
      </c>
      <c r="H42" s="37" t="s">
        <v>2247</v>
      </c>
      <c r="I42" s="39">
        <v>50</v>
      </c>
      <c r="J42" s="37" t="s">
        <v>243</v>
      </c>
      <c r="K42" s="37" t="s">
        <v>242</v>
      </c>
      <c r="L42" s="37" t="s">
        <v>2286</v>
      </c>
      <c r="M42" s="37" t="s">
        <v>245</v>
      </c>
      <c r="N42" s="37" t="s">
        <v>245</v>
      </c>
      <c r="O42" s="41" t="s">
        <v>2244</v>
      </c>
      <c r="P42" s="37" t="s">
        <v>245</v>
      </c>
      <c r="Q42" s="37" t="s">
        <v>2245</v>
      </c>
      <c r="R42" s="37" t="s">
        <v>335</v>
      </c>
      <c r="S42" s="37">
        <v>1</v>
      </c>
      <c r="T42" s="37" t="s">
        <v>1519</v>
      </c>
    </row>
    <row r="43" spans="1:20" ht="28.8" x14ac:dyDescent="0.3">
      <c r="A43" s="38" t="s">
        <v>1533</v>
      </c>
      <c r="B43" s="38" t="s">
        <v>1530</v>
      </c>
      <c r="C43" s="38" t="s">
        <v>1530</v>
      </c>
      <c r="D43" s="38" t="s">
        <v>413</v>
      </c>
      <c r="E43" s="38" t="s">
        <v>1532</v>
      </c>
      <c r="F43" s="38" t="s">
        <v>240</v>
      </c>
      <c r="G43" s="38" t="s">
        <v>241</v>
      </c>
      <c r="H43" s="38" t="s">
        <v>244</v>
      </c>
      <c r="I43" s="42">
        <v>300</v>
      </c>
      <c r="J43" s="38" t="s">
        <v>284</v>
      </c>
      <c r="K43" s="38" t="s">
        <v>242</v>
      </c>
      <c r="L43" s="38" t="s">
        <v>2287</v>
      </c>
      <c r="M43" s="38" t="s">
        <v>245</v>
      </c>
      <c r="N43" s="38" t="s">
        <v>245</v>
      </c>
      <c r="O43" s="44" t="s">
        <v>2244</v>
      </c>
      <c r="P43" s="38" t="s">
        <v>245</v>
      </c>
      <c r="Q43" s="38" t="s">
        <v>2245</v>
      </c>
      <c r="R43" s="38" t="s">
        <v>335</v>
      </c>
      <c r="S43" s="38">
        <v>1</v>
      </c>
      <c r="T43" s="38" t="s">
        <v>1529</v>
      </c>
    </row>
    <row r="44" spans="1:20" ht="28.8" x14ac:dyDescent="0.3">
      <c r="A44" s="37" t="s">
        <v>1589</v>
      </c>
      <c r="B44" s="37" t="s">
        <v>1587</v>
      </c>
      <c r="C44" s="37" t="s">
        <v>1587</v>
      </c>
      <c r="D44" s="37" t="s">
        <v>399</v>
      </c>
      <c r="E44" s="37" t="s">
        <v>1012</v>
      </c>
      <c r="F44" s="37" t="s">
        <v>240</v>
      </c>
      <c r="G44" s="37" t="s">
        <v>362</v>
      </c>
      <c r="H44" s="37" t="s">
        <v>364</v>
      </c>
      <c r="I44" s="39">
        <v>500</v>
      </c>
      <c r="J44" s="37" t="s">
        <v>243</v>
      </c>
      <c r="K44" s="37" t="s">
        <v>242</v>
      </c>
      <c r="L44" s="37" t="s">
        <v>2288</v>
      </c>
      <c r="M44" s="37" t="s">
        <v>245</v>
      </c>
      <c r="N44" s="37" t="s">
        <v>245</v>
      </c>
      <c r="O44" s="41" t="s">
        <v>2244</v>
      </c>
      <c r="P44" s="37" t="s">
        <v>245</v>
      </c>
      <c r="Q44" s="37" t="s">
        <v>2245</v>
      </c>
      <c r="R44" s="37" t="s">
        <v>335</v>
      </c>
      <c r="S44" s="37">
        <v>1</v>
      </c>
      <c r="T44" s="37" t="s">
        <v>1586</v>
      </c>
    </row>
    <row r="45" spans="1:20" ht="28.8" x14ac:dyDescent="0.3">
      <c r="A45" s="38" t="s">
        <v>1592</v>
      </c>
      <c r="B45" s="38" t="s">
        <v>1591</v>
      </c>
      <c r="C45" s="38" t="s">
        <v>1591</v>
      </c>
      <c r="D45" s="38" t="s">
        <v>399</v>
      </c>
      <c r="E45" s="38" t="s">
        <v>1012</v>
      </c>
      <c r="F45" s="38" t="s">
        <v>240</v>
      </c>
      <c r="G45" s="38" t="s">
        <v>362</v>
      </c>
      <c r="H45" s="38" t="s">
        <v>364</v>
      </c>
      <c r="I45" s="42">
        <v>400</v>
      </c>
      <c r="J45" s="38" t="s">
        <v>243</v>
      </c>
      <c r="K45" s="38" t="s">
        <v>242</v>
      </c>
      <c r="L45" s="38" t="s">
        <v>2289</v>
      </c>
      <c r="M45" s="38" t="s">
        <v>245</v>
      </c>
      <c r="N45" s="38" t="s">
        <v>245</v>
      </c>
      <c r="O45" s="44" t="s">
        <v>2244</v>
      </c>
      <c r="P45" s="38" t="s">
        <v>245</v>
      </c>
      <c r="Q45" s="38" t="s">
        <v>2245</v>
      </c>
      <c r="R45" s="38" t="s">
        <v>335</v>
      </c>
      <c r="S45" s="38">
        <v>1</v>
      </c>
      <c r="T45" s="38" t="s">
        <v>1590</v>
      </c>
    </row>
    <row r="46" spans="1:20" ht="28.8" x14ac:dyDescent="0.3">
      <c r="A46" s="37" t="s">
        <v>1595</v>
      </c>
      <c r="B46" s="37" t="s">
        <v>1594</v>
      </c>
      <c r="C46" s="37" t="s">
        <v>1594</v>
      </c>
      <c r="D46" s="37" t="s">
        <v>399</v>
      </c>
      <c r="E46" s="37" t="s">
        <v>1196</v>
      </c>
      <c r="F46" s="37" t="s">
        <v>240</v>
      </c>
      <c r="G46" s="37" t="s">
        <v>362</v>
      </c>
      <c r="H46" s="37" t="s">
        <v>364</v>
      </c>
      <c r="I46" s="39">
        <v>1100</v>
      </c>
      <c r="J46" s="37" t="s">
        <v>243</v>
      </c>
      <c r="K46" s="37" t="s">
        <v>242</v>
      </c>
      <c r="L46" s="37" t="s">
        <v>2290</v>
      </c>
      <c r="M46" s="37" t="s">
        <v>245</v>
      </c>
      <c r="N46" s="37" t="s">
        <v>245</v>
      </c>
      <c r="O46" s="41" t="s">
        <v>2244</v>
      </c>
      <c r="P46" s="37" t="s">
        <v>245</v>
      </c>
      <c r="Q46" s="37" t="s">
        <v>2245</v>
      </c>
      <c r="R46" s="37" t="s">
        <v>335</v>
      </c>
      <c r="S46" s="37">
        <v>1</v>
      </c>
      <c r="T46" s="37" t="s">
        <v>1593</v>
      </c>
    </row>
    <row r="47" spans="1:20" ht="28.8" x14ac:dyDescent="0.3">
      <c r="A47" s="38" t="s">
        <v>1599</v>
      </c>
      <c r="B47" s="38" t="s">
        <v>1597</v>
      </c>
      <c r="C47" s="38" t="s">
        <v>1597</v>
      </c>
      <c r="D47" s="38" t="s">
        <v>239</v>
      </c>
      <c r="E47" s="38" t="s">
        <v>1056</v>
      </c>
      <c r="F47" s="38" t="s">
        <v>240</v>
      </c>
      <c r="G47" s="38" t="s">
        <v>388</v>
      </c>
      <c r="H47" s="38" t="s">
        <v>2284</v>
      </c>
      <c r="I47" s="42">
        <v>30000</v>
      </c>
      <c r="J47" s="38" t="s">
        <v>243</v>
      </c>
      <c r="K47" s="38" t="s">
        <v>242</v>
      </c>
      <c r="L47" s="38" t="s">
        <v>2291</v>
      </c>
      <c r="M47" s="38" t="s">
        <v>245</v>
      </c>
      <c r="N47" s="38" t="s">
        <v>245</v>
      </c>
      <c r="O47" s="44" t="s">
        <v>2244</v>
      </c>
      <c r="P47" s="38" t="s">
        <v>245</v>
      </c>
      <c r="Q47" s="38" t="s">
        <v>2245</v>
      </c>
      <c r="R47" s="38" t="s">
        <v>335</v>
      </c>
      <c r="S47" s="38">
        <v>1</v>
      </c>
      <c r="T47" s="38" t="s">
        <v>1596</v>
      </c>
    </row>
    <row r="48" spans="1:20" ht="28.8" x14ac:dyDescent="0.3">
      <c r="A48" s="37" t="s">
        <v>1603</v>
      </c>
      <c r="B48" s="37" t="s">
        <v>1601</v>
      </c>
      <c r="C48" s="37" t="s">
        <v>1601</v>
      </c>
      <c r="D48" s="37" t="s">
        <v>386</v>
      </c>
      <c r="E48" s="37" t="s">
        <v>1602</v>
      </c>
      <c r="F48" s="37" t="s">
        <v>240</v>
      </c>
      <c r="G48" s="37" t="s">
        <v>306</v>
      </c>
      <c r="H48" s="37" t="s">
        <v>324</v>
      </c>
      <c r="I48" s="39">
        <v>3500</v>
      </c>
      <c r="J48" s="37" t="s">
        <v>243</v>
      </c>
      <c r="K48" s="37" t="s">
        <v>242</v>
      </c>
      <c r="L48" s="37" t="s">
        <v>2292</v>
      </c>
      <c r="M48" s="37" t="s">
        <v>245</v>
      </c>
      <c r="N48" s="37" t="s">
        <v>245</v>
      </c>
      <c r="O48" s="41" t="s">
        <v>2244</v>
      </c>
      <c r="P48" s="37" t="s">
        <v>245</v>
      </c>
      <c r="Q48" s="37" t="s">
        <v>2245</v>
      </c>
      <c r="R48" s="37" t="s">
        <v>335</v>
      </c>
      <c r="S48" s="37">
        <v>1</v>
      </c>
      <c r="T48" s="37" t="s">
        <v>1600</v>
      </c>
    </row>
    <row r="49" spans="1:20" ht="28.8" x14ac:dyDescent="0.3">
      <c r="A49" s="38" t="s">
        <v>1606</v>
      </c>
      <c r="B49" s="38" t="s">
        <v>1605</v>
      </c>
      <c r="C49" s="38" t="s">
        <v>1605</v>
      </c>
      <c r="D49" s="38" t="s">
        <v>360</v>
      </c>
      <c r="E49" s="38" t="s">
        <v>1501</v>
      </c>
      <c r="F49" s="38" t="s">
        <v>240</v>
      </c>
      <c r="G49" s="38" t="s">
        <v>306</v>
      </c>
      <c r="H49" s="38" t="s">
        <v>324</v>
      </c>
      <c r="I49" s="42">
        <v>15000</v>
      </c>
      <c r="J49" s="38" t="s">
        <v>243</v>
      </c>
      <c r="K49" s="38" t="s">
        <v>242</v>
      </c>
      <c r="L49" s="38" t="s">
        <v>2293</v>
      </c>
      <c r="M49" s="38" t="s">
        <v>245</v>
      </c>
      <c r="N49" s="38" t="s">
        <v>245</v>
      </c>
      <c r="O49" s="44" t="s">
        <v>2244</v>
      </c>
      <c r="P49" s="38" t="s">
        <v>245</v>
      </c>
      <c r="Q49" s="38" t="s">
        <v>2245</v>
      </c>
      <c r="R49" s="38" t="s">
        <v>335</v>
      </c>
      <c r="S49" s="38">
        <v>1</v>
      </c>
      <c r="T49" s="38" t="s">
        <v>1604</v>
      </c>
    </row>
    <row r="50" spans="1:20" ht="28.8" x14ac:dyDescent="0.3">
      <c r="A50" s="37" t="s">
        <v>1609</v>
      </c>
      <c r="B50" s="37" t="s">
        <v>1608</v>
      </c>
      <c r="C50" s="37" t="s">
        <v>1608</v>
      </c>
      <c r="D50" s="37" t="s">
        <v>386</v>
      </c>
      <c r="E50" s="37" t="s">
        <v>1130</v>
      </c>
      <c r="F50" s="37" t="s">
        <v>240</v>
      </c>
      <c r="G50" s="37" t="s">
        <v>306</v>
      </c>
      <c r="H50" s="37" t="s">
        <v>324</v>
      </c>
      <c r="I50" s="39">
        <v>1500</v>
      </c>
      <c r="J50" s="37" t="s">
        <v>243</v>
      </c>
      <c r="K50" s="37" t="s">
        <v>242</v>
      </c>
      <c r="L50" s="37" t="s">
        <v>2294</v>
      </c>
      <c r="M50" s="37" t="s">
        <v>245</v>
      </c>
      <c r="N50" s="37" t="s">
        <v>245</v>
      </c>
      <c r="O50" s="41" t="s">
        <v>2244</v>
      </c>
      <c r="P50" s="37" t="s">
        <v>245</v>
      </c>
      <c r="Q50" s="37" t="s">
        <v>2245</v>
      </c>
      <c r="R50" s="37" t="s">
        <v>335</v>
      </c>
      <c r="S50" s="37">
        <v>1</v>
      </c>
      <c r="T50" s="37" t="s">
        <v>1607</v>
      </c>
    </row>
    <row r="51" spans="1:20" ht="28.8" x14ac:dyDescent="0.3">
      <c r="A51" s="38" t="s">
        <v>1612</v>
      </c>
      <c r="B51" s="38" t="s">
        <v>1611</v>
      </c>
      <c r="C51" s="38" t="s">
        <v>1611</v>
      </c>
      <c r="D51" s="38" t="s">
        <v>386</v>
      </c>
      <c r="E51" s="38" t="s">
        <v>1130</v>
      </c>
      <c r="F51" s="38" t="s">
        <v>240</v>
      </c>
      <c r="G51" s="38" t="s">
        <v>306</v>
      </c>
      <c r="H51" s="38" t="s">
        <v>324</v>
      </c>
      <c r="I51" s="42">
        <v>1100</v>
      </c>
      <c r="J51" s="38" t="s">
        <v>243</v>
      </c>
      <c r="K51" s="38" t="s">
        <v>242</v>
      </c>
      <c r="L51" s="38" t="s">
        <v>2295</v>
      </c>
      <c r="M51" s="38" t="s">
        <v>245</v>
      </c>
      <c r="N51" s="38" t="s">
        <v>245</v>
      </c>
      <c r="O51" s="44" t="s">
        <v>2244</v>
      </c>
      <c r="P51" s="38" t="s">
        <v>245</v>
      </c>
      <c r="Q51" s="38" t="s">
        <v>2245</v>
      </c>
      <c r="R51" s="38" t="s">
        <v>335</v>
      </c>
      <c r="S51" s="38">
        <v>1</v>
      </c>
      <c r="T51" s="38" t="s">
        <v>1610</v>
      </c>
    </row>
    <row r="52" spans="1:20" ht="28.8" x14ac:dyDescent="0.3">
      <c r="A52" s="37" t="s">
        <v>1616</v>
      </c>
      <c r="B52" s="37" t="s">
        <v>1614</v>
      </c>
      <c r="C52" s="37" t="s">
        <v>1614</v>
      </c>
      <c r="D52" s="37" t="s">
        <v>386</v>
      </c>
      <c r="E52" s="37" t="s">
        <v>1602</v>
      </c>
      <c r="F52" s="37" t="s">
        <v>240</v>
      </c>
      <c r="G52" s="37" t="s">
        <v>1103</v>
      </c>
      <c r="H52" s="37" t="s">
        <v>2247</v>
      </c>
      <c r="I52" s="39">
        <v>3000</v>
      </c>
      <c r="J52" s="37" t="s">
        <v>243</v>
      </c>
      <c r="K52" s="37" t="s">
        <v>242</v>
      </c>
      <c r="L52" s="37" t="s">
        <v>2296</v>
      </c>
      <c r="M52" s="37" t="s">
        <v>245</v>
      </c>
      <c r="N52" s="37" t="s">
        <v>245</v>
      </c>
      <c r="O52" s="41" t="s">
        <v>2244</v>
      </c>
      <c r="P52" s="37" t="s">
        <v>245</v>
      </c>
      <c r="Q52" s="37" t="s">
        <v>2245</v>
      </c>
      <c r="R52" s="37" t="s">
        <v>335</v>
      </c>
      <c r="S52" s="37">
        <v>1</v>
      </c>
      <c r="T52" s="37" t="s">
        <v>1613</v>
      </c>
    </row>
    <row r="53" spans="1:20" ht="28.8" x14ac:dyDescent="0.3">
      <c r="A53" s="38" t="s">
        <v>1619</v>
      </c>
      <c r="B53" s="38" t="s">
        <v>1618</v>
      </c>
      <c r="C53" s="38" t="s">
        <v>1618</v>
      </c>
      <c r="D53" s="38" t="s">
        <v>239</v>
      </c>
      <c r="E53" s="38" t="s">
        <v>1390</v>
      </c>
      <c r="F53" s="38" t="s">
        <v>240</v>
      </c>
      <c r="G53" s="38" t="s">
        <v>306</v>
      </c>
      <c r="H53" s="38" t="s">
        <v>324</v>
      </c>
      <c r="I53" s="42">
        <v>1500</v>
      </c>
      <c r="J53" s="38" t="s">
        <v>243</v>
      </c>
      <c r="K53" s="38" t="s">
        <v>242</v>
      </c>
      <c r="L53" s="38" t="s">
        <v>2297</v>
      </c>
      <c r="M53" s="38" t="s">
        <v>245</v>
      </c>
      <c r="N53" s="38" t="s">
        <v>245</v>
      </c>
      <c r="O53" s="44" t="s">
        <v>2244</v>
      </c>
      <c r="P53" s="38" t="s">
        <v>245</v>
      </c>
      <c r="Q53" s="38" t="s">
        <v>2245</v>
      </c>
      <c r="R53" s="38" t="s">
        <v>335</v>
      </c>
      <c r="S53" s="38">
        <v>1</v>
      </c>
      <c r="T53" s="38" t="s">
        <v>1617</v>
      </c>
    </row>
    <row r="54" spans="1:20" ht="28.8" x14ac:dyDescent="0.3">
      <c r="A54" s="37" t="s">
        <v>1623</v>
      </c>
      <c r="B54" s="37" t="s">
        <v>1621</v>
      </c>
      <c r="C54" s="37" t="s">
        <v>1621</v>
      </c>
      <c r="D54" s="37" t="s">
        <v>360</v>
      </c>
      <c r="E54" s="37" t="s">
        <v>1384</v>
      </c>
      <c r="F54" s="37" t="s">
        <v>240</v>
      </c>
      <c r="G54" s="37" t="s">
        <v>306</v>
      </c>
      <c r="H54" s="37" t="s">
        <v>324</v>
      </c>
      <c r="I54" s="39">
        <v>2200</v>
      </c>
      <c r="J54" s="37" t="s">
        <v>243</v>
      </c>
      <c r="K54" s="37" t="s">
        <v>242</v>
      </c>
      <c r="L54" s="37" t="s">
        <v>2298</v>
      </c>
      <c r="M54" s="37" t="s">
        <v>245</v>
      </c>
      <c r="N54" s="37" t="s">
        <v>245</v>
      </c>
      <c r="O54" s="41" t="s">
        <v>2244</v>
      </c>
      <c r="P54" s="37" t="s">
        <v>245</v>
      </c>
      <c r="Q54" s="37" t="s">
        <v>2245</v>
      </c>
      <c r="R54" s="37" t="s">
        <v>335</v>
      </c>
      <c r="S54" s="37">
        <v>1</v>
      </c>
      <c r="T54" s="37" t="s">
        <v>1620</v>
      </c>
    </row>
    <row r="55" spans="1:20" ht="28.8" x14ac:dyDescent="0.3">
      <c r="A55" s="38" t="s">
        <v>1626</v>
      </c>
      <c r="B55" s="38" t="s">
        <v>1625</v>
      </c>
      <c r="C55" s="38" t="s">
        <v>1625</v>
      </c>
      <c r="D55" s="38" t="s">
        <v>239</v>
      </c>
      <c r="E55" s="38" t="s">
        <v>1062</v>
      </c>
      <c r="F55" s="38" t="s">
        <v>240</v>
      </c>
      <c r="G55" s="38" t="s">
        <v>241</v>
      </c>
      <c r="H55" s="38" t="s">
        <v>244</v>
      </c>
      <c r="I55" s="42">
        <v>650</v>
      </c>
      <c r="J55" s="38" t="s">
        <v>243</v>
      </c>
      <c r="K55" s="38" t="s">
        <v>242</v>
      </c>
      <c r="L55" s="38" t="s">
        <v>2299</v>
      </c>
      <c r="M55" s="38" t="s">
        <v>245</v>
      </c>
      <c r="N55" s="38" t="s">
        <v>245</v>
      </c>
      <c r="O55" s="44" t="s">
        <v>2244</v>
      </c>
      <c r="P55" s="38" t="s">
        <v>245</v>
      </c>
      <c r="Q55" s="38" t="s">
        <v>2245</v>
      </c>
      <c r="R55" s="38" t="s">
        <v>335</v>
      </c>
      <c r="S55" s="38">
        <v>1</v>
      </c>
      <c r="T55" s="38" t="s">
        <v>1624</v>
      </c>
    </row>
    <row r="56" spans="1:20" ht="28.8" x14ac:dyDescent="0.3">
      <c r="A56" s="37" t="s">
        <v>1630</v>
      </c>
      <c r="B56" s="37" t="s">
        <v>1628</v>
      </c>
      <c r="C56" s="37" t="s">
        <v>1628</v>
      </c>
      <c r="D56" s="37" t="s">
        <v>320</v>
      </c>
      <c r="E56" s="37" t="s">
        <v>1629</v>
      </c>
      <c r="F56" s="37" t="s">
        <v>240</v>
      </c>
      <c r="G56" s="37" t="s">
        <v>306</v>
      </c>
      <c r="H56" s="37" t="s">
        <v>324</v>
      </c>
      <c r="I56" s="39">
        <v>6500</v>
      </c>
      <c r="J56" s="37" t="s">
        <v>243</v>
      </c>
      <c r="K56" s="37" t="s">
        <v>242</v>
      </c>
      <c r="L56" s="37" t="s">
        <v>2300</v>
      </c>
      <c r="M56" s="37" t="s">
        <v>245</v>
      </c>
      <c r="N56" s="37" t="s">
        <v>245</v>
      </c>
      <c r="O56" s="41" t="s">
        <v>2244</v>
      </c>
      <c r="P56" s="37" t="s">
        <v>245</v>
      </c>
      <c r="Q56" s="37" t="s">
        <v>2245</v>
      </c>
      <c r="R56" s="37" t="s">
        <v>335</v>
      </c>
      <c r="S56" s="37">
        <v>1</v>
      </c>
      <c r="T56" s="37" t="s">
        <v>1627</v>
      </c>
    </row>
    <row r="57" spans="1:20" ht="28.8" x14ac:dyDescent="0.3">
      <c r="A57" s="38" t="s">
        <v>1634</v>
      </c>
      <c r="B57" s="38" t="s">
        <v>1632</v>
      </c>
      <c r="C57" s="38" t="s">
        <v>1632</v>
      </c>
      <c r="D57" s="38" t="s">
        <v>320</v>
      </c>
      <c r="E57" s="38" t="s">
        <v>1629</v>
      </c>
      <c r="F57" s="38" t="s">
        <v>240</v>
      </c>
      <c r="G57" s="38" t="s">
        <v>306</v>
      </c>
      <c r="H57" s="38" t="s">
        <v>324</v>
      </c>
      <c r="I57" s="42">
        <v>3800</v>
      </c>
      <c r="J57" s="38" t="s">
        <v>243</v>
      </c>
      <c r="K57" s="38" t="s">
        <v>242</v>
      </c>
      <c r="L57" s="38" t="s">
        <v>2300</v>
      </c>
      <c r="M57" s="38" t="s">
        <v>245</v>
      </c>
      <c r="N57" s="38" t="s">
        <v>245</v>
      </c>
      <c r="O57" s="44" t="s">
        <v>2244</v>
      </c>
      <c r="P57" s="38" t="s">
        <v>245</v>
      </c>
      <c r="Q57" s="38" t="s">
        <v>2245</v>
      </c>
      <c r="R57" s="38" t="s">
        <v>335</v>
      </c>
      <c r="S57" s="38">
        <v>1</v>
      </c>
      <c r="T57" s="38" t="s">
        <v>1631</v>
      </c>
    </row>
    <row r="58" spans="1:20" ht="28.8" x14ac:dyDescent="0.3">
      <c r="A58" s="37" t="s">
        <v>1638</v>
      </c>
      <c r="B58" s="37" t="s">
        <v>1636</v>
      </c>
      <c r="C58" s="37" t="s">
        <v>1636</v>
      </c>
      <c r="D58" s="37" t="s">
        <v>386</v>
      </c>
      <c r="E58" s="37" t="s">
        <v>1130</v>
      </c>
      <c r="F58" s="37" t="s">
        <v>240</v>
      </c>
      <c r="G58" s="37" t="s">
        <v>306</v>
      </c>
      <c r="H58" s="37" t="s">
        <v>324</v>
      </c>
      <c r="I58" s="39">
        <v>20000</v>
      </c>
      <c r="J58" s="37" t="s">
        <v>243</v>
      </c>
      <c r="K58" s="37" t="s">
        <v>242</v>
      </c>
      <c r="L58" s="37" t="s">
        <v>2301</v>
      </c>
      <c r="M58" s="37" t="s">
        <v>245</v>
      </c>
      <c r="N58" s="37" t="s">
        <v>245</v>
      </c>
      <c r="O58" s="41" t="s">
        <v>2244</v>
      </c>
      <c r="P58" s="37" t="s">
        <v>245</v>
      </c>
      <c r="Q58" s="37" t="s">
        <v>2245</v>
      </c>
      <c r="R58" s="37" t="s">
        <v>335</v>
      </c>
      <c r="S58" s="37">
        <v>1</v>
      </c>
      <c r="T58" s="37" t="s">
        <v>1635</v>
      </c>
    </row>
    <row r="59" spans="1:20" ht="28.8" x14ac:dyDescent="0.3">
      <c r="A59" s="38" t="s">
        <v>1642</v>
      </c>
      <c r="B59" s="38" t="s">
        <v>1640</v>
      </c>
      <c r="C59" s="38" t="s">
        <v>1640</v>
      </c>
      <c r="D59" s="38" t="s">
        <v>239</v>
      </c>
      <c r="E59" s="38" t="s">
        <v>1056</v>
      </c>
      <c r="F59" s="38" t="s">
        <v>240</v>
      </c>
      <c r="G59" s="38" t="s">
        <v>241</v>
      </c>
      <c r="H59" s="38" t="s">
        <v>244</v>
      </c>
      <c r="I59" s="42">
        <v>450</v>
      </c>
      <c r="J59" s="38" t="s">
        <v>243</v>
      </c>
      <c r="K59" s="38" t="s">
        <v>242</v>
      </c>
      <c r="L59" s="38" t="s">
        <v>2302</v>
      </c>
      <c r="M59" s="38" t="s">
        <v>245</v>
      </c>
      <c r="N59" s="38" t="s">
        <v>245</v>
      </c>
      <c r="O59" s="44" t="s">
        <v>2244</v>
      </c>
      <c r="P59" s="38" t="s">
        <v>245</v>
      </c>
      <c r="Q59" s="38" t="s">
        <v>2245</v>
      </c>
      <c r="R59" s="38" t="s">
        <v>335</v>
      </c>
      <c r="S59" s="38">
        <v>1</v>
      </c>
      <c r="T59" s="38" t="s">
        <v>1639</v>
      </c>
    </row>
    <row r="60" spans="1:20" ht="28.8" x14ac:dyDescent="0.3">
      <c r="A60" s="37" t="s">
        <v>1645</v>
      </c>
      <c r="B60" s="37" t="s">
        <v>1644</v>
      </c>
      <c r="C60" s="37" t="s">
        <v>1644</v>
      </c>
      <c r="D60" s="37" t="s">
        <v>360</v>
      </c>
      <c r="E60" s="37" t="s">
        <v>1501</v>
      </c>
      <c r="F60" s="37" t="s">
        <v>240</v>
      </c>
      <c r="G60" s="37" t="s">
        <v>306</v>
      </c>
      <c r="H60" s="37" t="s">
        <v>324</v>
      </c>
      <c r="I60" s="39">
        <v>3800</v>
      </c>
      <c r="J60" s="37" t="s">
        <v>243</v>
      </c>
      <c r="K60" s="37" t="s">
        <v>242</v>
      </c>
      <c r="L60" s="37" t="s">
        <v>2303</v>
      </c>
      <c r="M60" s="37" t="s">
        <v>245</v>
      </c>
      <c r="N60" s="37" t="s">
        <v>245</v>
      </c>
      <c r="O60" s="41" t="s">
        <v>2244</v>
      </c>
      <c r="P60" s="37" t="s">
        <v>245</v>
      </c>
      <c r="Q60" s="37" t="s">
        <v>2245</v>
      </c>
      <c r="R60" s="37" t="s">
        <v>335</v>
      </c>
      <c r="S60" s="37">
        <v>1</v>
      </c>
      <c r="T60" s="37" t="s">
        <v>1643</v>
      </c>
    </row>
    <row r="61" spans="1:20" ht="43.2" x14ac:dyDescent="0.3">
      <c r="A61" s="38" t="s">
        <v>1649</v>
      </c>
      <c r="B61" s="38" t="s">
        <v>1647</v>
      </c>
      <c r="C61" s="38" t="s">
        <v>1647</v>
      </c>
      <c r="D61" s="38" t="s">
        <v>360</v>
      </c>
      <c r="E61" s="38" t="s">
        <v>1384</v>
      </c>
      <c r="F61" s="38" t="s">
        <v>240</v>
      </c>
      <c r="G61" s="38" t="s">
        <v>1103</v>
      </c>
      <c r="H61" s="38" t="s">
        <v>2247</v>
      </c>
      <c r="I61" s="42">
        <v>1350</v>
      </c>
      <c r="J61" s="38" t="s">
        <v>243</v>
      </c>
      <c r="K61" s="38" t="s">
        <v>242</v>
      </c>
      <c r="L61" s="38" t="s">
        <v>2304</v>
      </c>
      <c r="M61" s="38" t="s">
        <v>245</v>
      </c>
      <c r="N61" s="38" t="s">
        <v>245</v>
      </c>
      <c r="O61" s="44" t="s">
        <v>2244</v>
      </c>
      <c r="P61" s="38" t="s">
        <v>245</v>
      </c>
      <c r="Q61" s="38" t="s">
        <v>2245</v>
      </c>
      <c r="R61" s="38" t="s">
        <v>335</v>
      </c>
      <c r="S61" s="38">
        <v>1</v>
      </c>
      <c r="T61" s="38" t="s">
        <v>1646</v>
      </c>
    </row>
    <row r="62" spans="1:20" ht="28.8" x14ac:dyDescent="0.3">
      <c r="A62" s="37" t="s">
        <v>1652</v>
      </c>
      <c r="B62" s="37" t="s">
        <v>1651</v>
      </c>
      <c r="C62" s="37" t="s">
        <v>1651</v>
      </c>
      <c r="D62" s="37" t="s">
        <v>360</v>
      </c>
      <c r="E62" s="37" t="s">
        <v>1384</v>
      </c>
      <c r="F62" s="37" t="s">
        <v>240</v>
      </c>
      <c r="G62" s="37" t="s">
        <v>306</v>
      </c>
      <c r="H62" s="37" t="s">
        <v>324</v>
      </c>
      <c r="I62" s="39">
        <v>2200</v>
      </c>
      <c r="J62" s="37" t="s">
        <v>243</v>
      </c>
      <c r="K62" s="37" t="s">
        <v>242</v>
      </c>
      <c r="L62" s="37" t="s">
        <v>2305</v>
      </c>
      <c r="M62" s="37" t="s">
        <v>245</v>
      </c>
      <c r="N62" s="37" t="s">
        <v>245</v>
      </c>
      <c r="O62" s="41" t="s">
        <v>2244</v>
      </c>
      <c r="P62" s="37" t="s">
        <v>245</v>
      </c>
      <c r="Q62" s="37" t="s">
        <v>2245</v>
      </c>
      <c r="R62" s="37" t="s">
        <v>335</v>
      </c>
      <c r="S62" s="37">
        <v>1</v>
      </c>
      <c r="T62" s="37" t="s">
        <v>1650</v>
      </c>
    </row>
    <row r="63" spans="1:20" ht="28.8" x14ac:dyDescent="0.3">
      <c r="A63" s="38" t="s">
        <v>1655</v>
      </c>
      <c r="B63" s="38" t="s">
        <v>1654</v>
      </c>
      <c r="C63" s="38" t="s">
        <v>1654</v>
      </c>
      <c r="D63" s="38" t="s">
        <v>386</v>
      </c>
      <c r="E63" s="38" t="s">
        <v>1130</v>
      </c>
      <c r="F63" s="38" t="s">
        <v>240</v>
      </c>
      <c r="G63" s="38" t="s">
        <v>306</v>
      </c>
      <c r="H63" s="38" t="s">
        <v>324</v>
      </c>
      <c r="I63" s="42">
        <v>1200</v>
      </c>
      <c r="J63" s="38" t="s">
        <v>243</v>
      </c>
      <c r="K63" s="38" t="s">
        <v>242</v>
      </c>
      <c r="L63" s="38" t="s">
        <v>2306</v>
      </c>
      <c r="M63" s="38" t="s">
        <v>245</v>
      </c>
      <c r="N63" s="38" t="s">
        <v>245</v>
      </c>
      <c r="O63" s="44" t="s">
        <v>2244</v>
      </c>
      <c r="P63" s="38" t="s">
        <v>245</v>
      </c>
      <c r="Q63" s="38" t="s">
        <v>2245</v>
      </c>
      <c r="R63" s="38" t="s">
        <v>335</v>
      </c>
      <c r="S63" s="38">
        <v>1</v>
      </c>
      <c r="T63" s="38" t="s">
        <v>1653</v>
      </c>
    </row>
    <row r="64" spans="1:20" ht="28.8" x14ac:dyDescent="0.3">
      <c r="A64" s="37" t="s">
        <v>1658</v>
      </c>
      <c r="B64" s="37" t="s">
        <v>1657</v>
      </c>
      <c r="C64" s="37" t="s">
        <v>1657</v>
      </c>
      <c r="D64" s="37" t="s">
        <v>386</v>
      </c>
      <c r="E64" s="37" t="s">
        <v>1130</v>
      </c>
      <c r="F64" s="37" t="s">
        <v>240</v>
      </c>
      <c r="G64" s="37" t="s">
        <v>306</v>
      </c>
      <c r="H64" s="37" t="s">
        <v>324</v>
      </c>
      <c r="I64" s="39">
        <v>1100</v>
      </c>
      <c r="J64" s="37" t="s">
        <v>243</v>
      </c>
      <c r="K64" s="37" t="s">
        <v>242</v>
      </c>
      <c r="L64" s="37" t="s">
        <v>2307</v>
      </c>
      <c r="M64" s="37" t="s">
        <v>245</v>
      </c>
      <c r="N64" s="37" t="s">
        <v>245</v>
      </c>
      <c r="O64" s="41" t="s">
        <v>2244</v>
      </c>
      <c r="P64" s="37" t="s">
        <v>245</v>
      </c>
      <c r="Q64" s="37" t="s">
        <v>2245</v>
      </c>
      <c r="R64" s="37" t="s">
        <v>335</v>
      </c>
      <c r="S64" s="37">
        <v>1</v>
      </c>
      <c r="T64" s="37" t="s">
        <v>1656</v>
      </c>
    </row>
    <row r="65" spans="1:20" ht="28.8" x14ac:dyDescent="0.3">
      <c r="A65" s="38" t="s">
        <v>1661</v>
      </c>
      <c r="B65" s="38" t="s">
        <v>1660</v>
      </c>
      <c r="C65" s="38" t="s">
        <v>1660</v>
      </c>
      <c r="D65" s="38" t="s">
        <v>239</v>
      </c>
      <c r="E65" s="38" t="s">
        <v>1113</v>
      </c>
      <c r="F65" s="38" t="s">
        <v>240</v>
      </c>
      <c r="G65" s="38" t="s">
        <v>1103</v>
      </c>
      <c r="H65" s="38" t="s">
        <v>2247</v>
      </c>
      <c r="I65" s="42">
        <v>450</v>
      </c>
      <c r="J65" s="38" t="s">
        <v>243</v>
      </c>
      <c r="K65" s="38" t="s">
        <v>242</v>
      </c>
      <c r="L65" s="38" t="s">
        <v>2308</v>
      </c>
      <c r="M65" s="38" t="s">
        <v>245</v>
      </c>
      <c r="N65" s="38" t="s">
        <v>245</v>
      </c>
      <c r="O65" s="44" t="s">
        <v>2244</v>
      </c>
      <c r="P65" s="38" t="s">
        <v>245</v>
      </c>
      <c r="Q65" s="38" t="s">
        <v>2245</v>
      </c>
      <c r="R65" s="38" t="s">
        <v>335</v>
      </c>
      <c r="S65" s="38">
        <v>1</v>
      </c>
      <c r="T65" s="38" t="s">
        <v>1659</v>
      </c>
    </row>
    <row r="66" spans="1:20" ht="28.8" x14ac:dyDescent="0.3">
      <c r="A66" s="37" t="s">
        <v>1664</v>
      </c>
      <c r="B66" s="37" t="s">
        <v>1660</v>
      </c>
      <c r="C66" s="37" t="s">
        <v>1660</v>
      </c>
      <c r="D66" s="37" t="s">
        <v>405</v>
      </c>
      <c r="E66" s="37" t="s">
        <v>1120</v>
      </c>
      <c r="F66" s="37" t="s">
        <v>240</v>
      </c>
      <c r="G66" s="37" t="s">
        <v>1103</v>
      </c>
      <c r="H66" s="37" t="s">
        <v>2247</v>
      </c>
      <c r="I66" s="39">
        <v>990</v>
      </c>
      <c r="J66" s="37" t="s">
        <v>243</v>
      </c>
      <c r="K66" s="37" t="s">
        <v>242</v>
      </c>
      <c r="L66" s="37" t="s">
        <v>2308</v>
      </c>
      <c r="M66" s="37" t="s">
        <v>245</v>
      </c>
      <c r="N66" s="37" t="s">
        <v>245</v>
      </c>
      <c r="O66" s="41" t="s">
        <v>2244</v>
      </c>
      <c r="P66" s="37" t="s">
        <v>245</v>
      </c>
      <c r="Q66" s="37" t="s">
        <v>2245</v>
      </c>
      <c r="R66" s="37" t="s">
        <v>335</v>
      </c>
      <c r="S66" s="37">
        <v>1</v>
      </c>
      <c r="T66" s="37" t="s">
        <v>1662</v>
      </c>
    </row>
    <row r="67" spans="1:20" ht="28.8" x14ac:dyDescent="0.3">
      <c r="A67" s="38" t="s">
        <v>1668</v>
      </c>
      <c r="B67" s="38" t="s">
        <v>1666</v>
      </c>
      <c r="C67" s="38" t="s">
        <v>1666</v>
      </c>
      <c r="D67" s="38" t="s">
        <v>239</v>
      </c>
      <c r="E67" s="38" t="s">
        <v>252</v>
      </c>
      <c r="F67" s="38" t="s">
        <v>240</v>
      </c>
      <c r="G67" s="38" t="s">
        <v>241</v>
      </c>
      <c r="H67" s="38" t="s">
        <v>244</v>
      </c>
      <c r="I67" s="42">
        <v>3400</v>
      </c>
      <c r="J67" s="38" t="s">
        <v>243</v>
      </c>
      <c r="K67" s="38" t="s">
        <v>242</v>
      </c>
      <c r="L67" s="38" t="s">
        <v>2309</v>
      </c>
      <c r="M67" s="38" t="s">
        <v>245</v>
      </c>
      <c r="N67" s="38" t="s">
        <v>245</v>
      </c>
      <c r="O67" s="44" t="s">
        <v>2244</v>
      </c>
      <c r="P67" s="38" t="s">
        <v>245</v>
      </c>
      <c r="Q67" s="38" t="s">
        <v>2245</v>
      </c>
      <c r="R67" s="38" t="s">
        <v>335</v>
      </c>
      <c r="S67" s="38">
        <v>1</v>
      </c>
      <c r="T67" s="38" t="s">
        <v>1665</v>
      </c>
    </row>
    <row r="68" spans="1:20" ht="28.8" x14ac:dyDescent="0.3">
      <c r="A68" s="37" t="s">
        <v>1672</v>
      </c>
      <c r="B68" s="37" t="s">
        <v>1670</v>
      </c>
      <c r="C68" s="37" t="s">
        <v>1670</v>
      </c>
      <c r="D68" s="37" t="s">
        <v>239</v>
      </c>
      <c r="E68" s="37" t="s">
        <v>252</v>
      </c>
      <c r="F68" s="37" t="s">
        <v>240</v>
      </c>
      <c r="G68" s="37" t="s">
        <v>241</v>
      </c>
      <c r="H68" s="37" t="s">
        <v>244</v>
      </c>
      <c r="I68" s="39">
        <v>3700</v>
      </c>
      <c r="J68" s="37" t="s">
        <v>243</v>
      </c>
      <c r="K68" s="37" t="s">
        <v>242</v>
      </c>
      <c r="L68" s="37" t="s">
        <v>2310</v>
      </c>
      <c r="M68" s="37" t="s">
        <v>245</v>
      </c>
      <c r="N68" s="37" t="s">
        <v>245</v>
      </c>
      <c r="O68" s="41" t="s">
        <v>2244</v>
      </c>
      <c r="P68" s="37" t="s">
        <v>245</v>
      </c>
      <c r="Q68" s="37" t="s">
        <v>2245</v>
      </c>
      <c r="R68" s="37" t="s">
        <v>335</v>
      </c>
      <c r="S68" s="37">
        <v>1</v>
      </c>
      <c r="T68" s="37" t="s">
        <v>1669</v>
      </c>
    </row>
    <row r="69" spans="1:20" ht="28.8" x14ac:dyDescent="0.3">
      <c r="A69" s="38" t="s">
        <v>1676</v>
      </c>
      <c r="B69" s="38" t="s">
        <v>1674</v>
      </c>
      <c r="C69" s="38" t="s">
        <v>1674</v>
      </c>
      <c r="D69" s="38" t="s">
        <v>239</v>
      </c>
      <c r="E69" s="38" t="s">
        <v>252</v>
      </c>
      <c r="F69" s="38" t="s">
        <v>240</v>
      </c>
      <c r="G69" s="38" t="s">
        <v>241</v>
      </c>
      <c r="H69" s="38" t="s">
        <v>244</v>
      </c>
      <c r="I69" s="42">
        <v>2700</v>
      </c>
      <c r="J69" s="38" t="s">
        <v>243</v>
      </c>
      <c r="K69" s="38" t="s">
        <v>242</v>
      </c>
      <c r="L69" s="38" t="s">
        <v>2311</v>
      </c>
      <c r="M69" s="38" t="s">
        <v>245</v>
      </c>
      <c r="N69" s="38" t="s">
        <v>245</v>
      </c>
      <c r="O69" s="44" t="s">
        <v>2244</v>
      </c>
      <c r="P69" s="38" t="s">
        <v>245</v>
      </c>
      <c r="Q69" s="38" t="s">
        <v>2245</v>
      </c>
      <c r="R69" s="38" t="s">
        <v>335</v>
      </c>
      <c r="S69" s="38">
        <v>1</v>
      </c>
      <c r="T69" s="38" t="s">
        <v>1673</v>
      </c>
    </row>
    <row r="70" spans="1:20" ht="28.8" x14ac:dyDescent="0.3">
      <c r="A70" s="37" t="s">
        <v>1679</v>
      </c>
      <c r="B70" s="37" t="s">
        <v>1678</v>
      </c>
      <c r="C70" s="37" t="s">
        <v>1678</v>
      </c>
      <c r="D70" s="37" t="s">
        <v>239</v>
      </c>
      <c r="E70" s="37" t="s">
        <v>252</v>
      </c>
      <c r="F70" s="37" t="s">
        <v>240</v>
      </c>
      <c r="G70" s="37" t="s">
        <v>241</v>
      </c>
      <c r="H70" s="37" t="s">
        <v>244</v>
      </c>
      <c r="I70" s="39">
        <v>2200</v>
      </c>
      <c r="J70" s="37" t="s">
        <v>243</v>
      </c>
      <c r="K70" s="37" t="s">
        <v>242</v>
      </c>
      <c r="L70" s="37" t="s">
        <v>2312</v>
      </c>
      <c r="M70" s="37" t="s">
        <v>245</v>
      </c>
      <c r="N70" s="37" t="s">
        <v>245</v>
      </c>
      <c r="O70" s="41" t="s">
        <v>2244</v>
      </c>
      <c r="P70" s="37" t="s">
        <v>245</v>
      </c>
      <c r="Q70" s="37" t="s">
        <v>2245</v>
      </c>
      <c r="R70" s="37" t="s">
        <v>335</v>
      </c>
      <c r="S70" s="37">
        <v>1</v>
      </c>
      <c r="T70" s="37" t="s">
        <v>1677</v>
      </c>
    </row>
    <row r="71" spans="1:20" ht="28.8" x14ac:dyDescent="0.3">
      <c r="A71" s="38" t="s">
        <v>1682</v>
      </c>
      <c r="B71" s="38" t="s">
        <v>1681</v>
      </c>
      <c r="C71" s="38" t="s">
        <v>1681</v>
      </c>
      <c r="D71" s="38" t="s">
        <v>239</v>
      </c>
      <c r="E71" s="38" t="s">
        <v>252</v>
      </c>
      <c r="F71" s="38" t="s">
        <v>240</v>
      </c>
      <c r="G71" s="38" t="s">
        <v>241</v>
      </c>
      <c r="H71" s="38" t="s">
        <v>244</v>
      </c>
      <c r="I71" s="42">
        <v>2300</v>
      </c>
      <c r="J71" s="38" t="s">
        <v>243</v>
      </c>
      <c r="K71" s="38" t="s">
        <v>242</v>
      </c>
      <c r="L71" s="38" t="s">
        <v>2313</v>
      </c>
      <c r="M71" s="38" t="s">
        <v>245</v>
      </c>
      <c r="N71" s="38" t="s">
        <v>245</v>
      </c>
      <c r="O71" s="44" t="s">
        <v>2244</v>
      </c>
      <c r="P71" s="38" t="s">
        <v>245</v>
      </c>
      <c r="Q71" s="38" t="s">
        <v>2245</v>
      </c>
      <c r="R71" s="38" t="s">
        <v>335</v>
      </c>
      <c r="S71" s="38">
        <v>1</v>
      </c>
      <c r="T71" s="38" t="s">
        <v>1680</v>
      </c>
    </row>
    <row r="72" spans="1:20" ht="28.8" x14ac:dyDescent="0.3">
      <c r="A72" s="37" t="s">
        <v>1686</v>
      </c>
      <c r="B72" s="37" t="s">
        <v>1684</v>
      </c>
      <c r="C72" s="37" t="s">
        <v>1684</v>
      </c>
      <c r="D72" s="37" t="s">
        <v>239</v>
      </c>
      <c r="E72" s="37" t="s">
        <v>252</v>
      </c>
      <c r="F72" s="37" t="s">
        <v>240</v>
      </c>
      <c r="G72" s="37" t="s">
        <v>241</v>
      </c>
      <c r="H72" s="37" t="s">
        <v>244</v>
      </c>
      <c r="I72" s="39">
        <v>1980</v>
      </c>
      <c r="J72" s="37" t="s">
        <v>243</v>
      </c>
      <c r="K72" s="37" t="s">
        <v>242</v>
      </c>
      <c r="L72" s="37" t="s">
        <v>2314</v>
      </c>
      <c r="M72" s="37" t="s">
        <v>245</v>
      </c>
      <c r="N72" s="37" t="s">
        <v>245</v>
      </c>
      <c r="O72" s="41" t="s">
        <v>2244</v>
      </c>
      <c r="P72" s="37" t="s">
        <v>245</v>
      </c>
      <c r="Q72" s="37" t="s">
        <v>2245</v>
      </c>
      <c r="R72" s="37" t="s">
        <v>335</v>
      </c>
      <c r="S72" s="37">
        <v>1</v>
      </c>
      <c r="T72" s="37" t="s">
        <v>1683</v>
      </c>
    </row>
    <row r="73" spans="1:20" ht="28.8" x14ac:dyDescent="0.3">
      <c r="A73" s="38" t="s">
        <v>1689</v>
      </c>
      <c r="B73" s="38" t="s">
        <v>1688</v>
      </c>
      <c r="C73" s="38" t="s">
        <v>1688</v>
      </c>
      <c r="D73" s="38" t="s">
        <v>239</v>
      </c>
      <c r="E73" s="38" t="s">
        <v>252</v>
      </c>
      <c r="F73" s="38" t="s">
        <v>240</v>
      </c>
      <c r="G73" s="38" t="s">
        <v>241</v>
      </c>
      <c r="H73" s="38" t="s">
        <v>244</v>
      </c>
      <c r="I73" s="42">
        <v>950</v>
      </c>
      <c r="J73" s="38" t="s">
        <v>243</v>
      </c>
      <c r="K73" s="38" t="s">
        <v>242</v>
      </c>
      <c r="L73" s="38" t="s">
        <v>2315</v>
      </c>
      <c r="M73" s="38" t="s">
        <v>245</v>
      </c>
      <c r="N73" s="38" t="s">
        <v>245</v>
      </c>
      <c r="O73" s="44" t="s">
        <v>2244</v>
      </c>
      <c r="P73" s="38" t="s">
        <v>245</v>
      </c>
      <c r="Q73" s="38" t="s">
        <v>2245</v>
      </c>
      <c r="R73" s="38" t="s">
        <v>335</v>
      </c>
      <c r="S73" s="38">
        <v>1</v>
      </c>
      <c r="T73" s="38" t="s">
        <v>1687</v>
      </c>
    </row>
    <row r="74" spans="1:20" ht="28.8" x14ac:dyDescent="0.3">
      <c r="A74" s="37" t="s">
        <v>1693</v>
      </c>
      <c r="B74" s="37" t="s">
        <v>1691</v>
      </c>
      <c r="C74" s="37" t="s">
        <v>1691</v>
      </c>
      <c r="D74" s="37" t="s">
        <v>239</v>
      </c>
      <c r="E74" s="37" t="s">
        <v>252</v>
      </c>
      <c r="F74" s="37" t="s">
        <v>240</v>
      </c>
      <c r="G74" s="37" t="s">
        <v>241</v>
      </c>
      <c r="H74" s="37" t="s">
        <v>244</v>
      </c>
      <c r="I74" s="39">
        <v>2900</v>
      </c>
      <c r="J74" s="37" t="s">
        <v>243</v>
      </c>
      <c r="K74" s="37" t="s">
        <v>242</v>
      </c>
      <c r="L74" s="37" t="s">
        <v>2316</v>
      </c>
      <c r="M74" s="37" t="s">
        <v>245</v>
      </c>
      <c r="N74" s="37" t="s">
        <v>245</v>
      </c>
      <c r="O74" s="41" t="s">
        <v>2244</v>
      </c>
      <c r="P74" s="37" t="s">
        <v>245</v>
      </c>
      <c r="Q74" s="37" t="s">
        <v>2245</v>
      </c>
      <c r="R74" s="37" t="s">
        <v>335</v>
      </c>
      <c r="S74" s="37">
        <v>1</v>
      </c>
      <c r="T74" s="37" t="s">
        <v>1690</v>
      </c>
    </row>
    <row r="75" spans="1:20" ht="28.8" x14ac:dyDescent="0.3">
      <c r="A75" s="38" t="s">
        <v>1697</v>
      </c>
      <c r="B75" s="38" t="s">
        <v>1695</v>
      </c>
      <c r="C75" s="38" t="s">
        <v>1695</v>
      </c>
      <c r="D75" s="38" t="s">
        <v>239</v>
      </c>
      <c r="E75" s="38" t="s">
        <v>252</v>
      </c>
      <c r="F75" s="38" t="s">
        <v>240</v>
      </c>
      <c r="G75" s="38" t="s">
        <v>241</v>
      </c>
      <c r="H75" s="38" t="s">
        <v>244</v>
      </c>
      <c r="I75" s="42">
        <v>1600</v>
      </c>
      <c r="J75" s="38" t="s">
        <v>243</v>
      </c>
      <c r="K75" s="38" t="s">
        <v>242</v>
      </c>
      <c r="L75" s="38" t="s">
        <v>2317</v>
      </c>
      <c r="M75" s="38" t="s">
        <v>245</v>
      </c>
      <c r="N75" s="38" t="s">
        <v>245</v>
      </c>
      <c r="O75" s="44" t="s">
        <v>2318</v>
      </c>
      <c r="P75" s="38" t="s">
        <v>245</v>
      </c>
      <c r="Q75" s="38" t="s">
        <v>2245</v>
      </c>
      <c r="R75" s="38" t="s">
        <v>335</v>
      </c>
      <c r="S75" s="38">
        <v>2</v>
      </c>
      <c r="T75" s="38" t="s">
        <v>1694</v>
      </c>
    </row>
    <row r="76" spans="1:20" ht="28.8" x14ac:dyDescent="0.3">
      <c r="A76" s="37" t="s">
        <v>1701</v>
      </c>
      <c r="B76" s="37" t="s">
        <v>1700</v>
      </c>
      <c r="C76" s="37" t="s">
        <v>1700</v>
      </c>
      <c r="D76" s="37" t="s">
        <v>239</v>
      </c>
      <c r="E76" s="37" t="s">
        <v>252</v>
      </c>
      <c r="F76" s="37" t="s">
        <v>240</v>
      </c>
      <c r="G76" s="37" t="s">
        <v>241</v>
      </c>
      <c r="H76" s="37" t="s">
        <v>244</v>
      </c>
      <c r="I76" s="39">
        <v>1300</v>
      </c>
      <c r="J76" s="37" t="s">
        <v>243</v>
      </c>
      <c r="K76" s="37" t="s">
        <v>242</v>
      </c>
      <c r="L76" s="37" t="s">
        <v>2319</v>
      </c>
      <c r="M76" s="37" t="s">
        <v>245</v>
      </c>
      <c r="N76" s="37" t="s">
        <v>245</v>
      </c>
      <c r="O76" s="41" t="s">
        <v>2244</v>
      </c>
      <c r="P76" s="37" t="s">
        <v>245</v>
      </c>
      <c r="Q76" s="37" t="s">
        <v>2245</v>
      </c>
      <c r="R76" s="37" t="s">
        <v>335</v>
      </c>
      <c r="S76" s="37">
        <v>1</v>
      </c>
      <c r="T76" s="37" t="s">
        <v>1699</v>
      </c>
    </row>
    <row r="77" spans="1:20" ht="28.8" x14ac:dyDescent="0.3">
      <c r="A77" s="38" t="s">
        <v>1704</v>
      </c>
      <c r="B77" s="38" t="s">
        <v>1703</v>
      </c>
      <c r="C77" s="38" t="s">
        <v>1703</v>
      </c>
      <c r="D77" s="38" t="s">
        <v>239</v>
      </c>
      <c r="E77" s="38" t="s">
        <v>252</v>
      </c>
      <c r="F77" s="38" t="s">
        <v>240</v>
      </c>
      <c r="G77" s="38" t="s">
        <v>241</v>
      </c>
      <c r="H77" s="38" t="s">
        <v>244</v>
      </c>
      <c r="I77" s="42">
        <v>3900</v>
      </c>
      <c r="J77" s="38" t="s">
        <v>243</v>
      </c>
      <c r="K77" s="38" t="s">
        <v>242</v>
      </c>
      <c r="L77" s="38" t="s">
        <v>2320</v>
      </c>
      <c r="M77" s="38" t="s">
        <v>245</v>
      </c>
      <c r="N77" s="38" t="s">
        <v>245</v>
      </c>
      <c r="O77" s="44" t="s">
        <v>2244</v>
      </c>
      <c r="P77" s="38" t="s">
        <v>245</v>
      </c>
      <c r="Q77" s="38" t="s">
        <v>2245</v>
      </c>
      <c r="R77" s="38" t="s">
        <v>335</v>
      </c>
      <c r="S77" s="38">
        <v>1</v>
      </c>
      <c r="T77" s="38" t="s">
        <v>1702</v>
      </c>
    </row>
    <row r="78" spans="1:20" ht="43.2" x14ac:dyDescent="0.3">
      <c r="A78" s="37" t="s">
        <v>1718</v>
      </c>
      <c r="B78" s="37" t="s">
        <v>1715</v>
      </c>
      <c r="C78" s="37" t="s">
        <v>1715</v>
      </c>
      <c r="D78" s="37" t="s">
        <v>422</v>
      </c>
      <c r="E78" s="37" t="s">
        <v>1717</v>
      </c>
      <c r="F78" s="37" t="s">
        <v>387</v>
      </c>
      <c r="G78" s="37" t="s">
        <v>402</v>
      </c>
      <c r="H78" s="37" t="s">
        <v>402</v>
      </c>
      <c r="I78" s="39">
        <v>0.05</v>
      </c>
      <c r="J78" s="37" t="s">
        <v>243</v>
      </c>
      <c r="K78" s="37" t="s">
        <v>322</v>
      </c>
      <c r="L78" s="37" t="s">
        <v>2321</v>
      </c>
      <c r="M78" s="37" t="s">
        <v>255</v>
      </c>
      <c r="N78" s="37" t="s">
        <v>245</v>
      </c>
      <c r="O78" s="41" t="s">
        <v>2244</v>
      </c>
      <c r="P78" s="37" t="s">
        <v>255</v>
      </c>
      <c r="Q78" s="37" t="s">
        <v>2245</v>
      </c>
      <c r="R78" s="37" t="s">
        <v>335</v>
      </c>
      <c r="S78" s="37">
        <v>1</v>
      </c>
      <c r="T78" s="37" t="s">
        <v>1714</v>
      </c>
    </row>
    <row r="79" spans="1:20" ht="28.8" x14ac:dyDescent="0.3">
      <c r="A79" s="38" t="s">
        <v>1726</v>
      </c>
      <c r="B79" s="38" t="s">
        <v>1721</v>
      </c>
      <c r="C79" s="38" t="s">
        <v>1721</v>
      </c>
      <c r="D79" s="38" t="s">
        <v>409</v>
      </c>
      <c r="E79" s="38" t="s">
        <v>1725</v>
      </c>
      <c r="F79" s="38" t="s">
        <v>240</v>
      </c>
      <c r="G79" s="38" t="s">
        <v>362</v>
      </c>
      <c r="H79" s="38" t="s">
        <v>364</v>
      </c>
      <c r="I79" s="42">
        <v>900</v>
      </c>
      <c r="J79" s="38" t="s">
        <v>243</v>
      </c>
      <c r="K79" s="38" t="s">
        <v>242</v>
      </c>
      <c r="L79" s="38" t="s">
        <v>2322</v>
      </c>
      <c r="M79" s="38" t="s">
        <v>245</v>
      </c>
      <c r="N79" s="38" t="s">
        <v>245</v>
      </c>
      <c r="O79" s="44" t="s">
        <v>2244</v>
      </c>
      <c r="P79" s="38" t="s">
        <v>245</v>
      </c>
      <c r="Q79" s="38" t="s">
        <v>2245</v>
      </c>
      <c r="R79" s="38" t="s">
        <v>335</v>
      </c>
      <c r="S79" s="38">
        <v>1</v>
      </c>
      <c r="T79" s="38" t="s">
        <v>1720</v>
      </c>
    </row>
    <row r="80" spans="1:20" ht="28.8" x14ac:dyDescent="0.3">
      <c r="A80" s="37" t="s">
        <v>1729</v>
      </c>
      <c r="B80" s="37" t="s">
        <v>1728</v>
      </c>
      <c r="C80" s="37" t="s">
        <v>1728</v>
      </c>
      <c r="D80" s="37" t="s">
        <v>239</v>
      </c>
      <c r="E80" s="37" t="s">
        <v>1244</v>
      </c>
      <c r="F80" s="37" t="s">
        <v>240</v>
      </c>
      <c r="G80" s="37" t="s">
        <v>362</v>
      </c>
      <c r="H80" s="37" t="s">
        <v>364</v>
      </c>
      <c r="I80" s="39">
        <v>900</v>
      </c>
      <c r="J80" s="37" t="s">
        <v>284</v>
      </c>
      <c r="K80" s="37" t="s">
        <v>242</v>
      </c>
      <c r="L80" s="37" t="s">
        <v>2323</v>
      </c>
      <c r="M80" s="37" t="s">
        <v>245</v>
      </c>
      <c r="N80" s="37" t="s">
        <v>245</v>
      </c>
      <c r="O80" s="41" t="s">
        <v>2244</v>
      </c>
      <c r="P80" s="37" t="s">
        <v>245</v>
      </c>
      <c r="Q80" s="37" t="s">
        <v>2245</v>
      </c>
      <c r="R80" s="37" t="s">
        <v>335</v>
      </c>
      <c r="S80" s="37">
        <v>1</v>
      </c>
      <c r="T80" s="37" t="s">
        <v>1727</v>
      </c>
    </row>
    <row r="81" spans="1:20" ht="28.8" x14ac:dyDescent="0.3">
      <c r="A81" s="38" t="s">
        <v>1732</v>
      </c>
      <c r="B81" s="38" t="s">
        <v>1731</v>
      </c>
      <c r="C81" s="38" t="s">
        <v>1731</v>
      </c>
      <c r="D81" s="38" t="s">
        <v>386</v>
      </c>
      <c r="E81" s="38" t="s">
        <v>1469</v>
      </c>
      <c r="F81" s="38" t="s">
        <v>240</v>
      </c>
      <c r="G81" s="38" t="s">
        <v>1103</v>
      </c>
      <c r="H81" s="38" t="s">
        <v>2247</v>
      </c>
      <c r="I81" s="42">
        <v>400</v>
      </c>
      <c r="J81" s="38" t="s">
        <v>243</v>
      </c>
      <c r="K81" s="38" t="s">
        <v>242</v>
      </c>
      <c r="L81" s="38" t="s">
        <v>2324</v>
      </c>
      <c r="M81" s="38" t="s">
        <v>245</v>
      </c>
      <c r="N81" s="38" t="s">
        <v>245</v>
      </c>
      <c r="O81" s="44" t="s">
        <v>2244</v>
      </c>
      <c r="P81" s="38" t="s">
        <v>245</v>
      </c>
      <c r="Q81" s="38" t="s">
        <v>2245</v>
      </c>
      <c r="R81" s="38" t="s">
        <v>335</v>
      </c>
      <c r="S81" s="38">
        <v>1</v>
      </c>
      <c r="T81" s="38" t="s">
        <v>1730</v>
      </c>
    </row>
    <row r="82" spans="1:20" ht="28.8" x14ac:dyDescent="0.3">
      <c r="A82" s="37" t="s">
        <v>1736</v>
      </c>
      <c r="B82" s="37" t="s">
        <v>1734</v>
      </c>
      <c r="C82" s="37" t="s">
        <v>1734</v>
      </c>
      <c r="D82" s="37" t="s">
        <v>281</v>
      </c>
      <c r="E82" s="37" t="s">
        <v>1290</v>
      </c>
      <c r="F82" s="37" t="s">
        <v>240</v>
      </c>
      <c r="G82" s="37" t="s">
        <v>1103</v>
      </c>
      <c r="H82" s="37" t="s">
        <v>2247</v>
      </c>
      <c r="I82" s="39">
        <v>220</v>
      </c>
      <c r="J82" s="37" t="s">
        <v>243</v>
      </c>
      <c r="K82" s="37" t="s">
        <v>242</v>
      </c>
      <c r="L82" s="37" t="s">
        <v>2325</v>
      </c>
      <c r="M82" s="37" t="s">
        <v>245</v>
      </c>
      <c r="N82" s="37" t="s">
        <v>245</v>
      </c>
      <c r="O82" s="41" t="s">
        <v>2244</v>
      </c>
      <c r="P82" s="37" t="s">
        <v>245</v>
      </c>
      <c r="Q82" s="37" t="s">
        <v>2245</v>
      </c>
      <c r="R82" s="37" t="s">
        <v>335</v>
      </c>
      <c r="S82" s="37">
        <v>1</v>
      </c>
      <c r="T82" s="37" t="s">
        <v>1733</v>
      </c>
    </row>
    <row r="83" spans="1:20" ht="28.8" x14ac:dyDescent="0.3">
      <c r="A83" s="38" t="s">
        <v>1740</v>
      </c>
      <c r="B83" s="38" t="s">
        <v>1738</v>
      </c>
      <c r="C83" s="38" t="s">
        <v>1738</v>
      </c>
      <c r="D83" s="38" t="s">
        <v>415</v>
      </c>
      <c r="E83" s="38" t="s">
        <v>1739</v>
      </c>
      <c r="F83" s="38" t="s">
        <v>240</v>
      </c>
      <c r="G83" s="38" t="s">
        <v>306</v>
      </c>
      <c r="H83" s="38" t="s">
        <v>324</v>
      </c>
      <c r="I83" s="42">
        <v>15000</v>
      </c>
      <c r="J83" s="38" t="s">
        <v>243</v>
      </c>
      <c r="K83" s="38" t="s">
        <v>242</v>
      </c>
      <c r="L83" s="38" t="s">
        <v>2326</v>
      </c>
      <c r="M83" s="38" t="s">
        <v>245</v>
      </c>
      <c r="N83" s="38" t="s">
        <v>245</v>
      </c>
      <c r="O83" s="44" t="s">
        <v>2244</v>
      </c>
      <c r="P83" s="38" t="s">
        <v>245</v>
      </c>
      <c r="Q83" s="38" t="s">
        <v>2245</v>
      </c>
      <c r="R83" s="38" t="s">
        <v>335</v>
      </c>
      <c r="S83" s="38">
        <v>1</v>
      </c>
      <c r="T83" s="38" t="s">
        <v>1737</v>
      </c>
    </row>
    <row r="84" spans="1:20" ht="28.8" x14ac:dyDescent="0.3">
      <c r="A84" s="37" t="s">
        <v>1744</v>
      </c>
      <c r="B84" s="37" t="s">
        <v>1742</v>
      </c>
      <c r="C84" s="37" t="s">
        <v>1742</v>
      </c>
      <c r="D84" s="37" t="s">
        <v>239</v>
      </c>
      <c r="E84" s="37" t="s">
        <v>1056</v>
      </c>
      <c r="F84" s="37" t="s">
        <v>240</v>
      </c>
      <c r="G84" s="37" t="s">
        <v>388</v>
      </c>
      <c r="H84" s="37" t="s">
        <v>2284</v>
      </c>
      <c r="I84" s="39">
        <v>26400</v>
      </c>
      <c r="J84" s="37" t="s">
        <v>243</v>
      </c>
      <c r="K84" s="37" t="s">
        <v>242</v>
      </c>
      <c r="L84" s="37" t="s">
        <v>2327</v>
      </c>
      <c r="M84" s="37" t="s">
        <v>245</v>
      </c>
      <c r="N84" s="37" t="s">
        <v>245</v>
      </c>
      <c r="O84" s="41" t="s">
        <v>2244</v>
      </c>
      <c r="P84" s="37" t="s">
        <v>245</v>
      </c>
      <c r="Q84" s="37" t="s">
        <v>2245</v>
      </c>
      <c r="R84" s="37" t="s">
        <v>335</v>
      </c>
      <c r="S84" s="37">
        <v>1</v>
      </c>
      <c r="T84" s="37" t="s">
        <v>1741</v>
      </c>
    </row>
    <row r="85" spans="1:20" ht="28.8" x14ac:dyDescent="0.3">
      <c r="A85" s="38" t="s">
        <v>1747</v>
      </c>
      <c r="B85" s="38" t="s">
        <v>1746</v>
      </c>
      <c r="C85" s="38" t="s">
        <v>1746</v>
      </c>
      <c r="D85" s="38" t="s">
        <v>239</v>
      </c>
      <c r="E85" s="38" t="s">
        <v>1056</v>
      </c>
      <c r="F85" s="38" t="s">
        <v>240</v>
      </c>
      <c r="G85" s="38" t="s">
        <v>241</v>
      </c>
      <c r="H85" s="38" t="s">
        <v>244</v>
      </c>
      <c r="I85" s="42">
        <v>250</v>
      </c>
      <c r="J85" s="38" t="s">
        <v>243</v>
      </c>
      <c r="K85" s="38" t="s">
        <v>242</v>
      </c>
      <c r="L85" s="38" t="s">
        <v>2328</v>
      </c>
      <c r="M85" s="38" t="s">
        <v>245</v>
      </c>
      <c r="N85" s="38" t="s">
        <v>245</v>
      </c>
      <c r="O85" s="44" t="s">
        <v>2244</v>
      </c>
      <c r="P85" s="38" t="s">
        <v>245</v>
      </c>
      <c r="Q85" s="38" t="s">
        <v>2245</v>
      </c>
      <c r="R85" s="38" t="s">
        <v>335</v>
      </c>
      <c r="S85" s="38">
        <v>1</v>
      </c>
      <c r="T85" s="38" t="s">
        <v>1745</v>
      </c>
    </row>
    <row r="86" spans="1:20" ht="43.2" x14ac:dyDescent="0.3">
      <c r="A86" s="37" t="s">
        <v>1768</v>
      </c>
      <c r="B86" s="37" t="s">
        <v>1767</v>
      </c>
      <c r="C86" s="37" t="s">
        <v>1767</v>
      </c>
      <c r="D86" s="37" t="s">
        <v>399</v>
      </c>
      <c r="E86" s="37" t="s">
        <v>1012</v>
      </c>
      <c r="F86" s="37" t="s">
        <v>240</v>
      </c>
      <c r="G86" s="37" t="s">
        <v>241</v>
      </c>
      <c r="H86" s="37" t="s">
        <v>244</v>
      </c>
      <c r="I86" s="39">
        <v>400</v>
      </c>
      <c r="J86" s="37" t="s">
        <v>243</v>
      </c>
      <c r="K86" s="37" t="s">
        <v>242</v>
      </c>
      <c r="L86" s="37" t="s">
        <v>2329</v>
      </c>
      <c r="M86" s="37" t="s">
        <v>245</v>
      </c>
      <c r="N86" s="37" t="s">
        <v>245</v>
      </c>
      <c r="O86" s="41" t="s">
        <v>2244</v>
      </c>
      <c r="P86" s="37" t="s">
        <v>245</v>
      </c>
      <c r="Q86" s="37" t="s">
        <v>2245</v>
      </c>
      <c r="R86" s="37" t="s">
        <v>335</v>
      </c>
      <c r="S86" s="37">
        <v>1</v>
      </c>
      <c r="T86" s="37" t="s">
        <v>1766</v>
      </c>
    </row>
    <row r="87" spans="1:20" ht="43.2" x14ac:dyDescent="0.3">
      <c r="A87" s="38" t="s">
        <v>1772</v>
      </c>
      <c r="B87" s="38" t="s">
        <v>1770</v>
      </c>
      <c r="C87" s="38" t="s">
        <v>1770</v>
      </c>
      <c r="D87" s="38" t="s">
        <v>281</v>
      </c>
      <c r="E87" s="38" t="s">
        <v>447</v>
      </c>
      <c r="F87" s="38" t="s">
        <v>240</v>
      </c>
      <c r="G87" s="38" t="s">
        <v>241</v>
      </c>
      <c r="H87" s="38" t="s">
        <v>244</v>
      </c>
      <c r="I87" s="42">
        <v>470</v>
      </c>
      <c r="J87" s="38" t="s">
        <v>243</v>
      </c>
      <c r="K87" s="38" t="s">
        <v>242</v>
      </c>
      <c r="L87" s="38" t="s">
        <v>2330</v>
      </c>
      <c r="M87" s="38" t="s">
        <v>245</v>
      </c>
      <c r="N87" s="38" t="s">
        <v>245</v>
      </c>
      <c r="O87" s="44" t="s">
        <v>2244</v>
      </c>
      <c r="P87" s="38" t="s">
        <v>245</v>
      </c>
      <c r="Q87" s="38" t="s">
        <v>2245</v>
      </c>
      <c r="R87" s="38" t="s">
        <v>335</v>
      </c>
      <c r="S87" s="38">
        <v>1</v>
      </c>
      <c r="T87" s="38" t="s">
        <v>1769</v>
      </c>
    </row>
    <row r="88" spans="1:20" ht="28.8" x14ac:dyDescent="0.3">
      <c r="A88" s="37" t="s">
        <v>1775</v>
      </c>
      <c r="B88" s="37" t="s">
        <v>1774</v>
      </c>
      <c r="C88" s="37" t="s">
        <v>1774</v>
      </c>
      <c r="D88" s="37" t="s">
        <v>239</v>
      </c>
      <c r="E88" s="37" t="s">
        <v>1244</v>
      </c>
      <c r="F88" s="37" t="s">
        <v>240</v>
      </c>
      <c r="G88" s="37" t="s">
        <v>362</v>
      </c>
      <c r="H88" s="37" t="s">
        <v>364</v>
      </c>
      <c r="I88" s="39">
        <v>900</v>
      </c>
      <c r="J88" s="37" t="s">
        <v>243</v>
      </c>
      <c r="K88" s="37" t="s">
        <v>242</v>
      </c>
      <c r="L88" s="37" t="s">
        <v>2331</v>
      </c>
      <c r="M88" s="37" t="s">
        <v>245</v>
      </c>
      <c r="N88" s="37" t="s">
        <v>245</v>
      </c>
      <c r="O88" s="41" t="s">
        <v>2244</v>
      </c>
      <c r="P88" s="37" t="s">
        <v>245</v>
      </c>
      <c r="Q88" s="37" t="s">
        <v>2245</v>
      </c>
      <c r="R88" s="37" t="s">
        <v>335</v>
      </c>
      <c r="S88" s="37">
        <v>1</v>
      </c>
      <c r="T88" s="37" t="s">
        <v>1773</v>
      </c>
    </row>
    <row r="89" spans="1:20" ht="28.8" x14ac:dyDescent="0.3">
      <c r="A89" s="38" t="s">
        <v>1779</v>
      </c>
      <c r="B89" s="38" t="s">
        <v>1777</v>
      </c>
      <c r="C89" s="38" t="s">
        <v>1777</v>
      </c>
      <c r="D89" s="38" t="s">
        <v>239</v>
      </c>
      <c r="E89" s="38" t="s">
        <v>1244</v>
      </c>
      <c r="F89" s="38" t="s">
        <v>240</v>
      </c>
      <c r="G89" s="38" t="s">
        <v>362</v>
      </c>
      <c r="H89" s="38" t="s">
        <v>364</v>
      </c>
      <c r="I89" s="42">
        <v>600</v>
      </c>
      <c r="J89" s="38" t="s">
        <v>243</v>
      </c>
      <c r="K89" s="38" t="s">
        <v>242</v>
      </c>
      <c r="L89" s="38" t="s">
        <v>2332</v>
      </c>
      <c r="M89" s="38" t="s">
        <v>245</v>
      </c>
      <c r="N89" s="38" t="s">
        <v>245</v>
      </c>
      <c r="O89" s="44" t="s">
        <v>2244</v>
      </c>
      <c r="P89" s="38" t="s">
        <v>245</v>
      </c>
      <c r="Q89" s="38" t="s">
        <v>2245</v>
      </c>
      <c r="R89" s="38" t="s">
        <v>335</v>
      </c>
      <c r="S89" s="38">
        <v>1</v>
      </c>
      <c r="T89" s="38" t="s">
        <v>1776</v>
      </c>
    </row>
    <row r="90" spans="1:20" ht="28.8" x14ac:dyDescent="0.3">
      <c r="A90" s="37" t="s">
        <v>1782</v>
      </c>
      <c r="B90" s="37" t="s">
        <v>1781</v>
      </c>
      <c r="C90" s="37" t="s">
        <v>1781</v>
      </c>
      <c r="D90" s="37" t="s">
        <v>239</v>
      </c>
      <c r="E90" s="37" t="s">
        <v>522</v>
      </c>
      <c r="F90" s="37" t="s">
        <v>240</v>
      </c>
      <c r="G90" s="37" t="s">
        <v>362</v>
      </c>
      <c r="H90" s="37" t="s">
        <v>364</v>
      </c>
      <c r="I90" s="39">
        <v>800</v>
      </c>
      <c r="J90" s="37" t="s">
        <v>243</v>
      </c>
      <c r="K90" s="37" t="s">
        <v>242</v>
      </c>
      <c r="L90" s="37" t="s">
        <v>2333</v>
      </c>
      <c r="M90" s="37" t="s">
        <v>245</v>
      </c>
      <c r="N90" s="37" t="s">
        <v>245</v>
      </c>
      <c r="O90" s="41" t="s">
        <v>2244</v>
      </c>
      <c r="P90" s="37" t="s">
        <v>245</v>
      </c>
      <c r="Q90" s="37" t="s">
        <v>2245</v>
      </c>
      <c r="R90" s="37" t="s">
        <v>335</v>
      </c>
      <c r="S90" s="37">
        <v>1</v>
      </c>
      <c r="T90" s="37" t="s">
        <v>1780</v>
      </c>
    </row>
    <row r="91" spans="1:20" ht="28.8" x14ac:dyDescent="0.3">
      <c r="A91" s="38" t="s">
        <v>1817</v>
      </c>
      <c r="B91" s="38" t="s">
        <v>1816</v>
      </c>
      <c r="C91" s="38" t="s">
        <v>1816</v>
      </c>
      <c r="D91" s="38" t="s">
        <v>419</v>
      </c>
      <c r="E91" s="38" t="s">
        <v>1229</v>
      </c>
      <c r="F91" s="38" t="s">
        <v>240</v>
      </c>
      <c r="G91" s="38" t="s">
        <v>362</v>
      </c>
      <c r="H91" s="38" t="s">
        <v>364</v>
      </c>
      <c r="I91" s="42">
        <v>500</v>
      </c>
      <c r="J91" s="38" t="s">
        <v>243</v>
      </c>
      <c r="K91" s="38" t="s">
        <v>268</v>
      </c>
      <c r="L91" s="38" t="s">
        <v>2334</v>
      </c>
      <c r="M91" s="38" t="s">
        <v>245</v>
      </c>
      <c r="N91" s="38" t="s">
        <v>245</v>
      </c>
      <c r="O91" s="44" t="s">
        <v>2244</v>
      </c>
      <c r="P91" s="38" t="s">
        <v>245</v>
      </c>
      <c r="Q91" s="38" t="s">
        <v>2245</v>
      </c>
      <c r="R91" s="38" t="s">
        <v>335</v>
      </c>
      <c r="S91" s="38">
        <v>1</v>
      </c>
      <c r="T91" s="38" t="s">
        <v>1815</v>
      </c>
    </row>
    <row r="92" spans="1:20" ht="28.8" x14ac:dyDescent="0.3">
      <c r="A92" s="37" t="s">
        <v>1820</v>
      </c>
      <c r="B92" s="37" t="s">
        <v>1819</v>
      </c>
      <c r="C92" s="37" t="s">
        <v>1819</v>
      </c>
      <c r="D92" s="37" t="s">
        <v>405</v>
      </c>
      <c r="E92" s="37" t="s">
        <v>522</v>
      </c>
      <c r="F92" s="37" t="s">
        <v>240</v>
      </c>
      <c r="G92" s="37" t="s">
        <v>241</v>
      </c>
      <c r="H92" s="37" t="s">
        <v>244</v>
      </c>
      <c r="I92" s="39">
        <v>2000</v>
      </c>
      <c r="J92" s="37" t="s">
        <v>243</v>
      </c>
      <c r="K92" s="37" t="s">
        <v>242</v>
      </c>
      <c r="L92" s="37" t="s">
        <v>2335</v>
      </c>
      <c r="M92" s="37" t="s">
        <v>245</v>
      </c>
      <c r="N92" s="37" t="s">
        <v>245</v>
      </c>
      <c r="O92" s="41" t="s">
        <v>2244</v>
      </c>
      <c r="P92" s="37" t="s">
        <v>245</v>
      </c>
      <c r="Q92" s="37" t="s">
        <v>2245</v>
      </c>
      <c r="R92" s="37" t="s">
        <v>335</v>
      </c>
      <c r="S92" s="37">
        <v>1</v>
      </c>
      <c r="T92" s="37" t="s">
        <v>1818</v>
      </c>
    </row>
    <row r="93" spans="1:20" ht="28.8" x14ac:dyDescent="0.3">
      <c r="A93" s="38" t="s">
        <v>1823</v>
      </c>
      <c r="B93" s="38" t="s">
        <v>1822</v>
      </c>
      <c r="C93" s="38" t="s">
        <v>1822</v>
      </c>
      <c r="D93" s="38" t="s">
        <v>239</v>
      </c>
      <c r="E93" s="38" t="s">
        <v>1113</v>
      </c>
      <c r="F93" s="38" t="s">
        <v>240</v>
      </c>
      <c r="G93" s="38" t="s">
        <v>1103</v>
      </c>
      <c r="H93" s="38" t="s">
        <v>2247</v>
      </c>
      <c r="I93" s="42">
        <v>580</v>
      </c>
      <c r="J93" s="38" t="s">
        <v>243</v>
      </c>
      <c r="K93" s="38" t="s">
        <v>242</v>
      </c>
      <c r="L93" s="38" t="s">
        <v>2336</v>
      </c>
      <c r="M93" s="38" t="s">
        <v>245</v>
      </c>
      <c r="N93" s="38" t="s">
        <v>245</v>
      </c>
      <c r="O93" s="44" t="s">
        <v>2244</v>
      </c>
      <c r="P93" s="38" t="s">
        <v>245</v>
      </c>
      <c r="Q93" s="38" t="s">
        <v>2245</v>
      </c>
      <c r="R93" s="38" t="s">
        <v>335</v>
      </c>
      <c r="S93" s="38">
        <v>1</v>
      </c>
      <c r="T93" s="38" t="s">
        <v>1821</v>
      </c>
    </row>
    <row r="94" spans="1:20" ht="28.8" x14ac:dyDescent="0.3">
      <c r="A94" s="37" t="s">
        <v>1827</v>
      </c>
      <c r="B94" s="37" t="s">
        <v>1825</v>
      </c>
      <c r="C94" s="37" t="s">
        <v>1825</v>
      </c>
      <c r="D94" s="37" t="s">
        <v>239</v>
      </c>
      <c r="E94" s="37" t="s">
        <v>1062</v>
      </c>
      <c r="F94" s="37" t="s">
        <v>240</v>
      </c>
      <c r="G94" s="37" t="s">
        <v>1103</v>
      </c>
      <c r="H94" s="37" t="s">
        <v>2247</v>
      </c>
      <c r="I94" s="39">
        <v>700</v>
      </c>
      <c r="J94" s="37" t="s">
        <v>243</v>
      </c>
      <c r="K94" s="37" t="s">
        <v>242</v>
      </c>
      <c r="L94" s="37" t="s">
        <v>2337</v>
      </c>
      <c r="M94" s="37" t="s">
        <v>245</v>
      </c>
      <c r="N94" s="37" t="s">
        <v>245</v>
      </c>
      <c r="O94" s="41" t="s">
        <v>2244</v>
      </c>
      <c r="P94" s="37" t="s">
        <v>245</v>
      </c>
      <c r="Q94" s="37" t="s">
        <v>2245</v>
      </c>
      <c r="R94" s="37" t="s">
        <v>335</v>
      </c>
      <c r="S94" s="37">
        <v>1</v>
      </c>
      <c r="T94" s="37" t="s">
        <v>1824</v>
      </c>
    </row>
    <row r="95" spans="1:20" ht="28.8" x14ac:dyDescent="0.3">
      <c r="A95" s="38" t="s">
        <v>1830</v>
      </c>
      <c r="B95" s="38" t="s">
        <v>1829</v>
      </c>
      <c r="C95" s="38" t="s">
        <v>1829</v>
      </c>
      <c r="D95" s="38" t="s">
        <v>386</v>
      </c>
      <c r="E95" s="38" t="s">
        <v>1130</v>
      </c>
      <c r="F95" s="38" t="s">
        <v>240</v>
      </c>
      <c r="G95" s="38" t="s">
        <v>388</v>
      </c>
      <c r="H95" s="38" t="s">
        <v>2284</v>
      </c>
      <c r="I95" s="42">
        <v>2000</v>
      </c>
      <c r="J95" s="38" t="s">
        <v>243</v>
      </c>
      <c r="K95" s="38" t="s">
        <v>242</v>
      </c>
      <c r="L95" s="38" t="s">
        <v>2338</v>
      </c>
      <c r="M95" s="38" t="s">
        <v>245</v>
      </c>
      <c r="N95" s="38" t="s">
        <v>245</v>
      </c>
      <c r="O95" s="44" t="s">
        <v>2244</v>
      </c>
      <c r="P95" s="38" t="s">
        <v>245</v>
      </c>
      <c r="Q95" s="38" t="s">
        <v>2245</v>
      </c>
      <c r="R95" s="38" t="s">
        <v>335</v>
      </c>
      <c r="S95" s="38">
        <v>1</v>
      </c>
      <c r="T95" s="38" t="s">
        <v>1828</v>
      </c>
    </row>
    <row r="96" spans="1:20" ht="28.8" x14ac:dyDescent="0.3">
      <c r="A96" s="37" t="s">
        <v>1842</v>
      </c>
      <c r="B96" s="37" t="s">
        <v>1841</v>
      </c>
      <c r="C96" s="37" t="s">
        <v>1841</v>
      </c>
      <c r="D96" s="37" t="s">
        <v>415</v>
      </c>
      <c r="E96" s="37" t="s">
        <v>1739</v>
      </c>
      <c r="F96" s="37" t="s">
        <v>240</v>
      </c>
      <c r="G96" s="37" t="s">
        <v>306</v>
      </c>
      <c r="H96" s="37" t="s">
        <v>324</v>
      </c>
      <c r="I96" s="39">
        <v>950</v>
      </c>
      <c r="J96" s="37" t="s">
        <v>243</v>
      </c>
      <c r="K96" s="37" t="s">
        <v>242</v>
      </c>
      <c r="L96" s="37" t="s">
        <v>2339</v>
      </c>
      <c r="M96" s="37" t="s">
        <v>245</v>
      </c>
      <c r="N96" s="37" t="s">
        <v>245</v>
      </c>
      <c r="O96" s="41" t="s">
        <v>2244</v>
      </c>
      <c r="P96" s="37" t="s">
        <v>245</v>
      </c>
      <c r="Q96" s="37" t="s">
        <v>2245</v>
      </c>
      <c r="R96" s="37" t="s">
        <v>335</v>
      </c>
      <c r="S96" s="37">
        <v>1</v>
      </c>
      <c r="T96" s="37" t="s">
        <v>1840</v>
      </c>
    </row>
    <row r="97" spans="1:20" ht="28.8" x14ac:dyDescent="0.3">
      <c r="A97" s="38" t="s">
        <v>1849</v>
      </c>
      <c r="B97" s="38" t="s">
        <v>1848</v>
      </c>
      <c r="C97" s="38" t="s">
        <v>1848</v>
      </c>
      <c r="D97" s="38" t="s">
        <v>239</v>
      </c>
      <c r="E97" s="38" t="s">
        <v>522</v>
      </c>
      <c r="F97" s="38" t="s">
        <v>240</v>
      </c>
      <c r="G97" s="38" t="s">
        <v>241</v>
      </c>
      <c r="H97" s="38" t="s">
        <v>244</v>
      </c>
      <c r="I97" s="42">
        <v>150</v>
      </c>
      <c r="J97" s="38" t="s">
        <v>243</v>
      </c>
      <c r="K97" s="38" t="s">
        <v>242</v>
      </c>
      <c r="L97" s="38" t="s">
        <v>2340</v>
      </c>
      <c r="M97" s="38" t="s">
        <v>245</v>
      </c>
      <c r="N97" s="38" t="s">
        <v>245</v>
      </c>
      <c r="O97" s="44" t="s">
        <v>2244</v>
      </c>
      <c r="P97" s="38" t="s">
        <v>245</v>
      </c>
      <c r="Q97" s="38" t="s">
        <v>2245</v>
      </c>
      <c r="R97" s="38" t="s">
        <v>335</v>
      </c>
      <c r="S97" s="38">
        <v>1</v>
      </c>
      <c r="T97" s="38" t="s">
        <v>1847</v>
      </c>
    </row>
    <row r="98" spans="1:20" ht="28.8" x14ac:dyDescent="0.3">
      <c r="A98" s="37" t="s">
        <v>1863</v>
      </c>
      <c r="B98" s="37" t="s">
        <v>1861</v>
      </c>
      <c r="C98" s="37" t="s">
        <v>1861</v>
      </c>
      <c r="D98" s="37" t="s">
        <v>320</v>
      </c>
      <c r="E98" s="37" t="s">
        <v>1080</v>
      </c>
      <c r="F98" s="37" t="s">
        <v>321</v>
      </c>
      <c r="G98" s="37" t="s">
        <v>1124</v>
      </c>
      <c r="H98" s="37" t="s">
        <v>2247</v>
      </c>
      <c r="I98" s="39">
        <v>26000</v>
      </c>
      <c r="J98" s="37" t="s">
        <v>323</v>
      </c>
      <c r="K98" s="37" t="s">
        <v>268</v>
      </c>
      <c r="L98" s="37" t="s">
        <v>2341</v>
      </c>
      <c r="M98" s="37" t="s">
        <v>245</v>
      </c>
      <c r="N98" s="37" t="s">
        <v>245</v>
      </c>
      <c r="O98" s="41" t="s">
        <v>2244</v>
      </c>
      <c r="P98" s="37" t="s">
        <v>255</v>
      </c>
      <c r="Q98" s="37" t="s">
        <v>2245</v>
      </c>
      <c r="R98" s="37" t="s">
        <v>335</v>
      </c>
      <c r="S98" s="37">
        <v>1</v>
      </c>
      <c r="T98" s="37" t="s">
        <v>1860</v>
      </c>
    </row>
    <row r="99" spans="1:20" ht="43.2" x14ac:dyDescent="0.3">
      <c r="A99" s="38" t="s">
        <v>1867</v>
      </c>
      <c r="B99" s="38" t="s">
        <v>1865</v>
      </c>
      <c r="C99" s="38" t="s">
        <v>1865</v>
      </c>
      <c r="D99" s="38" t="s">
        <v>386</v>
      </c>
      <c r="E99" s="38" t="s">
        <v>1866</v>
      </c>
      <c r="F99" s="38" t="s">
        <v>240</v>
      </c>
      <c r="G99" s="38" t="s">
        <v>388</v>
      </c>
      <c r="H99" s="38" t="s">
        <v>2284</v>
      </c>
      <c r="I99" s="42">
        <v>10000</v>
      </c>
      <c r="J99" s="38" t="s">
        <v>243</v>
      </c>
      <c r="K99" s="38" t="s">
        <v>242</v>
      </c>
      <c r="L99" s="38" t="s">
        <v>2342</v>
      </c>
      <c r="M99" s="38" t="s">
        <v>245</v>
      </c>
      <c r="N99" s="38" t="s">
        <v>245</v>
      </c>
      <c r="O99" s="44" t="s">
        <v>2244</v>
      </c>
      <c r="P99" s="38" t="s">
        <v>245</v>
      </c>
      <c r="Q99" s="38" t="s">
        <v>2245</v>
      </c>
      <c r="R99" s="38" t="s">
        <v>335</v>
      </c>
      <c r="S99" s="38">
        <v>1</v>
      </c>
      <c r="T99" s="38" t="s">
        <v>1864</v>
      </c>
    </row>
    <row r="100" spans="1:20" ht="28.8" x14ac:dyDescent="0.3">
      <c r="A100" s="37" t="s">
        <v>1870</v>
      </c>
      <c r="B100" s="37" t="s">
        <v>1869</v>
      </c>
      <c r="C100" s="37" t="s">
        <v>1869</v>
      </c>
      <c r="D100" s="37" t="s">
        <v>413</v>
      </c>
      <c r="E100" s="37" t="s">
        <v>1252</v>
      </c>
      <c r="F100" s="37" t="s">
        <v>240</v>
      </c>
      <c r="G100" s="37" t="s">
        <v>241</v>
      </c>
      <c r="H100" s="37" t="s">
        <v>244</v>
      </c>
      <c r="I100" s="39">
        <v>700</v>
      </c>
      <c r="J100" s="37" t="s">
        <v>243</v>
      </c>
      <c r="K100" s="37" t="s">
        <v>242</v>
      </c>
      <c r="L100" s="37" t="s">
        <v>2343</v>
      </c>
      <c r="M100" s="37" t="s">
        <v>245</v>
      </c>
      <c r="N100" s="37" t="s">
        <v>245</v>
      </c>
      <c r="O100" s="41" t="s">
        <v>2244</v>
      </c>
      <c r="P100" s="37" t="s">
        <v>245</v>
      </c>
      <c r="Q100" s="37" t="s">
        <v>2245</v>
      </c>
      <c r="R100" s="37" t="s">
        <v>335</v>
      </c>
      <c r="S100" s="37">
        <v>1</v>
      </c>
      <c r="T100" s="37" t="s">
        <v>1868</v>
      </c>
    </row>
    <row r="101" spans="1:20" ht="43.2" x14ac:dyDescent="0.3">
      <c r="A101" s="38" t="s">
        <v>1873</v>
      </c>
      <c r="B101" s="38" t="s">
        <v>1872</v>
      </c>
      <c r="C101" s="38" t="s">
        <v>1872</v>
      </c>
      <c r="D101" s="38" t="s">
        <v>399</v>
      </c>
      <c r="E101" s="38" t="s">
        <v>1274</v>
      </c>
      <c r="F101" s="38" t="s">
        <v>240</v>
      </c>
      <c r="G101" s="38" t="s">
        <v>241</v>
      </c>
      <c r="H101" s="38" t="s">
        <v>244</v>
      </c>
      <c r="I101" s="42">
        <v>30</v>
      </c>
      <c r="J101" s="38" t="s">
        <v>243</v>
      </c>
      <c r="K101" s="38" t="s">
        <v>242</v>
      </c>
      <c r="L101" s="38" t="s">
        <v>2344</v>
      </c>
      <c r="M101" s="38" t="s">
        <v>245</v>
      </c>
      <c r="N101" s="38" t="s">
        <v>245</v>
      </c>
      <c r="O101" s="44" t="s">
        <v>2244</v>
      </c>
      <c r="P101" s="38" t="s">
        <v>245</v>
      </c>
      <c r="Q101" s="38" t="s">
        <v>2245</v>
      </c>
      <c r="R101" s="38" t="s">
        <v>335</v>
      </c>
      <c r="S101" s="38">
        <v>1</v>
      </c>
      <c r="T101" s="38" t="s">
        <v>1871</v>
      </c>
    </row>
    <row r="102" spans="1:20" ht="28.8" x14ac:dyDescent="0.3">
      <c r="A102" s="37" t="s">
        <v>1896</v>
      </c>
      <c r="B102" s="37" t="s">
        <v>1894</v>
      </c>
      <c r="C102" s="37" t="s">
        <v>1894</v>
      </c>
      <c r="D102" s="37" t="s">
        <v>399</v>
      </c>
      <c r="E102" s="37" t="s">
        <v>1895</v>
      </c>
      <c r="F102" s="37" t="s">
        <v>240</v>
      </c>
      <c r="G102" s="37" t="s">
        <v>241</v>
      </c>
      <c r="H102" s="37" t="s">
        <v>244</v>
      </c>
      <c r="I102" s="39">
        <v>220</v>
      </c>
      <c r="J102" s="37" t="s">
        <v>284</v>
      </c>
      <c r="K102" s="37" t="s">
        <v>242</v>
      </c>
      <c r="L102" s="37" t="s">
        <v>2345</v>
      </c>
      <c r="M102" s="37" t="s">
        <v>245</v>
      </c>
      <c r="N102" s="37" t="s">
        <v>245</v>
      </c>
      <c r="O102" s="41" t="s">
        <v>2244</v>
      </c>
      <c r="P102" s="37" t="s">
        <v>245</v>
      </c>
      <c r="Q102" s="37" t="s">
        <v>2245</v>
      </c>
      <c r="R102" s="37" t="s">
        <v>335</v>
      </c>
      <c r="S102" s="37">
        <v>1</v>
      </c>
      <c r="T102" s="37" t="s">
        <v>1893</v>
      </c>
    </row>
    <row r="103" spans="1:20" ht="28.8" x14ac:dyDescent="0.3">
      <c r="A103" s="38" t="s">
        <v>1937</v>
      </c>
      <c r="B103" s="38" t="s">
        <v>1936</v>
      </c>
      <c r="C103" s="38" t="s">
        <v>1936</v>
      </c>
      <c r="D103" s="38" t="s">
        <v>320</v>
      </c>
      <c r="E103" s="38" t="s">
        <v>1209</v>
      </c>
      <c r="F103" s="38" t="s">
        <v>240</v>
      </c>
      <c r="G103" s="38" t="s">
        <v>241</v>
      </c>
      <c r="H103" s="38" t="s">
        <v>244</v>
      </c>
      <c r="I103" s="42">
        <v>300</v>
      </c>
      <c r="J103" s="38" t="s">
        <v>243</v>
      </c>
      <c r="K103" s="38" t="s">
        <v>242</v>
      </c>
      <c r="L103" s="38" t="s">
        <v>2346</v>
      </c>
      <c r="M103" s="38" t="s">
        <v>245</v>
      </c>
      <c r="N103" s="38" t="s">
        <v>245</v>
      </c>
      <c r="O103" s="44" t="s">
        <v>2244</v>
      </c>
      <c r="P103" s="38" t="s">
        <v>245</v>
      </c>
      <c r="Q103" s="38" t="s">
        <v>2245</v>
      </c>
      <c r="R103" s="38" t="s">
        <v>335</v>
      </c>
      <c r="S103" s="38">
        <v>1</v>
      </c>
      <c r="T103" s="38" t="s">
        <v>1935</v>
      </c>
    </row>
    <row r="104" spans="1:20" ht="28.8" x14ac:dyDescent="0.3">
      <c r="A104" s="37" t="s">
        <v>1941</v>
      </c>
      <c r="B104" s="37" t="s">
        <v>1939</v>
      </c>
      <c r="C104" s="37" t="s">
        <v>1939</v>
      </c>
      <c r="D104" s="37" t="s">
        <v>413</v>
      </c>
      <c r="E104" s="37" t="s">
        <v>1252</v>
      </c>
      <c r="F104" s="37" t="s">
        <v>240</v>
      </c>
      <c r="G104" s="37" t="s">
        <v>241</v>
      </c>
      <c r="H104" s="37" t="s">
        <v>244</v>
      </c>
      <c r="I104" s="39">
        <v>3650</v>
      </c>
      <c r="J104" s="37" t="s">
        <v>243</v>
      </c>
      <c r="K104" s="37" t="s">
        <v>242</v>
      </c>
      <c r="L104" s="37" t="s">
        <v>2347</v>
      </c>
      <c r="M104" s="37" t="s">
        <v>245</v>
      </c>
      <c r="N104" s="37" t="s">
        <v>245</v>
      </c>
      <c r="O104" s="41" t="s">
        <v>2244</v>
      </c>
      <c r="P104" s="37" t="s">
        <v>245</v>
      </c>
      <c r="Q104" s="37" t="s">
        <v>2245</v>
      </c>
      <c r="R104" s="37" t="s">
        <v>335</v>
      </c>
      <c r="S104" s="37">
        <v>1</v>
      </c>
      <c r="T104" s="37" t="s">
        <v>1938</v>
      </c>
    </row>
    <row r="105" spans="1:20" ht="28.8" x14ac:dyDescent="0.3">
      <c r="A105" s="38" t="s">
        <v>1949</v>
      </c>
      <c r="B105" s="38" t="s">
        <v>1947</v>
      </c>
      <c r="C105" s="38" t="s">
        <v>1947</v>
      </c>
      <c r="D105" s="38" t="s">
        <v>413</v>
      </c>
      <c r="E105" s="38" t="s">
        <v>1948</v>
      </c>
      <c r="F105" s="38" t="s">
        <v>240</v>
      </c>
      <c r="G105" s="38" t="s">
        <v>306</v>
      </c>
      <c r="H105" s="38" t="s">
        <v>324</v>
      </c>
      <c r="I105" s="42">
        <v>3800</v>
      </c>
      <c r="J105" s="38" t="s">
        <v>243</v>
      </c>
      <c r="K105" s="38" t="s">
        <v>242</v>
      </c>
      <c r="L105" s="38" t="s">
        <v>2348</v>
      </c>
      <c r="M105" s="38" t="s">
        <v>245</v>
      </c>
      <c r="N105" s="38" t="s">
        <v>245</v>
      </c>
      <c r="O105" s="44" t="s">
        <v>2244</v>
      </c>
      <c r="P105" s="38" t="s">
        <v>245</v>
      </c>
      <c r="Q105" s="38" t="s">
        <v>2245</v>
      </c>
      <c r="R105" s="38" t="s">
        <v>335</v>
      </c>
      <c r="S105" s="38">
        <v>1</v>
      </c>
      <c r="T105" s="38" t="s">
        <v>1946</v>
      </c>
    </row>
    <row r="106" spans="1:20" ht="28.8" x14ac:dyDescent="0.3">
      <c r="A106" s="37" t="s">
        <v>1963</v>
      </c>
      <c r="B106" s="37" t="s">
        <v>1960</v>
      </c>
      <c r="C106" s="37" t="s">
        <v>1960</v>
      </c>
      <c r="D106" s="37" t="s">
        <v>421</v>
      </c>
      <c r="E106" s="37" t="s">
        <v>1962</v>
      </c>
      <c r="F106" s="37" t="s">
        <v>387</v>
      </c>
      <c r="G106" s="37" t="s">
        <v>402</v>
      </c>
      <c r="H106" s="37" t="s">
        <v>402</v>
      </c>
      <c r="I106" s="39">
        <v>0.01</v>
      </c>
      <c r="J106" s="37" t="s">
        <v>243</v>
      </c>
      <c r="K106" s="37" t="s">
        <v>322</v>
      </c>
      <c r="L106" s="37" t="s">
        <v>2349</v>
      </c>
      <c r="M106" s="37" t="s">
        <v>255</v>
      </c>
      <c r="N106" s="37" t="s">
        <v>245</v>
      </c>
      <c r="O106" s="41" t="s">
        <v>2244</v>
      </c>
      <c r="P106" s="37" t="s">
        <v>255</v>
      </c>
      <c r="Q106" s="37" t="s">
        <v>2245</v>
      </c>
      <c r="R106" s="37" t="s">
        <v>335</v>
      </c>
      <c r="S106" s="37">
        <v>1</v>
      </c>
      <c r="T106" s="37" t="s">
        <v>1959</v>
      </c>
    </row>
    <row r="107" spans="1:20" ht="28.8" x14ac:dyDescent="0.3">
      <c r="A107" s="38" t="s">
        <v>2003</v>
      </c>
      <c r="B107" s="38" t="s">
        <v>2002</v>
      </c>
      <c r="C107" s="38" t="s">
        <v>2002</v>
      </c>
      <c r="D107" s="38" t="s">
        <v>386</v>
      </c>
      <c r="E107" s="38" t="s">
        <v>1469</v>
      </c>
      <c r="F107" s="38" t="s">
        <v>240</v>
      </c>
      <c r="G107" s="38" t="s">
        <v>1103</v>
      </c>
      <c r="H107" s="38" t="s">
        <v>2247</v>
      </c>
      <c r="I107" s="42">
        <v>150</v>
      </c>
      <c r="J107" s="38" t="s">
        <v>243</v>
      </c>
      <c r="K107" s="38" t="s">
        <v>242</v>
      </c>
      <c r="L107" s="38" t="s">
        <v>2350</v>
      </c>
      <c r="M107" s="38" t="s">
        <v>245</v>
      </c>
      <c r="N107" s="38" t="s">
        <v>245</v>
      </c>
      <c r="O107" s="44" t="s">
        <v>2244</v>
      </c>
      <c r="P107" s="38" t="s">
        <v>245</v>
      </c>
      <c r="Q107" s="38" t="s">
        <v>2245</v>
      </c>
      <c r="R107" s="38" t="s">
        <v>335</v>
      </c>
      <c r="S107" s="38">
        <v>1</v>
      </c>
      <c r="T107" s="38" t="s">
        <v>2001</v>
      </c>
    </row>
    <row r="108" spans="1:20" ht="28.8" x14ac:dyDescent="0.3">
      <c r="A108" s="37" t="s">
        <v>2006</v>
      </c>
      <c r="B108" s="37" t="s">
        <v>2005</v>
      </c>
      <c r="C108" s="37" t="s">
        <v>2005</v>
      </c>
      <c r="D108" s="37" t="s">
        <v>239</v>
      </c>
      <c r="E108" s="37" t="s">
        <v>522</v>
      </c>
      <c r="F108" s="37" t="s">
        <v>240</v>
      </c>
      <c r="G108" s="37" t="s">
        <v>241</v>
      </c>
      <c r="H108" s="37" t="s">
        <v>244</v>
      </c>
      <c r="I108" s="39">
        <v>40</v>
      </c>
      <c r="J108" s="37" t="s">
        <v>243</v>
      </c>
      <c r="K108" s="37" t="s">
        <v>242</v>
      </c>
      <c r="L108" s="37" t="s">
        <v>2351</v>
      </c>
      <c r="M108" s="37" t="s">
        <v>245</v>
      </c>
      <c r="N108" s="37" t="s">
        <v>245</v>
      </c>
      <c r="O108" s="41" t="s">
        <v>2244</v>
      </c>
      <c r="P108" s="37" t="s">
        <v>245</v>
      </c>
      <c r="Q108" s="37" t="s">
        <v>2245</v>
      </c>
      <c r="R108" s="37" t="s">
        <v>335</v>
      </c>
      <c r="S108" s="37">
        <v>1</v>
      </c>
      <c r="T108" s="37" t="s">
        <v>2004</v>
      </c>
    </row>
    <row r="109" spans="1:20" ht="43.2" x14ac:dyDescent="0.3">
      <c r="A109" s="38" t="s">
        <v>2010</v>
      </c>
      <c r="B109" s="38" t="s">
        <v>2008</v>
      </c>
      <c r="C109" s="38" t="s">
        <v>2008</v>
      </c>
      <c r="D109" s="38" t="s">
        <v>386</v>
      </c>
      <c r="E109" s="38" t="s">
        <v>1602</v>
      </c>
      <c r="F109" s="38" t="s">
        <v>240</v>
      </c>
      <c r="G109" s="38" t="s">
        <v>1103</v>
      </c>
      <c r="H109" s="38" t="s">
        <v>2247</v>
      </c>
      <c r="I109" s="42">
        <v>180</v>
      </c>
      <c r="J109" s="38" t="s">
        <v>243</v>
      </c>
      <c r="K109" s="38" t="s">
        <v>242</v>
      </c>
      <c r="L109" s="38" t="s">
        <v>2352</v>
      </c>
      <c r="M109" s="38" t="s">
        <v>245</v>
      </c>
      <c r="N109" s="38" t="s">
        <v>245</v>
      </c>
      <c r="O109" s="44" t="s">
        <v>2244</v>
      </c>
      <c r="P109" s="38" t="s">
        <v>245</v>
      </c>
      <c r="Q109" s="38" t="s">
        <v>2245</v>
      </c>
      <c r="R109" s="38" t="s">
        <v>335</v>
      </c>
      <c r="S109" s="38">
        <v>1</v>
      </c>
      <c r="T109" s="38" t="s">
        <v>2007</v>
      </c>
    </row>
    <row r="110" spans="1:20" ht="28.8" x14ac:dyDescent="0.3">
      <c r="A110" s="37" t="s">
        <v>2013</v>
      </c>
      <c r="B110" s="37" t="s">
        <v>2012</v>
      </c>
      <c r="C110" s="37" t="s">
        <v>2012</v>
      </c>
      <c r="D110" s="37" t="s">
        <v>239</v>
      </c>
      <c r="E110" s="37" t="s">
        <v>1062</v>
      </c>
      <c r="F110" s="37" t="s">
        <v>240</v>
      </c>
      <c r="G110" s="37" t="s">
        <v>1103</v>
      </c>
      <c r="H110" s="37" t="s">
        <v>2247</v>
      </c>
      <c r="I110" s="39">
        <v>600</v>
      </c>
      <c r="J110" s="37" t="s">
        <v>243</v>
      </c>
      <c r="K110" s="37" t="s">
        <v>242</v>
      </c>
      <c r="L110" s="37" t="s">
        <v>2353</v>
      </c>
      <c r="M110" s="37" t="s">
        <v>245</v>
      </c>
      <c r="N110" s="37" t="s">
        <v>245</v>
      </c>
      <c r="O110" s="41" t="s">
        <v>2244</v>
      </c>
      <c r="P110" s="37" t="s">
        <v>245</v>
      </c>
      <c r="Q110" s="37" t="s">
        <v>2245</v>
      </c>
      <c r="R110" s="37" t="s">
        <v>335</v>
      </c>
      <c r="S110" s="37">
        <v>1</v>
      </c>
      <c r="T110" s="37" t="s">
        <v>2011</v>
      </c>
    </row>
    <row r="111" spans="1:20" ht="28.8" x14ac:dyDescent="0.3">
      <c r="A111" s="38" t="s">
        <v>2017</v>
      </c>
      <c r="B111" s="38" t="s">
        <v>2015</v>
      </c>
      <c r="C111" s="38" t="s">
        <v>2015</v>
      </c>
      <c r="D111" s="38" t="s">
        <v>239</v>
      </c>
      <c r="E111" s="38" t="s">
        <v>1062</v>
      </c>
      <c r="F111" s="38" t="s">
        <v>240</v>
      </c>
      <c r="G111" s="38" t="s">
        <v>241</v>
      </c>
      <c r="H111" s="38" t="s">
        <v>244</v>
      </c>
      <c r="I111" s="42">
        <v>80</v>
      </c>
      <c r="J111" s="38" t="s">
        <v>323</v>
      </c>
      <c r="K111" s="38" t="s">
        <v>242</v>
      </c>
      <c r="L111" s="38" t="s">
        <v>2354</v>
      </c>
      <c r="M111" s="38" t="s">
        <v>245</v>
      </c>
      <c r="N111" s="38" t="s">
        <v>245</v>
      </c>
      <c r="O111" s="44" t="s">
        <v>2244</v>
      </c>
      <c r="P111" s="38" t="s">
        <v>245</v>
      </c>
      <c r="Q111" s="38" t="s">
        <v>2245</v>
      </c>
      <c r="R111" s="38" t="s">
        <v>335</v>
      </c>
      <c r="S111" s="38">
        <v>1</v>
      </c>
      <c r="T111" s="38" t="s">
        <v>2014</v>
      </c>
    </row>
    <row r="112" spans="1:20" ht="28.8" x14ac:dyDescent="0.3">
      <c r="A112" s="37" t="s">
        <v>2038</v>
      </c>
      <c r="B112" s="37" t="s">
        <v>2037</v>
      </c>
      <c r="C112" s="37" t="s">
        <v>2037</v>
      </c>
      <c r="D112" s="37" t="s">
        <v>405</v>
      </c>
      <c r="E112" s="37" t="s">
        <v>1120</v>
      </c>
      <c r="F112" s="37" t="s">
        <v>240</v>
      </c>
      <c r="G112" s="37" t="s">
        <v>362</v>
      </c>
      <c r="H112" s="37" t="s">
        <v>364</v>
      </c>
      <c r="I112" s="39">
        <v>2700</v>
      </c>
      <c r="J112" s="37" t="s">
        <v>243</v>
      </c>
      <c r="K112" s="37" t="s">
        <v>242</v>
      </c>
      <c r="L112" s="37" t="s">
        <v>2355</v>
      </c>
      <c r="M112" s="37" t="s">
        <v>245</v>
      </c>
      <c r="N112" s="37" t="s">
        <v>245</v>
      </c>
      <c r="O112" s="41" t="s">
        <v>2244</v>
      </c>
      <c r="P112" s="37" t="s">
        <v>245</v>
      </c>
      <c r="Q112" s="37" t="s">
        <v>2245</v>
      </c>
      <c r="R112" s="37" t="s">
        <v>335</v>
      </c>
      <c r="S112" s="37">
        <v>1</v>
      </c>
      <c r="T112" s="37" t="s">
        <v>2036</v>
      </c>
    </row>
    <row r="113" spans="1:20" ht="43.2" x14ac:dyDescent="0.3">
      <c r="A113" s="38" t="s">
        <v>2042</v>
      </c>
      <c r="B113" s="38" t="s">
        <v>2040</v>
      </c>
      <c r="C113" s="38" t="s">
        <v>2040</v>
      </c>
      <c r="D113" s="38" t="s">
        <v>239</v>
      </c>
      <c r="E113" s="38" t="s">
        <v>252</v>
      </c>
      <c r="F113" s="38" t="s">
        <v>240</v>
      </c>
      <c r="G113" s="38" t="s">
        <v>241</v>
      </c>
      <c r="H113" s="38" t="s">
        <v>244</v>
      </c>
      <c r="I113" s="42">
        <v>1150</v>
      </c>
      <c r="J113" s="38" t="s">
        <v>243</v>
      </c>
      <c r="K113" s="38" t="s">
        <v>242</v>
      </c>
      <c r="L113" s="38" t="s">
        <v>2356</v>
      </c>
      <c r="M113" s="38" t="s">
        <v>245</v>
      </c>
      <c r="N113" s="38" t="s">
        <v>245</v>
      </c>
      <c r="O113" s="44" t="s">
        <v>2244</v>
      </c>
      <c r="P113" s="38" t="s">
        <v>245</v>
      </c>
      <c r="Q113" s="38" t="s">
        <v>2245</v>
      </c>
      <c r="R113" s="38" t="s">
        <v>335</v>
      </c>
      <c r="S113" s="38">
        <v>1</v>
      </c>
      <c r="T113" s="38" t="s">
        <v>2039</v>
      </c>
    </row>
    <row r="114" spans="1:20" ht="28.8" x14ac:dyDescent="0.3">
      <c r="A114" s="37" t="s">
        <v>2046</v>
      </c>
      <c r="B114" s="37" t="s">
        <v>2044</v>
      </c>
      <c r="C114" s="37" t="s">
        <v>2044</v>
      </c>
      <c r="D114" s="37" t="s">
        <v>239</v>
      </c>
      <c r="E114" s="37" t="s">
        <v>1049</v>
      </c>
      <c r="F114" s="37" t="s">
        <v>240</v>
      </c>
      <c r="G114" s="37" t="s">
        <v>1103</v>
      </c>
      <c r="H114" s="37" t="s">
        <v>2247</v>
      </c>
      <c r="I114" s="39">
        <v>1900</v>
      </c>
      <c r="J114" s="37" t="s">
        <v>243</v>
      </c>
      <c r="K114" s="37" t="s">
        <v>242</v>
      </c>
      <c r="L114" s="37" t="s">
        <v>2357</v>
      </c>
      <c r="M114" s="37" t="s">
        <v>245</v>
      </c>
      <c r="N114" s="37" t="s">
        <v>245</v>
      </c>
      <c r="O114" s="41" t="s">
        <v>2244</v>
      </c>
      <c r="P114" s="37" t="s">
        <v>245</v>
      </c>
      <c r="Q114" s="37" t="s">
        <v>2245</v>
      </c>
      <c r="R114" s="37" t="s">
        <v>335</v>
      </c>
      <c r="S114" s="37">
        <v>1</v>
      </c>
      <c r="T114" s="37" t="s">
        <v>2043</v>
      </c>
    </row>
    <row r="115" spans="1:20" ht="28.8" x14ac:dyDescent="0.3">
      <c r="A115" s="38" t="s">
        <v>2049</v>
      </c>
      <c r="B115" s="38" t="s">
        <v>2048</v>
      </c>
      <c r="C115" s="38" t="s">
        <v>2048</v>
      </c>
      <c r="D115" s="38" t="s">
        <v>239</v>
      </c>
      <c r="E115" s="38" t="s">
        <v>1049</v>
      </c>
      <c r="F115" s="38" t="s">
        <v>240</v>
      </c>
      <c r="G115" s="38" t="s">
        <v>1103</v>
      </c>
      <c r="H115" s="38" t="s">
        <v>2247</v>
      </c>
      <c r="I115" s="42">
        <v>1400</v>
      </c>
      <c r="J115" s="38" t="s">
        <v>243</v>
      </c>
      <c r="K115" s="38" t="s">
        <v>242</v>
      </c>
      <c r="L115" s="38" t="s">
        <v>2358</v>
      </c>
      <c r="M115" s="38" t="s">
        <v>245</v>
      </c>
      <c r="N115" s="38" t="s">
        <v>245</v>
      </c>
      <c r="O115" s="44" t="s">
        <v>2244</v>
      </c>
      <c r="P115" s="38" t="s">
        <v>245</v>
      </c>
      <c r="Q115" s="38" t="s">
        <v>2245</v>
      </c>
      <c r="R115" s="38" t="s">
        <v>335</v>
      </c>
      <c r="S115" s="38">
        <v>1</v>
      </c>
      <c r="T115" s="38" t="s">
        <v>2047</v>
      </c>
    </row>
    <row r="116" spans="1:20" ht="28.8" x14ac:dyDescent="0.3">
      <c r="A116" s="37" t="s">
        <v>2052</v>
      </c>
      <c r="B116" s="37" t="s">
        <v>2051</v>
      </c>
      <c r="C116" s="37" t="s">
        <v>2051</v>
      </c>
      <c r="D116" s="37" t="s">
        <v>360</v>
      </c>
      <c r="E116" s="37" t="s">
        <v>1501</v>
      </c>
      <c r="F116" s="37" t="s">
        <v>240</v>
      </c>
      <c r="G116" s="37" t="s">
        <v>306</v>
      </c>
      <c r="H116" s="37" t="s">
        <v>324</v>
      </c>
      <c r="I116" s="39">
        <v>900</v>
      </c>
      <c r="J116" s="37" t="s">
        <v>243</v>
      </c>
      <c r="K116" s="37" t="s">
        <v>242</v>
      </c>
      <c r="L116" s="37" t="s">
        <v>2359</v>
      </c>
      <c r="M116" s="37" t="s">
        <v>245</v>
      </c>
      <c r="N116" s="37" t="s">
        <v>245</v>
      </c>
      <c r="O116" s="41" t="s">
        <v>2244</v>
      </c>
      <c r="P116" s="37" t="s">
        <v>245</v>
      </c>
      <c r="Q116" s="37" t="s">
        <v>2245</v>
      </c>
      <c r="R116" s="37" t="s">
        <v>335</v>
      </c>
      <c r="S116" s="37">
        <v>1</v>
      </c>
      <c r="T116" s="37" t="s">
        <v>2050</v>
      </c>
    </row>
    <row r="117" spans="1:20" ht="28.8" x14ac:dyDescent="0.3">
      <c r="A117" s="38" t="s">
        <v>2055</v>
      </c>
      <c r="B117" s="38" t="s">
        <v>2054</v>
      </c>
      <c r="C117" s="38" t="s">
        <v>2054</v>
      </c>
      <c r="D117" s="38" t="s">
        <v>360</v>
      </c>
      <c r="E117" s="38" t="s">
        <v>1501</v>
      </c>
      <c r="F117" s="38" t="s">
        <v>240</v>
      </c>
      <c r="G117" s="38" t="s">
        <v>306</v>
      </c>
      <c r="H117" s="38" t="s">
        <v>324</v>
      </c>
      <c r="I117" s="42">
        <v>1400</v>
      </c>
      <c r="J117" s="38" t="s">
        <v>243</v>
      </c>
      <c r="K117" s="38" t="s">
        <v>242</v>
      </c>
      <c r="L117" s="38" t="s">
        <v>2360</v>
      </c>
      <c r="M117" s="38" t="s">
        <v>245</v>
      </c>
      <c r="N117" s="38" t="s">
        <v>245</v>
      </c>
      <c r="O117" s="44" t="s">
        <v>2244</v>
      </c>
      <c r="P117" s="38" t="s">
        <v>245</v>
      </c>
      <c r="Q117" s="38" t="s">
        <v>2245</v>
      </c>
      <c r="R117" s="38" t="s">
        <v>335</v>
      </c>
      <c r="S117" s="38">
        <v>1</v>
      </c>
      <c r="T117" s="38" t="s">
        <v>2053</v>
      </c>
    </row>
    <row r="118" spans="1:20" ht="28.8" x14ac:dyDescent="0.3">
      <c r="A118" s="37" t="s">
        <v>2058</v>
      </c>
      <c r="B118" s="37" t="s">
        <v>2057</v>
      </c>
      <c r="C118" s="37" t="s">
        <v>2057</v>
      </c>
      <c r="D118" s="37" t="s">
        <v>360</v>
      </c>
      <c r="E118" s="37" t="s">
        <v>1501</v>
      </c>
      <c r="F118" s="37" t="s">
        <v>240</v>
      </c>
      <c r="G118" s="37" t="s">
        <v>306</v>
      </c>
      <c r="H118" s="37" t="s">
        <v>324</v>
      </c>
      <c r="I118" s="39">
        <v>350</v>
      </c>
      <c r="J118" s="37" t="s">
        <v>243</v>
      </c>
      <c r="K118" s="37" t="s">
        <v>242</v>
      </c>
      <c r="L118" s="37" t="s">
        <v>2361</v>
      </c>
      <c r="M118" s="37" t="s">
        <v>245</v>
      </c>
      <c r="N118" s="37" t="s">
        <v>245</v>
      </c>
      <c r="O118" s="41" t="s">
        <v>2244</v>
      </c>
      <c r="P118" s="37" t="s">
        <v>245</v>
      </c>
      <c r="Q118" s="37" t="s">
        <v>2245</v>
      </c>
      <c r="R118" s="37" t="s">
        <v>335</v>
      </c>
      <c r="S118" s="37">
        <v>1</v>
      </c>
      <c r="T118" s="37" t="s">
        <v>2056</v>
      </c>
    </row>
    <row r="119" spans="1:20" ht="28.8" x14ac:dyDescent="0.3">
      <c r="A119" s="38" t="s">
        <v>2062</v>
      </c>
      <c r="B119" s="38" t="s">
        <v>2060</v>
      </c>
      <c r="C119" s="38" t="s">
        <v>2060</v>
      </c>
      <c r="D119" s="38" t="s">
        <v>239</v>
      </c>
      <c r="E119" s="38" t="s">
        <v>1113</v>
      </c>
      <c r="F119" s="38" t="s">
        <v>240</v>
      </c>
      <c r="G119" s="38" t="s">
        <v>1103</v>
      </c>
      <c r="H119" s="38" t="s">
        <v>2247</v>
      </c>
      <c r="I119" s="42">
        <v>100</v>
      </c>
      <c r="J119" s="38" t="s">
        <v>243</v>
      </c>
      <c r="K119" s="38" t="s">
        <v>242</v>
      </c>
      <c r="L119" s="38" t="s">
        <v>2362</v>
      </c>
      <c r="M119" s="38" t="s">
        <v>245</v>
      </c>
      <c r="N119" s="38" t="s">
        <v>245</v>
      </c>
      <c r="O119" s="44" t="s">
        <v>2244</v>
      </c>
      <c r="P119" s="38" t="s">
        <v>245</v>
      </c>
      <c r="Q119" s="38" t="s">
        <v>2245</v>
      </c>
      <c r="R119" s="38" t="s">
        <v>335</v>
      </c>
      <c r="S119" s="38">
        <v>1</v>
      </c>
      <c r="T119" s="38" t="s">
        <v>2059</v>
      </c>
    </row>
    <row r="120" spans="1:20" ht="28.8" x14ac:dyDescent="0.3">
      <c r="A120" s="37" t="s">
        <v>2065</v>
      </c>
      <c r="B120" s="37" t="s">
        <v>2064</v>
      </c>
      <c r="C120" s="37" t="s">
        <v>2064</v>
      </c>
      <c r="D120" s="37" t="s">
        <v>239</v>
      </c>
      <c r="E120" s="37" t="s">
        <v>522</v>
      </c>
      <c r="F120" s="37" t="s">
        <v>240</v>
      </c>
      <c r="G120" s="37" t="s">
        <v>241</v>
      </c>
      <c r="H120" s="37" t="s">
        <v>244</v>
      </c>
      <c r="I120" s="39">
        <v>250</v>
      </c>
      <c r="J120" s="37" t="s">
        <v>243</v>
      </c>
      <c r="K120" s="37" t="s">
        <v>242</v>
      </c>
      <c r="L120" s="37" t="s">
        <v>2363</v>
      </c>
      <c r="M120" s="37" t="s">
        <v>245</v>
      </c>
      <c r="N120" s="37" t="s">
        <v>245</v>
      </c>
      <c r="O120" s="41" t="s">
        <v>2244</v>
      </c>
      <c r="P120" s="37" t="s">
        <v>245</v>
      </c>
      <c r="Q120" s="37" t="s">
        <v>2245</v>
      </c>
      <c r="R120" s="37" t="s">
        <v>335</v>
      </c>
      <c r="S120" s="37">
        <v>1</v>
      </c>
      <c r="T120" s="37" t="s">
        <v>2063</v>
      </c>
    </row>
    <row r="121" spans="1:20" ht="28.8" x14ac:dyDescent="0.3">
      <c r="A121" s="38" t="s">
        <v>2067</v>
      </c>
      <c r="B121" s="38" t="s">
        <v>452</v>
      </c>
      <c r="C121" s="38" t="s">
        <v>452</v>
      </c>
      <c r="D121" s="38" t="s">
        <v>281</v>
      </c>
      <c r="E121" s="38" t="s">
        <v>1290</v>
      </c>
      <c r="F121" s="38" t="s">
        <v>240</v>
      </c>
      <c r="G121" s="38" t="s">
        <v>241</v>
      </c>
      <c r="H121" s="38" t="s">
        <v>244</v>
      </c>
      <c r="I121" s="42">
        <v>680</v>
      </c>
      <c r="J121" s="38" t="s">
        <v>243</v>
      </c>
      <c r="K121" s="38" t="s">
        <v>242</v>
      </c>
      <c r="L121" s="38" t="s">
        <v>2364</v>
      </c>
      <c r="M121" s="38" t="s">
        <v>245</v>
      </c>
      <c r="N121" s="38" t="s">
        <v>245</v>
      </c>
      <c r="O121" s="44" t="s">
        <v>2244</v>
      </c>
      <c r="P121" s="38" t="s">
        <v>245</v>
      </c>
      <c r="Q121" s="38" t="s">
        <v>2245</v>
      </c>
      <c r="R121" s="38" t="s">
        <v>335</v>
      </c>
      <c r="S121" s="38">
        <v>1</v>
      </c>
      <c r="T121" s="38" t="s">
        <v>2066</v>
      </c>
    </row>
    <row r="122" spans="1:20" ht="57.6" x14ac:dyDescent="0.3">
      <c r="A122" s="37" t="s">
        <v>2071</v>
      </c>
      <c r="B122" s="37" t="s">
        <v>2069</v>
      </c>
      <c r="C122" s="37" t="s">
        <v>2069</v>
      </c>
      <c r="D122" s="37" t="s">
        <v>239</v>
      </c>
      <c r="E122" s="37" t="s">
        <v>522</v>
      </c>
      <c r="F122" s="37" t="s">
        <v>240</v>
      </c>
      <c r="G122" s="37" t="s">
        <v>241</v>
      </c>
      <c r="H122" s="37" t="s">
        <v>244</v>
      </c>
      <c r="I122" s="39">
        <v>195</v>
      </c>
      <c r="J122" s="37" t="s">
        <v>243</v>
      </c>
      <c r="K122" s="37" t="s">
        <v>242</v>
      </c>
      <c r="L122" s="37" t="s">
        <v>2365</v>
      </c>
      <c r="M122" s="37" t="s">
        <v>245</v>
      </c>
      <c r="N122" s="37" t="s">
        <v>245</v>
      </c>
      <c r="O122" s="41" t="s">
        <v>2244</v>
      </c>
      <c r="P122" s="37" t="s">
        <v>245</v>
      </c>
      <c r="Q122" s="37" t="s">
        <v>2245</v>
      </c>
      <c r="R122" s="37" t="s">
        <v>335</v>
      </c>
      <c r="S122" s="37">
        <v>1</v>
      </c>
      <c r="T122" s="37" t="s">
        <v>2068</v>
      </c>
    </row>
    <row r="123" spans="1:20" ht="57.6" x14ac:dyDescent="0.3">
      <c r="A123" s="38" t="s">
        <v>2075</v>
      </c>
      <c r="B123" s="38" t="s">
        <v>2073</v>
      </c>
      <c r="C123" s="38" t="s">
        <v>2073</v>
      </c>
      <c r="D123" s="38" t="s">
        <v>281</v>
      </c>
      <c r="E123" s="38" t="s">
        <v>1290</v>
      </c>
      <c r="F123" s="38" t="s">
        <v>240</v>
      </c>
      <c r="G123" s="38" t="s">
        <v>241</v>
      </c>
      <c r="H123" s="38" t="s">
        <v>244</v>
      </c>
      <c r="I123" s="42">
        <v>208</v>
      </c>
      <c r="J123" s="38" t="s">
        <v>243</v>
      </c>
      <c r="K123" s="38" t="s">
        <v>242</v>
      </c>
      <c r="L123" s="38" t="s">
        <v>2365</v>
      </c>
      <c r="M123" s="38" t="s">
        <v>245</v>
      </c>
      <c r="N123" s="38" t="s">
        <v>245</v>
      </c>
      <c r="O123" s="44" t="s">
        <v>2244</v>
      </c>
      <c r="P123" s="38" t="s">
        <v>245</v>
      </c>
      <c r="Q123" s="38" t="s">
        <v>2245</v>
      </c>
      <c r="R123" s="38" t="s">
        <v>335</v>
      </c>
      <c r="S123" s="38">
        <v>1</v>
      </c>
      <c r="T123" s="38" t="s">
        <v>2072</v>
      </c>
    </row>
    <row r="124" spans="1:20" ht="28.8" x14ac:dyDescent="0.3">
      <c r="A124" s="37" t="s">
        <v>2078</v>
      </c>
      <c r="B124" s="37" t="s">
        <v>2077</v>
      </c>
      <c r="C124" s="37" t="s">
        <v>2077</v>
      </c>
      <c r="D124" s="37" t="s">
        <v>239</v>
      </c>
      <c r="E124" s="37" t="s">
        <v>522</v>
      </c>
      <c r="F124" s="37" t="s">
        <v>240</v>
      </c>
      <c r="G124" s="37" t="s">
        <v>241</v>
      </c>
      <c r="H124" s="37" t="s">
        <v>244</v>
      </c>
      <c r="I124" s="39">
        <v>900</v>
      </c>
      <c r="J124" s="37" t="s">
        <v>243</v>
      </c>
      <c r="K124" s="37" t="s">
        <v>242</v>
      </c>
      <c r="L124" s="37" t="s">
        <v>2366</v>
      </c>
      <c r="M124" s="37" t="s">
        <v>245</v>
      </c>
      <c r="N124" s="37" t="s">
        <v>245</v>
      </c>
      <c r="O124" s="41" t="s">
        <v>2244</v>
      </c>
      <c r="P124" s="37" t="s">
        <v>245</v>
      </c>
      <c r="Q124" s="37" t="s">
        <v>2245</v>
      </c>
      <c r="R124" s="37" t="s">
        <v>335</v>
      </c>
      <c r="S124" s="37">
        <v>1</v>
      </c>
      <c r="T124" s="37" t="s">
        <v>2076</v>
      </c>
    </row>
    <row r="125" spans="1:20" ht="28.8" x14ac:dyDescent="0.3">
      <c r="A125" s="38" t="s">
        <v>2081</v>
      </c>
      <c r="B125" s="38" t="s">
        <v>2080</v>
      </c>
      <c r="C125" s="38" t="s">
        <v>2080</v>
      </c>
      <c r="D125" s="38" t="s">
        <v>239</v>
      </c>
      <c r="E125" s="38" t="s">
        <v>252</v>
      </c>
      <c r="F125" s="38" t="s">
        <v>240</v>
      </c>
      <c r="G125" s="38" t="s">
        <v>241</v>
      </c>
      <c r="H125" s="38" t="s">
        <v>244</v>
      </c>
      <c r="I125" s="42">
        <v>6500</v>
      </c>
      <c r="J125" s="38" t="s">
        <v>243</v>
      </c>
      <c r="K125" s="38" t="s">
        <v>242</v>
      </c>
      <c r="L125" s="38" t="s">
        <v>2367</v>
      </c>
      <c r="M125" s="38" t="s">
        <v>245</v>
      </c>
      <c r="N125" s="38" t="s">
        <v>245</v>
      </c>
      <c r="O125" s="44" t="s">
        <v>2244</v>
      </c>
      <c r="P125" s="38" t="s">
        <v>245</v>
      </c>
      <c r="Q125" s="38" t="s">
        <v>2245</v>
      </c>
      <c r="R125" s="38" t="s">
        <v>335</v>
      </c>
      <c r="S125" s="38">
        <v>1</v>
      </c>
      <c r="T125" s="38" t="s">
        <v>2079</v>
      </c>
    </row>
    <row r="126" spans="1:20" ht="28.8" x14ac:dyDescent="0.3">
      <c r="A126" s="37" t="s">
        <v>2085</v>
      </c>
      <c r="B126" s="37" t="s">
        <v>2083</v>
      </c>
      <c r="C126" s="37" t="s">
        <v>2083</v>
      </c>
      <c r="D126" s="37" t="s">
        <v>320</v>
      </c>
      <c r="E126" s="37" t="s">
        <v>2084</v>
      </c>
      <c r="F126" s="37" t="s">
        <v>240</v>
      </c>
      <c r="G126" s="37" t="s">
        <v>1103</v>
      </c>
      <c r="H126" s="37" t="s">
        <v>2247</v>
      </c>
      <c r="I126" s="39">
        <v>150</v>
      </c>
      <c r="J126" s="37" t="s">
        <v>243</v>
      </c>
      <c r="K126" s="37" t="s">
        <v>242</v>
      </c>
      <c r="L126" s="37" t="s">
        <v>2368</v>
      </c>
      <c r="M126" s="37" t="s">
        <v>245</v>
      </c>
      <c r="N126" s="37" t="s">
        <v>245</v>
      </c>
      <c r="O126" s="41" t="s">
        <v>2244</v>
      </c>
      <c r="P126" s="37" t="s">
        <v>245</v>
      </c>
      <c r="Q126" s="37" t="s">
        <v>2245</v>
      </c>
      <c r="R126" s="37" t="s">
        <v>335</v>
      </c>
      <c r="S126" s="37">
        <v>1</v>
      </c>
      <c r="T126" s="37" t="s">
        <v>2082</v>
      </c>
    </row>
    <row r="127" spans="1:20" ht="43.2" x14ac:dyDescent="0.3">
      <c r="A127" s="38" t="s">
        <v>2089</v>
      </c>
      <c r="B127" s="38" t="s">
        <v>2087</v>
      </c>
      <c r="C127" s="38" t="s">
        <v>2087</v>
      </c>
      <c r="D127" s="38" t="s">
        <v>239</v>
      </c>
      <c r="E127" s="38" t="s">
        <v>522</v>
      </c>
      <c r="F127" s="38" t="s">
        <v>240</v>
      </c>
      <c r="G127" s="38" t="s">
        <v>241</v>
      </c>
      <c r="H127" s="38" t="s">
        <v>244</v>
      </c>
      <c r="I127" s="42">
        <v>860</v>
      </c>
      <c r="J127" s="38" t="s">
        <v>243</v>
      </c>
      <c r="K127" s="38" t="s">
        <v>242</v>
      </c>
      <c r="L127" s="38" t="s">
        <v>2369</v>
      </c>
      <c r="M127" s="38" t="s">
        <v>245</v>
      </c>
      <c r="N127" s="38" t="s">
        <v>245</v>
      </c>
      <c r="O127" s="44" t="s">
        <v>2244</v>
      </c>
      <c r="P127" s="38" t="s">
        <v>245</v>
      </c>
      <c r="Q127" s="38" t="s">
        <v>2245</v>
      </c>
      <c r="R127" s="38" t="s">
        <v>335</v>
      </c>
      <c r="S127" s="38">
        <v>1</v>
      </c>
      <c r="T127" s="38" t="s">
        <v>2086</v>
      </c>
    </row>
    <row r="128" spans="1:20" ht="43.2" x14ac:dyDescent="0.3">
      <c r="A128" s="37" t="s">
        <v>2093</v>
      </c>
      <c r="B128" s="37" t="s">
        <v>2091</v>
      </c>
      <c r="C128" s="37" t="s">
        <v>2091</v>
      </c>
      <c r="D128" s="37" t="s">
        <v>239</v>
      </c>
      <c r="E128" s="37" t="s">
        <v>522</v>
      </c>
      <c r="F128" s="37" t="s">
        <v>240</v>
      </c>
      <c r="G128" s="37" t="s">
        <v>241</v>
      </c>
      <c r="H128" s="37" t="s">
        <v>244</v>
      </c>
      <c r="I128" s="39">
        <v>640</v>
      </c>
      <c r="J128" s="37" t="s">
        <v>243</v>
      </c>
      <c r="K128" s="37" t="s">
        <v>242</v>
      </c>
      <c r="L128" s="37" t="s">
        <v>2370</v>
      </c>
      <c r="M128" s="37" t="s">
        <v>245</v>
      </c>
      <c r="N128" s="37" t="s">
        <v>245</v>
      </c>
      <c r="O128" s="41" t="s">
        <v>2244</v>
      </c>
      <c r="P128" s="37" t="s">
        <v>245</v>
      </c>
      <c r="Q128" s="37" t="s">
        <v>2245</v>
      </c>
      <c r="R128" s="37" t="s">
        <v>335</v>
      </c>
      <c r="S128" s="37">
        <v>1</v>
      </c>
      <c r="T128" s="37" t="s">
        <v>2090</v>
      </c>
    </row>
    <row r="129" spans="1:20" ht="28.8" x14ac:dyDescent="0.3">
      <c r="A129" s="38" t="s">
        <v>2097</v>
      </c>
      <c r="B129" s="38" t="s">
        <v>2095</v>
      </c>
      <c r="C129" s="38" t="s">
        <v>2095</v>
      </c>
      <c r="D129" s="38" t="s">
        <v>320</v>
      </c>
      <c r="E129" s="38" t="s">
        <v>1629</v>
      </c>
      <c r="F129" s="38" t="s">
        <v>240</v>
      </c>
      <c r="G129" s="38" t="s">
        <v>1103</v>
      </c>
      <c r="H129" s="38" t="s">
        <v>2247</v>
      </c>
      <c r="I129" s="42">
        <v>920</v>
      </c>
      <c r="J129" s="38" t="s">
        <v>243</v>
      </c>
      <c r="K129" s="38" t="s">
        <v>242</v>
      </c>
      <c r="L129" s="38" t="s">
        <v>2371</v>
      </c>
      <c r="M129" s="38" t="s">
        <v>245</v>
      </c>
      <c r="N129" s="38" t="s">
        <v>245</v>
      </c>
      <c r="O129" s="44" t="s">
        <v>2244</v>
      </c>
      <c r="P129" s="38" t="s">
        <v>245</v>
      </c>
      <c r="Q129" s="38" t="s">
        <v>2245</v>
      </c>
      <c r="R129" s="38" t="s">
        <v>335</v>
      </c>
      <c r="S129" s="38">
        <v>1</v>
      </c>
      <c r="T129" s="38" t="s">
        <v>2094</v>
      </c>
    </row>
    <row r="130" spans="1:20" ht="28.8" x14ac:dyDescent="0.3">
      <c r="A130" s="37" t="s">
        <v>2101</v>
      </c>
      <c r="B130" s="37" t="s">
        <v>2099</v>
      </c>
      <c r="C130" s="37" t="s">
        <v>2099</v>
      </c>
      <c r="D130" s="37" t="s">
        <v>409</v>
      </c>
      <c r="E130" s="37" t="s">
        <v>2100</v>
      </c>
      <c r="F130" s="37" t="s">
        <v>240</v>
      </c>
      <c r="G130" s="37" t="s">
        <v>1103</v>
      </c>
      <c r="H130" s="37" t="s">
        <v>2247</v>
      </c>
      <c r="I130" s="39">
        <v>500</v>
      </c>
      <c r="J130" s="37" t="s">
        <v>243</v>
      </c>
      <c r="K130" s="37" t="s">
        <v>242</v>
      </c>
      <c r="L130" s="37" t="s">
        <v>2372</v>
      </c>
      <c r="M130" s="37" t="s">
        <v>245</v>
      </c>
      <c r="N130" s="37" t="s">
        <v>245</v>
      </c>
      <c r="O130" s="41" t="s">
        <v>2244</v>
      </c>
      <c r="P130" s="37" t="s">
        <v>245</v>
      </c>
      <c r="Q130" s="37" t="s">
        <v>2245</v>
      </c>
      <c r="R130" s="37" t="s">
        <v>335</v>
      </c>
      <c r="S130" s="37">
        <v>1</v>
      </c>
      <c r="T130" s="37" t="s">
        <v>2098</v>
      </c>
    </row>
    <row r="131" spans="1:20" ht="28.8" x14ac:dyDescent="0.3">
      <c r="A131" s="38" t="s">
        <v>2104</v>
      </c>
      <c r="B131" s="38" t="s">
        <v>2103</v>
      </c>
      <c r="C131" s="38" t="s">
        <v>2103</v>
      </c>
      <c r="D131" s="38" t="s">
        <v>239</v>
      </c>
      <c r="E131" s="38" t="s">
        <v>1062</v>
      </c>
      <c r="F131" s="38" t="s">
        <v>240</v>
      </c>
      <c r="G131" s="38" t="s">
        <v>1103</v>
      </c>
      <c r="H131" s="38" t="s">
        <v>2247</v>
      </c>
      <c r="I131" s="42">
        <v>500</v>
      </c>
      <c r="J131" s="38" t="s">
        <v>243</v>
      </c>
      <c r="K131" s="38" t="s">
        <v>242</v>
      </c>
      <c r="L131" s="38" t="s">
        <v>2373</v>
      </c>
      <c r="M131" s="38" t="s">
        <v>245</v>
      </c>
      <c r="N131" s="38" t="s">
        <v>245</v>
      </c>
      <c r="O131" s="44" t="s">
        <v>2244</v>
      </c>
      <c r="P131" s="38" t="s">
        <v>245</v>
      </c>
      <c r="Q131" s="38" t="s">
        <v>2245</v>
      </c>
      <c r="R131" s="38" t="s">
        <v>335</v>
      </c>
      <c r="S131" s="38">
        <v>1</v>
      </c>
      <c r="T131" s="38" t="s">
        <v>2102</v>
      </c>
    </row>
    <row r="132" spans="1:20" ht="28.8" x14ac:dyDescent="0.3">
      <c r="A132" s="37" t="s">
        <v>2108</v>
      </c>
      <c r="B132" s="37" t="s">
        <v>2106</v>
      </c>
      <c r="C132" s="37" t="s">
        <v>2106</v>
      </c>
      <c r="D132" s="37" t="s">
        <v>409</v>
      </c>
      <c r="E132" s="37" t="s">
        <v>2100</v>
      </c>
      <c r="F132" s="37" t="s">
        <v>240</v>
      </c>
      <c r="G132" s="37" t="s">
        <v>1103</v>
      </c>
      <c r="H132" s="37" t="s">
        <v>2247</v>
      </c>
      <c r="I132" s="39">
        <v>750</v>
      </c>
      <c r="J132" s="37" t="s">
        <v>243</v>
      </c>
      <c r="K132" s="37" t="s">
        <v>242</v>
      </c>
      <c r="L132" s="37" t="s">
        <v>2374</v>
      </c>
      <c r="M132" s="37" t="s">
        <v>245</v>
      </c>
      <c r="N132" s="37" t="s">
        <v>245</v>
      </c>
      <c r="O132" s="41" t="s">
        <v>2244</v>
      </c>
      <c r="P132" s="37" t="s">
        <v>245</v>
      </c>
      <c r="Q132" s="37" t="s">
        <v>2245</v>
      </c>
      <c r="R132" s="37" t="s">
        <v>335</v>
      </c>
      <c r="S132" s="37">
        <v>1</v>
      </c>
      <c r="T132" s="37" t="s">
        <v>2105</v>
      </c>
    </row>
    <row r="133" spans="1:20" ht="43.2" x14ac:dyDescent="0.3">
      <c r="A133" s="38" t="s">
        <v>2111</v>
      </c>
      <c r="B133" s="38" t="s">
        <v>2110</v>
      </c>
      <c r="C133" s="38" t="s">
        <v>2110</v>
      </c>
      <c r="D133" s="38" t="s">
        <v>360</v>
      </c>
      <c r="E133" s="38" t="s">
        <v>1629</v>
      </c>
      <c r="F133" s="38" t="s">
        <v>240</v>
      </c>
      <c r="G133" s="38" t="s">
        <v>1103</v>
      </c>
      <c r="H133" s="38" t="s">
        <v>2247</v>
      </c>
      <c r="I133" s="42">
        <v>1800</v>
      </c>
      <c r="J133" s="38" t="s">
        <v>243</v>
      </c>
      <c r="K133" s="38" t="s">
        <v>242</v>
      </c>
      <c r="L133" s="38" t="s">
        <v>2375</v>
      </c>
      <c r="M133" s="38" t="s">
        <v>245</v>
      </c>
      <c r="N133" s="38" t="s">
        <v>245</v>
      </c>
      <c r="O133" s="44" t="s">
        <v>2244</v>
      </c>
      <c r="P133" s="38" t="s">
        <v>245</v>
      </c>
      <c r="Q133" s="38" t="s">
        <v>2245</v>
      </c>
      <c r="R133" s="38" t="s">
        <v>335</v>
      </c>
      <c r="S133" s="38">
        <v>1</v>
      </c>
      <c r="T133" s="38" t="s">
        <v>2109</v>
      </c>
    </row>
    <row r="134" spans="1:20" ht="28.8" x14ac:dyDescent="0.3">
      <c r="A134" s="37" t="s">
        <v>2114</v>
      </c>
      <c r="B134" s="37" t="s">
        <v>2113</v>
      </c>
      <c r="C134" s="37" t="s">
        <v>2113</v>
      </c>
      <c r="D134" s="37" t="s">
        <v>239</v>
      </c>
      <c r="E134" s="37" t="s">
        <v>1390</v>
      </c>
      <c r="F134" s="37" t="s">
        <v>240</v>
      </c>
      <c r="G134" s="37" t="s">
        <v>1103</v>
      </c>
      <c r="H134" s="37" t="s">
        <v>2247</v>
      </c>
      <c r="I134" s="39">
        <v>600</v>
      </c>
      <c r="J134" s="37" t="s">
        <v>243</v>
      </c>
      <c r="K134" s="37" t="s">
        <v>242</v>
      </c>
      <c r="L134" s="37" t="s">
        <v>2376</v>
      </c>
      <c r="M134" s="37" t="s">
        <v>245</v>
      </c>
      <c r="N134" s="37" t="s">
        <v>245</v>
      </c>
      <c r="O134" s="41" t="s">
        <v>2244</v>
      </c>
      <c r="P134" s="37" t="s">
        <v>245</v>
      </c>
      <c r="Q134" s="37" t="s">
        <v>2245</v>
      </c>
      <c r="R134" s="37" t="s">
        <v>335</v>
      </c>
      <c r="S134" s="37">
        <v>1</v>
      </c>
      <c r="T134" s="37" t="s">
        <v>2112</v>
      </c>
    </row>
    <row r="135" spans="1:20" ht="28.8" x14ac:dyDescent="0.3">
      <c r="A135" s="38" t="s">
        <v>2117</v>
      </c>
      <c r="B135" s="38" t="s">
        <v>2116</v>
      </c>
      <c r="C135" s="38" t="s">
        <v>2116</v>
      </c>
      <c r="D135" s="38" t="s">
        <v>239</v>
      </c>
      <c r="E135" s="38" t="s">
        <v>522</v>
      </c>
      <c r="F135" s="38" t="s">
        <v>240</v>
      </c>
      <c r="G135" s="38" t="s">
        <v>241</v>
      </c>
      <c r="H135" s="38" t="s">
        <v>244</v>
      </c>
      <c r="I135" s="42">
        <v>70</v>
      </c>
      <c r="J135" s="38" t="s">
        <v>243</v>
      </c>
      <c r="K135" s="38" t="s">
        <v>242</v>
      </c>
      <c r="L135" s="38" t="s">
        <v>2377</v>
      </c>
      <c r="M135" s="38" t="s">
        <v>245</v>
      </c>
      <c r="N135" s="38" t="s">
        <v>245</v>
      </c>
      <c r="O135" s="44" t="s">
        <v>2244</v>
      </c>
      <c r="P135" s="38" t="s">
        <v>245</v>
      </c>
      <c r="Q135" s="38" t="s">
        <v>2245</v>
      </c>
      <c r="R135" s="38" t="s">
        <v>335</v>
      </c>
      <c r="S135" s="38">
        <v>1</v>
      </c>
      <c r="T135" s="38" t="s">
        <v>2115</v>
      </c>
    </row>
    <row r="136" spans="1:20" ht="28.8" x14ac:dyDescent="0.3">
      <c r="A136" s="37" t="s">
        <v>2121</v>
      </c>
      <c r="B136" s="37" t="s">
        <v>2119</v>
      </c>
      <c r="C136" s="37" t="s">
        <v>2119</v>
      </c>
      <c r="D136" s="37" t="s">
        <v>239</v>
      </c>
      <c r="E136" s="37" t="s">
        <v>522</v>
      </c>
      <c r="F136" s="37" t="s">
        <v>240</v>
      </c>
      <c r="G136" s="37" t="s">
        <v>241</v>
      </c>
      <c r="H136" s="37" t="s">
        <v>244</v>
      </c>
      <c r="I136" s="39">
        <v>230</v>
      </c>
      <c r="J136" s="37" t="s">
        <v>243</v>
      </c>
      <c r="K136" s="37" t="s">
        <v>242</v>
      </c>
      <c r="L136" s="37" t="s">
        <v>2378</v>
      </c>
      <c r="M136" s="37" t="s">
        <v>245</v>
      </c>
      <c r="N136" s="37" t="s">
        <v>245</v>
      </c>
      <c r="O136" s="41" t="s">
        <v>2244</v>
      </c>
      <c r="P136" s="37" t="s">
        <v>245</v>
      </c>
      <c r="Q136" s="37" t="s">
        <v>2245</v>
      </c>
      <c r="R136" s="37" t="s">
        <v>335</v>
      </c>
      <c r="S136" s="37">
        <v>1</v>
      </c>
      <c r="T136" s="37" t="s">
        <v>2118</v>
      </c>
    </row>
    <row r="137" spans="1:20" ht="28.8" x14ac:dyDescent="0.3">
      <c r="A137" s="38" t="s">
        <v>2124</v>
      </c>
      <c r="B137" s="38" t="s">
        <v>2123</v>
      </c>
      <c r="C137" s="38" t="s">
        <v>2123</v>
      </c>
      <c r="D137" s="38" t="s">
        <v>239</v>
      </c>
      <c r="E137" s="38" t="s">
        <v>1113</v>
      </c>
      <c r="F137" s="38" t="s">
        <v>240</v>
      </c>
      <c r="G137" s="38" t="s">
        <v>241</v>
      </c>
      <c r="H137" s="38" t="s">
        <v>244</v>
      </c>
      <c r="I137" s="42">
        <v>220</v>
      </c>
      <c r="J137" s="38" t="s">
        <v>243</v>
      </c>
      <c r="K137" s="38" t="s">
        <v>242</v>
      </c>
      <c r="L137" s="38" t="s">
        <v>2379</v>
      </c>
      <c r="M137" s="38" t="s">
        <v>245</v>
      </c>
      <c r="N137" s="38" t="s">
        <v>245</v>
      </c>
      <c r="O137" s="44" t="s">
        <v>2244</v>
      </c>
      <c r="P137" s="38" t="s">
        <v>245</v>
      </c>
      <c r="Q137" s="38" t="s">
        <v>2245</v>
      </c>
      <c r="R137" s="38" t="s">
        <v>335</v>
      </c>
      <c r="S137" s="38">
        <v>1</v>
      </c>
      <c r="T137" s="38" t="s">
        <v>2122</v>
      </c>
    </row>
    <row r="138" spans="1:20" ht="28.8" x14ac:dyDescent="0.3">
      <c r="A138" s="37" t="s">
        <v>2128</v>
      </c>
      <c r="B138" s="37" t="s">
        <v>2126</v>
      </c>
      <c r="C138" s="37" t="s">
        <v>2126</v>
      </c>
      <c r="D138" s="37" t="s">
        <v>239</v>
      </c>
      <c r="E138" s="37" t="s">
        <v>1062</v>
      </c>
      <c r="F138" s="37" t="s">
        <v>240</v>
      </c>
      <c r="G138" s="37" t="s">
        <v>241</v>
      </c>
      <c r="H138" s="37" t="s">
        <v>244</v>
      </c>
      <c r="I138" s="39">
        <v>200</v>
      </c>
      <c r="J138" s="37" t="s">
        <v>243</v>
      </c>
      <c r="K138" s="37" t="s">
        <v>242</v>
      </c>
      <c r="L138" s="37" t="s">
        <v>2380</v>
      </c>
      <c r="M138" s="37" t="s">
        <v>245</v>
      </c>
      <c r="N138" s="37" t="s">
        <v>245</v>
      </c>
      <c r="O138" s="41" t="s">
        <v>2244</v>
      </c>
      <c r="P138" s="37" t="s">
        <v>245</v>
      </c>
      <c r="Q138" s="37" t="s">
        <v>2245</v>
      </c>
      <c r="R138" s="37" t="s">
        <v>335</v>
      </c>
      <c r="S138" s="37">
        <v>1</v>
      </c>
      <c r="T138" s="37" t="s">
        <v>2125</v>
      </c>
    </row>
    <row r="139" spans="1:20" ht="28.8" x14ac:dyDescent="0.3">
      <c r="A139" s="38" t="s">
        <v>2132</v>
      </c>
      <c r="B139" s="38" t="s">
        <v>2130</v>
      </c>
      <c r="C139" s="38" t="s">
        <v>2130</v>
      </c>
      <c r="D139" s="38" t="s">
        <v>239</v>
      </c>
      <c r="E139" s="38" t="s">
        <v>522</v>
      </c>
      <c r="F139" s="38" t="s">
        <v>240</v>
      </c>
      <c r="G139" s="38" t="s">
        <v>241</v>
      </c>
      <c r="H139" s="38" t="s">
        <v>244</v>
      </c>
      <c r="I139" s="42">
        <v>130</v>
      </c>
      <c r="J139" s="38" t="s">
        <v>243</v>
      </c>
      <c r="K139" s="38" t="s">
        <v>242</v>
      </c>
      <c r="L139" s="38" t="s">
        <v>2381</v>
      </c>
      <c r="M139" s="38" t="s">
        <v>245</v>
      </c>
      <c r="N139" s="38" t="s">
        <v>245</v>
      </c>
      <c r="O139" s="44" t="s">
        <v>2244</v>
      </c>
      <c r="P139" s="38" t="s">
        <v>245</v>
      </c>
      <c r="Q139" s="38" t="s">
        <v>2245</v>
      </c>
      <c r="R139" s="38" t="s">
        <v>335</v>
      </c>
      <c r="S139" s="38">
        <v>1</v>
      </c>
      <c r="T139" s="38" t="s">
        <v>2129</v>
      </c>
    </row>
    <row r="140" spans="1:20" ht="57.6" x14ac:dyDescent="0.3">
      <c r="A140" s="37" t="s">
        <v>2136</v>
      </c>
      <c r="B140" s="37" t="s">
        <v>2134</v>
      </c>
      <c r="C140" s="37" t="s">
        <v>2134</v>
      </c>
      <c r="D140" s="37" t="s">
        <v>239</v>
      </c>
      <c r="E140" s="37" t="s">
        <v>522</v>
      </c>
      <c r="F140" s="37" t="s">
        <v>240</v>
      </c>
      <c r="G140" s="37" t="s">
        <v>241</v>
      </c>
      <c r="H140" s="37" t="s">
        <v>244</v>
      </c>
      <c r="I140" s="39">
        <v>289</v>
      </c>
      <c r="J140" s="37" t="s">
        <v>243</v>
      </c>
      <c r="K140" s="37" t="s">
        <v>242</v>
      </c>
      <c r="L140" s="37" t="s">
        <v>2382</v>
      </c>
      <c r="M140" s="37" t="s">
        <v>245</v>
      </c>
      <c r="N140" s="37" t="s">
        <v>245</v>
      </c>
      <c r="O140" s="41" t="s">
        <v>2244</v>
      </c>
      <c r="P140" s="37" t="s">
        <v>245</v>
      </c>
      <c r="Q140" s="37" t="s">
        <v>2245</v>
      </c>
      <c r="R140" s="37" t="s">
        <v>335</v>
      </c>
      <c r="S140" s="37">
        <v>1</v>
      </c>
      <c r="T140" s="37" t="s">
        <v>2133</v>
      </c>
    </row>
    <row r="141" spans="1:20" ht="57.6" x14ac:dyDescent="0.3">
      <c r="A141" s="38" t="s">
        <v>2139</v>
      </c>
      <c r="B141" s="38" t="s">
        <v>2138</v>
      </c>
      <c r="C141" s="38" t="s">
        <v>2138</v>
      </c>
      <c r="D141" s="38" t="s">
        <v>239</v>
      </c>
      <c r="E141" s="38" t="s">
        <v>522</v>
      </c>
      <c r="F141" s="38" t="s">
        <v>240</v>
      </c>
      <c r="G141" s="38" t="s">
        <v>241</v>
      </c>
      <c r="H141" s="38" t="s">
        <v>244</v>
      </c>
      <c r="I141" s="42">
        <v>480</v>
      </c>
      <c r="J141" s="38" t="s">
        <v>243</v>
      </c>
      <c r="K141" s="38" t="s">
        <v>242</v>
      </c>
      <c r="L141" s="38" t="s">
        <v>2383</v>
      </c>
      <c r="M141" s="38" t="s">
        <v>245</v>
      </c>
      <c r="N141" s="38" t="s">
        <v>245</v>
      </c>
      <c r="O141" s="44" t="s">
        <v>2244</v>
      </c>
      <c r="P141" s="38" t="s">
        <v>245</v>
      </c>
      <c r="Q141" s="38" t="s">
        <v>2245</v>
      </c>
      <c r="R141" s="38" t="s">
        <v>335</v>
      </c>
      <c r="S141" s="38">
        <v>1</v>
      </c>
      <c r="T141" s="38" t="s">
        <v>2137</v>
      </c>
    </row>
    <row r="142" spans="1:20" ht="57.6" x14ac:dyDescent="0.3">
      <c r="A142" s="37" t="s">
        <v>2142</v>
      </c>
      <c r="B142" s="37" t="s">
        <v>2141</v>
      </c>
      <c r="C142" s="37" t="s">
        <v>2141</v>
      </c>
      <c r="D142" s="37" t="s">
        <v>239</v>
      </c>
      <c r="E142" s="37" t="s">
        <v>522</v>
      </c>
      <c r="F142" s="37" t="s">
        <v>240</v>
      </c>
      <c r="G142" s="37" t="s">
        <v>241</v>
      </c>
      <c r="H142" s="37" t="s">
        <v>244</v>
      </c>
      <c r="I142" s="39">
        <v>400</v>
      </c>
      <c r="J142" s="37" t="s">
        <v>243</v>
      </c>
      <c r="K142" s="37" t="s">
        <v>242</v>
      </c>
      <c r="L142" s="37" t="s">
        <v>2383</v>
      </c>
      <c r="M142" s="37" t="s">
        <v>245</v>
      </c>
      <c r="N142" s="37" t="s">
        <v>245</v>
      </c>
      <c r="O142" s="41" t="s">
        <v>2244</v>
      </c>
      <c r="P142" s="37" t="s">
        <v>245</v>
      </c>
      <c r="Q142" s="37" t="s">
        <v>2245</v>
      </c>
      <c r="R142" s="37" t="s">
        <v>335</v>
      </c>
      <c r="S142" s="37">
        <v>1</v>
      </c>
      <c r="T142" s="37" t="s">
        <v>2140</v>
      </c>
    </row>
    <row r="143" spans="1:20" ht="72" x14ac:dyDescent="0.3">
      <c r="A143" s="38" t="s">
        <v>2146</v>
      </c>
      <c r="B143" s="38" t="s">
        <v>2144</v>
      </c>
      <c r="C143" s="38" t="s">
        <v>2144</v>
      </c>
      <c r="D143" s="38" t="s">
        <v>239</v>
      </c>
      <c r="E143" s="38" t="s">
        <v>252</v>
      </c>
      <c r="F143" s="38" t="s">
        <v>240</v>
      </c>
      <c r="G143" s="38" t="s">
        <v>241</v>
      </c>
      <c r="H143" s="38" t="s">
        <v>244</v>
      </c>
      <c r="I143" s="42">
        <v>510</v>
      </c>
      <c r="J143" s="38" t="s">
        <v>243</v>
      </c>
      <c r="K143" s="38" t="s">
        <v>242</v>
      </c>
      <c r="L143" s="38" t="s">
        <v>2384</v>
      </c>
      <c r="M143" s="38" t="s">
        <v>245</v>
      </c>
      <c r="N143" s="38" t="s">
        <v>245</v>
      </c>
      <c r="O143" s="44" t="s">
        <v>2244</v>
      </c>
      <c r="P143" s="38" t="s">
        <v>245</v>
      </c>
      <c r="Q143" s="38" t="s">
        <v>2245</v>
      </c>
      <c r="R143" s="38" t="s">
        <v>335</v>
      </c>
      <c r="S143" s="38">
        <v>1</v>
      </c>
      <c r="T143" s="38" t="s">
        <v>2143</v>
      </c>
    </row>
    <row r="144" spans="1:20" ht="28.8" x14ac:dyDescent="0.3">
      <c r="A144" s="37" t="s">
        <v>2149</v>
      </c>
      <c r="B144" s="37" t="s">
        <v>2148</v>
      </c>
      <c r="C144" s="37" t="s">
        <v>2148</v>
      </c>
      <c r="D144" s="37" t="s">
        <v>239</v>
      </c>
      <c r="E144" s="37" t="s">
        <v>1049</v>
      </c>
      <c r="F144" s="37" t="s">
        <v>240</v>
      </c>
      <c r="G144" s="37" t="s">
        <v>1103</v>
      </c>
      <c r="H144" s="37" t="s">
        <v>2247</v>
      </c>
      <c r="I144" s="39">
        <v>700</v>
      </c>
      <c r="J144" s="37" t="s">
        <v>243</v>
      </c>
      <c r="K144" s="37" t="s">
        <v>242</v>
      </c>
      <c r="L144" s="37" t="s">
        <v>2385</v>
      </c>
      <c r="M144" s="37" t="s">
        <v>245</v>
      </c>
      <c r="N144" s="37" t="s">
        <v>245</v>
      </c>
      <c r="O144" s="41" t="s">
        <v>2244</v>
      </c>
      <c r="P144" s="37" t="s">
        <v>245</v>
      </c>
      <c r="Q144" s="37" t="s">
        <v>2245</v>
      </c>
      <c r="R144" s="37" t="s">
        <v>335</v>
      </c>
      <c r="S144" s="37">
        <v>1</v>
      </c>
      <c r="T144" s="37" t="s">
        <v>2147</v>
      </c>
    </row>
    <row r="145" spans="1:20" ht="28.8" x14ac:dyDescent="0.3">
      <c r="A145" s="38" t="s">
        <v>2152</v>
      </c>
      <c r="B145" s="38" t="s">
        <v>2151</v>
      </c>
      <c r="C145" s="38" t="s">
        <v>2151</v>
      </c>
      <c r="D145" s="38" t="s">
        <v>239</v>
      </c>
      <c r="E145" s="38" t="s">
        <v>522</v>
      </c>
      <c r="F145" s="38" t="s">
        <v>240</v>
      </c>
      <c r="G145" s="38" t="s">
        <v>241</v>
      </c>
      <c r="H145" s="38" t="s">
        <v>244</v>
      </c>
      <c r="I145" s="42">
        <v>120</v>
      </c>
      <c r="J145" s="38" t="s">
        <v>243</v>
      </c>
      <c r="K145" s="38" t="s">
        <v>242</v>
      </c>
      <c r="L145" s="38" t="s">
        <v>2386</v>
      </c>
      <c r="M145" s="38" t="s">
        <v>245</v>
      </c>
      <c r="N145" s="38" t="s">
        <v>245</v>
      </c>
      <c r="O145" s="44" t="s">
        <v>2244</v>
      </c>
      <c r="P145" s="38" t="s">
        <v>245</v>
      </c>
      <c r="Q145" s="38" t="s">
        <v>2245</v>
      </c>
      <c r="R145" s="38" t="s">
        <v>335</v>
      </c>
      <c r="S145" s="38">
        <v>1</v>
      </c>
      <c r="T145" s="38" t="s">
        <v>2150</v>
      </c>
    </row>
    <row r="146" spans="1:20" ht="28.8" x14ac:dyDescent="0.3">
      <c r="A146" s="37" t="s">
        <v>2156</v>
      </c>
      <c r="B146" s="37" t="s">
        <v>2154</v>
      </c>
      <c r="C146" s="37" t="s">
        <v>2154</v>
      </c>
      <c r="D146" s="37" t="s">
        <v>239</v>
      </c>
      <c r="E146" s="37" t="s">
        <v>522</v>
      </c>
      <c r="F146" s="37" t="s">
        <v>240</v>
      </c>
      <c r="G146" s="37" t="s">
        <v>241</v>
      </c>
      <c r="H146" s="37" t="s">
        <v>244</v>
      </c>
      <c r="I146" s="39">
        <v>165</v>
      </c>
      <c r="J146" s="37" t="s">
        <v>243</v>
      </c>
      <c r="K146" s="37" t="s">
        <v>242</v>
      </c>
      <c r="L146" s="37" t="s">
        <v>2387</v>
      </c>
      <c r="M146" s="37" t="s">
        <v>245</v>
      </c>
      <c r="N146" s="37" t="s">
        <v>245</v>
      </c>
      <c r="O146" s="41" t="s">
        <v>2244</v>
      </c>
      <c r="P146" s="37" t="s">
        <v>245</v>
      </c>
      <c r="Q146" s="37" t="s">
        <v>2245</v>
      </c>
      <c r="R146" s="37" t="s">
        <v>335</v>
      </c>
      <c r="S146" s="37">
        <v>1</v>
      </c>
      <c r="T146" s="37" t="s">
        <v>2153</v>
      </c>
    </row>
    <row r="147" spans="1:20" ht="28.8" x14ac:dyDescent="0.3">
      <c r="A147" s="38" t="s">
        <v>2160</v>
      </c>
      <c r="B147" s="38" t="s">
        <v>2158</v>
      </c>
      <c r="C147" s="38" t="s">
        <v>2158</v>
      </c>
      <c r="D147" s="38" t="s">
        <v>239</v>
      </c>
      <c r="E147" s="38" t="s">
        <v>522</v>
      </c>
      <c r="F147" s="38" t="s">
        <v>240</v>
      </c>
      <c r="G147" s="38" t="s">
        <v>241</v>
      </c>
      <c r="H147" s="38" t="s">
        <v>244</v>
      </c>
      <c r="I147" s="42">
        <v>198</v>
      </c>
      <c r="J147" s="38" t="s">
        <v>243</v>
      </c>
      <c r="K147" s="38" t="s">
        <v>242</v>
      </c>
      <c r="L147" s="38" t="s">
        <v>2388</v>
      </c>
      <c r="M147" s="38" t="s">
        <v>245</v>
      </c>
      <c r="N147" s="38" t="s">
        <v>245</v>
      </c>
      <c r="O147" s="44" t="s">
        <v>2244</v>
      </c>
      <c r="P147" s="38" t="s">
        <v>245</v>
      </c>
      <c r="Q147" s="38" t="s">
        <v>2245</v>
      </c>
      <c r="R147" s="38" t="s">
        <v>335</v>
      </c>
      <c r="S147" s="38">
        <v>1</v>
      </c>
      <c r="T147" s="38" t="s">
        <v>2157</v>
      </c>
    </row>
    <row r="148" spans="1:20" ht="28.8" x14ac:dyDescent="0.3">
      <c r="A148" s="37" t="s">
        <v>2164</v>
      </c>
      <c r="B148" s="37" t="s">
        <v>2162</v>
      </c>
      <c r="C148" s="37" t="s">
        <v>2162</v>
      </c>
      <c r="D148" s="37" t="s">
        <v>239</v>
      </c>
      <c r="E148" s="37" t="s">
        <v>522</v>
      </c>
      <c r="F148" s="37" t="s">
        <v>240</v>
      </c>
      <c r="G148" s="37" t="s">
        <v>241</v>
      </c>
      <c r="H148" s="37" t="s">
        <v>244</v>
      </c>
      <c r="I148" s="39">
        <v>253</v>
      </c>
      <c r="J148" s="37" t="s">
        <v>243</v>
      </c>
      <c r="K148" s="37" t="s">
        <v>242</v>
      </c>
      <c r="L148" s="37" t="s">
        <v>2389</v>
      </c>
      <c r="M148" s="37" t="s">
        <v>245</v>
      </c>
      <c r="N148" s="37" t="s">
        <v>245</v>
      </c>
      <c r="O148" s="41" t="s">
        <v>2244</v>
      </c>
      <c r="P148" s="37" t="s">
        <v>245</v>
      </c>
      <c r="Q148" s="37" t="s">
        <v>2245</v>
      </c>
      <c r="R148" s="37" t="s">
        <v>335</v>
      </c>
      <c r="S148" s="37">
        <v>1</v>
      </c>
      <c r="T148" s="37" t="s">
        <v>2161</v>
      </c>
    </row>
    <row r="149" spans="1:20" ht="28.8" x14ac:dyDescent="0.3">
      <c r="A149" s="38" t="s">
        <v>2168</v>
      </c>
      <c r="B149" s="38" t="s">
        <v>2166</v>
      </c>
      <c r="C149" s="38" t="s">
        <v>2166</v>
      </c>
      <c r="D149" s="38" t="s">
        <v>239</v>
      </c>
      <c r="E149" s="38" t="s">
        <v>522</v>
      </c>
      <c r="F149" s="38" t="s">
        <v>240</v>
      </c>
      <c r="G149" s="38" t="s">
        <v>241</v>
      </c>
      <c r="H149" s="38" t="s">
        <v>244</v>
      </c>
      <c r="I149" s="42">
        <v>275</v>
      </c>
      <c r="J149" s="38" t="s">
        <v>243</v>
      </c>
      <c r="K149" s="38" t="s">
        <v>242</v>
      </c>
      <c r="L149" s="38" t="s">
        <v>2390</v>
      </c>
      <c r="M149" s="38" t="s">
        <v>245</v>
      </c>
      <c r="N149" s="38" t="s">
        <v>245</v>
      </c>
      <c r="O149" s="44" t="s">
        <v>2244</v>
      </c>
      <c r="P149" s="38" t="s">
        <v>245</v>
      </c>
      <c r="Q149" s="38" t="s">
        <v>2245</v>
      </c>
      <c r="R149" s="38" t="s">
        <v>335</v>
      </c>
      <c r="S149" s="38">
        <v>1</v>
      </c>
      <c r="T149" s="38" t="s">
        <v>2165</v>
      </c>
    </row>
    <row r="150" spans="1:20" ht="28.8" x14ac:dyDescent="0.3">
      <c r="A150" s="37" t="s">
        <v>2171</v>
      </c>
      <c r="B150" s="37" t="s">
        <v>2170</v>
      </c>
      <c r="C150" s="37" t="s">
        <v>2170</v>
      </c>
      <c r="D150" s="37" t="s">
        <v>239</v>
      </c>
      <c r="E150" s="37" t="s">
        <v>522</v>
      </c>
      <c r="F150" s="37" t="s">
        <v>240</v>
      </c>
      <c r="G150" s="37" t="s">
        <v>241</v>
      </c>
      <c r="H150" s="37" t="s">
        <v>244</v>
      </c>
      <c r="I150" s="39">
        <v>330</v>
      </c>
      <c r="J150" s="37" t="s">
        <v>243</v>
      </c>
      <c r="K150" s="37" t="s">
        <v>242</v>
      </c>
      <c r="L150" s="37" t="s">
        <v>2391</v>
      </c>
      <c r="M150" s="37" t="s">
        <v>245</v>
      </c>
      <c r="N150" s="37" t="s">
        <v>245</v>
      </c>
      <c r="O150" s="41" t="s">
        <v>2244</v>
      </c>
      <c r="P150" s="37" t="s">
        <v>245</v>
      </c>
      <c r="Q150" s="37" t="s">
        <v>2245</v>
      </c>
      <c r="R150" s="37" t="s">
        <v>335</v>
      </c>
      <c r="S150" s="37">
        <v>1</v>
      </c>
      <c r="T150" s="37" t="s">
        <v>2169</v>
      </c>
    </row>
    <row r="151" spans="1:20" ht="28.8" x14ac:dyDescent="0.3">
      <c r="A151" s="38" t="s">
        <v>2175</v>
      </c>
      <c r="B151" s="38" t="s">
        <v>2173</v>
      </c>
      <c r="C151" s="38" t="s">
        <v>2173</v>
      </c>
      <c r="D151" s="38" t="s">
        <v>239</v>
      </c>
      <c r="E151" s="38" t="s">
        <v>522</v>
      </c>
      <c r="F151" s="38" t="s">
        <v>240</v>
      </c>
      <c r="G151" s="38" t="s">
        <v>241</v>
      </c>
      <c r="H151" s="38" t="s">
        <v>244</v>
      </c>
      <c r="I151" s="42">
        <v>660</v>
      </c>
      <c r="J151" s="38" t="s">
        <v>243</v>
      </c>
      <c r="K151" s="38" t="s">
        <v>242</v>
      </c>
      <c r="L151" s="38" t="s">
        <v>2392</v>
      </c>
      <c r="M151" s="38" t="s">
        <v>245</v>
      </c>
      <c r="N151" s="38" t="s">
        <v>245</v>
      </c>
      <c r="O151" s="44" t="s">
        <v>2244</v>
      </c>
      <c r="P151" s="38" t="s">
        <v>245</v>
      </c>
      <c r="Q151" s="38" t="s">
        <v>2245</v>
      </c>
      <c r="R151" s="38" t="s">
        <v>335</v>
      </c>
      <c r="S151" s="38">
        <v>1</v>
      </c>
      <c r="T151" s="38" t="s">
        <v>2172</v>
      </c>
    </row>
    <row r="152" spans="1:20" ht="28.8" x14ac:dyDescent="0.3">
      <c r="A152" s="37" t="s">
        <v>2178</v>
      </c>
      <c r="B152" s="37" t="s">
        <v>2177</v>
      </c>
      <c r="C152" s="37" t="s">
        <v>2177</v>
      </c>
      <c r="D152" s="37" t="s">
        <v>281</v>
      </c>
      <c r="E152" s="37" t="s">
        <v>447</v>
      </c>
      <c r="F152" s="37" t="s">
        <v>240</v>
      </c>
      <c r="G152" s="37" t="s">
        <v>241</v>
      </c>
      <c r="H152" s="37" t="s">
        <v>244</v>
      </c>
      <c r="I152" s="39">
        <v>60</v>
      </c>
      <c r="J152" s="37" t="s">
        <v>243</v>
      </c>
      <c r="K152" s="37" t="s">
        <v>242</v>
      </c>
      <c r="L152" s="37" t="s">
        <v>2393</v>
      </c>
      <c r="M152" s="37" t="s">
        <v>245</v>
      </c>
      <c r="N152" s="37" t="s">
        <v>245</v>
      </c>
      <c r="O152" s="41" t="s">
        <v>2244</v>
      </c>
      <c r="P152" s="37" t="s">
        <v>245</v>
      </c>
      <c r="Q152" s="37" t="s">
        <v>2245</v>
      </c>
      <c r="R152" s="37" t="s">
        <v>335</v>
      </c>
      <c r="S152" s="37">
        <v>1</v>
      </c>
      <c r="T152" s="37" t="s">
        <v>2176</v>
      </c>
    </row>
    <row r="153" spans="1:20" ht="28.8" x14ac:dyDescent="0.3">
      <c r="A153" s="38" t="s">
        <v>2181</v>
      </c>
      <c r="B153" s="38" t="s">
        <v>2180</v>
      </c>
      <c r="C153" s="38" t="s">
        <v>2180</v>
      </c>
      <c r="D153" s="38" t="s">
        <v>281</v>
      </c>
      <c r="E153" s="38" t="s">
        <v>1290</v>
      </c>
      <c r="F153" s="38" t="s">
        <v>240</v>
      </c>
      <c r="G153" s="38" t="s">
        <v>241</v>
      </c>
      <c r="H153" s="38" t="s">
        <v>244</v>
      </c>
      <c r="I153" s="42">
        <v>260</v>
      </c>
      <c r="J153" s="38" t="s">
        <v>243</v>
      </c>
      <c r="K153" s="38" t="s">
        <v>242</v>
      </c>
      <c r="L153" s="38" t="s">
        <v>2394</v>
      </c>
      <c r="M153" s="38" t="s">
        <v>245</v>
      </c>
      <c r="N153" s="38" t="s">
        <v>245</v>
      </c>
      <c r="O153" s="44" t="s">
        <v>2244</v>
      </c>
      <c r="P153" s="38" t="s">
        <v>245</v>
      </c>
      <c r="Q153" s="38" t="s">
        <v>2245</v>
      </c>
      <c r="R153" s="38" t="s">
        <v>335</v>
      </c>
      <c r="S153" s="38">
        <v>1</v>
      </c>
      <c r="T153" s="38" t="s">
        <v>2179</v>
      </c>
    </row>
    <row r="154" spans="1:20" ht="43.2" x14ac:dyDescent="0.3">
      <c r="A154" s="37" t="s">
        <v>2185</v>
      </c>
      <c r="B154" s="37" t="s">
        <v>2183</v>
      </c>
      <c r="C154" s="37" t="s">
        <v>2183</v>
      </c>
      <c r="D154" s="37" t="s">
        <v>239</v>
      </c>
      <c r="E154" s="37" t="s">
        <v>252</v>
      </c>
      <c r="F154" s="37" t="s">
        <v>240</v>
      </c>
      <c r="G154" s="37" t="s">
        <v>241</v>
      </c>
      <c r="H154" s="37" t="s">
        <v>244</v>
      </c>
      <c r="I154" s="39">
        <v>2550</v>
      </c>
      <c r="J154" s="37" t="s">
        <v>243</v>
      </c>
      <c r="K154" s="37" t="s">
        <v>242</v>
      </c>
      <c r="L154" s="37" t="s">
        <v>2395</v>
      </c>
      <c r="M154" s="37" t="s">
        <v>245</v>
      </c>
      <c r="N154" s="37" t="s">
        <v>245</v>
      </c>
      <c r="O154" s="41" t="s">
        <v>2244</v>
      </c>
      <c r="P154" s="37" t="s">
        <v>245</v>
      </c>
      <c r="Q154" s="37" t="s">
        <v>2245</v>
      </c>
      <c r="R154" s="37" t="s">
        <v>335</v>
      </c>
      <c r="S154" s="37">
        <v>1</v>
      </c>
      <c r="T154" s="37" t="s">
        <v>2182</v>
      </c>
    </row>
    <row r="155" spans="1:20" ht="28.8" x14ac:dyDescent="0.3">
      <c r="A155" s="38" t="s">
        <v>2188</v>
      </c>
      <c r="B155" s="38" t="s">
        <v>2187</v>
      </c>
      <c r="C155" s="38" t="s">
        <v>2187</v>
      </c>
      <c r="D155" s="38" t="s">
        <v>386</v>
      </c>
      <c r="E155" s="38" t="s">
        <v>1469</v>
      </c>
      <c r="F155" s="38" t="s">
        <v>240</v>
      </c>
      <c r="G155" s="38" t="s">
        <v>1103</v>
      </c>
      <c r="H155" s="38" t="s">
        <v>2247</v>
      </c>
      <c r="I155" s="42">
        <v>900</v>
      </c>
      <c r="J155" s="38" t="s">
        <v>243</v>
      </c>
      <c r="K155" s="38" t="s">
        <v>242</v>
      </c>
      <c r="L155" s="38" t="s">
        <v>2396</v>
      </c>
      <c r="M155" s="38" t="s">
        <v>245</v>
      </c>
      <c r="N155" s="38" t="s">
        <v>245</v>
      </c>
      <c r="O155" s="44" t="s">
        <v>2244</v>
      </c>
      <c r="P155" s="38" t="s">
        <v>245</v>
      </c>
      <c r="Q155" s="38" t="s">
        <v>2245</v>
      </c>
      <c r="R155" s="38" t="s">
        <v>335</v>
      </c>
      <c r="S155" s="38">
        <v>1</v>
      </c>
      <c r="T155" s="38" t="s">
        <v>2186</v>
      </c>
    </row>
    <row r="156" spans="1:20" ht="28.8" x14ac:dyDescent="0.3">
      <c r="A156" s="37" t="s">
        <v>2191</v>
      </c>
      <c r="B156" s="37" t="s">
        <v>2190</v>
      </c>
      <c r="C156" s="37" t="s">
        <v>2190</v>
      </c>
      <c r="D156" s="37" t="s">
        <v>386</v>
      </c>
      <c r="E156" s="37" t="s">
        <v>1130</v>
      </c>
      <c r="F156" s="37" t="s">
        <v>240</v>
      </c>
      <c r="G156" s="37" t="s">
        <v>306</v>
      </c>
      <c r="H156" s="37" t="s">
        <v>324</v>
      </c>
      <c r="I156" s="39">
        <v>3700</v>
      </c>
      <c r="J156" s="37" t="s">
        <v>243</v>
      </c>
      <c r="K156" s="37" t="s">
        <v>242</v>
      </c>
      <c r="L156" s="37" t="s">
        <v>2397</v>
      </c>
      <c r="M156" s="37" t="s">
        <v>245</v>
      </c>
      <c r="N156" s="37" t="s">
        <v>245</v>
      </c>
      <c r="O156" s="41" t="s">
        <v>2244</v>
      </c>
      <c r="P156" s="37" t="s">
        <v>245</v>
      </c>
      <c r="Q156" s="37" t="s">
        <v>2245</v>
      </c>
      <c r="R156" s="37" t="s">
        <v>335</v>
      </c>
      <c r="S156" s="37">
        <v>1</v>
      </c>
      <c r="T156" s="37" t="s">
        <v>2189</v>
      </c>
    </row>
    <row r="157" spans="1:20" ht="28.8" x14ac:dyDescent="0.3">
      <c r="A157" s="38" t="s">
        <v>2213</v>
      </c>
      <c r="B157" s="38" t="s">
        <v>2212</v>
      </c>
      <c r="C157" s="38" t="s">
        <v>2212</v>
      </c>
      <c r="D157" s="38" t="s">
        <v>239</v>
      </c>
      <c r="E157" s="38" t="s">
        <v>1244</v>
      </c>
      <c r="F157" s="38" t="s">
        <v>240</v>
      </c>
      <c r="G157" s="38" t="s">
        <v>241</v>
      </c>
      <c r="H157" s="38" t="s">
        <v>244</v>
      </c>
      <c r="I157" s="42">
        <v>950</v>
      </c>
      <c r="J157" s="38" t="s">
        <v>243</v>
      </c>
      <c r="K157" s="38" t="s">
        <v>242</v>
      </c>
      <c r="L157" s="38" t="s">
        <v>2398</v>
      </c>
      <c r="M157" s="38" t="s">
        <v>245</v>
      </c>
      <c r="N157" s="38" t="s">
        <v>245</v>
      </c>
      <c r="O157" s="44" t="s">
        <v>2244</v>
      </c>
      <c r="P157" s="38" t="s">
        <v>245</v>
      </c>
      <c r="Q157" s="38" t="s">
        <v>2245</v>
      </c>
      <c r="R157" s="38" t="s">
        <v>335</v>
      </c>
      <c r="S157" s="38">
        <v>1</v>
      </c>
      <c r="T157" s="38" t="s">
        <v>2211</v>
      </c>
    </row>
    <row r="158" spans="1:20" ht="28.8" x14ac:dyDescent="0.3">
      <c r="A158" s="37" t="s">
        <v>2216</v>
      </c>
      <c r="B158" s="37" t="s">
        <v>2215</v>
      </c>
      <c r="C158" s="37" t="s">
        <v>2215</v>
      </c>
      <c r="D158" s="37" t="s">
        <v>239</v>
      </c>
      <c r="E158" s="37" t="s">
        <v>1113</v>
      </c>
      <c r="F158" s="37" t="s">
        <v>240</v>
      </c>
      <c r="G158" s="37" t="s">
        <v>241</v>
      </c>
      <c r="H158" s="37" t="s">
        <v>244</v>
      </c>
      <c r="I158" s="39">
        <v>50</v>
      </c>
      <c r="J158" s="37" t="s">
        <v>243</v>
      </c>
      <c r="K158" s="37" t="s">
        <v>242</v>
      </c>
      <c r="L158" s="37" t="s">
        <v>2399</v>
      </c>
      <c r="M158" s="37" t="s">
        <v>245</v>
      </c>
      <c r="N158" s="37" t="s">
        <v>245</v>
      </c>
      <c r="O158" s="41" t="s">
        <v>2244</v>
      </c>
      <c r="P158" s="37" t="s">
        <v>245</v>
      </c>
      <c r="Q158" s="37" t="s">
        <v>2245</v>
      </c>
      <c r="R158" s="37" t="s">
        <v>335</v>
      </c>
      <c r="S158" s="37">
        <v>1</v>
      </c>
      <c r="T158" s="37" t="s">
        <v>2214</v>
      </c>
    </row>
  </sheetData>
  <autoFilter ref="A1:T158" xr:uid="{00000000-0009-0000-0000-000021000000}"/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K158"/>
  <sheetViews>
    <sheetView showGridLines="0" tabSelected="1" topLeftCell="D1" workbookViewId="0">
      <pane ySplit="1" topLeftCell="A142" activePane="bottomLeft" state="frozen"/>
      <selection pane="bottomLeft" activeCell="H154" sqref="H154"/>
    </sheetView>
  </sheetViews>
  <sheetFormatPr defaultRowHeight="14.4" x14ac:dyDescent="0.3"/>
  <cols>
    <col min="1" max="1" width="11" customWidth="1"/>
    <col min="2" max="2" width="12" customWidth="1"/>
    <col min="3" max="3" width="18" customWidth="1"/>
    <col min="4" max="4" width="14" customWidth="1"/>
    <col min="5" max="5" width="13" customWidth="1"/>
    <col min="6" max="6" width="16" customWidth="1"/>
    <col min="7" max="7" width="21" customWidth="1"/>
    <col min="8" max="8" width="20" customWidth="1"/>
    <col min="9" max="9" width="11" customWidth="1"/>
    <col min="10" max="10" width="10" customWidth="1"/>
    <col min="11" max="11" width="40" customWidth="1"/>
  </cols>
  <sheetData>
    <row r="1" spans="1:11" x14ac:dyDescent="0.3">
      <c r="A1" s="36" t="s">
        <v>467</v>
      </c>
      <c r="B1" s="36" t="s">
        <v>424</v>
      </c>
      <c r="C1" s="36" t="s">
        <v>468</v>
      </c>
      <c r="D1" s="36" t="s">
        <v>469</v>
      </c>
      <c r="E1" s="36" t="s">
        <v>470</v>
      </c>
      <c r="F1" s="36" t="s">
        <v>471</v>
      </c>
      <c r="G1" s="36" t="s">
        <v>472</v>
      </c>
      <c r="H1" s="36" t="s">
        <v>473</v>
      </c>
      <c r="I1" s="36" t="s">
        <v>474</v>
      </c>
      <c r="J1" s="36" t="s">
        <v>436</v>
      </c>
      <c r="K1" s="36" t="s">
        <v>116</v>
      </c>
    </row>
    <row r="2" spans="1:11" ht="28.8" x14ac:dyDescent="0.3">
      <c r="A2" s="40" t="s">
        <v>475</v>
      </c>
      <c r="B2" s="37" t="s">
        <v>1038</v>
      </c>
      <c r="C2" s="37" t="s">
        <v>243</v>
      </c>
      <c r="D2" s="37" t="s">
        <v>243</v>
      </c>
      <c r="E2" s="49">
        <v>1</v>
      </c>
      <c r="F2" s="49">
        <v>1</v>
      </c>
      <c r="G2" s="50"/>
      <c r="H2" s="50">
        <v>0.03</v>
      </c>
      <c r="I2" s="37" t="s">
        <v>245</v>
      </c>
      <c r="J2" s="37" t="s">
        <v>245</v>
      </c>
      <c r="K2" s="41" t="s">
        <v>2400</v>
      </c>
    </row>
    <row r="3" spans="1:11" ht="28.8" x14ac:dyDescent="0.3">
      <c r="A3" s="43" t="s">
        <v>477</v>
      </c>
      <c r="B3" s="38" t="s">
        <v>1064</v>
      </c>
      <c r="C3" s="38" t="s">
        <v>243</v>
      </c>
      <c r="D3" s="38" t="s">
        <v>243</v>
      </c>
      <c r="E3" s="51">
        <v>1</v>
      </c>
      <c r="F3" s="51">
        <v>1</v>
      </c>
      <c r="G3" s="52"/>
      <c r="H3" s="52">
        <v>250</v>
      </c>
      <c r="I3" s="38" t="s">
        <v>245</v>
      </c>
      <c r="J3" s="38" t="s">
        <v>245</v>
      </c>
      <c r="K3" s="44" t="s">
        <v>2400</v>
      </c>
    </row>
    <row r="4" spans="1:11" ht="28.8" x14ac:dyDescent="0.3">
      <c r="A4" s="40" t="s">
        <v>478</v>
      </c>
      <c r="B4" s="37" t="s">
        <v>1072</v>
      </c>
      <c r="C4" s="37" t="s">
        <v>243</v>
      </c>
      <c r="D4" s="37" t="s">
        <v>243</v>
      </c>
      <c r="E4" s="49">
        <v>1</v>
      </c>
      <c r="F4" s="49">
        <v>1</v>
      </c>
      <c r="G4" s="50"/>
      <c r="H4" s="50">
        <v>8000</v>
      </c>
      <c r="I4" s="37" t="s">
        <v>245</v>
      </c>
      <c r="J4" s="37" t="s">
        <v>245</v>
      </c>
      <c r="K4" s="41" t="s">
        <v>2400</v>
      </c>
    </row>
    <row r="5" spans="1:11" ht="28.8" x14ac:dyDescent="0.3">
      <c r="A5" s="43" t="s">
        <v>479</v>
      </c>
      <c r="B5" s="38" t="s">
        <v>1081</v>
      </c>
      <c r="C5" s="38" t="s">
        <v>323</v>
      </c>
      <c r="D5" s="38" t="s">
        <v>243</v>
      </c>
      <c r="E5" s="51">
        <v>1</v>
      </c>
      <c r="F5" s="51">
        <v>1</v>
      </c>
      <c r="G5" s="52"/>
      <c r="H5" s="52">
        <v>2300</v>
      </c>
      <c r="I5" s="38" t="s">
        <v>245</v>
      </c>
      <c r="J5" s="38" t="s">
        <v>245</v>
      </c>
      <c r="K5" s="44" t="s">
        <v>2400</v>
      </c>
    </row>
    <row r="6" spans="1:11" ht="28.8" x14ac:dyDescent="0.3">
      <c r="A6" s="40" t="s">
        <v>481</v>
      </c>
      <c r="B6" s="37" t="s">
        <v>1087</v>
      </c>
      <c r="C6" s="37" t="s">
        <v>323</v>
      </c>
      <c r="D6" s="37" t="s">
        <v>243</v>
      </c>
      <c r="E6" s="49">
        <v>1</v>
      </c>
      <c r="F6" s="49">
        <v>1</v>
      </c>
      <c r="G6" s="50"/>
      <c r="H6" s="50">
        <v>800</v>
      </c>
      <c r="I6" s="37" t="s">
        <v>245</v>
      </c>
      <c r="J6" s="37" t="s">
        <v>245</v>
      </c>
      <c r="K6" s="41" t="s">
        <v>2400</v>
      </c>
    </row>
    <row r="7" spans="1:11" ht="28.8" x14ac:dyDescent="0.3">
      <c r="A7" s="43" t="s">
        <v>482</v>
      </c>
      <c r="B7" s="38" t="s">
        <v>1091</v>
      </c>
      <c r="C7" s="38" t="s">
        <v>323</v>
      </c>
      <c r="D7" s="38" t="s">
        <v>243</v>
      </c>
      <c r="E7" s="51">
        <v>1</v>
      </c>
      <c r="F7" s="51">
        <v>1</v>
      </c>
      <c r="G7" s="52"/>
      <c r="H7" s="52">
        <v>5500</v>
      </c>
      <c r="I7" s="38" t="s">
        <v>245</v>
      </c>
      <c r="J7" s="38" t="s">
        <v>245</v>
      </c>
      <c r="K7" s="44" t="s">
        <v>2400</v>
      </c>
    </row>
    <row r="8" spans="1:11" ht="28.8" x14ac:dyDescent="0.3">
      <c r="A8" s="40" t="s">
        <v>2401</v>
      </c>
      <c r="B8" s="37" t="s">
        <v>1096</v>
      </c>
      <c r="C8" s="37" t="s">
        <v>243</v>
      </c>
      <c r="D8" s="37" t="s">
        <v>243</v>
      </c>
      <c r="E8" s="49">
        <v>1</v>
      </c>
      <c r="F8" s="49">
        <v>1</v>
      </c>
      <c r="G8" s="50"/>
      <c r="H8" s="50">
        <v>11700</v>
      </c>
      <c r="I8" s="37" t="s">
        <v>245</v>
      </c>
      <c r="J8" s="37" t="s">
        <v>245</v>
      </c>
      <c r="K8" s="41" t="s">
        <v>2400</v>
      </c>
    </row>
    <row r="9" spans="1:11" ht="28.8" x14ac:dyDescent="0.3">
      <c r="A9" s="43" t="s">
        <v>2402</v>
      </c>
      <c r="B9" s="38" t="s">
        <v>1100</v>
      </c>
      <c r="C9" s="38" t="s">
        <v>323</v>
      </c>
      <c r="D9" s="38" t="s">
        <v>243</v>
      </c>
      <c r="E9" s="51">
        <v>1</v>
      </c>
      <c r="F9" s="51">
        <v>1</v>
      </c>
      <c r="G9" s="52"/>
      <c r="H9" s="52">
        <v>770</v>
      </c>
      <c r="I9" s="38" t="s">
        <v>245</v>
      </c>
      <c r="J9" s="38" t="s">
        <v>245</v>
      </c>
      <c r="K9" s="44" t="s">
        <v>2400</v>
      </c>
    </row>
    <row r="10" spans="1:11" ht="28.8" x14ac:dyDescent="0.3">
      <c r="A10" s="40" t="s">
        <v>2403</v>
      </c>
      <c r="B10" s="37" t="s">
        <v>1114</v>
      </c>
      <c r="C10" s="37" t="s">
        <v>243</v>
      </c>
      <c r="D10" s="37" t="s">
        <v>243</v>
      </c>
      <c r="E10" s="49">
        <v>1</v>
      </c>
      <c r="F10" s="49">
        <v>1</v>
      </c>
      <c r="G10" s="50"/>
      <c r="H10" s="50">
        <v>350</v>
      </c>
      <c r="I10" s="37" t="s">
        <v>245</v>
      </c>
      <c r="J10" s="37" t="s">
        <v>245</v>
      </c>
      <c r="K10" s="41" t="s">
        <v>2400</v>
      </c>
    </row>
    <row r="11" spans="1:11" ht="28.8" x14ac:dyDescent="0.3">
      <c r="A11" s="43" t="s">
        <v>2404</v>
      </c>
      <c r="B11" s="38" t="s">
        <v>1126</v>
      </c>
      <c r="C11" s="38" t="s">
        <v>323</v>
      </c>
      <c r="D11" s="38" t="s">
        <v>243</v>
      </c>
      <c r="E11" s="51">
        <v>1</v>
      </c>
      <c r="F11" s="51">
        <v>1</v>
      </c>
      <c r="G11" s="52"/>
      <c r="H11" s="52">
        <v>24000</v>
      </c>
      <c r="I11" s="38" t="s">
        <v>245</v>
      </c>
      <c r="J11" s="38" t="s">
        <v>245</v>
      </c>
      <c r="K11" s="44" t="s">
        <v>2400</v>
      </c>
    </row>
    <row r="12" spans="1:11" ht="28.8" x14ac:dyDescent="0.3">
      <c r="A12" s="40" t="s">
        <v>2405</v>
      </c>
      <c r="B12" s="37" t="s">
        <v>1197</v>
      </c>
      <c r="C12" s="37" t="s">
        <v>243</v>
      </c>
      <c r="D12" s="37" t="s">
        <v>243</v>
      </c>
      <c r="E12" s="49">
        <v>1</v>
      </c>
      <c r="F12" s="49">
        <v>1</v>
      </c>
      <c r="G12" s="50"/>
      <c r="H12" s="50">
        <v>360</v>
      </c>
      <c r="I12" s="37" t="s">
        <v>245</v>
      </c>
      <c r="J12" s="37" t="s">
        <v>245</v>
      </c>
      <c r="K12" s="41" t="s">
        <v>2400</v>
      </c>
    </row>
    <row r="13" spans="1:11" ht="28.8" x14ac:dyDescent="0.3">
      <c r="A13" s="43" t="s">
        <v>2406</v>
      </c>
      <c r="B13" s="38" t="s">
        <v>1201</v>
      </c>
      <c r="C13" s="38" t="s">
        <v>243</v>
      </c>
      <c r="D13" s="38" t="s">
        <v>243</v>
      </c>
      <c r="E13" s="51">
        <v>1</v>
      </c>
      <c r="F13" s="51">
        <v>1</v>
      </c>
      <c r="G13" s="52"/>
      <c r="H13" s="52">
        <v>1100</v>
      </c>
      <c r="I13" s="38" t="s">
        <v>245</v>
      </c>
      <c r="J13" s="38" t="s">
        <v>245</v>
      </c>
      <c r="K13" s="44" t="s">
        <v>2400</v>
      </c>
    </row>
    <row r="14" spans="1:11" ht="28.8" x14ac:dyDescent="0.3">
      <c r="A14" s="40" t="s">
        <v>2407</v>
      </c>
      <c r="B14" s="37" t="s">
        <v>1205</v>
      </c>
      <c r="C14" s="37" t="s">
        <v>243</v>
      </c>
      <c r="D14" s="37" t="s">
        <v>243</v>
      </c>
      <c r="E14" s="49">
        <v>1</v>
      </c>
      <c r="F14" s="49">
        <v>1</v>
      </c>
      <c r="G14" s="50"/>
      <c r="H14" s="50">
        <v>6500</v>
      </c>
      <c r="I14" s="37" t="s">
        <v>245</v>
      </c>
      <c r="J14" s="37" t="s">
        <v>245</v>
      </c>
      <c r="K14" s="41" t="s">
        <v>2400</v>
      </c>
    </row>
    <row r="15" spans="1:11" ht="28.8" x14ac:dyDescent="0.3">
      <c r="A15" s="43" t="s">
        <v>2408</v>
      </c>
      <c r="B15" s="38" t="s">
        <v>1210</v>
      </c>
      <c r="C15" s="38" t="s">
        <v>243</v>
      </c>
      <c r="D15" s="38" t="s">
        <v>243</v>
      </c>
      <c r="E15" s="51">
        <v>1</v>
      </c>
      <c r="F15" s="51">
        <v>1</v>
      </c>
      <c r="G15" s="52"/>
      <c r="H15" s="52">
        <v>260</v>
      </c>
      <c r="I15" s="38" t="s">
        <v>245</v>
      </c>
      <c r="J15" s="38" t="s">
        <v>245</v>
      </c>
      <c r="K15" s="44" t="s">
        <v>2400</v>
      </c>
    </row>
    <row r="16" spans="1:11" ht="28.8" x14ac:dyDescent="0.3">
      <c r="A16" s="40" t="s">
        <v>2409</v>
      </c>
      <c r="B16" s="37" t="s">
        <v>1215</v>
      </c>
      <c r="C16" s="37" t="s">
        <v>243</v>
      </c>
      <c r="D16" s="37" t="s">
        <v>243</v>
      </c>
      <c r="E16" s="49">
        <v>1</v>
      </c>
      <c r="F16" s="49">
        <v>1</v>
      </c>
      <c r="G16" s="50"/>
      <c r="H16" s="50">
        <v>1.4999999999999999E-2</v>
      </c>
      <c r="I16" s="37" t="s">
        <v>245</v>
      </c>
      <c r="J16" s="37" t="s">
        <v>245</v>
      </c>
      <c r="K16" s="41" t="s">
        <v>2400</v>
      </c>
    </row>
    <row r="17" spans="1:11" ht="28.8" x14ac:dyDescent="0.3">
      <c r="A17" s="43" t="s">
        <v>2410</v>
      </c>
      <c r="B17" s="38" t="s">
        <v>1220</v>
      </c>
      <c r="C17" s="38" t="s">
        <v>284</v>
      </c>
      <c r="D17" s="38" t="s">
        <v>243</v>
      </c>
      <c r="E17" s="51">
        <v>1</v>
      </c>
      <c r="F17" s="51">
        <v>1</v>
      </c>
      <c r="G17" s="52"/>
      <c r="H17" s="52">
        <v>2000</v>
      </c>
      <c r="I17" s="38" t="s">
        <v>245</v>
      </c>
      <c r="J17" s="38" t="s">
        <v>245</v>
      </c>
      <c r="K17" s="44" t="s">
        <v>2400</v>
      </c>
    </row>
    <row r="18" spans="1:11" ht="28.8" x14ac:dyDescent="0.3">
      <c r="A18" s="40" t="s">
        <v>2411</v>
      </c>
      <c r="B18" s="37" t="s">
        <v>1224</v>
      </c>
      <c r="C18" s="37" t="s">
        <v>243</v>
      </c>
      <c r="D18" s="37" t="s">
        <v>243</v>
      </c>
      <c r="E18" s="49">
        <v>1</v>
      </c>
      <c r="F18" s="49">
        <v>1</v>
      </c>
      <c r="G18" s="50"/>
      <c r="H18" s="50">
        <v>850</v>
      </c>
      <c r="I18" s="37" t="s">
        <v>245</v>
      </c>
      <c r="J18" s="37" t="s">
        <v>245</v>
      </c>
      <c r="K18" s="41" t="s">
        <v>2400</v>
      </c>
    </row>
    <row r="19" spans="1:11" ht="28.8" x14ac:dyDescent="0.3">
      <c r="A19" s="43" t="s">
        <v>2412</v>
      </c>
      <c r="B19" s="38" t="s">
        <v>1230</v>
      </c>
      <c r="C19" s="38" t="s">
        <v>243</v>
      </c>
      <c r="D19" s="38" t="s">
        <v>243</v>
      </c>
      <c r="E19" s="51">
        <v>1</v>
      </c>
      <c r="F19" s="51">
        <v>1</v>
      </c>
      <c r="G19" s="52"/>
      <c r="H19" s="52">
        <v>1200</v>
      </c>
      <c r="I19" s="38" t="s">
        <v>245</v>
      </c>
      <c r="J19" s="38" t="s">
        <v>245</v>
      </c>
      <c r="K19" s="44" t="s">
        <v>2400</v>
      </c>
    </row>
    <row r="20" spans="1:11" ht="28.8" x14ac:dyDescent="0.3">
      <c r="A20" s="40" t="s">
        <v>2413</v>
      </c>
      <c r="B20" s="37" t="s">
        <v>1237</v>
      </c>
      <c r="C20" s="37" t="s">
        <v>243</v>
      </c>
      <c r="D20" s="37" t="s">
        <v>243</v>
      </c>
      <c r="E20" s="49">
        <v>1</v>
      </c>
      <c r="F20" s="49">
        <v>1</v>
      </c>
      <c r="G20" s="50"/>
      <c r="H20" s="50">
        <v>32000</v>
      </c>
      <c r="I20" s="37" t="s">
        <v>245</v>
      </c>
      <c r="J20" s="37" t="s">
        <v>245</v>
      </c>
      <c r="K20" s="41" t="s">
        <v>2400</v>
      </c>
    </row>
    <row r="21" spans="1:11" ht="28.8" x14ac:dyDescent="0.3">
      <c r="A21" s="43" t="s">
        <v>2414</v>
      </c>
      <c r="B21" s="38" t="s">
        <v>1241</v>
      </c>
      <c r="C21" s="38" t="s">
        <v>243</v>
      </c>
      <c r="D21" s="38" t="s">
        <v>243</v>
      </c>
      <c r="E21" s="51">
        <v>1</v>
      </c>
      <c r="F21" s="51">
        <v>1</v>
      </c>
      <c r="G21" s="52"/>
      <c r="H21" s="52">
        <v>5000</v>
      </c>
      <c r="I21" s="38" t="s">
        <v>245</v>
      </c>
      <c r="J21" s="38" t="s">
        <v>245</v>
      </c>
      <c r="K21" s="44" t="s">
        <v>2400</v>
      </c>
    </row>
    <row r="22" spans="1:11" ht="28.8" x14ac:dyDescent="0.3">
      <c r="A22" s="40" t="s">
        <v>2415</v>
      </c>
      <c r="B22" s="37" t="s">
        <v>1245</v>
      </c>
      <c r="C22" s="37" t="s">
        <v>284</v>
      </c>
      <c r="D22" s="37" t="s">
        <v>243</v>
      </c>
      <c r="E22" s="49">
        <v>1</v>
      </c>
      <c r="F22" s="49">
        <v>1</v>
      </c>
      <c r="G22" s="50"/>
      <c r="H22" s="50">
        <v>1100</v>
      </c>
      <c r="I22" s="37" t="s">
        <v>245</v>
      </c>
      <c r="J22" s="37" t="s">
        <v>245</v>
      </c>
      <c r="K22" s="41" t="s">
        <v>2400</v>
      </c>
    </row>
    <row r="23" spans="1:11" ht="28.8" x14ac:dyDescent="0.3">
      <c r="A23" s="43" t="s">
        <v>2416</v>
      </c>
      <c r="B23" s="38" t="s">
        <v>1248</v>
      </c>
      <c r="C23" s="38" t="s">
        <v>243</v>
      </c>
      <c r="D23" s="38" t="s">
        <v>243</v>
      </c>
      <c r="E23" s="51">
        <v>1</v>
      </c>
      <c r="F23" s="51">
        <v>1</v>
      </c>
      <c r="G23" s="52"/>
      <c r="H23" s="52">
        <v>800</v>
      </c>
      <c r="I23" s="38" t="s">
        <v>245</v>
      </c>
      <c r="J23" s="38" t="s">
        <v>245</v>
      </c>
      <c r="K23" s="44" t="s">
        <v>2400</v>
      </c>
    </row>
    <row r="24" spans="1:11" ht="28.8" x14ac:dyDescent="0.3">
      <c r="A24" s="40" t="s">
        <v>2417</v>
      </c>
      <c r="B24" s="37" t="s">
        <v>1253</v>
      </c>
      <c r="C24" s="37" t="s">
        <v>243</v>
      </c>
      <c r="D24" s="37" t="s">
        <v>243</v>
      </c>
      <c r="E24" s="49">
        <v>1</v>
      </c>
      <c r="F24" s="49">
        <v>1</v>
      </c>
      <c r="G24" s="50"/>
      <c r="H24" s="50">
        <v>1200</v>
      </c>
      <c r="I24" s="37" t="s">
        <v>245</v>
      </c>
      <c r="J24" s="37" t="s">
        <v>245</v>
      </c>
      <c r="K24" s="41" t="s">
        <v>2400</v>
      </c>
    </row>
    <row r="25" spans="1:11" ht="28.8" x14ac:dyDescent="0.3">
      <c r="A25" s="43" t="s">
        <v>2418</v>
      </c>
      <c r="B25" s="38" t="s">
        <v>1258</v>
      </c>
      <c r="C25" s="38" t="s">
        <v>243</v>
      </c>
      <c r="D25" s="38" t="s">
        <v>243</v>
      </c>
      <c r="E25" s="51">
        <v>1</v>
      </c>
      <c r="F25" s="51">
        <v>1</v>
      </c>
      <c r="G25" s="52"/>
      <c r="H25" s="52">
        <v>3500</v>
      </c>
      <c r="I25" s="38" t="s">
        <v>245</v>
      </c>
      <c r="J25" s="38" t="s">
        <v>245</v>
      </c>
      <c r="K25" s="44" t="s">
        <v>2400</v>
      </c>
    </row>
    <row r="26" spans="1:11" ht="28.8" x14ac:dyDescent="0.3">
      <c r="A26" s="40" t="s">
        <v>2419</v>
      </c>
      <c r="B26" s="37" t="s">
        <v>1263</v>
      </c>
      <c r="C26" s="37" t="s">
        <v>243</v>
      </c>
      <c r="D26" s="37" t="s">
        <v>243</v>
      </c>
      <c r="E26" s="49">
        <v>1</v>
      </c>
      <c r="F26" s="49">
        <v>1</v>
      </c>
      <c r="G26" s="50"/>
      <c r="H26" s="50">
        <v>1800</v>
      </c>
      <c r="I26" s="37" t="s">
        <v>245</v>
      </c>
      <c r="J26" s="37" t="s">
        <v>245</v>
      </c>
      <c r="K26" s="41" t="s">
        <v>2400</v>
      </c>
    </row>
    <row r="27" spans="1:11" ht="28.8" x14ac:dyDescent="0.3">
      <c r="A27" s="43" t="s">
        <v>2420</v>
      </c>
      <c r="B27" s="38" t="s">
        <v>1269</v>
      </c>
      <c r="C27" s="38" t="s">
        <v>243</v>
      </c>
      <c r="D27" s="38" t="s">
        <v>243</v>
      </c>
      <c r="E27" s="51">
        <v>1</v>
      </c>
      <c r="F27" s="51">
        <v>1</v>
      </c>
      <c r="G27" s="52"/>
      <c r="H27" s="52">
        <v>950</v>
      </c>
      <c r="I27" s="38" t="s">
        <v>245</v>
      </c>
      <c r="J27" s="38" t="s">
        <v>245</v>
      </c>
      <c r="K27" s="44" t="s">
        <v>2400</v>
      </c>
    </row>
    <row r="28" spans="1:11" ht="28.8" x14ac:dyDescent="0.3">
      <c r="A28" s="40" t="s">
        <v>2421</v>
      </c>
      <c r="B28" s="37" t="s">
        <v>1275</v>
      </c>
      <c r="C28" s="37" t="s">
        <v>243</v>
      </c>
      <c r="D28" s="37" t="s">
        <v>243</v>
      </c>
      <c r="E28" s="49">
        <v>1</v>
      </c>
      <c r="F28" s="49">
        <v>1</v>
      </c>
      <c r="G28" s="50"/>
      <c r="H28" s="50">
        <v>40</v>
      </c>
      <c r="I28" s="37" t="s">
        <v>245</v>
      </c>
      <c r="J28" s="37" t="s">
        <v>245</v>
      </c>
      <c r="K28" s="41" t="s">
        <v>2400</v>
      </c>
    </row>
    <row r="29" spans="1:11" ht="28.8" x14ac:dyDescent="0.3">
      <c r="A29" s="43" t="s">
        <v>2422</v>
      </c>
      <c r="B29" s="38" t="s">
        <v>1349</v>
      </c>
      <c r="C29" s="38" t="s">
        <v>243</v>
      </c>
      <c r="D29" s="38" t="s">
        <v>243</v>
      </c>
      <c r="E29" s="51">
        <v>1</v>
      </c>
      <c r="F29" s="51">
        <v>1</v>
      </c>
      <c r="G29" s="52"/>
      <c r="H29" s="52">
        <v>60</v>
      </c>
      <c r="I29" s="38" t="s">
        <v>245</v>
      </c>
      <c r="J29" s="38" t="s">
        <v>245</v>
      </c>
      <c r="K29" s="44" t="s">
        <v>2400</v>
      </c>
    </row>
    <row r="30" spans="1:11" ht="28.8" x14ac:dyDescent="0.3">
      <c r="A30" s="40" t="s">
        <v>2423</v>
      </c>
      <c r="B30" s="37" t="s">
        <v>1358</v>
      </c>
      <c r="C30" s="37" t="s">
        <v>243</v>
      </c>
      <c r="D30" s="37" t="s">
        <v>243</v>
      </c>
      <c r="E30" s="49">
        <v>1</v>
      </c>
      <c r="F30" s="49">
        <v>1</v>
      </c>
      <c r="G30" s="50"/>
      <c r="H30" s="50">
        <v>3900</v>
      </c>
      <c r="I30" s="37" t="s">
        <v>245</v>
      </c>
      <c r="J30" s="37" t="s">
        <v>245</v>
      </c>
      <c r="K30" s="41" t="s">
        <v>2400</v>
      </c>
    </row>
    <row r="31" spans="1:11" ht="28.8" x14ac:dyDescent="0.3">
      <c r="A31" s="43" t="s">
        <v>2424</v>
      </c>
      <c r="B31" s="38" t="s">
        <v>1361</v>
      </c>
      <c r="C31" s="38" t="s">
        <v>243</v>
      </c>
      <c r="D31" s="38" t="s">
        <v>243</v>
      </c>
      <c r="E31" s="51">
        <v>1</v>
      </c>
      <c r="F31" s="51">
        <v>1</v>
      </c>
      <c r="G31" s="52"/>
      <c r="H31" s="52">
        <v>950</v>
      </c>
      <c r="I31" s="38" t="s">
        <v>245</v>
      </c>
      <c r="J31" s="38" t="s">
        <v>245</v>
      </c>
      <c r="K31" s="44" t="s">
        <v>2400</v>
      </c>
    </row>
    <row r="32" spans="1:11" ht="28.8" x14ac:dyDescent="0.3">
      <c r="A32" s="40" t="s">
        <v>2425</v>
      </c>
      <c r="B32" s="37" t="s">
        <v>1364</v>
      </c>
      <c r="C32" s="37" t="s">
        <v>243</v>
      </c>
      <c r="D32" s="37" t="s">
        <v>243</v>
      </c>
      <c r="E32" s="49">
        <v>1</v>
      </c>
      <c r="F32" s="49">
        <v>1</v>
      </c>
      <c r="G32" s="50"/>
      <c r="H32" s="50">
        <v>650</v>
      </c>
      <c r="I32" s="37" t="s">
        <v>245</v>
      </c>
      <c r="J32" s="37" t="s">
        <v>245</v>
      </c>
      <c r="K32" s="41" t="s">
        <v>2400</v>
      </c>
    </row>
    <row r="33" spans="1:11" ht="28.8" x14ac:dyDescent="0.3">
      <c r="A33" s="43" t="s">
        <v>2426</v>
      </c>
      <c r="B33" s="38" t="s">
        <v>1370</v>
      </c>
      <c r="C33" s="38" t="s">
        <v>243</v>
      </c>
      <c r="D33" s="38" t="s">
        <v>243</v>
      </c>
      <c r="E33" s="51">
        <v>1</v>
      </c>
      <c r="F33" s="51">
        <v>1</v>
      </c>
      <c r="G33" s="52"/>
      <c r="H33" s="52">
        <v>1500</v>
      </c>
      <c r="I33" s="38" t="s">
        <v>245</v>
      </c>
      <c r="J33" s="38" t="s">
        <v>245</v>
      </c>
      <c r="K33" s="44" t="s">
        <v>2400</v>
      </c>
    </row>
    <row r="34" spans="1:11" ht="28.8" x14ac:dyDescent="0.3">
      <c r="A34" s="40" t="s">
        <v>2427</v>
      </c>
      <c r="B34" s="37" t="s">
        <v>1432</v>
      </c>
      <c r="C34" s="37" t="s">
        <v>243</v>
      </c>
      <c r="D34" s="37" t="s">
        <v>243</v>
      </c>
      <c r="E34" s="49">
        <v>1</v>
      </c>
      <c r="F34" s="49">
        <v>1</v>
      </c>
      <c r="G34" s="50"/>
      <c r="H34" s="50">
        <v>3600</v>
      </c>
      <c r="I34" s="37" t="s">
        <v>245</v>
      </c>
      <c r="J34" s="37" t="s">
        <v>245</v>
      </c>
      <c r="K34" s="41" t="s">
        <v>2400</v>
      </c>
    </row>
    <row r="35" spans="1:11" ht="28.8" x14ac:dyDescent="0.3">
      <c r="A35" s="43" t="s">
        <v>2428</v>
      </c>
      <c r="B35" s="38" t="s">
        <v>1437</v>
      </c>
      <c r="C35" s="38" t="s">
        <v>243</v>
      </c>
      <c r="D35" s="38" t="s">
        <v>243</v>
      </c>
      <c r="E35" s="51">
        <v>1</v>
      </c>
      <c r="F35" s="51">
        <v>1</v>
      </c>
      <c r="G35" s="52"/>
      <c r="H35" s="52">
        <v>5.6000000000000001E-2</v>
      </c>
      <c r="I35" s="38" t="s">
        <v>245</v>
      </c>
      <c r="J35" s="38" t="s">
        <v>245</v>
      </c>
      <c r="K35" s="44" t="s">
        <v>2400</v>
      </c>
    </row>
    <row r="36" spans="1:11" ht="28.8" x14ac:dyDescent="0.3">
      <c r="A36" s="40" t="s">
        <v>2429</v>
      </c>
      <c r="B36" s="37" t="s">
        <v>1447</v>
      </c>
      <c r="C36" s="37" t="s">
        <v>243</v>
      </c>
      <c r="D36" s="37" t="s">
        <v>243</v>
      </c>
      <c r="E36" s="49">
        <v>1</v>
      </c>
      <c r="F36" s="49">
        <v>1</v>
      </c>
      <c r="G36" s="50"/>
      <c r="H36" s="50">
        <v>17900</v>
      </c>
      <c r="I36" s="37" t="s">
        <v>245</v>
      </c>
      <c r="J36" s="37" t="s">
        <v>245</v>
      </c>
      <c r="K36" s="41" t="s">
        <v>2400</v>
      </c>
    </row>
    <row r="37" spans="1:11" ht="28.8" x14ac:dyDescent="0.3">
      <c r="A37" s="43" t="s">
        <v>2430</v>
      </c>
      <c r="B37" s="38" t="s">
        <v>1451</v>
      </c>
      <c r="C37" s="38" t="s">
        <v>243</v>
      </c>
      <c r="D37" s="38" t="s">
        <v>243</v>
      </c>
      <c r="E37" s="51">
        <v>1</v>
      </c>
      <c r="F37" s="51">
        <v>1</v>
      </c>
      <c r="G37" s="52"/>
      <c r="H37" s="52">
        <v>9500</v>
      </c>
      <c r="I37" s="38" t="s">
        <v>245</v>
      </c>
      <c r="J37" s="38" t="s">
        <v>245</v>
      </c>
      <c r="K37" s="44" t="s">
        <v>2400</v>
      </c>
    </row>
    <row r="38" spans="1:11" ht="28.8" x14ac:dyDescent="0.3">
      <c r="A38" s="40" t="s">
        <v>2431</v>
      </c>
      <c r="B38" s="37" t="s">
        <v>1454</v>
      </c>
      <c r="C38" s="37" t="s">
        <v>243</v>
      </c>
      <c r="D38" s="37" t="s">
        <v>243</v>
      </c>
      <c r="E38" s="49">
        <v>1</v>
      </c>
      <c r="F38" s="49">
        <v>1</v>
      </c>
      <c r="G38" s="50"/>
      <c r="H38" s="50">
        <v>9900</v>
      </c>
      <c r="I38" s="37" t="s">
        <v>245</v>
      </c>
      <c r="J38" s="37" t="s">
        <v>245</v>
      </c>
      <c r="K38" s="41" t="s">
        <v>2400</v>
      </c>
    </row>
    <row r="39" spans="1:11" ht="28.8" x14ac:dyDescent="0.3">
      <c r="A39" s="43" t="s">
        <v>2432</v>
      </c>
      <c r="B39" s="38" t="s">
        <v>1462</v>
      </c>
      <c r="C39" s="38" t="s">
        <v>243</v>
      </c>
      <c r="D39" s="38" t="s">
        <v>243</v>
      </c>
      <c r="E39" s="51">
        <v>1</v>
      </c>
      <c r="F39" s="51">
        <v>1</v>
      </c>
      <c r="G39" s="52"/>
      <c r="H39" s="52">
        <v>850</v>
      </c>
      <c r="I39" s="38" t="s">
        <v>245</v>
      </c>
      <c r="J39" s="38" t="s">
        <v>245</v>
      </c>
      <c r="K39" s="44" t="s">
        <v>2400</v>
      </c>
    </row>
    <row r="40" spans="1:11" ht="28.8" x14ac:dyDescent="0.3">
      <c r="A40" s="40" t="s">
        <v>2433</v>
      </c>
      <c r="B40" s="37" t="s">
        <v>1465</v>
      </c>
      <c r="C40" s="37" t="s">
        <v>243</v>
      </c>
      <c r="D40" s="37" t="s">
        <v>243</v>
      </c>
      <c r="E40" s="49">
        <v>1</v>
      </c>
      <c r="F40" s="49">
        <v>1</v>
      </c>
      <c r="G40" s="50"/>
      <c r="H40" s="50">
        <v>850</v>
      </c>
      <c r="I40" s="37" t="s">
        <v>245</v>
      </c>
      <c r="J40" s="37" t="s">
        <v>245</v>
      </c>
      <c r="K40" s="41" t="s">
        <v>2400</v>
      </c>
    </row>
    <row r="41" spans="1:11" ht="28.8" x14ac:dyDescent="0.3">
      <c r="A41" s="43" t="s">
        <v>2434</v>
      </c>
      <c r="B41" s="38" t="s">
        <v>1518</v>
      </c>
      <c r="C41" s="38" t="s">
        <v>243</v>
      </c>
      <c r="D41" s="38" t="s">
        <v>243</v>
      </c>
      <c r="E41" s="51">
        <v>1</v>
      </c>
      <c r="F41" s="51">
        <v>1</v>
      </c>
      <c r="G41" s="52"/>
      <c r="H41" s="52">
        <v>36000</v>
      </c>
      <c r="I41" s="38" t="s">
        <v>245</v>
      </c>
      <c r="J41" s="38" t="s">
        <v>245</v>
      </c>
      <c r="K41" s="44" t="s">
        <v>2400</v>
      </c>
    </row>
    <row r="42" spans="1:11" ht="28.8" x14ac:dyDescent="0.3">
      <c r="A42" s="40" t="s">
        <v>2435</v>
      </c>
      <c r="B42" s="37" t="s">
        <v>1523</v>
      </c>
      <c r="C42" s="37" t="s">
        <v>243</v>
      </c>
      <c r="D42" s="37" t="s">
        <v>243</v>
      </c>
      <c r="E42" s="49">
        <v>1</v>
      </c>
      <c r="F42" s="49">
        <v>1</v>
      </c>
      <c r="G42" s="50"/>
      <c r="H42" s="50">
        <v>50</v>
      </c>
      <c r="I42" s="37" t="s">
        <v>245</v>
      </c>
      <c r="J42" s="37" t="s">
        <v>245</v>
      </c>
      <c r="K42" s="41" t="s">
        <v>2400</v>
      </c>
    </row>
    <row r="43" spans="1:11" ht="28.8" x14ac:dyDescent="0.3">
      <c r="A43" s="43" t="s">
        <v>2436</v>
      </c>
      <c r="B43" s="38" t="s">
        <v>1533</v>
      </c>
      <c r="C43" s="38" t="s">
        <v>284</v>
      </c>
      <c r="D43" s="38" t="s">
        <v>243</v>
      </c>
      <c r="E43" s="51">
        <v>1</v>
      </c>
      <c r="F43" s="51">
        <v>1</v>
      </c>
      <c r="G43" s="52"/>
      <c r="H43" s="52">
        <v>300</v>
      </c>
      <c r="I43" s="38" t="s">
        <v>245</v>
      </c>
      <c r="J43" s="38" t="s">
        <v>245</v>
      </c>
      <c r="K43" s="44" t="s">
        <v>2400</v>
      </c>
    </row>
    <row r="44" spans="1:11" ht="28.8" x14ac:dyDescent="0.3">
      <c r="A44" s="40" t="s">
        <v>2437</v>
      </c>
      <c r="B44" s="37" t="s">
        <v>1589</v>
      </c>
      <c r="C44" s="37" t="s">
        <v>243</v>
      </c>
      <c r="D44" s="37" t="s">
        <v>243</v>
      </c>
      <c r="E44" s="49">
        <v>1</v>
      </c>
      <c r="F44" s="49">
        <v>1</v>
      </c>
      <c r="G44" s="50"/>
      <c r="H44" s="50">
        <v>500</v>
      </c>
      <c r="I44" s="37" t="s">
        <v>245</v>
      </c>
      <c r="J44" s="37" t="s">
        <v>245</v>
      </c>
      <c r="K44" s="41" t="s">
        <v>2400</v>
      </c>
    </row>
    <row r="45" spans="1:11" ht="28.8" x14ac:dyDescent="0.3">
      <c r="A45" s="43" t="s">
        <v>2438</v>
      </c>
      <c r="B45" s="38" t="s">
        <v>1592</v>
      </c>
      <c r="C45" s="38" t="s">
        <v>243</v>
      </c>
      <c r="D45" s="38" t="s">
        <v>243</v>
      </c>
      <c r="E45" s="51">
        <v>1</v>
      </c>
      <c r="F45" s="51">
        <v>1</v>
      </c>
      <c r="G45" s="52"/>
      <c r="H45" s="52">
        <v>400</v>
      </c>
      <c r="I45" s="38" t="s">
        <v>245</v>
      </c>
      <c r="J45" s="38" t="s">
        <v>245</v>
      </c>
      <c r="K45" s="44" t="s">
        <v>2400</v>
      </c>
    </row>
    <row r="46" spans="1:11" ht="28.8" x14ac:dyDescent="0.3">
      <c r="A46" s="40" t="s">
        <v>2439</v>
      </c>
      <c r="B46" s="37" t="s">
        <v>1595</v>
      </c>
      <c r="C46" s="37" t="s">
        <v>243</v>
      </c>
      <c r="D46" s="37" t="s">
        <v>243</v>
      </c>
      <c r="E46" s="49">
        <v>1</v>
      </c>
      <c r="F46" s="49">
        <v>1</v>
      </c>
      <c r="G46" s="50"/>
      <c r="H46" s="50">
        <v>1100</v>
      </c>
      <c r="I46" s="37" t="s">
        <v>245</v>
      </c>
      <c r="J46" s="37" t="s">
        <v>245</v>
      </c>
      <c r="K46" s="41" t="s">
        <v>2400</v>
      </c>
    </row>
    <row r="47" spans="1:11" ht="28.8" x14ac:dyDescent="0.3">
      <c r="A47" s="43" t="s">
        <v>2440</v>
      </c>
      <c r="B47" s="38" t="s">
        <v>1599</v>
      </c>
      <c r="C47" s="38" t="s">
        <v>243</v>
      </c>
      <c r="D47" s="38" t="s">
        <v>243</v>
      </c>
      <c r="E47" s="51">
        <v>1</v>
      </c>
      <c r="F47" s="51">
        <v>1</v>
      </c>
      <c r="G47" s="52"/>
      <c r="H47" s="52">
        <v>30000</v>
      </c>
      <c r="I47" s="38" t="s">
        <v>245</v>
      </c>
      <c r="J47" s="38" t="s">
        <v>245</v>
      </c>
      <c r="K47" s="44" t="s">
        <v>2400</v>
      </c>
    </row>
    <row r="48" spans="1:11" ht="28.8" x14ac:dyDescent="0.3">
      <c r="A48" s="40" t="s">
        <v>2441</v>
      </c>
      <c r="B48" s="37" t="s">
        <v>1603</v>
      </c>
      <c r="C48" s="37" t="s">
        <v>243</v>
      </c>
      <c r="D48" s="37" t="s">
        <v>243</v>
      </c>
      <c r="E48" s="49">
        <v>1</v>
      </c>
      <c r="F48" s="49">
        <v>1</v>
      </c>
      <c r="G48" s="50"/>
      <c r="H48" s="50">
        <v>3500</v>
      </c>
      <c r="I48" s="37" t="s">
        <v>245</v>
      </c>
      <c r="J48" s="37" t="s">
        <v>245</v>
      </c>
      <c r="K48" s="41" t="s">
        <v>2400</v>
      </c>
    </row>
    <row r="49" spans="1:11" ht="28.8" x14ac:dyDescent="0.3">
      <c r="A49" s="43" t="s">
        <v>2442</v>
      </c>
      <c r="B49" s="38" t="s">
        <v>1606</v>
      </c>
      <c r="C49" s="38" t="s">
        <v>243</v>
      </c>
      <c r="D49" s="38" t="s">
        <v>243</v>
      </c>
      <c r="E49" s="51">
        <v>1</v>
      </c>
      <c r="F49" s="51">
        <v>1</v>
      </c>
      <c r="G49" s="52"/>
      <c r="H49" s="52">
        <v>15000</v>
      </c>
      <c r="I49" s="38" t="s">
        <v>245</v>
      </c>
      <c r="J49" s="38" t="s">
        <v>245</v>
      </c>
      <c r="K49" s="44" t="s">
        <v>2400</v>
      </c>
    </row>
    <row r="50" spans="1:11" ht="28.8" x14ac:dyDescent="0.3">
      <c r="A50" s="40" t="s">
        <v>2443</v>
      </c>
      <c r="B50" s="37" t="s">
        <v>1609</v>
      </c>
      <c r="C50" s="37" t="s">
        <v>243</v>
      </c>
      <c r="D50" s="37" t="s">
        <v>243</v>
      </c>
      <c r="E50" s="49">
        <v>1</v>
      </c>
      <c r="F50" s="49">
        <v>1</v>
      </c>
      <c r="G50" s="50"/>
      <c r="H50" s="50">
        <v>1500</v>
      </c>
      <c r="I50" s="37" t="s">
        <v>245</v>
      </c>
      <c r="J50" s="37" t="s">
        <v>245</v>
      </c>
      <c r="K50" s="41" t="s">
        <v>2400</v>
      </c>
    </row>
    <row r="51" spans="1:11" ht="28.8" x14ac:dyDescent="0.3">
      <c r="A51" s="43" t="s">
        <v>2444</v>
      </c>
      <c r="B51" s="38" t="s">
        <v>1612</v>
      </c>
      <c r="C51" s="38" t="s">
        <v>243</v>
      </c>
      <c r="D51" s="38" t="s">
        <v>243</v>
      </c>
      <c r="E51" s="51">
        <v>1</v>
      </c>
      <c r="F51" s="51">
        <v>1</v>
      </c>
      <c r="G51" s="52"/>
      <c r="H51" s="52">
        <v>1100</v>
      </c>
      <c r="I51" s="38" t="s">
        <v>245</v>
      </c>
      <c r="J51" s="38" t="s">
        <v>245</v>
      </c>
      <c r="K51" s="44" t="s">
        <v>2400</v>
      </c>
    </row>
    <row r="52" spans="1:11" ht="28.8" x14ac:dyDescent="0.3">
      <c r="A52" s="40" t="s">
        <v>2445</v>
      </c>
      <c r="B52" s="37" t="s">
        <v>1616</v>
      </c>
      <c r="C52" s="37" t="s">
        <v>243</v>
      </c>
      <c r="D52" s="37" t="s">
        <v>243</v>
      </c>
      <c r="E52" s="49">
        <v>1</v>
      </c>
      <c r="F52" s="49">
        <v>1</v>
      </c>
      <c r="G52" s="50"/>
      <c r="H52" s="50">
        <v>3000</v>
      </c>
      <c r="I52" s="37" t="s">
        <v>245</v>
      </c>
      <c r="J52" s="37" t="s">
        <v>245</v>
      </c>
      <c r="K52" s="41" t="s">
        <v>2400</v>
      </c>
    </row>
    <row r="53" spans="1:11" ht="28.8" x14ac:dyDescent="0.3">
      <c r="A53" s="43" t="s">
        <v>2446</v>
      </c>
      <c r="B53" s="38" t="s">
        <v>1619</v>
      </c>
      <c r="C53" s="38" t="s">
        <v>243</v>
      </c>
      <c r="D53" s="38" t="s">
        <v>243</v>
      </c>
      <c r="E53" s="51">
        <v>1</v>
      </c>
      <c r="F53" s="51">
        <v>1</v>
      </c>
      <c r="G53" s="52"/>
      <c r="H53" s="52">
        <v>1500</v>
      </c>
      <c r="I53" s="38" t="s">
        <v>245</v>
      </c>
      <c r="J53" s="38" t="s">
        <v>245</v>
      </c>
      <c r="K53" s="44" t="s">
        <v>2400</v>
      </c>
    </row>
    <row r="54" spans="1:11" ht="28.8" x14ac:dyDescent="0.3">
      <c r="A54" s="40" t="s">
        <v>2447</v>
      </c>
      <c r="B54" s="37" t="s">
        <v>1623</v>
      </c>
      <c r="C54" s="37" t="s">
        <v>243</v>
      </c>
      <c r="D54" s="37" t="s">
        <v>243</v>
      </c>
      <c r="E54" s="49">
        <v>1</v>
      </c>
      <c r="F54" s="49">
        <v>1</v>
      </c>
      <c r="G54" s="50"/>
      <c r="H54" s="50">
        <v>2200</v>
      </c>
      <c r="I54" s="37" t="s">
        <v>245</v>
      </c>
      <c r="J54" s="37" t="s">
        <v>245</v>
      </c>
      <c r="K54" s="41" t="s">
        <v>2400</v>
      </c>
    </row>
    <row r="55" spans="1:11" ht="28.8" x14ac:dyDescent="0.3">
      <c r="A55" s="43" t="s">
        <v>2448</v>
      </c>
      <c r="B55" s="38" t="s">
        <v>1626</v>
      </c>
      <c r="C55" s="38" t="s">
        <v>243</v>
      </c>
      <c r="D55" s="38" t="s">
        <v>243</v>
      </c>
      <c r="E55" s="51">
        <v>1</v>
      </c>
      <c r="F55" s="51">
        <v>1</v>
      </c>
      <c r="G55" s="52"/>
      <c r="H55" s="52">
        <v>650</v>
      </c>
      <c r="I55" s="38" t="s">
        <v>245</v>
      </c>
      <c r="J55" s="38" t="s">
        <v>245</v>
      </c>
      <c r="K55" s="44" t="s">
        <v>2400</v>
      </c>
    </row>
    <row r="56" spans="1:11" ht="28.8" x14ac:dyDescent="0.3">
      <c r="A56" s="40" t="s">
        <v>2449</v>
      </c>
      <c r="B56" s="37" t="s">
        <v>1630</v>
      </c>
      <c r="C56" s="37" t="s">
        <v>243</v>
      </c>
      <c r="D56" s="37" t="s">
        <v>243</v>
      </c>
      <c r="E56" s="49">
        <v>1</v>
      </c>
      <c r="F56" s="49">
        <v>1</v>
      </c>
      <c r="G56" s="50"/>
      <c r="H56" s="50">
        <v>6500</v>
      </c>
      <c r="I56" s="37" t="s">
        <v>245</v>
      </c>
      <c r="J56" s="37" t="s">
        <v>245</v>
      </c>
      <c r="K56" s="41" t="s">
        <v>2400</v>
      </c>
    </row>
    <row r="57" spans="1:11" ht="28.8" x14ac:dyDescent="0.3">
      <c r="A57" s="43" t="s">
        <v>2450</v>
      </c>
      <c r="B57" s="38" t="s">
        <v>1634</v>
      </c>
      <c r="C57" s="38" t="s">
        <v>243</v>
      </c>
      <c r="D57" s="38" t="s">
        <v>243</v>
      </c>
      <c r="E57" s="51">
        <v>1</v>
      </c>
      <c r="F57" s="51">
        <v>1</v>
      </c>
      <c r="G57" s="52"/>
      <c r="H57" s="52">
        <v>3800</v>
      </c>
      <c r="I57" s="38" t="s">
        <v>245</v>
      </c>
      <c r="J57" s="38" t="s">
        <v>245</v>
      </c>
      <c r="K57" s="44" t="s">
        <v>2400</v>
      </c>
    </row>
    <row r="58" spans="1:11" ht="28.8" x14ac:dyDescent="0.3">
      <c r="A58" s="40" t="s">
        <v>2451</v>
      </c>
      <c r="B58" s="37" t="s">
        <v>1638</v>
      </c>
      <c r="C58" s="37" t="s">
        <v>243</v>
      </c>
      <c r="D58" s="37" t="s">
        <v>243</v>
      </c>
      <c r="E58" s="49">
        <v>1</v>
      </c>
      <c r="F58" s="49">
        <v>1</v>
      </c>
      <c r="G58" s="50"/>
      <c r="H58" s="50">
        <v>20000</v>
      </c>
      <c r="I58" s="37" t="s">
        <v>245</v>
      </c>
      <c r="J58" s="37" t="s">
        <v>245</v>
      </c>
      <c r="K58" s="41" t="s">
        <v>2400</v>
      </c>
    </row>
    <row r="59" spans="1:11" ht="28.8" x14ac:dyDescent="0.3">
      <c r="A59" s="43" t="s">
        <v>2452</v>
      </c>
      <c r="B59" s="38" t="s">
        <v>1642</v>
      </c>
      <c r="C59" s="38" t="s">
        <v>243</v>
      </c>
      <c r="D59" s="38" t="s">
        <v>243</v>
      </c>
      <c r="E59" s="51">
        <v>1</v>
      </c>
      <c r="F59" s="51">
        <v>1</v>
      </c>
      <c r="G59" s="52"/>
      <c r="H59" s="52">
        <v>450</v>
      </c>
      <c r="I59" s="38" t="s">
        <v>245</v>
      </c>
      <c r="J59" s="38" t="s">
        <v>245</v>
      </c>
      <c r="K59" s="44" t="s">
        <v>2400</v>
      </c>
    </row>
    <row r="60" spans="1:11" ht="28.8" x14ac:dyDescent="0.3">
      <c r="A60" s="40" t="s">
        <v>2453</v>
      </c>
      <c r="B60" s="37" t="s">
        <v>1645</v>
      </c>
      <c r="C60" s="37" t="s">
        <v>243</v>
      </c>
      <c r="D60" s="37" t="s">
        <v>243</v>
      </c>
      <c r="E60" s="49">
        <v>1</v>
      </c>
      <c r="F60" s="49">
        <v>1</v>
      </c>
      <c r="G60" s="50"/>
      <c r="H60" s="50">
        <v>3800</v>
      </c>
      <c r="I60" s="37" t="s">
        <v>245</v>
      </c>
      <c r="J60" s="37" t="s">
        <v>245</v>
      </c>
      <c r="K60" s="41" t="s">
        <v>2400</v>
      </c>
    </row>
    <row r="61" spans="1:11" ht="28.8" x14ac:dyDescent="0.3">
      <c r="A61" s="43" t="s">
        <v>2454</v>
      </c>
      <c r="B61" s="38" t="s">
        <v>1649</v>
      </c>
      <c r="C61" s="38" t="s">
        <v>243</v>
      </c>
      <c r="D61" s="38" t="s">
        <v>243</v>
      </c>
      <c r="E61" s="51">
        <v>1</v>
      </c>
      <c r="F61" s="51">
        <v>1</v>
      </c>
      <c r="G61" s="52"/>
      <c r="H61" s="52">
        <v>1350</v>
      </c>
      <c r="I61" s="38" t="s">
        <v>245</v>
      </c>
      <c r="J61" s="38" t="s">
        <v>245</v>
      </c>
      <c r="K61" s="44" t="s">
        <v>2400</v>
      </c>
    </row>
    <row r="62" spans="1:11" ht="28.8" x14ac:dyDescent="0.3">
      <c r="A62" s="40" t="s">
        <v>2455</v>
      </c>
      <c r="B62" s="37" t="s">
        <v>1652</v>
      </c>
      <c r="C62" s="37" t="s">
        <v>243</v>
      </c>
      <c r="D62" s="37" t="s">
        <v>243</v>
      </c>
      <c r="E62" s="49">
        <v>1</v>
      </c>
      <c r="F62" s="49">
        <v>1</v>
      </c>
      <c r="G62" s="50"/>
      <c r="H62" s="50">
        <v>2200</v>
      </c>
      <c r="I62" s="37" t="s">
        <v>245</v>
      </c>
      <c r="J62" s="37" t="s">
        <v>245</v>
      </c>
      <c r="K62" s="41" t="s">
        <v>2400</v>
      </c>
    </row>
    <row r="63" spans="1:11" ht="28.8" x14ac:dyDescent="0.3">
      <c r="A63" s="43" t="s">
        <v>2456</v>
      </c>
      <c r="B63" s="38" t="s">
        <v>1655</v>
      </c>
      <c r="C63" s="38" t="s">
        <v>243</v>
      </c>
      <c r="D63" s="38" t="s">
        <v>243</v>
      </c>
      <c r="E63" s="51">
        <v>1</v>
      </c>
      <c r="F63" s="51">
        <v>1</v>
      </c>
      <c r="G63" s="52"/>
      <c r="H63" s="52">
        <v>1200</v>
      </c>
      <c r="I63" s="38" t="s">
        <v>245</v>
      </c>
      <c r="J63" s="38" t="s">
        <v>245</v>
      </c>
      <c r="K63" s="44" t="s">
        <v>2400</v>
      </c>
    </row>
    <row r="64" spans="1:11" ht="28.8" x14ac:dyDescent="0.3">
      <c r="A64" s="40" t="s">
        <v>2457</v>
      </c>
      <c r="B64" s="37" t="s">
        <v>1658</v>
      </c>
      <c r="C64" s="37" t="s">
        <v>243</v>
      </c>
      <c r="D64" s="37" t="s">
        <v>243</v>
      </c>
      <c r="E64" s="49">
        <v>1</v>
      </c>
      <c r="F64" s="49">
        <v>1</v>
      </c>
      <c r="G64" s="50"/>
      <c r="H64" s="50">
        <v>1100</v>
      </c>
      <c r="I64" s="37" t="s">
        <v>245</v>
      </c>
      <c r="J64" s="37" t="s">
        <v>245</v>
      </c>
      <c r="K64" s="41" t="s">
        <v>2400</v>
      </c>
    </row>
    <row r="65" spans="1:11" ht="28.8" x14ac:dyDescent="0.3">
      <c r="A65" s="43" t="s">
        <v>2458</v>
      </c>
      <c r="B65" s="38" t="s">
        <v>1661</v>
      </c>
      <c r="C65" s="38" t="s">
        <v>243</v>
      </c>
      <c r="D65" s="38" t="s">
        <v>243</v>
      </c>
      <c r="E65" s="51">
        <v>1</v>
      </c>
      <c r="F65" s="51">
        <v>1</v>
      </c>
      <c r="G65" s="52"/>
      <c r="H65" s="52">
        <v>450</v>
      </c>
      <c r="I65" s="38" t="s">
        <v>245</v>
      </c>
      <c r="J65" s="38" t="s">
        <v>245</v>
      </c>
      <c r="K65" s="44" t="s">
        <v>2400</v>
      </c>
    </row>
    <row r="66" spans="1:11" ht="28.8" x14ac:dyDescent="0.3">
      <c r="A66" s="40" t="s">
        <v>2459</v>
      </c>
      <c r="B66" s="37" t="s">
        <v>1664</v>
      </c>
      <c r="C66" s="37" t="s">
        <v>243</v>
      </c>
      <c r="D66" s="37" t="s">
        <v>243</v>
      </c>
      <c r="E66" s="49">
        <v>1</v>
      </c>
      <c r="F66" s="49">
        <v>1</v>
      </c>
      <c r="G66" s="50"/>
      <c r="H66" s="50">
        <v>990</v>
      </c>
      <c r="I66" s="37" t="s">
        <v>245</v>
      </c>
      <c r="J66" s="37" t="s">
        <v>245</v>
      </c>
      <c r="K66" s="41" t="s">
        <v>2400</v>
      </c>
    </row>
    <row r="67" spans="1:11" ht="28.8" x14ac:dyDescent="0.3">
      <c r="A67" s="43" t="s">
        <v>2460</v>
      </c>
      <c r="B67" s="38" t="s">
        <v>1668</v>
      </c>
      <c r="C67" s="38" t="s">
        <v>243</v>
      </c>
      <c r="D67" s="38" t="s">
        <v>243</v>
      </c>
      <c r="E67" s="51">
        <v>1</v>
      </c>
      <c r="F67" s="51">
        <v>1</v>
      </c>
      <c r="G67" s="52"/>
      <c r="H67" s="52">
        <v>3400</v>
      </c>
      <c r="I67" s="38" t="s">
        <v>245</v>
      </c>
      <c r="J67" s="38" t="s">
        <v>245</v>
      </c>
      <c r="K67" s="44" t="s">
        <v>2400</v>
      </c>
    </row>
    <row r="68" spans="1:11" ht="28.8" x14ac:dyDescent="0.3">
      <c r="A68" s="40" t="s">
        <v>2461</v>
      </c>
      <c r="B68" s="37" t="s">
        <v>1672</v>
      </c>
      <c r="C68" s="37" t="s">
        <v>243</v>
      </c>
      <c r="D68" s="37" t="s">
        <v>243</v>
      </c>
      <c r="E68" s="49">
        <v>1</v>
      </c>
      <c r="F68" s="49">
        <v>1</v>
      </c>
      <c r="G68" s="50"/>
      <c r="H68" s="50">
        <v>3700</v>
      </c>
      <c r="I68" s="37" t="s">
        <v>245</v>
      </c>
      <c r="J68" s="37" t="s">
        <v>245</v>
      </c>
      <c r="K68" s="41" t="s">
        <v>2400</v>
      </c>
    </row>
    <row r="69" spans="1:11" ht="28.8" x14ac:dyDescent="0.3">
      <c r="A69" s="43" t="s">
        <v>2462</v>
      </c>
      <c r="B69" s="38" t="s">
        <v>1676</v>
      </c>
      <c r="C69" s="38" t="s">
        <v>243</v>
      </c>
      <c r="D69" s="38" t="s">
        <v>243</v>
      </c>
      <c r="E69" s="51">
        <v>1</v>
      </c>
      <c r="F69" s="51">
        <v>1</v>
      </c>
      <c r="G69" s="52"/>
      <c r="H69" s="52">
        <v>2700</v>
      </c>
      <c r="I69" s="38" t="s">
        <v>245</v>
      </c>
      <c r="J69" s="38" t="s">
        <v>245</v>
      </c>
      <c r="K69" s="44" t="s">
        <v>2400</v>
      </c>
    </row>
    <row r="70" spans="1:11" ht="28.8" x14ac:dyDescent="0.3">
      <c r="A70" s="40" t="s">
        <v>2463</v>
      </c>
      <c r="B70" s="37" t="s">
        <v>1679</v>
      </c>
      <c r="C70" s="37" t="s">
        <v>243</v>
      </c>
      <c r="D70" s="37" t="s">
        <v>243</v>
      </c>
      <c r="E70" s="49">
        <v>1</v>
      </c>
      <c r="F70" s="49">
        <v>1</v>
      </c>
      <c r="G70" s="50"/>
      <c r="H70" s="50">
        <v>2200</v>
      </c>
      <c r="I70" s="37" t="s">
        <v>245</v>
      </c>
      <c r="J70" s="37" t="s">
        <v>245</v>
      </c>
      <c r="K70" s="41" t="s">
        <v>2400</v>
      </c>
    </row>
    <row r="71" spans="1:11" ht="28.8" x14ac:dyDescent="0.3">
      <c r="A71" s="43" t="s">
        <v>2464</v>
      </c>
      <c r="B71" s="38" t="s">
        <v>1682</v>
      </c>
      <c r="C71" s="38" t="s">
        <v>243</v>
      </c>
      <c r="D71" s="38" t="s">
        <v>243</v>
      </c>
      <c r="E71" s="51">
        <v>1</v>
      </c>
      <c r="F71" s="51">
        <v>1</v>
      </c>
      <c r="G71" s="52"/>
      <c r="H71" s="52">
        <v>2300</v>
      </c>
      <c r="I71" s="38" t="s">
        <v>245</v>
      </c>
      <c r="J71" s="38" t="s">
        <v>245</v>
      </c>
      <c r="K71" s="44" t="s">
        <v>2400</v>
      </c>
    </row>
    <row r="72" spans="1:11" ht="28.8" x14ac:dyDescent="0.3">
      <c r="A72" s="40" t="s">
        <v>2465</v>
      </c>
      <c r="B72" s="37" t="s">
        <v>1686</v>
      </c>
      <c r="C72" s="37" t="s">
        <v>243</v>
      </c>
      <c r="D72" s="37" t="s">
        <v>243</v>
      </c>
      <c r="E72" s="49">
        <v>1</v>
      </c>
      <c r="F72" s="49">
        <v>1</v>
      </c>
      <c r="G72" s="50"/>
      <c r="H72" s="50">
        <v>1980</v>
      </c>
      <c r="I72" s="37" t="s">
        <v>245</v>
      </c>
      <c r="J72" s="37" t="s">
        <v>245</v>
      </c>
      <c r="K72" s="41" t="s">
        <v>2400</v>
      </c>
    </row>
    <row r="73" spans="1:11" ht="28.8" x14ac:dyDescent="0.3">
      <c r="A73" s="43" t="s">
        <v>2466</v>
      </c>
      <c r="B73" s="38" t="s">
        <v>1689</v>
      </c>
      <c r="C73" s="38" t="s">
        <v>243</v>
      </c>
      <c r="D73" s="38" t="s">
        <v>243</v>
      </c>
      <c r="E73" s="51">
        <v>1</v>
      </c>
      <c r="F73" s="51">
        <v>1</v>
      </c>
      <c r="G73" s="52"/>
      <c r="H73" s="52">
        <v>950</v>
      </c>
      <c r="I73" s="38" t="s">
        <v>245</v>
      </c>
      <c r="J73" s="38" t="s">
        <v>245</v>
      </c>
      <c r="K73" s="44" t="s">
        <v>2400</v>
      </c>
    </row>
    <row r="74" spans="1:11" ht="28.8" x14ac:dyDescent="0.3">
      <c r="A74" s="40" t="s">
        <v>2467</v>
      </c>
      <c r="B74" s="37" t="s">
        <v>1693</v>
      </c>
      <c r="C74" s="37" t="s">
        <v>243</v>
      </c>
      <c r="D74" s="37" t="s">
        <v>243</v>
      </c>
      <c r="E74" s="49">
        <v>1</v>
      </c>
      <c r="F74" s="49">
        <v>1</v>
      </c>
      <c r="G74" s="50"/>
      <c r="H74" s="50">
        <v>2900</v>
      </c>
      <c r="I74" s="37" t="s">
        <v>245</v>
      </c>
      <c r="J74" s="37" t="s">
        <v>245</v>
      </c>
      <c r="K74" s="41" t="s">
        <v>2400</v>
      </c>
    </row>
    <row r="75" spans="1:11" ht="28.8" x14ac:dyDescent="0.3">
      <c r="A75" s="43" t="s">
        <v>2468</v>
      </c>
      <c r="B75" s="38" t="s">
        <v>1697</v>
      </c>
      <c r="C75" s="38" t="s">
        <v>243</v>
      </c>
      <c r="D75" s="38" t="s">
        <v>243</v>
      </c>
      <c r="E75" s="51">
        <v>1</v>
      </c>
      <c r="F75" s="51">
        <v>1</v>
      </c>
      <c r="G75" s="52"/>
      <c r="H75" s="52">
        <v>1600</v>
      </c>
      <c r="I75" s="38" t="s">
        <v>245</v>
      </c>
      <c r="J75" s="38" t="s">
        <v>245</v>
      </c>
      <c r="K75" s="44" t="s">
        <v>2400</v>
      </c>
    </row>
    <row r="76" spans="1:11" ht="28.8" x14ac:dyDescent="0.3">
      <c r="A76" s="40" t="s">
        <v>2469</v>
      </c>
      <c r="B76" s="37" t="s">
        <v>1701</v>
      </c>
      <c r="C76" s="37" t="s">
        <v>243</v>
      </c>
      <c r="D76" s="37" t="s">
        <v>243</v>
      </c>
      <c r="E76" s="49">
        <v>1</v>
      </c>
      <c r="F76" s="49">
        <v>1</v>
      </c>
      <c r="G76" s="50"/>
      <c r="H76" s="50">
        <v>1300</v>
      </c>
      <c r="I76" s="37" t="s">
        <v>245</v>
      </c>
      <c r="J76" s="37" t="s">
        <v>245</v>
      </c>
      <c r="K76" s="41" t="s">
        <v>2400</v>
      </c>
    </row>
    <row r="77" spans="1:11" ht="28.8" x14ac:dyDescent="0.3">
      <c r="A77" s="43" t="s">
        <v>2470</v>
      </c>
      <c r="B77" s="38" t="s">
        <v>1704</v>
      </c>
      <c r="C77" s="38" t="s">
        <v>243</v>
      </c>
      <c r="D77" s="38" t="s">
        <v>243</v>
      </c>
      <c r="E77" s="51">
        <v>1</v>
      </c>
      <c r="F77" s="51">
        <v>1</v>
      </c>
      <c r="G77" s="52"/>
      <c r="H77" s="52">
        <v>3900</v>
      </c>
      <c r="I77" s="38" t="s">
        <v>245</v>
      </c>
      <c r="J77" s="38" t="s">
        <v>245</v>
      </c>
      <c r="K77" s="44" t="s">
        <v>2400</v>
      </c>
    </row>
    <row r="78" spans="1:11" ht="28.8" x14ac:dyDescent="0.3">
      <c r="A78" s="40" t="s">
        <v>2471</v>
      </c>
      <c r="B78" s="37" t="s">
        <v>1718</v>
      </c>
      <c r="C78" s="37" t="s">
        <v>243</v>
      </c>
      <c r="D78" s="37" t="s">
        <v>243</v>
      </c>
      <c r="E78" s="49">
        <v>1</v>
      </c>
      <c r="F78" s="49">
        <v>1</v>
      </c>
      <c r="G78" s="50"/>
      <c r="H78" s="50">
        <v>0.05</v>
      </c>
      <c r="I78" s="37" t="s">
        <v>245</v>
      </c>
      <c r="J78" s="37" t="s">
        <v>245</v>
      </c>
      <c r="K78" s="41" t="s">
        <v>2400</v>
      </c>
    </row>
    <row r="79" spans="1:11" ht="28.8" x14ac:dyDescent="0.3">
      <c r="A79" s="43" t="s">
        <v>2472</v>
      </c>
      <c r="B79" s="38" t="s">
        <v>1726</v>
      </c>
      <c r="C79" s="38" t="s">
        <v>243</v>
      </c>
      <c r="D79" s="38" t="s">
        <v>243</v>
      </c>
      <c r="E79" s="51">
        <v>1</v>
      </c>
      <c r="F79" s="51">
        <v>1</v>
      </c>
      <c r="G79" s="52"/>
      <c r="H79" s="52">
        <v>900</v>
      </c>
      <c r="I79" s="38" t="s">
        <v>245</v>
      </c>
      <c r="J79" s="38" t="s">
        <v>245</v>
      </c>
      <c r="K79" s="44" t="s">
        <v>2400</v>
      </c>
    </row>
    <row r="80" spans="1:11" ht="28.8" x14ac:dyDescent="0.3">
      <c r="A80" s="40" t="s">
        <v>2473</v>
      </c>
      <c r="B80" s="37" t="s">
        <v>1729</v>
      </c>
      <c r="C80" s="37" t="s">
        <v>284</v>
      </c>
      <c r="D80" s="37" t="s">
        <v>243</v>
      </c>
      <c r="E80" s="49">
        <v>1</v>
      </c>
      <c r="F80" s="49">
        <v>1</v>
      </c>
      <c r="G80" s="50"/>
      <c r="H80" s="50">
        <v>900</v>
      </c>
      <c r="I80" s="37" t="s">
        <v>245</v>
      </c>
      <c r="J80" s="37" t="s">
        <v>245</v>
      </c>
      <c r="K80" s="41" t="s">
        <v>2400</v>
      </c>
    </row>
    <row r="81" spans="1:11" ht="28.8" x14ac:dyDescent="0.3">
      <c r="A81" s="43" t="s">
        <v>2474</v>
      </c>
      <c r="B81" s="38" t="s">
        <v>1732</v>
      </c>
      <c r="C81" s="38" t="s">
        <v>243</v>
      </c>
      <c r="D81" s="38" t="s">
        <v>243</v>
      </c>
      <c r="E81" s="51">
        <v>1</v>
      </c>
      <c r="F81" s="51">
        <v>1</v>
      </c>
      <c r="G81" s="52"/>
      <c r="H81" s="52">
        <v>400</v>
      </c>
      <c r="I81" s="38" t="s">
        <v>245</v>
      </c>
      <c r="J81" s="38" t="s">
        <v>245</v>
      </c>
      <c r="K81" s="44" t="s">
        <v>2400</v>
      </c>
    </row>
    <row r="82" spans="1:11" ht="28.8" x14ac:dyDescent="0.3">
      <c r="A82" s="40" t="s">
        <v>2475</v>
      </c>
      <c r="B82" s="37" t="s">
        <v>1736</v>
      </c>
      <c r="C82" s="37" t="s">
        <v>243</v>
      </c>
      <c r="D82" s="37" t="s">
        <v>243</v>
      </c>
      <c r="E82" s="49">
        <v>1</v>
      </c>
      <c r="F82" s="49">
        <v>1</v>
      </c>
      <c r="G82" s="50"/>
      <c r="H82" s="50">
        <v>220</v>
      </c>
      <c r="I82" s="37" t="s">
        <v>245</v>
      </c>
      <c r="J82" s="37" t="s">
        <v>245</v>
      </c>
      <c r="K82" s="41" t="s">
        <v>2400</v>
      </c>
    </row>
    <row r="83" spans="1:11" ht="28.8" x14ac:dyDescent="0.3">
      <c r="A83" s="43" t="s">
        <v>2476</v>
      </c>
      <c r="B83" s="38" t="s">
        <v>1740</v>
      </c>
      <c r="C83" s="38" t="s">
        <v>243</v>
      </c>
      <c r="D83" s="38" t="s">
        <v>243</v>
      </c>
      <c r="E83" s="51">
        <v>1</v>
      </c>
      <c r="F83" s="51">
        <v>1</v>
      </c>
      <c r="G83" s="52"/>
      <c r="H83" s="52">
        <v>15000</v>
      </c>
      <c r="I83" s="38" t="s">
        <v>245</v>
      </c>
      <c r="J83" s="38" t="s">
        <v>245</v>
      </c>
      <c r="K83" s="44" t="s">
        <v>2400</v>
      </c>
    </row>
    <row r="84" spans="1:11" ht="28.8" x14ac:dyDescent="0.3">
      <c r="A84" s="40" t="s">
        <v>2477</v>
      </c>
      <c r="B84" s="37" t="s">
        <v>1744</v>
      </c>
      <c r="C84" s="37" t="s">
        <v>243</v>
      </c>
      <c r="D84" s="37" t="s">
        <v>243</v>
      </c>
      <c r="E84" s="49">
        <v>1</v>
      </c>
      <c r="F84" s="49">
        <v>1</v>
      </c>
      <c r="G84" s="50"/>
      <c r="H84" s="50">
        <v>26400</v>
      </c>
      <c r="I84" s="37" t="s">
        <v>245</v>
      </c>
      <c r="J84" s="37" t="s">
        <v>245</v>
      </c>
      <c r="K84" s="41" t="s">
        <v>2400</v>
      </c>
    </row>
    <row r="85" spans="1:11" ht="28.8" x14ac:dyDescent="0.3">
      <c r="A85" s="43" t="s">
        <v>2478</v>
      </c>
      <c r="B85" s="38" t="s">
        <v>1747</v>
      </c>
      <c r="C85" s="38" t="s">
        <v>243</v>
      </c>
      <c r="D85" s="38" t="s">
        <v>243</v>
      </c>
      <c r="E85" s="51">
        <v>1</v>
      </c>
      <c r="F85" s="51">
        <v>1</v>
      </c>
      <c r="G85" s="52"/>
      <c r="H85" s="52">
        <v>250</v>
      </c>
      <c r="I85" s="38" t="s">
        <v>245</v>
      </c>
      <c r="J85" s="38" t="s">
        <v>245</v>
      </c>
      <c r="K85" s="44" t="s">
        <v>2400</v>
      </c>
    </row>
    <row r="86" spans="1:11" ht="28.8" x14ac:dyDescent="0.3">
      <c r="A86" s="40" t="s">
        <v>2479</v>
      </c>
      <c r="B86" s="37" t="s">
        <v>1768</v>
      </c>
      <c r="C86" s="37" t="s">
        <v>243</v>
      </c>
      <c r="D86" s="37" t="s">
        <v>243</v>
      </c>
      <c r="E86" s="49">
        <v>1</v>
      </c>
      <c r="F86" s="49">
        <v>1</v>
      </c>
      <c r="G86" s="50"/>
      <c r="H86" s="50">
        <v>400</v>
      </c>
      <c r="I86" s="37" t="s">
        <v>245</v>
      </c>
      <c r="J86" s="37" t="s">
        <v>245</v>
      </c>
      <c r="K86" s="41" t="s">
        <v>2400</v>
      </c>
    </row>
    <row r="87" spans="1:11" ht="28.8" x14ac:dyDescent="0.3">
      <c r="A87" s="43" t="s">
        <v>2480</v>
      </c>
      <c r="B87" s="38" t="s">
        <v>1772</v>
      </c>
      <c r="C87" s="38" t="s">
        <v>243</v>
      </c>
      <c r="D87" s="38" t="s">
        <v>243</v>
      </c>
      <c r="E87" s="51">
        <v>1</v>
      </c>
      <c r="F87" s="51">
        <v>1</v>
      </c>
      <c r="G87" s="52"/>
      <c r="H87" s="52">
        <v>470</v>
      </c>
      <c r="I87" s="38" t="s">
        <v>245</v>
      </c>
      <c r="J87" s="38" t="s">
        <v>245</v>
      </c>
      <c r="K87" s="44" t="s">
        <v>2400</v>
      </c>
    </row>
    <row r="88" spans="1:11" ht="28.8" x14ac:dyDescent="0.3">
      <c r="A88" s="40" t="s">
        <v>2481</v>
      </c>
      <c r="B88" s="37" t="s">
        <v>1775</v>
      </c>
      <c r="C88" s="37" t="s">
        <v>243</v>
      </c>
      <c r="D88" s="37" t="s">
        <v>243</v>
      </c>
      <c r="E88" s="49">
        <v>1</v>
      </c>
      <c r="F88" s="49">
        <v>1</v>
      </c>
      <c r="G88" s="50"/>
      <c r="H88" s="50">
        <v>900</v>
      </c>
      <c r="I88" s="37" t="s">
        <v>245</v>
      </c>
      <c r="J88" s="37" t="s">
        <v>245</v>
      </c>
      <c r="K88" s="41" t="s">
        <v>2400</v>
      </c>
    </row>
    <row r="89" spans="1:11" ht="28.8" x14ac:dyDescent="0.3">
      <c r="A89" s="43" t="s">
        <v>2482</v>
      </c>
      <c r="B89" s="38" t="s">
        <v>1779</v>
      </c>
      <c r="C89" s="38" t="s">
        <v>243</v>
      </c>
      <c r="D89" s="38" t="s">
        <v>243</v>
      </c>
      <c r="E89" s="51">
        <v>1</v>
      </c>
      <c r="F89" s="51">
        <v>1</v>
      </c>
      <c r="G89" s="52"/>
      <c r="H89" s="52">
        <v>600</v>
      </c>
      <c r="I89" s="38" t="s">
        <v>245</v>
      </c>
      <c r="J89" s="38" t="s">
        <v>245</v>
      </c>
      <c r="K89" s="44" t="s">
        <v>2400</v>
      </c>
    </row>
    <row r="90" spans="1:11" ht="28.8" x14ac:dyDescent="0.3">
      <c r="A90" s="40" t="s">
        <v>2483</v>
      </c>
      <c r="B90" s="37" t="s">
        <v>1782</v>
      </c>
      <c r="C90" s="37" t="s">
        <v>243</v>
      </c>
      <c r="D90" s="37" t="s">
        <v>243</v>
      </c>
      <c r="E90" s="49">
        <v>1</v>
      </c>
      <c r="F90" s="49">
        <v>1</v>
      </c>
      <c r="G90" s="50"/>
      <c r="H90" s="50">
        <v>800</v>
      </c>
      <c r="I90" s="37" t="s">
        <v>245</v>
      </c>
      <c r="J90" s="37" t="s">
        <v>245</v>
      </c>
      <c r="K90" s="41" t="s">
        <v>2400</v>
      </c>
    </row>
    <row r="91" spans="1:11" ht="28.8" x14ac:dyDescent="0.3">
      <c r="A91" s="43" t="s">
        <v>2484</v>
      </c>
      <c r="B91" s="38" t="s">
        <v>1817</v>
      </c>
      <c r="C91" s="38" t="s">
        <v>243</v>
      </c>
      <c r="D91" s="38" t="s">
        <v>243</v>
      </c>
      <c r="E91" s="51">
        <v>1</v>
      </c>
      <c r="F91" s="51">
        <v>1</v>
      </c>
      <c r="G91" s="52"/>
      <c r="H91" s="52">
        <v>500</v>
      </c>
      <c r="I91" s="38" t="s">
        <v>245</v>
      </c>
      <c r="J91" s="38" t="s">
        <v>245</v>
      </c>
      <c r="K91" s="44" t="s">
        <v>2400</v>
      </c>
    </row>
    <row r="92" spans="1:11" ht="28.8" x14ac:dyDescent="0.3">
      <c r="A92" s="40" t="s">
        <v>2485</v>
      </c>
      <c r="B92" s="37" t="s">
        <v>1820</v>
      </c>
      <c r="C92" s="37" t="s">
        <v>243</v>
      </c>
      <c r="D92" s="37" t="s">
        <v>243</v>
      </c>
      <c r="E92" s="49">
        <v>1</v>
      </c>
      <c r="F92" s="49">
        <v>1</v>
      </c>
      <c r="G92" s="50"/>
      <c r="H92" s="50">
        <v>2000</v>
      </c>
      <c r="I92" s="37" t="s">
        <v>245</v>
      </c>
      <c r="J92" s="37" t="s">
        <v>245</v>
      </c>
      <c r="K92" s="41" t="s">
        <v>2400</v>
      </c>
    </row>
    <row r="93" spans="1:11" ht="28.8" x14ac:dyDescent="0.3">
      <c r="A93" s="43" t="s">
        <v>2486</v>
      </c>
      <c r="B93" s="38" t="s">
        <v>1823</v>
      </c>
      <c r="C93" s="38" t="s">
        <v>243</v>
      </c>
      <c r="D93" s="38" t="s">
        <v>243</v>
      </c>
      <c r="E93" s="51">
        <v>1</v>
      </c>
      <c r="F93" s="51">
        <v>1</v>
      </c>
      <c r="G93" s="52"/>
      <c r="H93" s="52">
        <v>580</v>
      </c>
      <c r="I93" s="38" t="s">
        <v>245</v>
      </c>
      <c r="J93" s="38" t="s">
        <v>245</v>
      </c>
      <c r="K93" s="44" t="s">
        <v>2400</v>
      </c>
    </row>
    <row r="94" spans="1:11" ht="28.8" x14ac:dyDescent="0.3">
      <c r="A94" s="40" t="s">
        <v>2487</v>
      </c>
      <c r="B94" s="37" t="s">
        <v>1827</v>
      </c>
      <c r="C94" s="37" t="s">
        <v>243</v>
      </c>
      <c r="D94" s="37" t="s">
        <v>243</v>
      </c>
      <c r="E94" s="49">
        <v>1</v>
      </c>
      <c r="F94" s="49">
        <v>1</v>
      </c>
      <c r="G94" s="50"/>
      <c r="H94" s="50">
        <v>700</v>
      </c>
      <c r="I94" s="37" t="s">
        <v>245</v>
      </c>
      <c r="J94" s="37" t="s">
        <v>245</v>
      </c>
      <c r="K94" s="41" t="s">
        <v>2400</v>
      </c>
    </row>
    <row r="95" spans="1:11" ht="28.8" x14ac:dyDescent="0.3">
      <c r="A95" s="43" t="s">
        <v>2488</v>
      </c>
      <c r="B95" s="38" t="s">
        <v>1830</v>
      </c>
      <c r="C95" s="38" t="s">
        <v>243</v>
      </c>
      <c r="D95" s="38" t="s">
        <v>243</v>
      </c>
      <c r="E95" s="51">
        <v>1</v>
      </c>
      <c r="F95" s="51">
        <v>1</v>
      </c>
      <c r="G95" s="52"/>
      <c r="H95" s="52">
        <v>2000</v>
      </c>
      <c r="I95" s="38" t="s">
        <v>245</v>
      </c>
      <c r="J95" s="38" t="s">
        <v>245</v>
      </c>
      <c r="K95" s="44" t="s">
        <v>2400</v>
      </c>
    </row>
    <row r="96" spans="1:11" ht="28.8" x14ac:dyDescent="0.3">
      <c r="A96" s="40" t="s">
        <v>2489</v>
      </c>
      <c r="B96" s="37" t="s">
        <v>1842</v>
      </c>
      <c r="C96" s="37" t="s">
        <v>243</v>
      </c>
      <c r="D96" s="37" t="s">
        <v>243</v>
      </c>
      <c r="E96" s="49">
        <v>1</v>
      </c>
      <c r="F96" s="49">
        <v>1</v>
      </c>
      <c r="G96" s="50"/>
      <c r="H96" s="50">
        <v>950</v>
      </c>
      <c r="I96" s="37" t="s">
        <v>245</v>
      </c>
      <c r="J96" s="37" t="s">
        <v>245</v>
      </c>
      <c r="K96" s="41" t="s">
        <v>2400</v>
      </c>
    </row>
    <row r="97" spans="1:11" ht="28.8" x14ac:dyDescent="0.3">
      <c r="A97" s="43" t="s">
        <v>2490</v>
      </c>
      <c r="B97" s="38" t="s">
        <v>1849</v>
      </c>
      <c r="C97" s="38" t="s">
        <v>243</v>
      </c>
      <c r="D97" s="38" t="s">
        <v>243</v>
      </c>
      <c r="E97" s="51">
        <v>1</v>
      </c>
      <c r="F97" s="51">
        <v>1</v>
      </c>
      <c r="G97" s="52"/>
      <c r="H97" s="52">
        <v>150</v>
      </c>
      <c r="I97" s="38" t="s">
        <v>245</v>
      </c>
      <c r="J97" s="38" t="s">
        <v>245</v>
      </c>
      <c r="K97" s="44" t="s">
        <v>2400</v>
      </c>
    </row>
    <row r="98" spans="1:11" ht="28.8" x14ac:dyDescent="0.3">
      <c r="A98" s="40" t="s">
        <v>2491</v>
      </c>
      <c r="B98" s="37" t="s">
        <v>1863</v>
      </c>
      <c r="C98" s="37" t="s">
        <v>323</v>
      </c>
      <c r="D98" s="37" t="s">
        <v>243</v>
      </c>
      <c r="E98" s="49">
        <v>1</v>
      </c>
      <c r="F98" s="49">
        <v>1</v>
      </c>
      <c r="G98" s="50"/>
      <c r="H98" s="50">
        <v>26000</v>
      </c>
      <c r="I98" s="37" t="s">
        <v>245</v>
      </c>
      <c r="J98" s="37" t="s">
        <v>245</v>
      </c>
      <c r="K98" s="41" t="s">
        <v>2400</v>
      </c>
    </row>
    <row r="99" spans="1:11" ht="28.8" x14ac:dyDescent="0.3">
      <c r="A99" s="43" t="s">
        <v>2492</v>
      </c>
      <c r="B99" s="38" t="s">
        <v>1867</v>
      </c>
      <c r="C99" s="38" t="s">
        <v>243</v>
      </c>
      <c r="D99" s="38" t="s">
        <v>243</v>
      </c>
      <c r="E99" s="51">
        <v>1</v>
      </c>
      <c r="F99" s="51">
        <v>1</v>
      </c>
      <c r="G99" s="52"/>
      <c r="H99" s="52">
        <v>10000</v>
      </c>
      <c r="I99" s="38" t="s">
        <v>245</v>
      </c>
      <c r="J99" s="38" t="s">
        <v>245</v>
      </c>
      <c r="K99" s="44" t="s">
        <v>2400</v>
      </c>
    </row>
    <row r="100" spans="1:11" ht="28.8" x14ac:dyDescent="0.3">
      <c r="A100" s="40" t="s">
        <v>2493</v>
      </c>
      <c r="B100" s="37" t="s">
        <v>1870</v>
      </c>
      <c r="C100" s="37" t="s">
        <v>243</v>
      </c>
      <c r="D100" s="37" t="s">
        <v>243</v>
      </c>
      <c r="E100" s="49">
        <v>1</v>
      </c>
      <c r="F100" s="49">
        <v>1</v>
      </c>
      <c r="G100" s="50"/>
      <c r="H100" s="50">
        <v>700</v>
      </c>
      <c r="I100" s="37" t="s">
        <v>245</v>
      </c>
      <c r="J100" s="37" t="s">
        <v>245</v>
      </c>
      <c r="K100" s="41" t="s">
        <v>2400</v>
      </c>
    </row>
    <row r="101" spans="1:11" ht="28.8" x14ac:dyDescent="0.3">
      <c r="A101" s="43" t="s">
        <v>2494</v>
      </c>
      <c r="B101" s="38" t="s">
        <v>1873</v>
      </c>
      <c r="C101" s="38" t="s">
        <v>243</v>
      </c>
      <c r="D101" s="38" t="s">
        <v>243</v>
      </c>
      <c r="E101" s="51">
        <v>1</v>
      </c>
      <c r="F101" s="51">
        <v>1</v>
      </c>
      <c r="G101" s="52"/>
      <c r="H101" s="52">
        <v>30</v>
      </c>
      <c r="I101" s="38" t="s">
        <v>245</v>
      </c>
      <c r="J101" s="38" t="s">
        <v>245</v>
      </c>
      <c r="K101" s="44" t="s">
        <v>2400</v>
      </c>
    </row>
    <row r="102" spans="1:11" ht="28.8" x14ac:dyDescent="0.3">
      <c r="A102" s="40" t="s">
        <v>2495</v>
      </c>
      <c r="B102" s="37" t="s">
        <v>1896</v>
      </c>
      <c r="C102" s="37" t="s">
        <v>284</v>
      </c>
      <c r="D102" s="37" t="s">
        <v>243</v>
      </c>
      <c r="E102" s="49">
        <v>1</v>
      </c>
      <c r="F102" s="49">
        <v>1</v>
      </c>
      <c r="G102" s="50"/>
      <c r="H102" s="50">
        <v>220</v>
      </c>
      <c r="I102" s="37" t="s">
        <v>245</v>
      </c>
      <c r="J102" s="37" t="s">
        <v>245</v>
      </c>
      <c r="K102" s="41" t="s">
        <v>2400</v>
      </c>
    </row>
    <row r="103" spans="1:11" ht="28.8" x14ac:dyDescent="0.3">
      <c r="A103" s="43" t="s">
        <v>2496</v>
      </c>
      <c r="B103" s="38" t="s">
        <v>1937</v>
      </c>
      <c r="C103" s="38" t="s">
        <v>243</v>
      </c>
      <c r="D103" s="38" t="s">
        <v>243</v>
      </c>
      <c r="E103" s="51">
        <v>1</v>
      </c>
      <c r="F103" s="51">
        <v>1</v>
      </c>
      <c r="G103" s="52"/>
      <c r="H103" s="52">
        <v>300</v>
      </c>
      <c r="I103" s="38" t="s">
        <v>245</v>
      </c>
      <c r="J103" s="38" t="s">
        <v>245</v>
      </c>
      <c r="K103" s="44" t="s">
        <v>2400</v>
      </c>
    </row>
    <row r="104" spans="1:11" ht="28.8" x14ac:dyDescent="0.3">
      <c r="A104" s="40" t="s">
        <v>2497</v>
      </c>
      <c r="B104" s="37" t="s">
        <v>1941</v>
      </c>
      <c r="C104" s="37" t="s">
        <v>243</v>
      </c>
      <c r="D104" s="37" t="s">
        <v>243</v>
      </c>
      <c r="E104" s="49">
        <v>1</v>
      </c>
      <c r="F104" s="49">
        <v>1</v>
      </c>
      <c r="G104" s="50"/>
      <c r="H104" s="50">
        <v>3650</v>
      </c>
      <c r="I104" s="37" t="s">
        <v>245</v>
      </c>
      <c r="J104" s="37" t="s">
        <v>245</v>
      </c>
      <c r="K104" s="41" t="s">
        <v>2400</v>
      </c>
    </row>
    <row r="105" spans="1:11" ht="28.8" x14ac:dyDescent="0.3">
      <c r="A105" s="43" t="s">
        <v>2498</v>
      </c>
      <c r="B105" s="38" t="s">
        <v>1949</v>
      </c>
      <c r="C105" s="38" t="s">
        <v>243</v>
      </c>
      <c r="D105" s="38" t="s">
        <v>243</v>
      </c>
      <c r="E105" s="51">
        <v>1</v>
      </c>
      <c r="F105" s="51">
        <v>1</v>
      </c>
      <c r="G105" s="52"/>
      <c r="H105" s="52">
        <v>3800</v>
      </c>
      <c r="I105" s="38" t="s">
        <v>245</v>
      </c>
      <c r="J105" s="38" t="s">
        <v>245</v>
      </c>
      <c r="K105" s="44" t="s">
        <v>2400</v>
      </c>
    </row>
    <row r="106" spans="1:11" ht="28.8" x14ac:dyDescent="0.3">
      <c r="A106" s="40" t="s">
        <v>2499</v>
      </c>
      <c r="B106" s="37" t="s">
        <v>1963</v>
      </c>
      <c r="C106" s="37" t="s">
        <v>243</v>
      </c>
      <c r="D106" s="37" t="s">
        <v>243</v>
      </c>
      <c r="E106" s="49">
        <v>1</v>
      </c>
      <c r="F106" s="49">
        <v>1</v>
      </c>
      <c r="G106" s="50"/>
      <c r="H106" s="50">
        <v>0.01</v>
      </c>
      <c r="I106" s="37" t="s">
        <v>245</v>
      </c>
      <c r="J106" s="37" t="s">
        <v>245</v>
      </c>
      <c r="K106" s="41" t="s">
        <v>2400</v>
      </c>
    </row>
    <row r="107" spans="1:11" ht="28.8" x14ac:dyDescent="0.3">
      <c r="A107" s="43" t="s">
        <v>2500</v>
      </c>
      <c r="B107" s="38" t="s">
        <v>2003</v>
      </c>
      <c r="C107" s="38" t="s">
        <v>243</v>
      </c>
      <c r="D107" s="38" t="s">
        <v>243</v>
      </c>
      <c r="E107" s="51">
        <v>1</v>
      </c>
      <c r="F107" s="51">
        <v>1</v>
      </c>
      <c r="G107" s="52"/>
      <c r="H107" s="52">
        <v>150</v>
      </c>
      <c r="I107" s="38" t="s">
        <v>245</v>
      </c>
      <c r="J107" s="38" t="s">
        <v>245</v>
      </c>
      <c r="K107" s="44" t="s">
        <v>2400</v>
      </c>
    </row>
    <row r="108" spans="1:11" ht="28.8" x14ac:dyDescent="0.3">
      <c r="A108" s="40" t="s">
        <v>2501</v>
      </c>
      <c r="B108" s="37" t="s">
        <v>2006</v>
      </c>
      <c r="C108" s="37" t="s">
        <v>243</v>
      </c>
      <c r="D108" s="37" t="s">
        <v>243</v>
      </c>
      <c r="E108" s="49">
        <v>1</v>
      </c>
      <c r="F108" s="49">
        <v>1</v>
      </c>
      <c r="G108" s="50"/>
      <c r="H108" s="50">
        <v>40</v>
      </c>
      <c r="I108" s="37" t="s">
        <v>245</v>
      </c>
      <c r="J108" s="37" t="s">
        <v>245</v>
      </c>
      <c r="K108" s="41" t="s">
        <v>2400</v>
      </c>
    </row>
    <row r="109" spans="1:11" ht="28.8" x14ac:dyDescent="0.3">
      <c r="A109" s="43" t="s">
        <v>2502</v>
      </c>
      <c r="B109" s="38" t="s">
        <v>2010</v>
      </c>
      <c r="C109" s="38" t="s">
        <v>243</v>
      </c>
      <c r="D109" s="38" t="s">
        <v>243</v>
      </c>
      <c r="E109" s="51">
        <v>1</v>
      </c>
      <c r="F109" s="51">
        <v>1</v>
      </c>
      <c r="G109" s="52"/>
      <c r="H109" s="52">
        <v>180</v>
      </c>
      <c r="I109" s="38" t="s">
        <v>245</v>
      </c>
      <c r="J109" s="38" t="s">
        <v>245</v>
      </c>
      <c r="K109" s="44" t="s">
        <v>2400</v>
      </c>
    </row>
    <row r="110" spans="1:11" ht="28.8" x14ac:dyDescent="0.3">
      <c r="A110" s="40" t="s">
        <v>2503</v>
      </c>
      <c r="B110" s="37" t="s">
        <v>2013</v>
      </c>
      <c r="C110" s="37" t="s">
        <v>243</v>
      </c>
      <c r="D110" s="37" t="s">
        <v>243</v>
      </c>
      <c r="E110" s="49">
        <v>1</v>
      </c>
      <c r="F110" s="49">
        <v>1</v>
      </c>
      <c r="G110" s="50"/>
      <c r="H110" s="50">
        <v>600</v>
      </c>
      <c r="I110" s="37" t="s">
        <v>245</v>
      </c>
      <c r="J110" s="37" t="s">
        <v>245</v>
      </c>
      <c r="K110" s="41" t="s">
        <v>2400</v>
      </c>
    </row>
    <row r="111" spans="1:11" ht="28.8" x14ac:dyDescent="0.3">
      <c r="A111" s="43" t="s">
        <v>2504</v>
      </c>
      <c r="B111" s="38" t="s">
        <v>2017</v>
      </c>
      <c r="C111" s="38" t="s">
        <v>323</v>
      </c>
      <c r="D111" s="38" t="s">
        <v>243</v>
      </c>
      <c r="E111" s="51">
        <v>1</v>
      </c>
      <c r="F111" s="51">
        <v>1</v>
      </c>
      <c r="G111" s="52"/>
      <c r="H111" s="52">
        <v>80</v>
      </c>
      <c r="I111" s="38" t="s">
        <v>245</v>
      </c>
      <c r="J111" s="38" t="s">
        <v>245</v>
      </c>
      <c r="K111" s="44" t="s">
        <v>2400</v>
      </c>
    </row>
    <row r="112" spans="1:11" ht="28.8" x14ac:dyDescent="0.3">
      <c r="A112" s="40" t="s">
        <v>2505</v>
      </c>
      <c r="B112" s="37" t="s">
        <v>2038</v>
      </c>
      <c r="C112" s="37" t="s">
        <v>243</v>
      </c>
      <c r="D112" s="37" t="s">
        <v>243</v>
      </c>
      <c r="E112" s="49">
        <v>1</v>
      </c>
      <c r="F112" s="49">
        <v>1</v>
      </c>
      <c r="G112" s="50"/>
      <c r="H112" s="50">
        <v>2700</v>
      </c>
      <c r="I112" s="37" t="s">
        <v>245</v>
      </c>
      <c r="J112" s="37" t="s">
        <v>245</v>
      </c>
      <c r="K112" s="41" t="s">
        <v>2400</v>
      </c>
    </row>
    <row r="113" spans="1:11" ht="28.8" x14ac:dyDescent="0.3">
      <c r="A113" s="43" t="s">
        <v>2506</v>
      </c>
      <c r="B113" s="38" t="s">
        <v>2042</v>
      </c>
      <c r="C113" s="38" t="s">
        <v>243</v>
      </c>
      <c r="D113" s="38" t="s">
        <v>243</v>
      </c>
      <c r="E113" s="51">
        <v>1</v>
      </c>
      <c r="F113" s="51">
        <v>1</v>
      </c>
      <c r="G113" s="52"/>
      <c r="H113" s="52">
        <v>1150</v>
      </c>
      <c r="I113" s="38" t="s">
        <v>245</v>
      </c>
      <c r="J113" s="38" t="s">
        <v>245</v>
      </c>
      <c r="K113" s="44" t="s">
        <v>2400</v>
      </c>
    </row>
    <row r="114" spans="1:11" ht="28.8" x14ac:dyDescent="0.3">
      <c r="A114" s="40" t="s">
        <v>2507</v>
      </c>
      <c r="B114" s="37" t="s">
        <v>2046</v>
      </c>
      <c r="C114" s="37" t="s">
        <v>243</v>
      </c>
      <c r="D114" s="37" t="s">
        <v>243</v>
      </c>
      <c r="E114" s="49">
        <v>1</v>
      </c>
      <c r="F114" s="49">
        <v>1</v>
      </c>
      <c r="G114" s="50"/>
      <c r="H114" s="50">
        <v>1900</v>
      </c>
      <c r="I114" s="37" t="s">
        <v>245</v>
      </c>
      <c r="J114" s="37" t="s">
        <v>245</v>
      </c>
      <c r="K114" s="41" t="s">
        <v>2400</v>
      </c>
    </row>
    <row r="115" spans="1:11" ht="28.8" x14ac:dyDescent="0.3">
      <c r="A115" s="43" t="s">
        <v>2508</v>
      </c>
      <c r="B115" s="38" t="s">
        <v>2049</v>
      </c>
      <c r="C115" s="38" t="s">
        <v>243</v>
      </c>
      <c r="D115" s="38" t="s">
        <v>243</v>
      </c>
      <c r="E115" s="51">
        <v>1</v>
      </c>
      <c r="F115" s="51">
        <v>1</v>
      </c>
      <c r="G115" s="52"/>
      <c r="H115" s="52">
        <v>1400</v>
      </c>
      <c r="I115" s="38" t="s">
        <v>245</v>
      </c>
      <c r="J115" s="38" t="s">
        <v>245</v>
      </c>
      <c r="K115" s="44" t="s">
        <v>2400</v>
      </c>
    </row>
    <row r="116" spans="1:11" ht="28.8" x14ac:dyDescent="0.3">
      <c r="A116" s="40" t="s">
        <v>2509</v>
      </c>
      <c r="B116" s="37" t="s">
        <v>2052</v>
      </c>
      <c r="C116" s="37" t="s">
        <v>243</v>
      </c>
      <c r="D116" s="37" t="s">
        <v>243</v>
      </c>
      <c r="E116" s="49">
        <v>1</v>
      </c>
      <c r="F116" s="49">
        <v>1</v>
      </c>
      <c r="G116" s="50"/>
      <c r="H116" s="50">
        <v>900</v>
      </c>
      <c r="I116" s="37" t="s">
        <v>245</v>
      </c>
      <c r="J116" s="37" t="s">
        <v>245</v>
      </c>
      <c r="K116" s="41" t="s">
        <v>2400</v>
      </c>
    </row>
    <row r="117" spans="1:11" ht="28.8" x14ac:dyDescent="0.3">
      <c r="A117" s="43" t="s">
        <v>2510</v>
      </c>
      <c r="B117" s="38" t="s">
        <v>2055</v>
      </c>
      <c r="C117" s="38" t="s">
        <v>243</v>
      </c>
      <c r="D117" s="38" t="s">
        <v>243</v>
      </c>
      <c r="E117" s="51">
        <v>1</v>
      </c>
      <c r="F117" s="51">
        <v>1</v>
      </c>
      <c r="G117" s="52"/>
      <c r="H117" s="52">
        <v>1400</v>
      </c>
      <c r="I117" s="38" t="s">
        <v>245</v>
      </c>
      <c r="J117" s="38" t="s">
        <v>245</v>
      </c>
      <c r="K117" s="44" t="s">
        <v>2400</v>
      </c>
    </row>
    <row r="118" spans="1:11" ht="28.8" x14ac:dyDescent="0.3">
      <c r="A118" s="40" t="s">
        <v>2511</v>
      </c>
      <c r="B118" s="37" t="s">
        <v>2058</v>
      </c>
      <c r="C118" s="37" t="s">
        <v>243</v>
      </c>
      <c r="D118" s="37" t="s">
        <v>243</v>
      </c>
      <c r="E118" s="49">
        <v>1</v>
      </c>
      <c r="F118" s="49">
        <v>1</v>
      </c>
      <c r="G118" s="50"/>
      <c r="H118" s="50">
        <v>350</v>
      </c>
      <c r="I118" s="37" t="s">
        <v>245</v>
      </c>
      <c r="J118" s="37" t="s">
        <v>245</v>
      </c>
      <c r="K118" s="41" t="s">
        <v>2400</v>
      </c>
    </row>
    <row r="119" spans="1:11" ht="28.8" x14ac:dyDescent="0.3">
      <c r="A119" s="43" t="s">
        <v>2512</v>
      </c>
      <c r="B119" s="38" t="s">
        <v>2062</v>
      </c>
      <c r="C119" s="38" t="s">
        <v>243</v>
      </c>
      <c r="D119" s="38" t="s">
        <v>243</v>
      </c>
      <c r="E119" s="51">
        <v>1</v>
      </c>
      <c r="F119" s="51">
        <v>1</v>
      </c>
      <c r="G119" s="52"/>
      <c r="H119" s="52">
        <v>100</v>
      </c>
      <c r="I119" s="38" t="s">
        <v>245</v>
      </c>
      <c r="J119" s="38" t="s">
        <v>245</v>
      </c>
      <c r="K119" s="44" t="s">
        <v>2400</v>
      </c>
    </row>
    <row r="120" spans="1:11" ht="28.8" x14ac:dyDescent="0.3">
      <c r="A120" s="40" t="s">
        <v>2513</v>
      </c>
      <c r="B120" s="37" t="s">
        <v>2065</v>
      </c>
      <c r="C120" s="37" t="s">
        <v>243</v>
      </c>
      <c r="D120" s="37" t="s">
        <v>243</v>
      </c>
      <c r="E120" s="49">
        <v>1</v>
      </c>
      <c r="F120" s="49">
        <v>1</v>
      </c>
      <c r="G120" s="50"/>
      <c r="H120" s="50">
        <v>250</v>
      </c>
      <c r="I120" s="37" t="s">
        <v>245</v>
      </c>
      <c r="J120" s="37" t="s">
        <v>245</v>
      </c>
      <c r="K120" s="41" t="s">
        <v>2400</v>
      </c>
    </row>
    <row r="121" spans="1:11" ht="28.8" x14ac:dyDescent="0.3">
      <c r="A121" s="43" t="s">
        <v>2514</v>
      </c>
      <c r="B121" s="38" t="s">
        <v>2067</v>
      </c>
      <c r="C121" s="38" t="s">
        <v>243</v>
      </c>
      <c r="D121" s="38" t="s">
        <v>243</v>
      </c>
      <c r="E121" s="51">
        <v>1</v>
      </c>
      <c r="F121" s="51">
        <v>1</v>
      </c>
      <c r="G121" s="52"/>
      <c r="H121" s="52">
        <v>680</v>
      </c>
      <c r="I121" s="38" t="s">
        <v>245</v>
      </c>
      <c r="J121" s="38" t="s">
        <v>245</v>
      </c>
      <c r="K121" s="44" t="s">
        <v>2400</v>
      </c>
    </row>
    <row r="122" spans="1:11" ht="28.8" x14ac:dyDescent="0.3">
      <c r="A122" s="40" t="s">
        <v>2515</v>
      </c>
      <c r="B122" s="37" t="s">
        <v>2071</v>
      </c>
      <c r="C122" s="37" t="s">
        <v>243</v>
      </c>
      <c r="D122" s="37" t="s">
        <v>243</v>
      </c>
      <c r="E122" s="49">
        <v>1</v>
      </c>
      <c r="F122" s="49">
        <v>1</v>
      </c>
      <c r="G122" s="50"/>
      <c r="H122" s="50">
        <v>195</v>
      </c>
      <c r="I122" s="37" t="s">
        <v>245</v>
      </c>
      <c r="J122" s="37" t="s">
        <v>245</v>
      </c>
      <c r="K122" s="41" t="s">
        <v>2400</v>
      </c>
    </row>
    <row r="123" spans="1:11" ht="28.8" x14ac:dyDescent="0.3">
      <c r="A123" s="43" t="s">
        <v>2516</v>
      </c>
      <c r="B123" s="38" t="s">
        <v>2075</v>
      </c>
      <c r="C123" s="38" t="s">
        <v>243</v>
      </c>
      <c r="D123" s="38" t="s">
        <v>243</v>
      </c>
      <c r="E123" s="51">
        <v>1</v>
      </c>
      <c r="F123" s="51">
        <v>1</v>
      </c>
      <c r="G123" s="52"/>
      <c r="H123" s="52">
        <v>208</v>
      </c>
      <c r="I123" s="38" t="s">
        <v>245</v>
      </c>
      <c r="J123" s="38" t="s">
        <v>245</v>
      </c>
      <c r="K123" s="44" t="s">
        <v>2400</v>
      </c>
    </row>
    <row r="124" spans="1:11" ht="28.8" x14ac:dyDescent="0.3">
      <c r="A124" s="40" t="s">
        <v>2517</v>
      </c>
      <c r="B124" s="37" t="s">
        <v>2078</v>
      </c>
      <c r="C124" s="37" t="s">
        <v>243</v>
      </c>
      <c r="D124" s="37" t="s">
        <v>243</v>
      </c>
      <c r="E124" s="49">
        <v>1</v>
      </c>
      <c r="F124" s="49">
        <v>1</v>
      </c>
      <c r="G124" s="50"/>
      <c r="H124" s="50">
        <v>900</v>
      </c>
      <c r="I124" s="37" t="s">
        <v>245</v>
      </c>
      <c r="J124" s="37" t="s">
        <v>245</v>
      </c>
      <c r="K124" s="41" t="s">
        <v>2400</v>
      </c>
    </row>
    <row r="125" spans="1:11" ht="28.8" x14ac:dyDescent="0.3">
      <c r="A125" s="43" t="s">
        <v>2518</v>
      </c>
      <c r="B125" s="38" t="s">
        <v>2081</v>
      </c>
      <c r="C125" s="38" t="s">
        <v>243</v>
      </c>
      <c r="D125" s="38" t="s">
        <v>243</v>
      </c>
      <c r="E125" s="51">
        <v>1</v>
      </c>
      <c r="F125" s="51">
        <v>1</v>
      </c>
      <c r="G125" s="52"/>
      <c r="H125" s="52">
        <v>6500</v>
      </c>
      <c r="I125" s="38" t="s">
        <v>245</v>
      </c>
      <c r="J125" s="38" t="s">
        <v>245</v>
      </c>
      <c r="K125" s="44" t="s">
        <v>2400</v>
      </c>
    </row>
    <row r="126" spans="1:11" ht="28.8" x14ac:dyDescent="0.3">
      <c r="A126" s="40" t="s">
        <v>2519</v>
      </c>
      <c r="B126" s="37" t="s">
        <v>2085</v>
      </c>
      <c r="C126" s="37" t="s">
        <v>243</v>
      </c>
      <c r="D126" s="37" t="s">
        <v>243</v>
      </c>
      <c r="E126" s="49">
        <v>1</v>
      </c>
      <c r="F126" s="49">
        <v>1</v>
      </c>
      <c r="G126" s="50"/>
      <c r="H126" s="50">
        <v>150</v>
      </c>
      <c r="I126" s="37" t="s">
        <v>245</v>
      </c>
      <c r="J126" s="37" t="s">
        <v>245</v>
      </c>
      <c r="K126" s="41" t="s">
        <v>2400</v>
      </c>
    </row>
    <row r="127" spans="1:11" ht="28.8" x14ac:dyDescent="0.3">
      <c r="A127" s="43" t="s">
        <v>2520</v>
      </c>
      <c r="B127" s="38" t="s">
        <v>2089</v>
      </c>
      <c r="C127" s="38" t="s">
        <v>243</v>
      </c>
      <c r="D127" s="38" t="s">
        <v>243</v>
      </c>
      <c r="E127" s="51">
        <v>1</v>
      </c>
      <c r="F127" s="51">
        <v>1</v>
      </c>
      <c r="G127" s="52"/>
      <c r="H127" s="52">
        <v>860</v>
      </c>
      <c r="I127" s="38" t="s">
        <v>245</v>
      </c>
      <c r="J127" s="38" t="s">
        <v>245</v>
      </c>
      <c r="K127" s="44" t="s">
        <v>2400</v>
      </c>
    </row>
    <row r="128" spans="1:11" ht="28.8" x14ac:dyDescent="0.3">
      <c r="A128" s="40" t="s">
        <v>2521</v>
      </c>
      <c r="B128" s="37" t="s">
        <v>2093</v>
      </c>
      <c r="C128" s="37" t="s">
        <v>243</v>
      </c>
      <c r="D128" s="37" t="s">
        <v>243</v>
      </c>
      <c r="E128" s="49">
        <v>1</v>
      </c>
      <c r="F128" s="49">
        <v>1</v>
      </c>
      <c r="G128" s="50"/>
      <c r="H128" s="50">
        <v>640</v>
      </c>
      <c r="I128" s="37" t="s">
        <v>245</v>
      </c>
      <c r="J128" s="37" t="s">
        <v>245</v>
      </c>
      <c r="K128" s="41" t="s">
        <v>2400</v>
      </c>
    </row>
    <row r="129" spans="1:11" ht="28.8" x14ac:dyDescent="0.3">
      <c r="A129" s="43" t="s">
        <v>2522</v>
      </c>
      <c r="B129" s="38" t="s">
        <v>2097</v>
      </c>
      <c r="C129" s="38" t="s">
        <v>243</v>
      </c>
      <c r="D129" s="38" t="s">
        <v>243</v>
      </c>
      <c r="E129" s="51">
        <v>1</v>
      </c>
      <c r="F129" s="51">
        <v>1</v>
      </c>
      <c r="G129" s="52"/>
      <c r="H129" s="52">
        <v>920</v>
      </c>
      <c r="I129" s="38" t="s">
        <v>245</v>
      </c>
      <c r="J129" s="38" t="s">
        <v>245</v>
      </c>
      <c r="K129" s="44" t="s">
        <v>2400</v>
      </c>
    </row>
    <row r="130" spans="1:11" ht="28.8" x14ac:dyDescent="0.3">
      <c r="A130" s="40" t="s">
        <v>2523</v>
      </c>
      <c r="B130" s="37" t="s">
        <v>2101</v>
      </c>
      <c r="C130" s="37" t="s">
        <v>243</v>
      </c>
      <c r="D130" s="37" t="s">
        <v>243</v>
      </c>
      <c r="E130" s="49">
        <v>1</v>
      </c>
      <c r="F130" s="49">
        <v>1</v>
      </c>
      <c r="G130" s="50"/>
      <c r="H130" s="50">
        <v>500</v>
      </c>
      <c r="I130" s="37" t="s">
        <v>245</v>
      </c>
      <c r="J130" s="37" t="s">
        <v>245</v>
      </c>
      <c r="K130" s="41" t="s">
        <v>2400</v>
      </c>
    </row>
    <row r="131" spans="1:11" ht="28.8" x14ac:dyDescent="0.3">
      <c r="A131" s="43" t="s">
        <v>2524</v>
      </c>
      <c r="B131" s="38" t="s">
        <v>2104</v>
      </c>
      <c r="C131" s="38" t="s">
        <v>243</v>
      </c>
      <c r="D131" s="38" t="s">
        <v>243</v>
      </c>
      <c r="E131" s="51">
        <v>1</v>
      </c>
      <c r="F131" s="51">
        <v>1</v>
      </c>
      <c r="G131" s="52"/>
      <c r="H131" s="52">
        <v>500</v>
      </c>
      <c r="I131" s="38" t="s">
        <v>245</v>
      </c>
      <c r="J131" s="38" t="s">
        <v>245</v>
      </c>
      <c r="K131" s="44" t="s">
        <v>2400</v>
      </c>
    </row>
    <row r="132" spans="1:11" ht="28.8" x14ac:dyDescent="0.3">
      <c r="A132" s="40" t="s">
        <v>2525</v>
      </c>
      <c r="B132" s="37" t="s">
        <v>2108</v>
      </c>
      <c r="C132" s="37" t="s">
        <v>243</v>
      </c>
      <c r="D132" s="37" t="s">
        <v>243</v>
      </c>
      <c r="E132" s="49">
        <v>1</v>
      </c>
      <c r="F132" s="49">
        <v>1</v>
      </c>
      <c r="G132" s="50"/>
      <c r="H132" s="50">
        <v>750</v>
      </c>
      <c r="I132" s="37" t="s">
        <v>245</v>
      </c>
      <c r="J132" s="37" t="s">
        <v>245</v>
      </c>
      <c r="K132" s="41" t="s">
        <v>2400</v>
      </c>
    </row>
    <row r="133" spans="1:11" ht="28.8" x14ac:dyDescent="0.3">
      <c r="A133" s="43" t="s">
        <v>2526</v>
      </c>
      <c r="B133" s="38" t="s">
        <v>2111</v>
      </c>
      <c r="C133" s="38" t="s">
        <v>243</v>
      </c>
      <c r="D133" s="38" t="s">
        <v>243</v>
      </c>
      <c r="E133" s="51">
        <v>1</v>
      </c>
      <c r="F133" s="51">
        <v>1</v>
      </c>
      <c r="G133" s="52"/>
      <c r="H133" s="52">
        <v>1800</v>
      </c>
      <c r="I133" s="38" t="s">
        <v>245</v>
      </c>
      <c r="J133" s="38" t="s">
        <v>245</v>
      </c>
      <c r="K133" s="44" t="s">
        <v>2400</v>
      </c>
    </row>
    <row r="134" spans="1:11" ht="28.8" x14ac:dyDescent="0.3">
      <c r="A134" s="40" t="s">
        <v>2527</v>
      </c>
      <c r="B134" s="37" t="s">
        <v>2114</v>
      </c>
      <c r="C134" s="37" t="s">
        <v>243</v>
      </c>
      <c r="D134" s="37" t="s">
        <v>243</v>
      </c>
      <c r="E134" s="49">
        <v>1</v>
      </c>
      <c r="F134" s="49">
        <v>1</v>
      </c>
      <c r="G134" s="50"/>
      <c r="H134" s="50">
        <v>600</v>
      </c>
      <c r="I134" s="37" t="s">
        <v>245</v>
      </c>
      <c r="J134" s="37" t="s">
        <v>245</v>
      </c>
      <c r="K134" s="41" t="s">
        <v>2400</v>
      </c>
    </row>
    <row r="135" spans="1:11" ht="28.8" x14ac:dyDescent="0.3">
      <c r="A135" s="43" t="s">
        <v>2528</v>
      </c>
      <c r="B135" s="38" t="s">
        <v>2117</v>
      </c>
      <c r="C135" s="38" t="s">
        <v>243</v>
      </c>
      <c r="D135" s="38" t="s">
        <v>243</v>
      </c>
      <c r="E135" s="51">
        <v>1</v>
      </c>
      <c r="F135" s="51">
        <v>1</v>
      </c>
      <c r="G135" s="52"/>
      <c r="H135" s="52">
        <v>70</v>
      </c>
      <c r="I135" s="38" t="s">
        <v>245</v>
      </c>
      <c r="J135" s="38" t="s">
        <v>245</v>
      </c>
      <c r="K135" s="44" t="s">
        <v>2400</v>
      </c>
    </row>
    <row r="136" spans="1:11" ht="28.8" x14ac:dyDescent="0.3">
      <c r="A136" s="40" t="s">
        <v>2529</v>
      </c>
      <c r="B136" s="37" t="s">
        <v>2121</v>
      </c>
      <c r="C136" s="37" t="s">
        <v>243</v>
      </c>
      <c r="D136" s="37" t="s">
        <v>243</v>
      </c>
      <c r="E136" s="49">
        <v>1</v>
      </c>
      <c r="F136" s="49">
        <v>1</v>
      </c>
      <c r="G136" s="50"/>
      <c r="H136" s="50">
        <v>230</v>
      </c>
      <c r="I136" s="37" t="s">
        <v>245</v>
      </c>
      <c r="J136" s="37" t="s">
        <v>245</v>
      </c>
      <c r="K136" s="41" t="s">
        <v>2400</v>
      </c>
    </row>
    <row r="137" spans="1:11" ht="28.8" x14ac:dyDescent="0.3">
      <c r="A137" s="43" t="s">
        <v>2530</v>
      </c>
      <c r="B137" s="38" t="s">
        <v>2124</v>
      </c>
      <c r="C137" s="38" t="s">
        <v>243</v>
      </c>
      <c r="D137" s="38" t="s">
        <v>243</v>
      </c>
      <c r="E137" s="51">
        <v>1</v>
      </c>
      <c r="F137" s="51">
        <v>1</v>
      </c>
      <c r="G137" s="52"/>
      <c r="H137" s="52">
        <v>220</v>
      </c>
      <c r="I137" s="38" t="s">
        <v>245</v>
      </c>
      <c r="J137" s="38" t="s">
        <v>245</v>
      </c>
      <c r="K137" s="44" t="s">
        <v>2400</v>
      </c>
    </row>
    <row r="138" spans="1:11" ht="28.8" x14ac:dyDescent="0.3">
      <c r="A138" s="40" t="s">
        <v>2531</v>
      </c>
      <c r="B138" s="37" t="s">
        <v>2128</v>
      </c>
      <c r="C138" s="37" t="s">
        <v>243</v>
      </c>
      <c r="D138" s="37" t="s">
        <v>243</v>
      </c>
      <c r="E138" s="49">
        <v>1</v>
      </c>
      <c r="F138" s="49">
        <v>1</v>
      </c>
      <c r="G138" s="50"/>
      <c r="H138" s="50">
        <v>200</v>
      </c>
      <c r="I138" s="37" t="s">
        <v>245</v>
      </c>
      <c r="J138" s="37" t="s">
        <v>245</v>
      </c>
      <c r="K138" s="41" t="s">
        <v>2400</v>
      </c>
    </row>
    <row r="139" spans="1:11" ht="28.8" x14ac:dyDescent="0.3">
      <c r="A139" s="43" t="s">
        <v>2532</v>
      </c>
      <c r="B139" s="38" t="s">
        <v>2132</v>
      </c>
      <c r="C139" s="38" t="s">
        <v>243</v>
      </c>
      <c r="D139" s="38" t="s">
        <v>243</v>
      </c>
      <c r="E139" s="51">
        <v>1</v>
      </c>
      <c r="F139" s="51">
        <v>1</v>
      </c>
      <c r="G139" s="52"/>
      <c r="H139" s="52">
        <v>130</v>
      </c>
      <c r="I139" s="38" t="s">
        <v>245</v>
      </c>
      <c r="J139" s="38" t="s">
        <v>245</v>
      </c>
      <c r="K139" s="44" t="s">
        <v>2400</v>
      </c>
    </row>
    <row r="140" spans="1:11" ht="28.8" x14ac:dyDescent="0.3">
      <c r="A140" s="40" t="s">
        <v>2533</v>
      </c>
      <c r="B140" s="37" t="s">
        <v>2136</v>
      </c>
      <c r="C140" s="37" t="s">
        <v>243</v>
      </c>
      <c r="D140" s="37" t="s">
        <v>243</v>
      </c>
      <c r="E140" s="49">
        <v>1</v>
      </c>
      <c r="F140" s="49">
        <v>1</v>
      </c>
      <c r="G140" s="50"/>
      <c r="H140" s="50">
        <v>289</v>
      </c>
      <c r="I140" s="37" t="s">
        <v>245</v>
      </c>
      <c r="J140" s="37" t="s">
        <v>245</v>
      </c>
      <c r="K140" s="41" t="s">
        <v>2400</v>
      </c>
    </row>
    <row r="141" spans="1:11" ht="28.8" x14ac:dyDescent="0.3">
      <c r="A141" s="43" t="s">
        <v>2534</v>
      </c>
      <c r="B141" s="38" t="s">
        <v>2139</v>
      </c>
      <c r="C141" s="38" t="s">
        <v>243</v>
      </c>
      <c r="D141" s="38" t="s">
        <v>243</v>
      </c>
      <c r="E141" s="51">
        <v>1</v>
      </c>
      <c r="F141" s="51">
        <v>1</v>
      </c>
      <c r="G141" s="52"/>
      <c r="H141" s="52">
        <v>480</v>
      </c>
      <c r="I141" s="38" t="s">
        <v>245</v>
      </c>
      <c r="J141" s="38" t="s">
        <v>245</v>
      </c>
      <c r="K141" s="44" t="s">
        <v>2400</v>
      </c>
    </row>
    <row r="142" spans="1:11" ht="28.8" x14ac:dyDescent="0.3">
      <c r="A142" s="40" t="s">
        <v>2535</v>
      </c>
      <c r="B142" s="37" t="s">
        <v>2142</v>
      </c>
      <c r="C142" s="37" t="s">
        <v>243</v>
      </c>
      <c r="D142" s="37" t="s">
        <v>243</v>
      </c>
      <c r="E142" s="49">
        <v>1</v>
      </c>
      <c r="F142" s="49">
        <v>1</v>
      </c>
      <c r="G142" s="50"/>
      <c r="H142" s="50">
        <v>400</v>
      </c>
      <c r="I142" s="37" t="s">
        <v>245</v>
      </c>
      <c r="J142" s="37" t="s">
        <v>245</v>
      </c>
      <c r="K142" s="41" t="s">
        <v>2400</v>
      </c>
    </row>
    <row r="143" spans="1:11" ht="28.8" x14ac:dyDescent="0.3">
      <c r="A143" s="43" t="s">
        <v>2536</v>
      </c>
      <c r="B143" s="38" t="s">
        <v>2146</v>
      </c>
      <c r="C143" s="38" t="s">
        <v>243</v>
      </c>
      <c r="D143" s="38" t="s">
        <v>243</v>
      </c>
      <c r="E143" s="51">
        <v>1</v>
      </c>
      <c r="F143" s="51">
        <v>1</v>
      </c>
      <c r="G143" s="52"/>
      <c r="H143" s="52">
        <v>510</v>
      </c>
      <c r="I143" s="38" t="s">
        <v>245</v>
      </c>
      <c r="J143" s="38" t="s">
        <v>245</v>
      </c>
      <c r="K143" s="44" t="s">
        <v>2400</v>
      </c>
    </row>
    <row r="144" spans="1:11" ht="28.8" x14ac:dyDescent="0.3">
      <c r="A144" s="40" t="s">
        <v>2537</v>
      </c>
      <c r="B144" s="37" t="s">
        <v>2149</v>
      </c>
      <c r="C144" s="37" t="s">
        <v>243</v>
      </c>
      <c r="D144" s="37" t="s">
        <v>243</v>
      </c>
      <c r="E144" s="49">
        <v>1</v>
      </c>
      <c r="F144" s="49">
        <v>1</v>
      </c>
      <c r="G144" s="50"/>
      <c r="H144" s="50">
        <v>700</v>
      </c>
      <c r="I144" s="37" t="s">
        <v>245</v>
      </c>
      <c r="J144" s="37" t="s">
        <v>245</v>
      </c>
      <c r="K144" s="41" t="s">
        <v>2400</v>
      </c>
    </row>
    <row r="145" spans="1:11" ht="28.8" x14ac:dyDescent="0.3">
      <c r="A145" s="43" t="s">
        <v>2538</v>
      </c>
      <c r="B145" s="38" t="s">
        <v>2152</v>
      </c>
      <c r="C145" s="38" t="s">
        <v>243</v>
      </c>
      <c r="D145" s="38" t="s">
        <v>243</v>
      </c>
      <c r="E145" s="51">
        <v>1</v>
      </c>
      <c r="F145" s="51">
        <v>1</v>
      </c>
      <c r="G145" s="52"/>
      <c r="H145" s="52">
        <v>120</v>
      </c>
      <c r="I145" s="38" t="s">
        <v>245</v>
      </c>
      <c r="J145" s="38" t="s">
        <v>245</v>
      </c>
      <c r="K145" s="44" t="s">
        <v>2400</v>
      </c>
    </row>
    <row r="146" spans="1:11" ht="28.8" x14ac:dyDescent="0.3">
      <c r="A146" s="40" t="s">
        <v>2539</v>
      </c>
      <c r="B146" s="37" t="s">
        <v>2156</v>
      </c>
      <c r="C146" s="37" t="s">
        <v>243</v>
      </c>
      <c r="D146" s="37" t="s">
        <v>243</v>
      </c>
      <c r="E146" s="49">
        <v>1</v>
      </c>
      <c r="F146" s="49">
        <v>1</v>
      </c>
      <c r="G146" s="50"/>
      <c r="H146" s="50">
        <v>165</v>
      </c>
      <c r="I146" s="37" t="s">
        <v>245</v>
      </c>
      <c r="J146" s="37" t="s">
        <v>245</v>
      </c>
      <c r="K146" s="41" t="s">
        <v>2400</v>
      </c>
    </row>
    <row r="147" spans="1:11" ht="28.8" x14ac:dyDescent="0.3">
      <c r="A147" s="43" t="s">
        <v>2540</v>
      </c>
      <c r="B147" s="38" t="s">
        <v>2160</v>
      </c>
      <c r="C147" s="38" t="s">
        <v>243</v>
      </c>
      <c r="D147" s="38" t="s">
        <v>243</v>
      </c>
      <c r="E147" s="51">
        <v>1</v>
      </c>
      <c r="F147" s="51">
        <v>1</v>
      </c>
      <c r="G147" s="52"/>
      <c r="H147" s="52">
        <v>198</v>
      </c>
      <c r="I147" s="38" t="s">
        <v>245</v>
      </c>
      <c r="J147" s="38" t="s">
        <v>245</v>
      </c>
      <c r="K147" s="44" t="s">
        <v>2400</v>
      </c>
    </row>
    <row r="148" spans="1:11" ht="28.8" x14ac:dyDescent="0.3">
      <c r="A148" s="40" t="s">
        <v>2541</v>
      </c>
      <c r="B148" s="37" t="s">
        <v>2164</v>
      </c>
      <c r="C148" s="37" t="s">
        <v>243</v>
      </c>
      <c r="D148" s="37" t="s">
        <v>243</v>
      </c>
      <c r="E148" s="49">
        <v>1</v>
      </c>
      <c r="F148" s="49">
        <v>1</v>
      </c>
      <c r="G148" s="50"/>
      <c r="H148" s="50">
        <v>253</v>
      </c>
      <c r="I148" s="37" t="s">
        <v>245</v>
      </c>
      <c r="J148" s="37" t="s">
        <v>245</v>
      </c>
      <c r="K148" s="41" t="s">
        <v>2400</v>
      </c>
    </row>
    <row r="149" spans="1:11" ht="28.8" x14ac:dyDescent="0.3">
      <c r="A149" s="43" t="s">
        <v>2542</v>
      </c>
      <c r="B149" s="38" t="s">
        <v>2168</v>
      </c>
      <c r="C149" s="38" t="s">
        <v>243</v>
      </c>
      <c r="D149" s="38" t="s">
        <v>243</v>
      </c>
      <c r="E149" s="51">
        <v>1</v>
      </c>
      <c r="F149" s="51">
        <v>1</v>
      </c>
      <c r="G149" s="52"/>
      <c r="H149" s="52">
        <v>275</v>
      </c>
      <c r="I149" s="38" t="s">
        <v>245</v>
      </c>
      <c r="J149" s="38" t="s">
        <v>245</v>
      </c>
      <c r="K149" s="44" t="s">
        <v>2400</v>
      </c>
    </row>
    <row r="150" spans="1:11" ht="28.8" x14ac:dyDescent="0.3">
      <c r="A150" s="40" t="s">
        <v>2543</v>
      </c>
      <c r="B150" s="37" t="s">
        <v>2171</v>
      </c>
      <c r="C150" s="37" t="s">
        <v>243</v>
      </c>
      <c r="D150" s="37" t="s">
        <v>243</v>
      </c>
      <c r="E150" s="49">
        <v>1</v>
      </c>
      <c r="F150" s="49">
        <v>1</v>
      </c>
      <c r="G150" s="50"/>
      <c r="H150" s="50">
        <v>330</v>
      </c>
      <c r="I150" s="37" t="s">
        <v>245</v>
      </c>
      <c r="J150" s="37" t="s">
        <v>245</v>
      </c>
      <c r="K150" s="41" t="s">
        <v>2400</v>
      </c>
    </row>
    <row r="151" spans="1:11" ht="28.8" x14ac:dyDescent="0.3">
      <c r="A151" s="43" t="s">
        <v>2544</v>
      </c>
      <c r="B151" s="38" t="s">
        <v>2175</v>
      </c>
      <c r="C151" s="38" t="s">
        <v>243</v>
      </c>
      <c r="D151" s="38" t="s">
        <v>243</v>
      </c>
      <c r="E151" s="51">
        <v>1</v>
      </c>
      <c r="F151" s="51">
        <v>1</v>
      </c>
      <c r="G151" s="52"/>
      <c r="H151" s="52">
        <v>660</v>
      </c>
      <c r="I151" s="38" t="s">
        <v>245</v>
      </c>
      <c r="J151" s="38" t="s">
        <v>245</v>
      </c>
      <c r="K151" s="44" t="s">
        <v>2400</v>
      </c>
    </row>
    <row r="152" spans="1:11" ht="28.8" x14ac:dyDescent="0.3">
      <c r="A152" s="40" t="s">
        <v>2545</v>
      </c>
      <c r="B152" s="37" t="s">
        <v>2178</v>
      </c>
      <c r="C152" s="37" t="s">
        <v>243</v>
      </c>
      <c r="D152" s="37" t="s">
        <v>243</v>
      </c>
      <c r="E152" s="49">
        <v>1</v>
      </c>
      <c r="F152" s="49">
        <v>1</v>
      </c>
      <c r="G152" s="50"/>
      <c r="H152" s="50">
        <v>60</v>
      </c>
      <c r="I152" s="37" t="s">
        <v>245</v>
      </c>
      <c r="J152" s="37" t="s">
        <v>245</v>
      </c>
      <c r="K152" s="41" t="s">
        <v>2400</v>
      </c>
    </row>
    <row r="153" spans="1:11" ht="28.8" x14ac:dyDescent="0.3">
      <c r="A153" s="43" t="s">
        <v>2546</v>
      </c>
      <c r="B153" s="38" t="s">
        <v>2181</v>
      </c>
      <c r="C153" s="38" t="s">
        <v>243</v>
      </c>
      <c r="D153" s="38" t="s">
        <v>243</v>
      </c>
      <c r="E153" s="51">
        <v>1</v>
      </c>
      <c r="F153" s="51">
        <v>1</v>
      </c>
      <c r="G153" s="52"/>
      <c r="H153" s="52">
        <v>260</v>
      </c>
      <c r="I153" s="38" t="s">
        <v>245</v>
      </c>
      <c r="J153" s="38" t="s">
        <v>245</v>
      </c>
      <c r="K153" s="44" t="s">
        <v>2400</v>
      </c>
    </row>
    <row r="154" spans="1:11" ht="28.8" x14ac:dyDescent="0.3">
      <c r="A154" s="40" t="s">
        <v>2547</v>
      </c>
      <c r="B154" s="37" t="s">
        <v>2185</v>
      </c>
      <c r="C154" s="37" t="s">
        <v>243</v>
      </c>
      <c r="D154" s="37" t="s">
        <v>243</v>
      </c>
      <c r="E154" s="49">
        <v>1</v>
      </c>
      <c r="F154" s="49">
        <v>1</v>
      </c>
      <c r="G154" s="50"/>
      <c r="H154" s="50">
        <v>2550</v>
      </c>
      <c r="I154" s="37" t="s">
        <v>245</v>
      </c>
      <c r="J154" s="37" t="s">
        <v>245</v>
      </c>
      <c r="K154" s="41" t="s">
        <v>2400</v>
      </c>
    </row>
    <row r="155" spans="1:11" ht="28.8" x14ac:dyDescent="0.3">
      <c r="A155" s="43" t="s">
        <v>2548</v>
      </c>
      <c r="B155" s="38" t="s">
        <v>2188</v>
      </c>
      <c r="C155" s="38" t="s">
        <v>243</v>
      </c>
      <c r="D155" s="38" t="s">
        <v>243</v>
      </c>
      <c r="E155" s="51">
        <v>1</v>
      </c>
      <c r="F155" s="51">
        <v>1</v>
      </c>
      <c r="G155" s="52"/>
      <c r="H155" s="52">
        <v>900</v>
      </c>
      <c r="I155" s="38" t="s">
        <v>245</v>
      </c>
      <c r="J155" s="38" t="s">
        <v>245</v>
      </c>
      <c r="K155" s="44" t="s">
        <v>2400</v>
      </c>
    </row>
    <row r="156" spans="1:11" ht="28.8" x14ac:dyDescent="0.3">
      <c r="A156" s="40" t="s">
        <v>2549</v>
      </c>
      <c r="B156" s="37" t="s">
        <v>2191</v>
      </c>
      <c r="C156" s="37" t="s">
        <v>243</v>
      </c>
      <c r="D156" s="37" t="s">
        <v>243</v>
      </c>
      <c r="E156" s="49">
        <v>1</v>
      </c>
      <c r="F156" s="49">
        <v>1</v>
      </c>
      <c r="G156" s="50"/>
      <c r="H156" s="50">
        <v>3700</v>
      </c>
      <c r="I156" s="37" t="s">
        <v>245</v>
      </c>
      <c r="J156" s="37" t="s">
        <v>245</v>
      </c>
      <c r="K156" s="41" t="s">
        <v>2400</v>
      </c>
    </row>
    <row r="157" spans="1:11" ht="28.8" x14ac:dyDescent="0.3">
      <c r="A157" s="43" t="s">
        <v>2550</v>
      </c>
      <c r="B157" s="38" t="s">
        <v>2213</v>
      </c>
      <c r="C157" s="38" t="s">
        <v>243</v>
      </c>
      <c r="D157" s="38" t="s">
        <v>243</v>
      </c>
      <c r="E157" s="51">
        <v>1</v>
      </c>
      <c r="F157" s="51">
        <v>1</v>
      </c>
      <c r="G157" s="52"/>
      <c r="H157" s="52">
        <v>950</v>
      </c>
      <c r="I157" s="38" t="s">
        <v>245</v>
      </c>
      <c r="J157" s="38" t="s">
        <v>245</v>
      </c>
      <c r="K157" s="44" t="s">
        <v>2400</v>
      </c>
    </row>
    <row r="158" spans="1:11" ht="28.8" x14ac:dyDescent="0.3">
      <c r="A158" s="40" t="s">
        <v>2551</v>
      </c>
      <c r="B158" s="37" t="s">
        <v>2216</v>
      </c>
      <c r="C158" s="37" t="s">
        <v>243</v>
      </c>
      <c r="D158" s="37" t="s">
        <v>243</v>
      </c>
      <c r="E158" s="49">
        <v>1</v>
      </c>
      <c r="F158" s="49">
        <v>1</v>
      </c>
      <c r="G158" s="50"/>
      <c r="H158" s="50">
        <v>50</v>
      </c>
      <c r="I158" s="37" t="s">
        <v>245</v>
      </c>
      <c r="J158" s="37" t="s">
        <v>245</v>
      </c>
      <c r="K158" s="41" t="s">
        <v>2400</v>
      </c>
    </row>
  </sheetData>
  <autoFilter ref="A1:K158" xr:uid="{00000000-0009-0000-0000-000022000000}"/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R122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4" width="40" customWidth="1"/>
    <col min="5" max="5" width="39" customWidth="1"/>
    <col min="6" max="6" width="30" customWidth="1"/>
    <col min="7" max="7" width="14" customWidth="1"/>
    <col min="8" max="10" width="10" customWidth="1"/>
    <col min="11" max="11" width="21" customWidth="1"/>
    <col min="12" max="12" width="26" customWidth="1"/>
    <col min="13" max="13" width="10" customWidth="1"/>
    <col min="14" max="14" width="31" customWidth="1"/>
    <col min="15" max="15" width="25" customWidth="1"/>
    <col min="16" max="16" width="18" customWidth="1"/>
    <col min="17" max="17" width="32" customWidth="1"/>
    <col min="18" max="18" width="17" customWidth="1"/>
  </cols>
  <sheetData>
    <row r="1" spans="1:18" ht="28.8" x14ac:dyDescent="0.3">
      <c r="A1" s="36" t="s">
        <v>344</v>
      </c>
      <c r="B1" s="36" t="s">
        <v>307</v>
      </c>
      <c r="C1" s="36" t="s">
        <v>485</v>
      </c>
      <c r="D1" s="36" t="s">
        <v>486</v>
      </c>
      <c r="E1" s="36" t="s">
        <v>302</v>
      </c>
      <c r="F1" s="36" t="s">
        <v>427</v>
      </c>
      <c r="G1" s="36" t="s">
        <v>428</v>
      </c>
      <c r="H1" s="36" t="s">
        <v>487</v>
      </c>
      <c r="I1" s="36" t="s">
        <v>488</v>
      </c>
      <c r="J1" s="36" t="s">
        <v>489</v>
      </c>
      <c r="K1" s="36" t="s">
        <v>266</v>
      </c>
      <c r="L1" s="36" t="s">
        <v>490</v>
      </c>
      <c r="M1" s="36" t="s">
        <v>436</v>
      </c>
      <c r="N1" s="36" t="s">
        <v>116</v>
      </c>
      <c r="O1" s="36" t="s">
        <v>377</v>
      </c>
      <c r="P1" s="36" t="s">
        <v>491</v>
      </c>
      <c r="Q1" s="36" t="s">
        <v>492</v>
      </c>
      <c r="R1" s="36" t="s">
        <v>437</v>
      </c>
    </row>
    <row r="2" spans="1:18" x14ac:dyDescent="0.3">
      <c r="A2" s="37" t="s">
        <v>1043</v>
      </c>
      <c r="B2" s="37" t="s">
        <v>2552</v>
      </c>
      <c r="C2" s="37" t="s">
        <v>1040</v>
      </c>
      <c r="D2" s="37" t="s">
        <v>1040</v>
      </c>
      <c r="E2" s="37" t="s">
        <v>239</v>
      </c>
      <c r="F2" s="37" t="s">
        <v>252</v>
      </c>
      <c r="G2" s="37" t="s">
        <v>282</v>
      </c>
      <c r="H2" s="37" t="s">
        <v>241</v>
      </c>
      <c r="I2" s="53">
        <v>50</v>
      </c>
      <c r="J2" s="53">
        <v>100</v>
      </c>
      <c r="K2" s="37" t="s">
        <v>252</v>
      </c>
      <c r="L2" s="37" t="s">
        <v>242</v>
      </c>
      <c r="M2" s="37" t="s">
        <v>245</v>
      </c>
      <c r="N2" s="41" t="s">
        <v>2553</v>
      </c>
      <c r="O2" s="37" t="s">
        <v>2554</v>
      </c>
      <c r="P2" s="49">
        <v>1.05</v>
      </c>
      <c r="Q2" s="37" t="s">
        <v>2555</v>
      </c>
      <c r="R2" s="37" t="s">
        <v>245</v>
      </c>
    </row>
    <row r="3" spans="1:18" ht="43.2" x14ac:dyDescent="0.3">
      <c r="A3" s="38" t="s">
        <v>1050</v>
      </c>
      <c r="B3" s="38" t="s">
        <v>2556</v>
      </c>
      <c r="C3" s="38" t="s">
        <v>1045</v>
      </c>
      <c r="D3" s="38" t="s">
        <v>1045</v>
      </c>
      <c r="E3" s="38" t="s">
        <v>281</v>
      </c>
      <c r="F3" s="38" t="s">
        <v>1049</v>
      </c>
      <c r="G3" s="38" t="s">
        <v>282</v>
      </c>
      <c r="H3" s="38" t="s">
        <v>306</v>
      </c>
      <c r="I3" s="54"/>
      <c r="J3" s="54"/>
      <c r="K3" s="38" t="s">
        <v>330</v>
      </c>
      <c r="L3" s="38" t="s">
        <v>242</v>
      </c>
      <c r="M3" s="38" t="s">
        <v>245</v>
      </c>
      <c r="N3" s="44" t="s">
        <v>2553</v>
      </c>
      <c r="O3" s="38" t="s">
        <v>2557</v>
      </c>
      <c r="P3" s="51">
        <v>1.1000000000000001</v>
      </c>
      <c r="Q3" s="38" t="s">
        <v>2555</v>
      </c>
      <c r="R3" s="38" t="s">
        <v>245</v>
      </c>
    </row>
    <row r="4" spans="1:18" x14ac:dyDescent="0.3">
      <c r="A4" s="37" t="s">
        <v>1057</v>
      </c>
      <c r="B4" s="37" t="s">
        <v>2558</v>
      </c>
      <c r="C4" s="37" t="s">
        <v>1052</v>
      </c>
      <c r="D4" s="37" t="s">
        <v>1052</v>
      </c>
      <c r="E4" s="37" t="s">
        <v>239</v>
      </c>
      <c r="F4" s="37" t="s">
        <v>1056</v>
      </c>
      <c r="G4" s="37" t="s">
        <v>282</v>
      </c>
      <c r="H4" s="37" t="s">
        <v>1053</v>
      </c>
      <c r="I4" s="53"/>
      <c r="J4" s="53"/>
      <c r="K4" s="37" t="s">
        <v>2559</v>
      </c>
      <c r="L4" s="37" t="s">
        <v>242</v>
      </c>
      <c r="M4" s="37" t="s">
        <v>245</v>
      </c>
      <c r="N4" s="41" t="s">
        <v>2553</v>
      </c>
      <c r="O4" s="37" t="s">
        <v>2560</v>
      </c>
      <c r="P4" s="49">
        <v>1</v>
      </c>
      <c r="Q4" s="37" t="s">
        <v>2561</v>
      </c>
      <c r="R4" s="37" t="s">
        <v>245</v>
      </c>
    </row>
    <row r="5" spans="1:18" x14ac:dyDescent="0.3">
      <c r="A5" s="38" t="s">
        <v>1105</v>
      </c>
      <c r="B5" s="38" t="s">
        <v>2562</v>
      </c>
      <c r="C5" s="38" t="s">
        <v>1102</v>
      </c>
      <c r="D5" s="38" t="s">
        <v>1102</v>
      </c>
      <c r="E5" s="38" t="s">
        <v>239</v>
      </c>
      <c r="F5" s="38" t="s">
        <v>1062</v>
      </c>
      <c r="G5" s="38" t="s">
        <v>282</v>
      </c>
      <c r="H5" s="38" t="s">
        <v>1103</v>
      </c>
      <c r="I5" s="54"/>
      <c r="J5" s="54"/>
      <c r="K5" s="38" t="s">
        <v>2559</v>
      </c>
      <c r="L5" s="38" t="s">
        <v>242</v>
      </c>
      <c r="M5" s="38" t="s">
        <v>245</v>
      </c>
      <c r="N5" s="44" t="s">
        <v>2553</v>
      </c>
      <c r="O5" s="38" t="s">
        <v>2560</v>
      </c>
      <c r="P5" s="51">
        <v>1</v>
      </c>
      <c r="Q5" s="38" t="s">
        <v>2561</v>
      </c>
      <c r="R5" s="38" t="s">
        <v>245</v>
      </c>
    </row>
    <row r="6" spans="1:18" x14ac:dyDescent="0.3">
      <c r="A6" s="37" t="s">
        <v>1109</v>
      </c>
      <c r="B6" s="37" t="s">
        <v>2562</v>
      </c>
      <c r="C6" s="37" t="s">
        <v>1107</v>
      </c>
      <c r="D6" s="37" t="s">
        <v>1107</v>
      </c>
      <c r="E6" s="37" t="s">
        <v>239</v>
      </c>
      <c r="F6" s="37" t="s">
        <v>1062</v>
      </c>
      <c r="G6" s="37" t="s">
        <v>282</v>
      </c>
      <c r="H6" s="37" t="s">
        <v>1103</v>
      </c>
      <c r="I6" s="53"/>
      <c r="J6" s="53"/>
      <c r="K6" s="37" t="s">
        <v>2559</v>
      </c>
      <c r="L6" s="37" t="s">
        <v>242</v>
      </c>
      <c r="M6" s="37" t="s">
        <v>245</v>
      </c>
      <c r="N6" s="41" t="s">
        <v>2553</v>
      </c>
      <c r="O6" s="37" t="s">
        <v>2560</v>
      </c>
      <c r="P6" s="49">
        <v>1</v>
      </c>
      <c r="Q6" s="37" t="s">
        <v>2561</v>
      </c>
      <c r="R6" s="37" t="s">
        <v>245</v>
      </c>
    </row>
    <row r="7" spans="1:18" x14ac:dyDescent="0.3">
      <c r="A7" s="38" t="s">
        <v>1121</v>
      </c>
      <c r="B7" s="38" t="s">
        <v>2563</v>
      </c>
      <c r="C7" s="38" t="s">
        <v>1116</v>
      </c>
      <c r="D7" s="38" t="s">
        <v>1116</v>
      </c>
      <c r="E7" s="38" t="s">
        <v>405</v>
      </c>
      <c r="F7" s="38" t="s">
        <v>1120</v>
      </c>
      <c r="G7" s="38" t="s">
        <v>282</v>
      </c>
      <c r="H7" s="38" t="s">
        <v>362</v>
      </c>
      <c r="I7" s="54"/>
      <c r="J7" s="54"/>
      <c r="K7" s="38" t="s">
        <v>2564</v>
      </c>
      <c r="L7" s="38" t="s">
        <v>242</v>
      </c>
      <c r="M7" s="38" t="s">
        <v>245</v>
      </c>
      <c r="N7" s="44" t="s">
        <v>2553</v>
      </c>
      <c r="O7" s="38" t="s">
        <v>2565</v>
      </c>
      <c r="P7" s="51">
        <v>1.08</v>
      </c>
      <c r="Q7" s="38" t="s">
        <v>2566</v>
      </c>
      <c r="R7" s="38" t="s">
        <v>245</v>
      </c>
    </row>
    <row r="8" spans="1:18" ht="28.8" x14ac:dyDescent="0.3">
      <c r="A8" s="37" t="s">
        <v>1131</v>
      </c>
      <c r="B8" s="37" t="s">
        <v>2567</v>
      </c>
      <c r="C8" s="37" t="s">
        <v>1128</v>
      </c>
      <c r="D8" s="37" t="s">
        <v>1128</v>
      </c>
      <c r="E8" s="37" t="s">
        <v>386</v>
      </c>
      <c r="F8" s="37" t="s">
        <v>1130</v>
      </c>
      <c r="G8" s="37" t="s">
        <v>282</v>
      </c>
      <c r="H8" s="37" t="s">
        <v>306</v>
      </c>
      <c r="I8" s="53"/>
      <c r="J8" s="53"/>
      <c r="K8" s="37" t="s">
        <v>2568</v>
      </c>
      <c r="L8" s="37" t="s">
        <v>242</v>
      </c>
      <c r="M8" s="37" t="s">
        <v>245</v>
      </c>
      <c r="N8" s="41" t="s">
        <v>2553</v>
      </c>
      <c r="O8" s="37" t="s">
        <v>2554</v>
      </c>
      <c r="P8" s="49">
        <v>1.05</v>
      </c>
      <c r="Q8" s="37" t="s">
        <v>2555</v>
      </c>
      <c r="R8" s="37" t="s">
        <v>245</v>
      </c>
    </row>
    <row r="9" spans="1:18" x14ac:dyDescent="0.3">
      <c r="A9" s="38" t="s">
        <v>1136</v>
      </c>
      <c r="B9" s="38" t="s">
        <v>2569</v>
      </c>
      <c r="C9" s="38" t="s">
        <v>1133</v>
      </c>
      <c r="D9" s="38" t="s">
        <v>1133</v>
      </c>
      <c r="E9" s="38" t="s">
        <v>239</v>
      </c>
      <c r="F9" s="38" t="s">
        <v>1049</v>
      </c>
      <c r="G9" s="38" t="s">
        <v>282</v>
      </c>
      <c r="H9" s="38" t="s">
        <v>1103</v>
      </c>
      <c r="I9" s="54"/>
      <c r="J9" s="54"/>
      <c r="K9" s="38" t="s">
        <v>330</v>
      </c>
      <c r="L9" s="38" t="s">
        <v>242</v>
      </c>
      <c r="M9" s="38" t="s">
        <v>245</v>
      </c>
      <c r="N9" s="44" t="s">
        <v>2553</v>
      </c>
      <c r="O9" s="38" t="s">
        <v>2557</v>
      </c>
      <c r="P9" s="51">
        <v>1.1000000000000001</v>
      </c>
      <c r="Q9" s="38" t="s">
        <v>2555</v>
      </c>
      <c r="R9" s="38" t="s">
        <v>245</v>
      </c>
    </row>
    <row r="10" spans="1:18" x14ac:dyDescent="0.3">
      <c r="A10" s="37" t="s">
        <v>1140</v>
      </c>
      <c r="B10" s="37" t="s">
        <v>2570</v>
      </c>
      <c r="C10" s="37" t="s">
        <v>1138</v>
      </c>
      <c r="D10" s="37" t="s">
        <v>1138</v>
      </c>
      <c r="E10" s="37" t="s">
        <v>239</v>
      </c>
      <c r="F10" s="37" t="s">
        <v>1049</v>
      </c>
      <c r="G10" s="37" t="s">
        <v>282</v>
      </c>
      <c r="H10" s="37" t="s">
        <v>1103</v>
      </c>
      <c r="I10" s="53"/>
      <c r="J10" s="53"/>
      <c r="K10" s="37" t="s">
        <v>330</v>
      </c>
      <c r="L10" s="37" t="s">
        <v>242</v>
      </c>
      <c r="M10" s="37" t="s">
        <v>245</v>
      </c>
      <c r="N10" s="41" t="s">
        <v>2553</v>
      </c>
      <c r="O10" s="37" t="s">
        <v>2557</v>
      </c>
      <c r="P10" s="49">
        <v>1.1000000000000001</v>
      </c>
      <c r="Q10" s="37" t="s">
        <v>2555</v>
      </c>
      <c r="R10" s="37" t="s">
        <v>245</v>
      </c>
    </row>
    <row r="11" spans="1:18" x14ac:dyDescent="0.3">
      <c r="A11" s="38" t="s">
        <v>1145</v>
      </c>
      <c r="B11" s="38" t="s">
        <v>2571</v>
      </c>
      <c r="C11" s="38" t="s">
        <v>1143</v>
      </c>
      <c r="D11" s="38" t="s">
        <v>1143</v>
      </c>
      <c r="E11" s="38" t="s">
        <v>281</v>
      </c>
      <c r="F11" s="38" t="s">
        <v>1049</v>
      </c>
      <c r="G11" s="38" t="s">
        <v>282</v>
      </c>
      <c r="H11" s="38" t="s">
        <v>1103</v>
      </c>
      <c r="I11" s="54">
        <v>100</v>
      </c>
      <c r="J11" s="54">
        <v>8</v>
      </c>
      <c r="K11" s="38" t="s">
        <v>330</v>
      </c>
      <c r="L11" s="38" t="s">
        <v>242</v>
      </c>
      <c r="M11" s="38" t="s">
        <v>245</v>
      </c>
      <c r="N11" s="44" t="s">
        <v>2553</v>
      </c>
      <c r="O11" s="38" t="s">
        <v>2557</v>
      </c>
      <c r="P11" s="51">
        <v>1.1000000000000001</v>
      </c>
      <c r="Q11" s="38" t="s">
        <v>2555</v>
      </c>
      <c r="R11" s="38" t="s">
        <v>245</v>
      </c>
    </row>
    <row r="12" spans="1:18" x14ac:dyDescent="0.3">
      <c r="A12" s="37" t="s">
        <v>1151</v>
      </c>
      <c r="B12" s="37" t="s">
        <v>2572</v>
      </c>
      <c r="C12" s="37" t="s">
        <v>1148</v>
      </c>
      <c r="D12" s="37" t="s">
        <v>1148</v>
      </c>
      <c r="E12" s="37" t="s">
        <v>405</v>
      </c>
      <c r="F12" s="37" t="s">
        <v>1150</v>
      </c>
      <c r="G12" s="37" t="s">
        <v>282</v>
      </c>
      <c r="H12" s="37" t="s">
        <v>306</v>
      </c>
      <c r="I12" s="53">
        <v>50</v>
      </c>
      <c r="J12" s="53">
        <v>50</v>
      </c>
      <c r="K12" s="37" t="s">
        <v>2573</v>
      </c>
      <c r="L12" s="37" t="s">
        <v>242</v>
      </c>
      <c r="M12" s="37" t="s">
        <v>245</v>
      </c>
      <c r="N12" s="41" t="s">
        <v>2553</v>
      </c>
      <c r="O12" s="37" t="s">
        <v>2557</v>
      </c>
      <c r="P12" s="49">
        <v>1.1000000000000001</v>
      </c>
      <c r="Q12" s="37" t="s">
        <v>2555</v>
      </c>
      <c r="R12" s="37" t="s">
        <v>245</v>
      </c>
    </row>
    <row r="13" spans="1:18" x14ac:dyDescent="0.3">
      <c r="A13" s="38" t="s">
        <v>1156</v>
      </c>
      <c r="B13" s="38" t="s">
        <v>2574</v>
      </c>
      <c r="C13" s="38" t="s">
        <v>1154</v>
      </c>
      <c r="D13" s="38" t="s">
        <v>1154</v>
      </c>
      <c r="E13" s="38" t="s">
        <v>239</v>
      </c>
      <c r="F13" s="38" t="s">
        <v>1056</v>
      </c>
      <c r="G13" s="38" t="s">
        <v>282</v>
      </c>
      <c r="H13" s="38" t="s">
        <v>306</v>
      </c>
      <c r="I13" s="54">
        <v>30</v>
      </c>
      <c r="J13" s="54">
        <v>45</v>
      </c>
      <c r="K13" s="38" t="s">
        <v>2573</v>
      </c>
      <c r="L13" s="38" t="s">
        <v>242</v>
      </c>
      <c r="M13" s="38" t="s">
        <v>245</v>
      </c>
      <c r="N13" s="44" t="s">
        <v>2553</v>
      </c>
      <c r="O13" s="38" t="s">
        <v>2557</v>
      </c>
      <c r="P13" s="51">
        <v>1.1000000000000001</v>
      </c>
      <c r="Q13" s="38" t="s">
        <v>2555</v>
      </c>
      <c r="R13" s="38" t="s">
        <v>245</v>
      </c>
    </row>
    <row r="14" spans="1:18" x14ac:dyDescent="0.3">
      <c r="A14" s="37" t="s">
        <v>1161</v>
      </c>
      <c r="B14" s="37" t="s">
        <v>2575</v>
      </c>
      <c r="C14" s="37" t="s">
        <v>1159</v>
      </c>
      <c r="D14" s="37" t="s">
        <v>1159</v>
      </c>
      <c r="E14" s="37" t="s">
        <v>239</v>
      </c>
      <c r="F14" s="37" t="s">
        <v>252</v>
      </c>
      <c r="G14" s="37" t="s">
        <v>282</v>
      </c>
      <c r="H14" s="37" t="s">
        <v>241</v>
      </c>
      <c r="I14" s="53">
        <v>100</v>
      </c>
      <c r="J14" s="53">
        <v>100</v>
      </c>
      <c r="K14" s="37" t="s">
        <v>252</v>
      </c>
      <c r="L14" s="37" t="s">
        <v>242</v>
      </c>
      <c r="M14" s="37" t="s">
        <v>245</v>
      </c>
      <c r="N14" s="41" t="s">
        <v>2553</v>
      </c>
      <c r="O14" s="37" t="s">
        <v>2554</v>
      </c>
      <c r="P14" s="49">
        <v>1.05</v>
      </c>
      <c r="Q14" s="37" t="s">
        <v>2555</v>
      </c>
      <c r="R14" s="37" t="s">
        <v>245</v>
      </c>
    </row>
    <row r="15" spans="1:18" x14ac:dyDescent="0.3">
      <c r="A15" s="38" t="s">
        <v>1165</v>
      </c>
      <c r="B15" s="38" t="s">
        <v>2575</v>
      </c>
      <c r="C15" s="38" t="s">
        <v>1164</v>
      </c>
      <c r="D15" s="38" t="s">
        <v>1164</v>
      </c>
      <c r="E15" s="38" t="s">
        <v>239</v>
      </c>
      <c r="F15" s="38" t="s">
        <v>252</v>
      </c>
      <c r="G15" s="38" t="s">
        <v>282</v>
      </c>
      <c r="H15" s="38" t="s">
        <v>241</v>
      </c>
      <c r="I15" s="54">
        <v>100</v>
      </c>
      <c r="J15" s="54">
        <v>100</v>
      </c>
      <c r="K15" s="38" t="s">
        <v>252</v>
      </c>
      <c r="L15" s="38" t="s">
        <v>242</v>
      </c>
      <c r="M15" s="38" t="s">
        <v>245</v>
      </c>
      <c r="N15" s="44" t="s">
        <v>2553</v>
      </c>
      <c r="O15" s="38" t="s">
        <v>2554</v>
      </c>
      <c r="P15" s="51">
        <v>1.05</v>
      </c>
      <c r="Q15" s="38" t="s">
        <v>2555</v>
      </c>
      <c r="R15" s="38" t="s">
        <v>245</v>
      </c>
    </row>
    <row r="16" spans="1:18" x14ac:dyDescent="0.3">
      <c r="A16" s="37" t="s">
        <v>1170</v>
      </c>
      <c r="B16" s="37" t="s">
        <v>2576</v>
      </c>
      <c r="C16" s="37" t="s">
        <v>1168</v>
      </c>
      <c r="D16" s="37" t="s">
        <v>1168</v>
      </c>
      <c r="E16" s="37" t="s">
        <v>239</v>
      </c>
      <c r="F16" s="37" t="s">
        <v>252</v>
      </c>
      <c r="G16" s="37" t="s">
        <v>282</v>
      </c>
      <c r="H16" s="37" t="s">
        <v>241</v>
      </c>
      <c r="I16" s="53"/>
      <c r="J16" s="53"/>
      <c r="K16" s="37" t="s">
        <v>252</v>
      </c>
      <c r="L16" s="37" t="s">
        <v>242</v>
      </c>
      <c r="M16" s="37" t="s">
        <v>245</v>
      </c>
      <c r="N16" s="41" t="s">
        <v>2553</v>
      </c>
      <c r="O16" s="37" t="s">
        <v>2554</v>
      </c>
      <c r="P16" s="49">
        <v>1.05</v>
      </c>
      <c r="Q16" s="37" t="s">
        <v>2555</v>
      </c>
      <c r="R16" s="37" t="s">
        <v>245</v>
      </c>
    </row>
    <row r="17" spans="1:18" ht="28.8" x14ac:dyDescent="0.3">
      <c r="A17" s="38" t="s">
        <v>1175</v>
      </c>
      <c r="B17" s="38" t="s">
        <v>2577</v>
      </c>
      <c r="C17" s="38" t="s">
        <v>1173</v>
      </c>
      <c r="D17" s="38" t="s">
        <v>1173</v>
      </c>
      <c r="E17" s="38" t="s">
        <v>239</v>
      </c>
      <c r="F17" s="38" t="s">
        <v>252</v>
      </c>
      <c r="G17" s="38" t="s">
        <v>282</v>
      </c>
      <c r="H17" s="38" t="s">
        <v>241</v>
      </c>
      <c r="I17" s="54">
        <v>100</v>
      </c>
      <c r="J17" s="54">
        <v>100</v>
      </c>
      <c r="K17" s="38" t="s">
        <v>252</v>
      </c>
      <c r="L17" s="38" t="s">
        <v>242</v>
      </c>
      <c r="M17" s="38" t="s">
        <v>245</v>
      </c>
      <c r="N17" s="44" t="s">
        <v>2553</v>
      </c>
      <c r="O17" s="38" t="s">
        <v>2554</v>
      </c>
      <c r="P17" s="51">
        <v>1.05</v>
      </c>
      <c r="Q17" s="38" t="s">
        <v>2555</v>
      </c>
      <c r="R17" s="38" t="s">
        <v>245</v>
      </c>
    </row>
    <row r="18" spans="1:18" x14ac:dyDescent="0.3">
      <c r="A18" s="37" t="s">
        <v>1180</v>
      </c>
      <c r="B18" s="37" t="s">
        <v>2578</v>
      </c>
      <c r="C18" s="37" t="s">
        <v>1178</v>
      </c>
      <c r="D18" s="37" t="s">
        <v>1178</v>
      </c>
      <c r="E18" s="37" t="s">
        <v>239</v>
      </c>
      <c r="F18" s="37" t="s">
        <v>252</v>
      </c>
      <c r="G18" s="37" t="s">
        <v>282</v>
      </c>
      <c r="H18" s="37" t="s">
        <v>241</v>
      </c>
      <c r="I18" s="53"/>
      <c r="J18" s="53"/>
      <c r="K18" s="37" t="s">
        <v>252</v>
      </c>
      <c r="L18" s="37" t="s">
        <v>242</v>
      </c>
      <c r="M18" s="37" t="s">
        <v>245</v>
      </c>
      <c r="N18" s="41" t="s">
        <v>2553</v>
      </c>
      <c r="O18" s="37" t="s">
        <v>2554</v>
      </c>
      <c r="P18" s="49">
        <v>1.05</v>
      </c>
      <c r="Q18" s="37" t="s">
        <v>2555</v>
      </c>
      <c r="R18" s="37" t="s">
        <v>245</v>
      </c>
    </row>
    <row r="19" spans="1:18" x14ac:dyDescent="0.3">
      <c r="A19" s="38" t="s">
        <v>1185</v>
      </c>
      <c r="B19" s="38" t="s">
        <v>2579</v>
      </c>
      <c r="C19" s="38" t="s">
        <v>1183</v>
      </c>
      <c r="D19" s="38" t="s">
        <v>1183</v>
      </c>
      <c r="E19" s="38" t="s">
        <v>239</v>
      </c>
      <c r="F19" s="38" t="s">
        <v>252</v>
      </c>
      <c r="G19" s="38" t="s">
        <v>282</v>
      </c>
      <c r="H19" s="38" t="s">
        <v>241</v>
      </c>
      <c r="I19" s="54">
        <v>197</v>
      </c>
      <c r="J19" s="54">
        <v>97</v>
      </c>
      <c r="K19" s="38" t="s">
        <v>252</v>
      </c>
      <c r="L19" s="38" t="s">
        <v>242</v>
      </c>
      <c r="M19" s="38" t="s">
        <v>245</v>
      </c>
      <c r="N19" s="44" t="s">
        <v>2553</v>
      </c>
      <c r="O19" s="38" t="s">
        <v>2554</v>
      </c>
      <c r="P19" s="51">
        <v>1.05</v>
      </c>
      <c r="Q19" s="38" t="s">
        <v>2555</v>
      </c>
      <c r="R19" s="38" t="s">
        <v>245</v>
      </c>
    </row>
    <row r="20" spans="1:18" x14ac:dyDescent="0.3">
      <c r="A20" s="37" t="s">
        <v>1190</v>
      </c>
      <c r="B20" s="37" t="s">
        <v>2580</v>
      </c>
      <c r="C20" s="37" t="s">
        <v>1188</v>
      </c>
      <c r="D20" s="37" t="s">
        <v>1188</v>
      </c>
      <c r="E20" s="37" t="s">
        <v>239</v>
      </c>
      <c r="F20" s="37" t="s">
        <v>252</v>
      </c>
      <c r="G20" s="37" t="s">
        <v>282</v>
      </c>
      <c r="H20" s="37" t="s">
        <v>241</v>
      </c>
      <c r="I20" s="53"/>
      <c r="J20" s="53"/>
      <c r="K20" s="37" t="s">
        <v>252</v>
      </c>
      <c r="L20" s="37" t="s">
        <v>242</v>
      </c>
      <c r="M20" s="37" t="s">
        <v>245</v>
      </c>
      <c r="N20" s="41" t="s">
        <v>2553</v>
      </c>
      <c r="O20" s="37" t="s">
        <v>2554</v>
      </c>
      <c r="P20" s="49">
        <v>1.05</v>
      </c>
      <c r="Q20" s="37" t="s">
        <v>2555</v>
      </c>
      <c r="R20" s="37" t="s">
        <v>245</v>
      </c>
    </row>
    <row r="21" spans="1:18" x14ac:dyDescent="0.3">
      <c r="A21" s="38" t="s">
        <v>1279</v>
      </c>
      <c r="B21" s="38" t="s">
        <v>2581</v>
      </c>
      <c r="C21" s="38" t="s">
        <v>1277</v>
      </c>
      <c r="D21" s="38" t="s">
        <v>1277</v>
      </c>
      <c r="E21" s="38" t="s">
        <v>239</v>
      </c>
      <c r="F21" s="38" t="s">
        <v>252</v>
      </c>
      <c r="G21" s="38" t="s">
        <v>282</v>
      </c>
      <c r="H21" s="38" t="s">
        <v>241</v>
      </c>
      <c r="I21" s="54">
        <v>100</v>
      </c>
      <c r="J21" s="54">
        <v>80</v>
      </c>
      <c r="K21" s="38" t="s">
        <v>252</v>
      </c>
      <c r="L21" s="38" t="s">
        <v>242</v>
      </c>
      <c r="M21" s="38" t="s">
        <v>245</v>
      </c>
      <c r="N21" s="44" t="s">
        <v>2553</v>
      </c>
      <c r="O21" s="38" t="s">
        <v>2554</v>
      </c>
      <c r="P21" s="51">
        <v>1.05</v>
      </c>
      <c r="Q21" s="38" t="s">
        <v>2555</v>
      </c>
      <c r="R21" s="38" t="s">
        <v>245</v>
      </c>
    </row>
    <row r="22" spans="1:18" x14ac:dyDescent="0.3">
      <c r="A22" s="37" t="s">
        <v>1284</v>
      </c>
      <c r="B22" s="37" t="s">
        <v>2581</v>
      </c>
      <c r="C22" s="37" t="s">
        <v>1282</v>
      </c>
      <c r="D22" s="37" t="s">
        <v>1282</v>
      </c>
      <c r="E22" s="37" t="s">
        <v>239</v>
      </c>
      <c r="F22" s="37" t="s">
        <v>252</v>
      </c>
      <c r="G22" s="37" t="s">
        <v>282</v>
      </c>
      <c r="H22" s="37" t="s">
        <v>241</v>
      </c>
      <c r="I22" s="53">
        <v>80</v>
      </c>
      <c r="J22" s="53">
        <v>80</v>
      </c>
      <c r="K22" s="37" t="s">
        <v>252</v>
      </c>
      <c r="L22" s="37" t="s">
        <v>242</v>
      </c>
      <c r="M22" s="37" t="s">
        <v>245</v>
      </c>
      <c r="N22" s="41" t="s">
        <v>2553</v>
      </c>
      <c r="O22" s="37" t="s">
        <v>2554</v>
      </c>
      <c r="P22" s="49">
        <v>1.05</v>
      </c>
      <c r="Q22" s="37" t="s">
        <v>2555</v>
      </c>
      <c r="R22" s="37" t="s">
        <v>245</v>
      </c>
    </row>
    <row r="23" spans="1:18" x14ac:dyDescent="0.3">
      <c r="A23" s="38" t="s">
        <v>1291</v>
      </c>
      <c r="B23" s="38" t="s">
        <v>2582</v>
      </c>
      <c r="C23" s="38" t="s">
        <v>1287</v>
      </c>
      <c r="D23" s="38" t="s">
        <v>1287</v>
      </c>
      <c r="E23" s="38" t="s">
        <v>281</v>
      </c>
      <c r="F23" s="38" t="s">
        <v>1290</v>
      </c>
      <c r="G23" s="38" t="s">
        <v>282</v>
      </c>
      <c r="H23" s="38" t="s">
        <v>1288</v>
      </c>
      <c r="I23" s="54"/>
      <c r="J23" s="54"/>
      <c r="K23" s="38" t="s">
        <v>2583</v>
      </c>
      <c r="L23" s="38" t="s">
        <v>242</v>
      </c>
      <c r="M23" s="38" t="s">
        <v>245</v>
      </c>
      <c r="N23" s="44" t="s">
        <v>2553</v>
      </c>
      <c r="O23" s="38" t="s">
        <v>2584</v>
      </c>
      <c r="P23" s="51">
        <v>1.1000000000000001</v>
      </c>
      <c r="Q23" s="38" t="s">
        <v>2555</v>
      </c>
      <c r="R23" s="38" t="s">
        <v>245</v>
      </c>
    </row>
    <row r="24" spans="1:18" x14ac:dyDescent="0.3">
      <c r="A24" s="37" t="s">
        <v>1296</v>
      </c>
      <c r="B24" s="37" t="s">
        <v>2585</v>
      </c>
      <c r="C24" s="37" t="s">
        <v>1294</v>
      </c>
      <c r="D24" s="37" t="s">
        <v>1294</v>
      </c>
      <c r="E24" s="37" t="s">
        <v>239</v>
      </c>
      <c r="F24" s="37" t="s">
        <v>1062</v>
      </c>
      <c r="G24" s="37" t="s">
        <v>282</v>
      </c>
      <c r="H24" s="37" t="s">
        <v>1288</v>
      </c>
      <c r="I24" s="53"/>
      <c r="J24" s="53"/>
      <c r="K24" s="37" t="s">
        <v>2583</v>
      </c>
      <c r="L24" s="37" t="s">
        <v>242</v>
      </c>
      <c r="M24" s="37" t="s">
        <v>245</v>
      </c>
      <c r="N24" s="41" t="s">
        <v>2553</v>
      </c>
      <c r="O24" s="37" t="s">
        <v>2584</v>
      </c>
      <c r="P24" s="49">
        <v>1.1000000000000001</v>
      </c>
      <c r="Q24" s="37" t="s">
        <v>2555</v>
      </c>
      <c r="R24" s="37" t="s">
        <v>245</v>
      </c>
    </row>
    <row r="25" spans="1:18" x14ac:dyDescent="0.3">
      <c r="A25" s="38" t="s">
        <v>1301</v>
      </c>
      <c r="B25" s="38" t="s">
        <v>2585</v>
      </c>
      <c r="C25" s="38" t="s">
        <v>1299</v>
      </c>
      <c r="D25" s="38" t="s">
        <v>1299</v>
      </c>
      <c r="E25" s="38" t="s">
        <v>239</v>
      </c>
      <c r="F25" s="38" t="s">
        <v>1062</v>
      </c>
      <c r="G25" s="38" t="s">
        <v>282</v>
      </c>
      <c r="H25" s="38" t="s">
        <v>1288</v>
      </c>
      <c r="I25" s="54"/>
      <c r="J25" s="54"/>
      <c r="K25" s="38" t="s">
        <v>2583</v>
      </c>
      <c r="L25" s="38" t="s">
        <v>242</v>
      </c>
      <c r="M25" s="38" t="s">
        <v>245</v>
      </c>
      <c r="N25" s="44" t="s">
        <v>2553</v>
      </c>
      <c r="O25" s="38" t="s">
        <v>2584</v>
      </c>
      <c r="P25" s="51">
        <v>1.1000000000000001</v>
      </c>
      <c r="Q25" s="38" t="s">
        <v>2555</v>
      </c>
      <c r="R25" s="38" t="s">
        <v>245</v>
      </c>
    </row>
    <row r="26" spans="1:18" x14ac:dyDescent="0.3">
      <c r="A26" s="37" t="s">
        <v>1306</v>
      </c>
      <c r="B26" s="37" t="s">
        <v>2586</v>
      </c>
      <c r="C26" s="37" t="s">
        <v>1304</v>
      </c>
      <c r="D26" s="37" t="s">
        <v>1304</v>
      </c>
      <c r="E26" s="37" t="s">
        <v>239</v>
      </c>
      <c r="F26" s="37" t="s">
        <v>522</v>
      </c>
      <c r="G26" s="37" t="s">
        <v>282</v>
      </c>
      <c r="H26" s="37" t="s">
        <v>241</v>
      </c>
      <c r="I26" s="53"/>
      <c r="J26" s="53"/>
      <c r="K26" s="37" t="s">
        <v>367</v>
      </c>
      <c r="L26" s="37" t="s">
        <v>242</v>
      </c>
      <c r="M26" s="37" t="s">
        <v>245</v>
      </c>
      <c r="N26" s="41" t="s">
        <v>2553</v>
      </c>
      <c r="O26" s="37" t="s">
        <v>2584</v>
      </c>
      <c r="P26" s="49">
        <v>1.1000000000000001</v>
      </c>
      <c r="Q26" s="37" t="s">
        <v>2555</v>
      </c>
      <c r="R26" s="37" t="s">
        <v>245</v>
      </c>
    </row>
    <row r="27" spans="1:18" x14ac:dyDescent="0.3">
      <c r="A27" s="38" t="s">
        <v>1311</v>
      </c>
      <c r="B27" s="38" t="s">
        <v>2586</v>
      </c>
      <c r="C27" s="38" t="s">
        <v>1309</v>
      </c>
      <c r="D27" s="38" t="s">
        <v>1309</v>
      </c>
      <c r="E27" s="38" t="s">
        <v>239</v>
      </c>
      <c r="F27" s="38" t="s">
        <v>522</v>
      </c>
      <c r="G27" s="38" t="s">
        <v>282</v>
      </c>
      <c r="H27" s="38" t="s">
        <v>241</v>
      </c>
      <c r="I27" s="54"/>
      <c r="J27" s="54"/>
      <c r="K27" s="38" t="s">
        <v>367</v>
      </c>
      <c r="L27" s="38" t="s">
        <v>242</v>
      </c>
      <c r="M27" s="38" t="s">
        <v>245</v>
      </c>
      <c r="N27" s="44" t="s">
        <v>2553</v>
      </c>
      <c r="O27" s="38" t="s">
        <v>2584</v>
      </c>
      <c r="P27" s="51">
        <v>1.1000000000000001</v>
      </c>
      <c r="Q27" s="38" t="s">
        <v>2555</v>
      </c>
      <c r="R27" s="38" t="s">
        <v>245</v>
      </c>
    </row>
    <row r="28" spans="1:18" x14ac:dyDescent="0.3">
      <c r="A28" s="37" t="s">
        <v>1317</v>
      </c>
      <c r="B28" s="37" t="s">
        <v>2587</v>
      </c>
      <c r="C28" s="37" t="s">
        <v>1314</v>
      </c>
      <c r="D28" s="37" t="s">
        <v>1314</v>
      </c>
      <c r="E28" s="37" t="s">
        <v>320</v>
      </c>
      <c r="F28" s="37" t="s">
        <v>1316</v>
      </c>
      <c r="G28" s="37" t="s">
        <v>282</v>
      </c>
      <c r="H28" s="37" t="s">
        <v>306</v>
      </c>
      <c r="I28" s="53"/>
      <c r="J28" s="53"/>
      <c r="K28" s="37" t="s">
        <v>2568</v>
      </c>
      <c r="L28" s="37" t="s">
        <v>242</v>
      </c>
      <c r="M28" s="37" t="s">
        <v>245</v>
      </c>
      <c r="N28" s="41" t="s">
        <v>2553</v>
      </c>
      <c r="O28" s="37" t="s">
        <v>2554</v>
      </c>
      <c r="P28" s="49">
        <v>1.05</v>
      </c>
      <c r="Q28" s="37" t="s">
        <v>2555</v>
      </c>
      <c r="R28" s="37" t="s">
        <v>245</v>
      </c>
    </row>
    <row r="29" spans="1:18" ht="28.8" x14ac:dyDescent="0.3">
      <c r="A29" s="38" t="s">
        <v>1322</v>
      </c>
      <c r="B29" s="38" t="s">
        <v>2588</v>
      </c>
      <c r="C29" s="38" t="s">
        <v>1320</v>
      </c>
      <c r="D29" s="38" t="s">
        <v>1320</v>
      </c>
      <c r="E29" s="38" t="s">
        <v>239</v>
      </c>
      <c r="F29" s="38" t="s">
        <v>1056</v>
      </c>
      <c r="G29" s="38" t="s">
        <v>282</v>
      </c>
      <c r="H29" s="38" t="s">
        <v>1103</v>
      </c>
      <c r="I29" s="54"/>
      <c r="J29" s="54"/>
      <c r="K29" s="38" t="s">
        <v>2559</v>
      </c>
      <c r="L29" s="38" t="s">
        <v>242</v>
      </c>
      <c r="M29" s="38" t="s">
        <v>245</v>
      </c>
      <c r="N29" s="44" t="s">
        <v>2553</v>
      </c>
      <c r="O29" s="38" t="s">
        <v>2560</v>
      </c>
      <c r="P29" s="51">
        <v>1</v>
      </c>
      <c r="Q29" s="38" t="s">
        <v>2561</v>
      </c>
      <c r="R29" s="38" t="s">
        <v>245</v>
      </c>
    </row>
    <row r="30" spans="1:18" x14ac:dyDescent="0.3">
      <c r="A30" s="37" t="s">
        <v>1327</v>
      </c>
      <c r="B30" s="37" t="s">
        <v>2589</v>
      </c>
      <c r="C30" s="37" t="s">
        <v>1325</v>
      </c>
      <c r="D30" s="37" t="s">
        <v>1325</v>
      </c>
      <c r="E30" s="37" t="s">
        <v>239</v>
      </c>
      <c r="F30" s="37" t="s">
        <v>522</v>
      </c>
      <c r="G30" s="37" t="s">
        <v>282</v>
      </c>
      <c r="H30" s="37" t="s">
        <v>362</v>
      </c>
      <c r="I30" s="53"/>
      <c r="J30" s="53"/>
      <c r="K30" s="37" t="s">
        <v>2564</v>
      </c>
      <c r="L30" s="37" t="s">
        <v>242</v>
      </c>
      <c r="M30" s="37" t="s">
        <v>245</v>
      </c>
      <c r="N30" s="41" t="s">
        <v>2553</v>
      </c>
      <c r="O30" s="37" t="s">
        <v>2565</v>
      </c>
      <c r="P30" s="49">
        <v>1.08</v>
      </c>
      <c r="Q30" s="37" t="s">
        <v>2566</v>
      </c>
      <c r="R30" s="37" t="s">
        <v>245</v>
      </c>
    </row>
    <row r="31" spans="1:18" x14ac:dyDescent="0.3">
      <c r="A31" s="38" t="s">
        <v>1331</v>
      </c>
      <c r="B31" s="38" t="s">
        <v>2590</v>
      </c>
      <c r="C31" s="38" t="s">
        <v>1330</v>
      </c>
      <c r="D31" s="38" t="s">
        <v>1330</v>
      </c>
      <c r="E31" s="38" t="s">
        <v>239</v>
      </c>
      <c r="F31" s="38" t="s">
        <v>522</v>
      </c>
      <c r="G31" s="38" t="s">
        <v>282</v>
      </c>
      <c r="H31" s="38" t="s">
        <v>362</v>
      </c>
      <c r="I31" s="54"/>
      <c r="J31" s="54"/>
      <c r="K31" s="38" t="s">
        <v>2559</v>
      </c>
      <c r="L31" s="38" t="s">
        <v>242</v>
      </c>
      <c r="M31" s="38" t="s">
        <v>245</v>
      </c>
      <c r="N31" s="44" t="s">
        <v>2553</v>
      </c>
      <c r="O31" s="38" t="s">
        <v>2565</v>
      </c>
      <c r="P31" s="51">
        <v>1.08</v>
      </c>
      <c r="Q31" s="38" t="s">
        <v>2566</v>
      </c>
      <c r="R31" s="38" t="s">
        <v>245</v>
      </c>
    </row>
    <row r="32" spans="1:18" x14ac:dyDescent="0.3">
      <c r="A32" s="37" t="s">
        <v>1336</v>
      </c>
      <c r="B32" s="37" t="s">
        <v>2591</v>
      </c>
      <c r="C32" s="37" t="s">
        <v>1334</v>
      </c>
      <c r="D32" s="37" t="s">
        <v>1334</v>
      </c>
      <c r="E32" s="37" t="s">
        <v>239</v>
      </c>
      <c r="F32" s="37" t="s">
        <v>522</v>
      </c>
      <c r="G32" s="37" t="s">
        <v>282</v>
      </c>
      <c r="H32" s="37" t="s">
        <v>416</v>
      </c>
      <c r="I32" s="53"/>
      <c r="J32" s="53"/>
      <c r="K32" s="37" t="s">
        <v>2559</v>
      </c>
      <c r="L32" s="37" t="s">
        <v>242</v>
      </c>
      <c r="M32" s="37" t="s">
        <v>245</v>
      </c>
      <c r="N32" s="41" t="s">
        <v>2553</v>
      </c>
      <c r="O32" s="37" t="s">
        <v>2560</v>
      </c>
      <c r="P32" s="49">
        <v>1</v>
      </c>
      <c r="Q32" s="37" t="s">
        <v>2561</v>
      </c>
      <c r="R32" s="37" t="s">
        <v>245</v>
      </c>
    </row>
    <row r="33" spans="1:18" ht="28.8" x14ac:dyDescent="0.3">
      <c r="A33" s="38" t="s">
        <v>1340</v>
      </c>
      <c r="B33" s="38" t="s">
        <v>2592</v>
      </c>
      <c r="C33" s="38" t="s">
        <v>1339</v>
      </c>
      <c r="D33" s="38" t="s">
        <v>1339</v>
      </c>
      <c r="E33" s="38" t="s">
        <v>239</v>
      </c>
      <c r="F33" s="38" t="s">
        <v>1062</v>
      </c>
      <c r="G33" s="38" t="s">
        <v>282</v>
      </c>
      <c r="H33" s="38" t="s">
        <v>362</v>
      </c>
      <c r="I33" s="54"/>
      <c r="J33" s="54"/>
      <c r="K33" s="38" t="s">
        <v>2564</v>
      </c>
      <c r="L33" s="38" t="s">
        <v>242</v>
      </c>
      <c r="M33" s="38" t="s">
        <v>245</v>
      </c>
      <c r="N33" s="44" t="s">
        <v>2553</v>
      </c>
      <c r="O33" s="38" t="s">
        <v>2565</v>
      </c>
      <c r="P33" s="51">
        <v>1.08</v>
      </c>
      <c r="Q33" s="38" t="s">
        <v>2566</v>
      </c>
      <c r="R33" s="38" t="s">
        <v>245</v>
      </c>
    </row>
    <row r="34" spans="1:18" x14ac:dyDescent="0.3">
      <c r="A34" s="37" t="s">
        <v>1344</v>
      </c>
      <c r="B34" s="37" t="s">
        <v>2593</v>
      </c>
      <c r="C34" s="37" t="s">
        <v>1343</v>
      </c>
      <c r="D34" s="37" t="s">
        <v>1343</v>
      </c>
      <c r="E34" s="37" t="s">
        <v>399</v>
      </c>
      <c r="F34" s="37" t="s">
        <v>1012</v>
      </c>
      <c r="G34" s="37" t="s">
        <v>282</v>
      </c>
      <c r="H34" s="37" t="s">
        <v>362</v>
      </c>
      <c r="I34" s="53"/>
      <c r="J34" s="53"/>
      <c r="K34" s="37" t="s">
        <v>2564</v>
      </c>
      <c r="L34" s="37" t="s">
        <v>242</v>
      </c>
      <c r="M34" s="37" t="s">
        <v>245</v>
      </c>
      <c r="N34" s="41" t="s">
        <v>2553</v>
      </c>
      <c r="O34" s="37" t="s">
        <v>2565</v>
      </c>
      <c r="P34" s="49">
        <v>1.08</v>
      </c>
      <c r="Q34" s="37" t="s">
        <v>2566</v>
      </c>
      <c r="R34" s="37" t="s">
        <v>245</v>
      </c>
    </row>
    <row r="35" spans="1:18" x14ac:dyDescent="0.3">
      <c r="A35" s="38" t="s">
        <v>1353</v>
      </c>
      <c r="B35" s="38" t="s">
        <v>2594</v>
      </c>
      <c r="C35" s="38" t="s">
        <v>1351</v>
      </c>
      <c r="D35" s="38" t="s">
        <v>1351</v>
      </c>
      <c r="E35" s="38" t="s">
        <v>239</v>
      </c>
      <c r="F35" s="38" t="s">
        <v>1062</v>
      </c>
      <c r="G35" s="38" t="s">
        <v>282</v>
      </c>
      <c r="H35" s="38" t="s">
        <v>1053</v>
      </c>
      <c r="I35" s="54"/>
      <c r="J35" s="54"/>
      <c r="K35" s="38" t="s">
        <v>2564</v>
      </c>
      <c r="L35" s="38" t="s">
        <v>242</v>
      </c>
      <c r="M35" s="38" t="s">
        <v>245</v>
      </c>
      <c r="N35" s="44" t="s">
        <v>2553</v>
      </c>
      <c r="O35" s="38" t="s">
        <v>2565</v>
      </c>
      <c r="P35" s="51">
        <v>1.08</v>
      </c>
      <c r="Q35" s="38" t="s">
        <v>2566</v>
      </c>
      <c r="R35" s="38" t="s">
        <v>245</v>
      </c>
    </row>
    <row r="36" spans="1:18" ht="28.8" x14ac:dyDescent="0.3">
      <c r="A36" s="37" t="s">
        <v>1374</v>
      </c>
      <c r="B36" s="37" t="s">
        <v>2595</v>
      </c>
      <c r="C36" s="37" t="s">
        <v>1372</v>
      </c>
      <c r="D36" s="37" t="s">
        <v>1372</v>
      </c>
      <c r="E36" s="37" t="s">
        <v>239</v>
      </c>
      <c r="F36" s="37" t="s">
        <v>1056</v>
      </c>
      <c r="G36" s="37" t="s">
        <v>282</v>
      </c>
      <c r="H36" s="37" t="s">
        <v>306</v>
      </c>
      <c r="I36" s="53"/>
      <c r="J36" s="53"/>
      <c r="K36" s="37" t="s">
        <v>2568</v>
      </c>
      <c r="L36" s="37" t="s">
        <v>242</v>
      </c>
      <c r="M36" s="37" t="s">
        <v>245</v>
      </c>
      <c r="N36" s="41" t="s">
        <v>2553</v>
      </c>
      <c r="O36" s="37" t="s">
        <v>2554</v>
      </c>
      <c r="P36" s="49">
        <v>1.05</v>
      </c>
      <c r="Q36" s="37" t="s">
        <v>2555</v>
      </c>
      <c r="R36" s="37" t="s">
        <v>245</v>
      </c>
    </row>
    <row r="37" spans="1:18" x14ac:dyDescent="0.3">
      <c r="A37" s="38" t="s">
        <v>1379</v>
      </c>
      <c r="B37" s="38" t="s">
        <v>2596</v>
      </c>
      <c r="C37" s="38" t="s">
        <v>1377</v>
      </c>
      <c r="D37" s="38" t="s">
        <v>1377</v>
      </c>
      <c r="E37" s="38" t="s">
        <v>239</v>
      </c>
      <c r="F37" s="38" t="s">
        <v>1056</v>
      </c>
      <c r="G37" s="38" t="s">
        <v>282</v>
      </c>
      <c r="H37" s="38" t="s">
        <v>306</v>
      </c>
      <c r="I37" s="54"/>
      <c r="J37" s="54"/>
      <c r="K37" s="38" t="s">
        <v>2568</v>
      </c>
      <c r="L37" s="38" t="s">
        <v>242</v>
      </c>
      <c r="M37" s="38" t="s">
        <v>245</v>
      </c>
      <c r="N37" s="44" t="s">
        <v>2553</v>
      </c>
      <c r="O37" s="38" t="s">
        <v>2554</v>
      </c>
      <c r="P37" s="51">
        <v>1.05</v>
      </c>
      <c r="Q37" s="38" t="s">
        <v>2555</v>
      </c>
      <c r="R37" s="38" t="s">
        <v>245</v>
      </c>
    </row>
    <row r="38" spans="1:18" ht="43.2" x14ac:dyDescent="0.3">
      <c r="A38" s="37" t="s">
        <v>1385</v>
      </c>
      <c r="B38" s="37" t="s">
        <v>2597</v>
      </c>
      <c r="C38" s="37" t="s">
        <v>1382</v>
      </c>
      <c r="D38" s="37" t="s">
        <v>1382</v>
      </c>
      <c r="E38" s="37" t="s">
        <v>360</v>
      </c>
      <c r="F38" s="37" t="s">
        <v>1384</v>
      </c>
      <c r="G38" s="37" t="s">
        <v>282</v>
      </c>
      <c r="H38" s="37" t="s">
        <v>306</v>
      </c>
      <c r="I38" s="53"/>
      <c r="J38" s="53"/>
      <c r="K38" s="37" t="s">
        <v>2598</v>
      </c>
      <c r="L38" s="37" t="s">
        <v>242</v>
      </c>
      <c r="M38" s="37" t="s">
        <v>245</v>
      </c>
      <c r="N38" s="41" t="s">
        <v>2553</v>
      </c>
      <c r="O38" s="37" t="s">
        <v>2560</v>
      </c>
      <c r="P38" s="49">
        <v>1</v>
      </c>
      <c r="Q38" s="37" t="s">
        <v>2561</v>
      </c>
      <c r="R38" s="37" t="s">
        <v>245</v>
      </c>
    </row>
    <row r="39" spans="1:18" ht="28.8" x14ac:dyDescent="0.3">
      <c r="A39" s="38" t="s">
        <v>1391</v>
      </c>
      <c r="B39" s="38" t="s">
        <v>2599</v>
      </c>
      <c r="C39" s="38" t="s">
        <v>1388</v>
      </c>
      <c r="D39" s="38" t="s">
        <v>1388</v>
      </c>
      <c r="E39" s="38" t="s">
        <v>239</v>
      </c>
      <c r="F39" s="38" t="s">
        <v>1390</v>
      </c>
      <c r="G39" s="38" t="s">
        <v>282</v>
      </c>
      <c r="H39" s="38" t="s">
        <v>306</v>
      </c>
      <c r="I39" s="54">
        <v>300</v>
      </c>
      <c r="J39" s="54">
        <v>300</v>
      </c>
      <c r="K39" s="38" t="s">
        <v>2598</v>
      </c>
      <c r="L39" s="38" t="s">
        <v>242</v>
      </c>
      <c r="M39" s="38" t="s">
        <v>245</v>
      </c>
      <c r="N39" s="44" t="s">
        <v>2553</v>
      </c>
      <c r="O39" s="38" t="s">
        <v>2560</v>
      </c>
      <c r="P39" s="51">
        <v>1</v>
      </c>
      <c r="Q39" s="38" t="s">
        <v>2561</v>
      </c>
      <c r="R39" s="38" t="s">
        <v>245</v>
      </c>
    </row>
    <row r="40" spans="1:18" x14ac:dyDescent="0.3">
      <c r="A40" s="37" t="s">
        <v>1397</v>
      </c>
      <c r="B40" s="37" t="s">
        <v>2600</v>
      </c>
      <c r="C40" s="37" t="s">
        <v>1395</v>
      </c>
      <c r="D40" s="37" t="s">
        <v>1395</v>
      </c>
      <c r="E40" s="37" t="s">
        <v>239</v>
      </c>
      <c r="F40" s="37" t="s">
        <v>1056</v>
      </c>
      <c r="G40" s="37" t="s">
        <v>282</v>
      </c>
      <c r="H40" s="37" t="s">
        <v>1103</v>
      </c>
      <c r="I40" s="53">
        <v>25</v>
      </c>
      <c r="J40" s="53">
        <v>100</v>
      </c>
      <c r="K40" s="37" t="s">
        <v>2573</v>
      </c>
      <c r="L40" s="37" t="s">
        <v>242</v>
      </c>
      <c r="M40" s="37" t="s">
        <v>245</v>
      </c>
      <c r="N40" s="41" t="s">
        <v>2553</v>
      </c>
      <c r="O40" s="37" t="s">
        <v>2557</v>
      </c>
      <c r="P40" s="49">
        <v>1.1000000000000001</v>
      </c>
      <c r="Q40" s="37" t="s">
        <v>2555</v>
      </c>
      <c r="R40" s="37" t="s">
        <v>245</v>
      </c>
    </row>
    <row r="41" spans="1:18" ht="28.8" x14ac:dyDescent="0.3">
      <c r="A41" s="38" t="s">
        <v>1402</v>
      </c>
      <c r="B41" s="38" t="s">
        <v>2601</v>
      </c>
      <c r="C41" s="38" t="s">
        <v>1400</v>
      </c>
      <c r="D41" s="38" t="s">
        <v>1400</v>
      </c>
      <c r="E41" s="38" t="s">
        <v>239</v>
      </c>
      <c r="F41" s="38" t="s">
        <v>1056</v>
      </c>
      <c r="G41" s="38" t="s">
        <v>282</v>
      </c>
      <c r="H41" s="38" t="s">
        <v>306</v>
      </c>
      <c r="I41" s="54">
        <v>45</v>
      </c>
      <c r="J41" s="54">
        <v>145</v>
      </c>
      <c r="K41" s="38" t="s">
        <v>2573</v>
      </c>
      <c r="L41" s="38" t="s">
        <v>242</v>
      </c>
      <c r="M41" s="38" t="s">
        <v>245</v>
      </c>
      <c r="N41" s="44" t="s">
        <v>2553</v>
      </c>
      <c r="O41" s="38" t="s">
        <v>2557</v>
      </c>
      <c r="P41" s="51">
        <v>1.1000000000000001</v>
      </c>
      <c r="Q41" s="38" t="s">
        <v>2555</v>
      </c>
      <c r="R41" s="38" t="s">
        <v>245</v>
      </c>
    </row>
    <row r="42" spans="1:18" ht="28.8" x14ac:dyDescent="0.3">
      <c r="A42" s="37" t="s">
        <v>1407</v>
      </c>
      <c r="B42" s="37" t="s">
        <v>2602</v>
      </c>
      <c r="C42" s="37" t="s">
        <v>1405</v>
      </c>
      <c r="D42" s="37" t="s">
        <v>1405</v>
      </c>
      <c r="E42" s="37" t="s">
        <v>239</v>
      </c>
      <c r="F42" s="37" t="s">
        <v>1056</v>
      </c>
      <c r="G42" s="37" t="s">
        <v>282</v>
      </c>
      <c r="H42" s="37" t="s">
        <v>306</v>
      </c>
      <c r="I42" s="53">
        <v>50</v>
      </c>
      <c r="J42" s="53">
        <v>100</v>
      </c>
      <c r="K42" s="37" t="s">
        <v>2573</v>
      </c>
      <c r="L42" s="37" t="s">
        <v>242</v>
      </c>
      <c r="M42" s="37" t="s">
        <v>245</v>
      </c>
      <c r="N42" s="41" t="s">
        <v>2553</v>
      </c>
      <c r="O42" s="37" t="s">
        <v>2557</v>
      </c>
      <c r="P42" s="49">
        <v>1.1000000000000001</v>
      </c>
      <c r="Q42" s="37" t="s">
        <v>2555</v>
      </c>
      <c r="R42" s="37" t="s">
        <v>245</v>
      </c>
    </row>
    <row r="43" spans="1:18" x14ac:dyDescent="0.3">
      <c r="A43" s="38" t="s">
        <v>1412</v>
      </c>
      <c r="B43" s="38" t="s">
        <v>2603</v>
      </c>
      <c r="C43" s="38" t="s">
        <v>1410</v>
      </c>
      <c r="D43" s="38" t="s">
        <v>1410</v>
      </c>
      <c r="E43" s="38" t="s">
        <v>239</v>
      </c>
      <c r="F43" s="38" t="s">
        <v>1056</v>
      </c>
      <c r="G43" s="38" t="s">
        <v>282</v>
      </c>
      <c r="H43" s="38" t="s">
        <v>306</v>
      </c>
      <c r="I43" s="54">
        <v>20</v>
      </c>
      <c r="J43" s="54">
        <v>125</v>
      </c>
      <c r="K43" s="38" t="s">
        <v>2573</v>
      </c>
      <c r="L43" s="38" t="s">
        <v>242</v>
      </c>
      <c r="M43" s="38" t="s">
        <v>245</v>
      </c>
      <c r="N43" s="44" t="s">
        <v>2553</v>
      </c>
      <c r="O43" s="38" t="s">
        <v>2557</v>
      </c>
      <c r="P43" s="51">
        <v>1.1000000000000001</v>
      </c>
      <c r="Q43" s="38" t="s">
        <v>2555</v>
      </c>
      <c r="R43" s="38" t="s">
        <v>245</v>
      </c>
    </row>
    <row r="44" spans="1:18" x14ac:dyDescent="0.3">
      <c r="A44" s="37" t="s">
        <v>1417</v>
      </c>
      <c r="B44" s="37" t="s">
        <v>2603</v>
      </c>
      <c r="C44" s="37" t="s">
        <v>1415</v>
      </c>
      <c r="D44" s="37" t="s">
        <v>1415</v>
      </c>
      <c r="E44" s="37" t="s">
        <v>239</v>
      </c>
      <c r="F44" s="37" t="s">
        <v>1056</v>
      </c>
      <c r="G44" s="37" t="s">
        <v>282</v>
      </c>
      <c r="H44" s="37" t="s">
        <v>306</v>
      </c>
      <c r="I44" s="53">
        <v>20</v>
      </c>
      <c r="J44" s="53">
        <v>145</v>
      </c>
      <c r="K44" s="37" t="s">
        <v>2573</v>
      </c>
      <c r="L44" s="37" t="s">
        <v>242</v>
      </c>
      <c r="M44" s="37" t="s">
        <v>245</v>
      </c>
      <c r="N44" s="41" t="s">
        <v>2553</v>
      </c>
      <c r="O44" s="37" t="s">
        <v>2557</v>
      </c>
      <c r="P44" s="49">
        <v>1.1000000000000001</v>
      </c>
      <c r="Q44" s="37" t="s">
        <v>2555</v>
      </c>
      <c r="R44" s="37" t="s">
        <v>245</v>
      </c>
    </row>
    <row r="45" spans="1:18" ht="28.8" x14ac:dyDescent="0.3">
      <c r="A45" s="38" t="s">
        <v>1422</v>
      </c>
      <c r="B45" s="38" t="s">
        <v>2604</v>
      </c>
      <c r="C45" s="38" t="s">
        <v>1420</v>
      </c>
      <c r="D45" s="38" t="s">
        <v>1420</v>
      </c>
      <c r="E45" s="38" t="s">
        <v>239</v>
      </c>
      <c r="F45" s="38" t="s">
        <v>1056</v>
      </c>
      <c r="G45" s="38" t="s">
        <v>282</v>
      </c>
      <c r="H45" s="38" t="s">
        <v>306</v>
      </c>
      <c r="I45" s="54">
        <v>145</v>
      </c>
      <c r="J45" s="54">
        <v>28</v>
      </c>
      <c r="K45" s="38" t="s">
        <v>2573</v>
      </c>
      <c r="L45" s="38" t="s">
        <v>242</v>
      </c>
      <c r="M45" s="38" t="s">
        <v>245</v>
      </c>
      <c r="N45" s="44" t="s">
        <v>2553</v>
      </c>
      <c r="O45" s="38" t="s">
        <v>2557</v>
      </c>
      <c r="P45" s="51">
        <v>1.1000000000000001</v>
      </c>
      <c r="Q45" s="38" t="s">
        <v>2555</v>
      </c>
      <c r="R45" s="38" t="s">
        <v>245</v>
      </c>
    </row>
    <row r="46" spans="1:18" ht="28.8" x14ac:dyDescent="0.3">
      <c r="A46" s="37" t="s">
        <v>1427</v>
      </c>
      <c r="B46" s="37" t="s">
        <v>2605</v>
      </c>
      <c r="C46" s="37" t="s">
        <v>1425</v>
      </c>
      <c r="D46" s="37" t="s">
        <v>1425</v>
      </c>
      <c r="E46" s="37" t="s">
        <v>320</v>
      </c>
      <c r="F46" s="37" t="s">
        <v>1316</v>
      </c>
      <c r="G46" s="37" t="s">
        <v>282</v>
      </c>
      <c r="H46" s="37" t="s">
        <v>306</v>
      </c>
      <c r="I46" s="53">
        <v>150</v>
      </c>
      <c r="J46" s="53">
        <v>25</v>
      </c>
      <c r="K46" s="37" t="s">
        <v>2573</v>
      </c>
      <c r="L46" s="37" t="s">
        <v>242</v>
      </c>
      <c r="M46" s="37" t="s">
        <v>245</v>
      </c>
      <c r="N46" s="41" t="s">
        <v>2553</v>
      </c>
      <c r="O46" s="37" t="s">
        <v>2557</v>
      </c>
      <c r="P46" s="49">
        <v>1.1000000000000001</v>
      </c>
      <c r="Q46" s="37" t="s">
        <v>2555</v>
      </c>
      <c r="R46" s="37" t="s">
        <v>245</v>
      </c>
    </row>
    <row r="47" spans="1:18" x14ac:dyDescent="0.3">
      <c r="A47" s="38" t="s">
        <v>1442</v>
      </c>
      <c r="B47" s="38" t="s">
        <v>2606</v>
      </c>
      <c r="C47" s="38" t="s">
        <v>1440</v>
      </c>
      <c r="D47" s="38" t="s">
        <v>1440</v>
      </c>
      <c r="E47" s="38" t="s">
        <v>239</v>
      </c>
      <c r="F47" s="38" t="s">
        <v>1062</v>
      </c>
      <c r="G47" s="38" t="s">
        <v>282</v>
      </c>
      <c r="H47" s="38" t="s">
        <v>1441</v>
      </c>
      <c r="I47" s="54">
        <v>8</v>
      </c>
      <c r="J47" s="54">
        <v>100</v>
      </c>
      <c r="K47" s="38" t="s">
        <v>2559</v>
      </c>
      <c r="L47" s="38" t="s">
        <v>242</v>
      </c>
      <c r="M47" s="38" t="s">
        <v>245</v>
      </c>
      <c r="N47" s="44" t="s">
        <v>2553</v>
      </c>
      <c r="O47" s="38" t="s">
        <v>2560</v>
      </c>
      <c r="P47" s="51">
        <v>1</v>
      </c>
      <c r="Q47" s="38" t="s">
        <v>2561</v>
      </c>
      <c r="R47" s="38" t="s">
        <v>245</v>
      </c>
    </row>
    <row r="48" spans="1:18" x14ac:dyDescent="0.3">
      <c r="A48" s="37" t="s">
        <v>1458</v>
      </c>
      <c r="B48" s="37" t="s">
        <v>2607</v>
      </c>
      <c r="C48" s="37" t="s">
        <v>1456</v>
      </c>
      <c r="D48" s="37" t="s">
        <v>1456</v>
      </c>
      <c r="E48" s="37" t="s">
        <v>239</v>
      </c>
      <c r="F48" s="37" t="s">
        <v>1062</v>
      </c>
      <c r="G48" s="37" t="s">
        <v>282</v>
      </c>
      <c r="H48" s="37" t="s">
        <v>306</v>
      </c>
      <c r="I48" s="53"/>
      <c r="J48" s="53"/>
      <c r="K48" s="37" t="s">
        <v>2568</v>
      </c>
      <c r="L48" s="37" t="s">
        <v>242</v>
      </c>
      <c r="M48" s="37" t="s">
        <v>245</v>
      </c>
      <c r="N48" s="41" t="s">
        <v>2553</v>
      </c>
      <c r="O48" s="37" t="s">
        <v>2554</v>
      </c>
      <c r="P48" s="49">
        <v>1.05</v>
      </c>
      <c r="Q48" s="37" t="s">
        <v>2555</v>
      </c>
      <c r="R48" s="37" t="s">
        <v>245</v>
      </c>
    </row>
    <row r="49" spans="1:18" ht="28.8" x14ac:dyDescent="0.3">
      <c r="A49" s="38" t="s">
        <v>1470</v>
      </c>
      <c r="B49" s="38" t="s">
        <v>2608</v>
      </c>
      <c r="C49" s="38" t="s">
        <v>1467</v>
      </c>
      <c r="D49" s="38" t="s">
        <v>1467</v>
      </c>
      <c r="E49" s="38" t="s">
        <v>386</v>
      </c>
      <c r="F49" s="38" t="s">
        <v>1469</v>
      </c>
      <c r="G49" s="38" t="s">
        <v>282</v>
      </c>
      <c r="H49" s="38" t="s">
        <v>306</v>
      </c>
      <c r="I49" s="54">
        <v>3</v>
      </c>
      <c r="J49" s="54">
        <v>1</v>
      </c>
      <c r="K49" s="38" t="s">
        <v>2598</v>
      </c>
      <c r="L49" s="38" t="s">
        <v>242</v>
      </c>
      <c r="M49" s="38" t="s">
        <v>245</v>
      </c>
      <c r="N49" s="44" t="s">
        <v>2553</v>
      </c>
      <c r="O49" s="38" t="s">
        <v>2560</v>
      </c>
      <c r="P49" s="51">
        <v>1</v>
      </c>
      <c r="Q49" s="38" t="s">
        <v>2561</v>
      </c>
      <c r="R49" s="38" t="s">
        <v>245</v>
      </c>
    </row>
    <row r="50" spans="1:18" ht="28.8" x14ac:dyDescent="0.3">
      <c r="A50" s="37" t="s">
        <v>1475</v>
      </c>
      <c r="B50" s="37" t="s">
        <v>2608</v>
      </c>
      <c r="C50" s="37" t="s">
        <v>1473</v>
      </c>
      <c r="D50" s="37" t="s">
        <v>1473</v>
      </c>
      <c r="E50" s="37" t="s">
        <v>386</v>
      </c>
      <c r="F50" s="37" t="s">
        <v>1469</v>
      </c>
      <c r="G50" s="37" t="s">
        <v>282</v>
      </c>
      <c r="H50" s="37" t="s">
        <v>306</v>
      </c>
      <c r="I50" s="53">
        <v>3</v>
      </c>
      <c r="J50" s="53">
        <v>2</v>
      </c>
      <c r="K50" s="37" t="s">
        <v>2598</v>
      </c>
      <c r="L50" s="37" t="s">
        <v>242</v>
      </c>
      <c r="M50" s="37" t="s">
        <v>245</v>
      </c>
      <c r="N50" s="41" t="s">
        <v>2553</v>
      </c>
      <c r="O50" s="37" t="s">
        <v>2560</v>
      </c>
      <c r="P50" s="49">
        <v>1</v>
      </c>
      <c r="Q50" s="37" t="s">
        <v>2561</v>
      </c>
      <c r="R50" s="37" t="s">
        <v>245</v>
      </c>
    </row>
    <row r="51" spans="1:18" x14ac:dyDescent="0.3">
      <c r="A51" s="38" t="s">
        <v>1480</v>
      </c>
      <c r="B51" s="38" t="s">
        <v>2609</v>
      </c>
      <c r="C51" s="38" t="s">
        <v>1478</v>
      </c>
      <c r="D51" s="38" t="s">
        <v>1478</v>
      </c>
      <c r="E51" s="38" t="s">
        <v>239</v>
      </c>
      <c r="F51" s="38" t="s">
        <v>1056</v>
      </c>
      <c r="G51" s="38" t="s">
        <v>282</v>
      </c>
      <c r="H51" s="38" t="s">
        <v>306</v>
      </c>
      <c r="I51" s="54"/>
      <c r="J51" s="54"/>
      <c r="K51" s="38" t="s">
        <v>2568</v>
      </c>
      <c r="L51" s="38" t="s">
        <v>242</v>
      </c>
      <c r="M51" s="38" t="s">
        <v>245</v>
      </c>
      <c r="N51" s="44" t="s">
        <v>2553</v>
      </c>
      <c r="O51" s="38" t="s">
        <v>2554</v>
      </c>
      <c r="P51" s="51">
        <v>1.05</v>
      </c>
      <c r="Q51" s="38" t="s">
        <v>2555</v>
      </c>
      <c r="R51" s="38" t="s">
        <v>245</v>
      </c>
    </row>
    <row r="52" spans="1:18" ht="28.8" x14ac:dyDescent="0.3">
      <c r="A52" s="37" t="s">
        <v>1486</v>
      </c>
      <c r="B52" s="37" t="s">
        <v>2610</v>
      </c>
      <c r="C52" s="37" t="s">
        <v>1483</v>
      </c>
      <c r="D52" s="37" t="s">
        <v>1483</v>
      </c>
      <c r="E52" s="37" t="s">
        <v>320</v>
      </c>
      <c r="F52" s="37" t="s">
        <v>1485</v>
      </c>
      <c r="G52" s="37" t="s">
        <v>282</v>
      </c>
      <c r="H52" s="37" t="s">
        <v>306</v>
      </c>
      <c r="I52" s="53">
        <v>276</v>
      </c>
      <c r="J52" s="53">
        <v>1000</v>
      </c>
      <c r="K52" s="37" t="s">
        <v>2598</v>
      </c>
      <c r="L52" s="37" t="s">
        <v>242</v>
      </c>
      <c r="M52" s="37" t="s">
        <v>245</v>
      </c>
      <c r="N52" s="41" t="s">
        <v>2553</v>
      </c>
      <c r="O52" s="37" t="s">
        <v>2560</v>
      </c>
      <c r="P52" s="49">
        <v>1</v>
      </c>
      <c r="Q52" s="37" t="s">
        <v>2561</v>
      </c>
      <c r="R52" s="37" t="s">
        <v>245</v>
      </c>
    </row>
    <row r="53" spans="1:18" ht="28.8" x14ac:dyDescent="0.3">
      <c r="A53" s="38" t="s">
        <v>1491</v>
      </c>
      <c r="B53" s="38" t="s">
        <v>2610</v>
      </c>
      <c r="C53" s="38" t="s">
        <v>1489</v>
      </c>
      <c r="D53" s="38" t="s">
        <v>1489</v>
      </c>
      <c r="E53" s="38" t="s">
        <v>320</v>
      </c>
      <c r="F53" s="38" t="s">
        <v>1485</v>
      </c>
      <c r="G53" s="38" t="s">
        <v>282</v>
      </c>
      <c r="H53" s="38" t="s">
        <v>306</v>
      </c>
      <c r="I53" s="54">
        <v>276</v>
      </c>
      <c r="J53" s="54">
        <v>1500</v>
      </c>
      <c r="K53" s="38" t="s">
        <v>2598</v>
      </c>
      <c r="L53" s="38" t="s">
        <v>242</v>
      </c>
      <c r="M53" s="38" t="s">
        <v>245</v>
      </c>
      <c r="N53" s="44" t="s">
        <v>2553</v>
      </c>
      <c r="O53" s="38" t="s">
        <v>2560</v>
      </c>
      <c r="P53" s="51">
        <v>1</v>
      </c>
      <c r="Q53" s="38" t="s">
        <v>2561</v>
      </c>
      <c r="R53" s="38" t="s">
        <v>245</v>
      </c>
    </row>
    <row r="54" spans="1:18" ht="28.8" x14ac:dyDescent="0.3">
      <c r="A54" s="37" t="s">
        <v>1496</v>
      </c>
      <c r="B54" s="37" t="s">
        <v>2611</v>
      </c>
      <c r="C54" s="37" t="s">
        <v>1494</v>
      </c>
      <c r="D54" s="37" t="s">
        <v>1494</v>
      </c>
      <c r="E54" s="37" t="s">
        <v>320</v>
      </c>
      <c r="F54" s="37" t="s">
        <v>1485</v>
      </c>
      <c r="G54" s="37" t="s">
        <v>282</v>
      </c>
      <c r="H54" s="37" t="s">
        <v>306</v>
      </c>
      <c r="I54" s="53">
        <v>400</v>
      </c>
      <c r="J54" s="53">
        <v>2000</v>
      </c>
      <c r="K54" s="37" t="s">
        <v>2598</v>
      </c>
      <c r="L54" s="37" t="s">
        <v>242</v>
      </c>
      <c r="M54" s="37" t="s">
        <v>245</v>
      </c>
      <c r="N54" s="41" t="s">
        <v>2553</v>
      </c>
      <c r="O54" s="37" t="s">
        <v>2560</v>
      </c>
      <c r="P54" s="49">
        <v>1</v>
      </c>
      <c r="Q54" s="37" t="s">
        <v>2561</v>
      </c>
      <c r="R54" s="37" t="s">
        <v>245</v>
      </c>
    </row>
    <row r="55" spans="1:18" ht="28.8" x14ac:dyDescent="0.3">
      <c r="A55" s="38" t="s">
        <v>1502</v>
      </c>
      <c r="B55" s="38" t="s">
        <v>2612</v>
      </c>
      <c r="C55" s="38" t="s">
        <v>1499</v>
      </c>
      <c r="D55" s="38" t="s">
        <v>1499</v>
      </c>
      <c r="E55" s="38" t="s">
        <v>360</v>
      </c>
      <c r="F55" s="38" t="s">
        <v>1501</v>
      </c>
      <c r="G55" s="38" t="s">
        <v>282</v>
      </c>
      <c r="H55" s="38" t="s">
        <v>306</v>
      </c>
      <c r="I55" s="54"/>
      <c r="J55" s="54"/>
      <c r="K55" s="38" t="s">
        <v>2564</v>
      </c>
      <c r="L55" s="38" t="s">
        <v>242</v>
      </c>
      <c r="M55" s="38" t="s">
        <v>245</v>
      </c>
      <c r="N55" s="44" t="s">
        <v>2553</v>
      </c>
      <c r="O55" s="38" t="s">
        <v>2565</v>
      </c>
      <c r="P55" s="51">
        <v>1.08</v>
      </c>
      <c r="Q55" s="38" t="s">
        <v>2566</v>
      </c>
      <c r="R55" s="38" t="s">
        <v>245</v>
      </c>
    </row>
    <row r="56" spans="1:18" ht="28.8" x14ac:dyDescent="0.3">
      <c r="A56" s="37" t="s">
        <v>1507</v>
      </c>
      <c r="B56" s="37" t="s">
        <v>2613</v>
      </c>
      <c r="C56" s="37" t="s">
        <v>1505</v>
      </c>
      <c r="D56" s="37" t="s">
        <v>1505</v>
      </c>
      <c r="E56" s="37" t="s">
        <v>360</v>
      </c>
      <c r="F56" s="37" t="s">
        <v>1501</v>
      </c>
      <c r="G56" s="37" t="s">
        <v>282</v>
      </c>
      <c r="H56" s="37" t="s">
        <v>306</v>
      </c>
      <c r="I56" s="53"/>
      <c r="J56" s="53"/>
      <c r="K56" s="37" t="s">
        <v>2564</v>
      </c>
      <c r="L56" s="37" t="s">
        <v>242</v>
      </c>
      <c r="M56" s="37" t="s">
        <v>245</v>
      </c>
      <c r="N56" s="41" t="s">
        <v>2553</v>
      </c>
      <c r="O56" s="37" t="s">
        <v>2565</v>
      </c>
      <c r="P56" s="49">
        <v>1.08</v>
      </c>
      <c r="Q56" s="37" t="s">
        <v>2566</v>
      </c>
      <c r="R56" s="37" t="s">
        <v>245</v>
      </c>
    </row>
    <row r="57" spans="1:18" ht="28.8" x14ac:dyDescent="0.3">
      <c r="A57" s="38" t="s">
        <v>1512</v>
      </c>
      <c r="B57" s="38" t="s">
        <v>2614</v>
      </c>
      <c r="C57" s="38" t="s">
        <v>1510</v>
      </c>
      <c r="D57" s="38" t="s">
        <v>1510</v>
      </c>
      <c r="E57" s="38" t="s">
        <v>360</v>
      </c>
      <c r="F57" s="38" t="s">
        <v>1501</v>
      </c>
      <c r="G57" s="38" t="s">
        <v>282</v>
      </c>
      <c r="H57" s="38" t="s">
        <v>306</v>
      </c>
      <c r="I57" s="54"/>
      <c r="J57" s="54"/>
      <c r="K57" s="38" t="s">
        <v>2564</v>
      </c>
      <c r="L57" s="38" t="s">
        <v>242</v>
      </c>
      <c r="M57" s="38" t="s">
        <v>245</v>
      </c>
      <c r="N57" s="44" t="s">
        <v>2553</v>
      </c>
      <c r="O57" s="38" t="s">
        <v>2565</v>
      </c>
      <c r="P57" s="51">
        <v>1.08</v>
      </c>
      <c r="Q57" s="38" t="s">
        <v>2566</v>
      </c>
      <c r="R57" s="38" t="s">
        <v>245</v>
      </c>
    </row>
    <row r="58" spans="1:18" ht="43.2" x14ac:dyDescent="0.3">
      <c r="A58" s="37" t="s">
        <v>1527</v>
      </c>
      <c r="B58" s="37" t="s">
        <v>2615</v>
      </c>
      <c r="C58" s="37" t="s">
        <v>1525</v>
      </c>
      <c r="D58" s="37" t="s">
        <v>1525</v>
      </c>
      <c r="E58" s="37" t="s">
        <v>386</v>
      </c>
      <c r="F58" s="37" t="s">
        <v>1130</v>
      </c>
      <c r="G58" s="37" t="s">
        <v>282</v>
      </c>
      <c r="H58" s="37" t="s">
        <v>388</v>
      </c>
      <c r="I58" s="53">
        <v>100</v>
      </c>
      <c r="J58" s="53">
        <v>100</v>
      </c>
      <c r="K58" s="37" t="s">
        <v>2559</v>
      </c>
      <c r="L58" s="37" t="s">
        <v>242</v>
      </c>
      <c r="M58" s="37" t="s">
        <v>245</v>
      </c>
      <c r="N58" s="41" t="s">
        <v>2553</v>
      </c>
      <c r="O58" s="37" t="s">
        <v>2560</v>
      </c>
      <c r="P58" s="49">
        <v>1</v>
      </c>
      <c r="Q58" s="37" t="s">
        <v>2561</v>
      </c>
      <c r="R58" s="37" t="s">
        <v>245</v>
      </c>
    </row>
    <row r="59" spans="1:18" ht="28.8" x14ac:dyDescent="0.3">
      <c r="A59" s="38" t="s">
        <v>1537</v>
      </c>
      <c r="B59" s="38" t="s">
        <v>2616</v>
      </c>
      <c r="C59" s="38" t="s">
        <v>1535</v>
      </c>
      <c r="D59" s="38" t="s">
        <v>1535</v>
      </c>
      <c r="E59" s="38" t="s">
        <v>239</v>
      </c>
      <c r="F59" s="38" t="s">
        <v>1056</v>
      </c>
      <c r="G59" s="38" t="s">
        <v>282</v>
      </c>
      <c r="H59" s="38" t="s">
        <v>1053</v>
      </c>
      <c r="I59" s="54"/>
      <c r="J59" s="54"/>
      <c r="K59" s="38" t="s">
        <v>2559</v>
      </c>
      <c r="L59" s="38" t="s">
        <v>242</v>
      </c>
      <c r="M59" s="38" t="s">
        <v>245</v>
      </c>
      <c r="N59" s="44" t="s">
        <v>2553</v>
      </c>
      <c r="O59" s="38" t="s">
        <v>2560</v>
      </c>
      <c r="P59" s="51">
        <v>1</v>
      </c>
      <c r="Q59" s="38" t="s">
        <v>2561</v>
      </c>
      <c r="R59" s="38" t="s">
        <v>245</v>
      </c>
    </row>
    <row r="60" spans="1:18" ht="28.8" x14ac:dyDescent="0.3">
      <c r="A60" s="37" t="s">
        <v>1542</v>
      </c>
      <c r="B60" s="37" t="s">
        <v>2617</v>
      </c>
      <c r="C60" s="37" t="s">
        <v>1540</v>
      </c>
      <c r="D60" s="37" t="s">
        <v>1540</v>
      </c>
      <c r="E60" s="37" t="s">
        <v>360</v>
      </c>
      <c r="F60" s="37" t="s">
        <v>1501</v>
      </c>
      <c r="G60" s="37" t="s">
        <v>282</v>
      </c>
      <c r="H60" s="37" t="s">
        <v>306</v>
      </c>
      <c r="I60" s="53"/>
      <c r="J60" s="53"/>
      <c r="K60" s="37" t="s">
        <v>2564</v>
      </c>
      <c r="L60" s="37" t="s">
        <v>242</v>
      </c>
      <c r="M60" s="37" t="s">
        <v>245</v>
      </c>
      <c r="N60" s="41" t="s">
        <v>2553</v>
      </c>
      <c r="O60" s="37" t="s">
        <v>2565</v>
      </c>
      <c r="P60" s="49">
        <v>1.08</v>
      </c>
      <c r="Q60" s="37" t="s">
        <v>2566</v>
      </c>
      <c r="R60" s="37" t="s">
        <v>245</v>
      </c>
    </row>
    <row r="61" spans="1:18" ht="28.8" x14ac:dyDescent="0.3">
      <c r="A61" s="38" t="s">
        <v>1547</v>
      </c>
      <c r="B61" s="38" t="s">
        <v>2618</v>
      </c>
      <c r="C61" s="38" t="s">
        <v>1545</v>
      </c>
      <c r="D61" s="38" t="s">
        <v>1545</v>
      </c>
      <c r="E61" s="38" t="s">
        <v>386</v>
      </c>
      <c r="F61" s="38" t="s">
        <v>1130</v>
      </c>
      <c r="G61" s="38" t="s">
        <v>282</v>
      </c>
      <c r="H61" s="38" t="s">
        <v>1103</v>
      </c>
      <c r="I61" s="54"/>
      <c r="J61" s="54"/>
      <c r="K61" s="38" t="s">
        <v>2559</v>
      </c>
      <c r="L61" s="38" t="s">
        <v>242</v>
      </c>
      <c r="M61" s="38" t="s">
        <v>245</v>
      </c>
      <c r="N61" s="44" t="s">
        <v>2553</v>
      </c>
      <c r="O61" s="38" t="s">
        <v>2560</v>
      </c>
      <c r="P61" s="51">
        <v>1</v>
      </c>
      <c r="Q61" s="38" t="s">
        <v>2561</v>
      </c>
      <c r="R61" s="38" t="s">
        <v>245</v>
      </c>
    </row>
    <row r="62" spans="1:18" x14ac:dyDescent="0.3">
      <c r="A62" s="37" t="s">
        <v>1551</v>
      </c>
      <c r="B62" s="37" t="s">
        <v>2619</v>
      </c>
      <c r="C62" s="37" t="s">
        <v>1550</v>
      </c>
      <c r="D62" s="37" t="s">
        <v>1550</v>
      </c>
      <c r="E62" s="37" t="s">
        <v>386</v>
      </c>
      <c r="F62" s="37" t="s">
        <v>1469</v>
      </c>
      <c r="G62" s="37" t="s">
        <v>282</v>
      </c>
      <c r="H62" s="37" t="s">
        <v>306</v>
      </c>
      <c r="I62" s="53"/>
      <c r="J62" s="53"/>
      <c r="K62" s="37" t="s">
        <v>2568</v>
      </c>
      <c r="L62" s="37" t="s">
        <v>242</v>
      </c>
      <c r="M62" s="37" t="s">
        <v>245</v>
      </c>
      <c r="N62" s="41" t="s">
        <v>2553</v>
      </c>
      <c r="O62" s="37" t="s">
        <v>2554</v>
      </c>
      <c r="P62" s="49">
        <v>1.05</v>
      </c>
      <c r="Q62" s="37" t="s">
        <v>2555</v>
      </c>
      <c r="R62" s="37" t="s">
        <v>245</v>
      </c>
    </row>
    <row r="63" spans="1:18" x14ac:dyDescent="0.3">
      <c r="A63" s="38" t="s">
        <v>1556</v>
      </c>
      <c r="B63" s="38" t="s">
        <v>1554</v>
      </c>
      <c r="C63" s="38" t="s">
        <v>1554</v>
      </c>
      <c r="D63" s="38" t="s">
        <v>1554</v>
      </c>
      <c r="E63" s="38" t="s">
        <v>239</v>
      </c>
      <c r="F63" s="38" t="s">
        <v>1062</v>
      </c>
      <c r="G63" s="38" t="s">
        <v>282</v>
      </c>
      <c r="H63" s="38" t="s">
        <v>306</v>
      </c>
      <c r="I63" s="54"/>
      <c r="J63" s="54"/>
      <c r="K63" s="38" t="s">
        <v>2568</v>
      </c>
      <c r="L63" s="38" t="s">
        <v>242</v>
      </c>
      <c r="M63" s="38" t="s">
        <v>245</v>
      </c>
      <c r="N63" s="44" t="s">
        <v>2553</v>
      </c>
      <c r="O63" s="38" t="s">
        <v>2554</v>
      </c>
      <c r="P63" s="51">
        <v>1.05</v>
      </c>
      <c r="Q63" s="38" t="s">
        <v>2555</v>
      </c>
      <c r="R63" s="38" t="s">
        <v>245</v>
      </c>
    </row>
    <row r="64" spans="1:18" ht="28.8" x14ac:dyDescent="0.3">
      <c r="A64" s="37" t="s">
        <v>1561</v>
      </c>
      <c r="B64" s="37" t="s">
        <v>2620</v>
      </c>
      <c r="C64" s="37" t="s">
        <v>1559</v>
      </c>
      <c r="D64" s="37" t="s">
        <v>1559</v>
      </c>
      <c r="E64" s="37" t="s">
        <v>360</v>
      </c>
      <c r="F64" s="37" t="s">
        <v>1384</v>
      </c>
      <c r="G64" s="37" t="s">
        <v>282</v>
      </c>
      <c r="H64" s="37" t="s">
        <v>1103</v>
      </c>
      <c r="I64" s="53"/>
      <c r="J64" s="53"/>
      <c r="K64" s="37" t="s">
        <v>2598</v>
      </c>
      <c r="L64" s="37" t="s">
        <v>242</v>
      </c>
      <c r="M64" s="37" t="s">
        <v>245</v>
      </c>
      <c r="N64" s="41" t="s">
        <v>2553</v>
      </c>
      <c r="O64" s="37" t="s">
        <v>2560</v>
      </c>
      <c r="P64" s="49">
        <v>1</v>
      </c>
      <c r="Q64" s="37" t="s">
        <v>2561</v>
      </c>
      <c r="R64" s="37" t="s">
        <v>245</v>
      </c>
    </row>
    <row r="65" spans="1:18" ht="28.8" x14ac:dyDescent="0.3">
      <c r="A65" s="38" t="s">
        <v>1566</v>
      </c>
      <c r="B65" s="38" t="s">
        <v>2621</v>
      </c>
      <c r="C65" s="38" t="s">
        <v>1564</v>
      </c>
      <c r="D65" s="38" t="s">
        <v>1564</v>
      </c>
      <c r="E65" s="38" t="s">
        <v>360</v>
      </c>
      <c r="F65" s="38" t="s">
        <v>1501</v>
      </c>
      <c r="G65" s="38" t="s">
        <v>282</v>
      </c>
      <c r="H65" s="38" t="s">
        <v>306</v>
      </c>
      <c r="I65" s="54"/>
      <c r="J65" s="54"/>
      <c r="K65" s="38" t="s">
        <v>2598</v>
      </c>
      <c r="L65" s="38" t="s">
        <v>242</v>
      </c>
      <c r="M65" s="38" t="s">
        <v>245</v>
      </c>
      <c r="N65" s="44" t="s">
        <v>2553</v>
      </c>
      <c r="O65" s="38" t="s">
        <v>2560</v>
      </c>
      <c r="P65" s="51">
        <v>1</v>
      </c>
      <c r="Q65" s="38" t="s">
        <v>2561</v>
      </c>
      <c r="R65" s="38" t="s">
        <v>245</v>
      </c>
    </row>
    <row r="66" spans="1:18" x14ac:dyDescent="0.3">
      <c r="A66" s="37" t="s">
        <v>1570</v>
      </c>
      <c r="B66" s="37" t="s">
        <v>2622</v>
      </c>
      <c r="C66" s="37" t="s">
        <v>1569</v>
      </c>
      <c r="D66" s="37" t="s">
        <v>1569</v>
      </c>
      <c r="E66" s="37" t="s">
        <v>239</v>
      </c>
      <c r="F66" s="37" t="s">
        <v>1113</v>
      </c>
      <c r="G66" s="37" t="s">
        <v>282</v>
      </c>
      <c r="H66" s="37" t="s">
        <v>418</v>
      </c>
      <c r="I66" s="53"/>
      <c r="J66" s="53"/>
      <c r="K66" s="37" t="s">
        <v>2559</v>
      </c>
      <c r="L66" s="37" t="s">
        <v>242</v>
      </c>
      <c r="M66" s="37" t="s">
        <v>245</v>
      </c>
      <c r="N66" s="41" t="s">
        <v>2553</v>
      </c>
      <c r="O66" s="37" t="s">
        <v>2560</v>
      </c>
      <c r="P66" s="49">
        <v>1</v>
      </c>
      <c r="Q66" s="37" t="s">
        <v>2561</v>
      </c>
      <c r="R66" s="37" t="s">
        <v>245</v>
      </c>
    </row>
    <row r="67" spans="1:18" x14ac:dyDescent="0.3">
      <c r="A67" s="38" t="s">
        <v>1575</v>
      </c>
      <c r="B67" s="38" t="s">
        <v>2622</v>
      </c>
      <c r="C67" s="38" t="s">
        <v>1573</v>
      </c>
      <c r="D67" s="38" t="s">
        <v>1573</v>
      </c>
      <c r="E67" s="38" t="s">
        <v>360</v>
      </c>
      <c r="F67" s="38" t="s">
        <v>1316</v>
      </c>
      <c r="G67" s="38" t="s">
        <v>282</v>
      </c>
      <c r="H67" s="38" t="s">
        <v>306</v>
      </c>
      <c r="I67" s="54"/>
      <c r="J67" s="54"/>
      <c r="K67" s="38" t="s">
        <v>2568</v>
      </c>
      <c r="L67" s="38" t="s">
        <v>242</v>
      </c>
      <c r="M67" s="38" t="s">
        <v>245</v>
      </c>
      <c r="N67" s="44" t="s">
        <v>2553</v>
      </c>
      <c r="O67" s="38" t="s">
        <v>2554</v>
      </c>
      <c r="P67" s="51">
        <v>1.05</v>
      </c>
      <c r="Q67" s="38" t="s">
        <v>2555</v>
      </c>
      <c r="R67" s="38" t="s">
        <v>245</v>
      </c>
    </row>
    <row r="68" spans="1:18" x14ac:dyDescent="0.3">
      <c r="A68" s="37" t="s">
        <v>1580</v>
      </c>
      <c r="B68" s="37" t="s">
        <v>2623</v>
      </c>
      <c r="C68" s="37" t="s">
        <v>1578</v>
      </c>
      <c r="D68" s="37" t="s">
        <v>1578</v>
      </c>
      <c r="E68" s="37" t="s">
        <v>399</v>
      </c>
      <c r="F68" s="37" t="s">
        <v>1012</v>
      </c>
      <c r="G68" s="37" t="s">
        <v>282</v>
      </c>
      <c r="H68" s="37" t="s">
        <v>388</v>
      </c>
      <c r="I68" s="53"/>
      <c r="J68" s="53"/>
      <c r="K68" s="37" t="s">
        <v>2559</v>
      </c>
      <c r="L68" s="37" t="s">
        <v>242</v>
      </c>
      <c r="M68" s="37" t="s">
        <v>245</v>
      </c>
      <c r="N68" s="41" t="s">
        <v>2553</v>
      </c>
      <c r="O68" s="37" t="s">
        <v>2560</v>
      </c>
      <c r="P68" s="49">
        <v>1</v>
      </c>
      <c r="Q68" s="37" t="s">
        <v>2561</v>
      </c>
      <c r="R68" s="37" t="s">
        <v>245</v>
      </c>
    </row>
    <row r="69" spans="1:18" x14ac:dyDescent="0.3">
      <c r="A69" s="38" t="s">
        <v>1584</v>
      </c>
      <c r="B69" s="38" t="s">
        <v>2624</v>
      </c>
      <c r="C69" s="38" t="s">
        <v>1583</v>
      </c>
      <c r="D69" s="38" t="s">
        <v>1583</v>
      </c>
      <c r="E69" s="38" t="s">
        <v>239</v>
      </c>
      <c r="F69" s="38" t="s">
        <v>1062</v>
      </c>
      <c r="G69" s="38" t="s">
        <v>282</v>
      </c>
      <c r="H69" s="38" t="s">
        <v>418</v>
      </c>
      <c r="I69" s="54"/>
      <c r="J69" s="54"/>
      <c r="K69" s="38" t="s">
        <v>2559</v>
      </c>
      <c r="L69" s="38" t="s">
        <v>242</v>
      </c>
      <c r="M69" s="38" t="s">
        <v>245</v>
      </c>
      <c r="N69" s="44" t="s">
        <v>2553</v>
      </c>
      <c r="O69" s="38" t="s">
        <v>2560</v>
      </c>
      <c r="P69" s="51">
        <v>1</v>
      </c>
      <c r="Q69" s="38" t="s">
        <v>2561</v>
      </c>
      <c r="R69" s="38" t="s">
        <v>245</v>
      </c>
    </row>
    <row r="70" spans="1:18" ht="28.8" x14ac:dyDescent="0.3">
      <c r="A70" s="37" t="s">
        <v>1708</v>
      </c>
      <c r="B70" s="37" t="s">
        <v>2625</v>
      </c>
      <c r="C70" s="37" t="s">
        <v>1706</v>
      </c>
      <c r="D70" s="37" t="s">
        <v>1706</v>
      </c>
      <c r="E70" s="37" t="s">
        <v>360</v>
      </c>
      <c r="F70" s="37" t="s">
        <v>1501</v>
      </c>
      <c r="G70" s="37" t="s">
        <v>282</v>
      </c>
      <c r="H70" s="37" t="s">
        <v>306</v>
      </c>
      <c r="I70" s="53"/>
      <c r="J70" s="53"/>
      <c r="K70" s="37" t="s">
        <v>2598</v>
      </c>
      <c r="L70" s="37" t="s">
        <v>242</v>
      </c>
      <c r="M70" s="37" t="s">
        <v>245</v>
      </c>
      <c r="N70" s="41" t="s">
        <v>2553</v>
      </c>
      <c r="O70" s="37" t="s">
        <v>2560</v>
      </c>
      <c r="P70" s="49">
        <v>1</v>
      </c>
      <c r="Q70" s="37" t="s">
        <v>2561</v>
      </c>
      <c r="R70" s="37" t="s">
        <v>245</v>
      </c>
    </row>
    <row r="71" spans="1:18" ht="28.8" x14ac:dyDescent="0.3">
      <c r="A71" s="38" t="s">
        <v>1712</v>
      </c>
      <c r="B71" s="38" t="s">
        <v>2626</v>
      </c>
      <c r="C71" s="38" t="s">
        <v>1711</v>
      </c>
      <c r="D71" s="38" t="s">
        <v>1711</v>
      </c>
      <c r="E71" s="38" t="s">
        <v>360</v>
      </c>
      <c r="F71" s="38" t="s">
        <v>1501</v>
      </c>
      <c r="G71" s="38" t="s">
        <v>282</v>
      </c>
      <c r="H71" s="38" t="s">
        <v>306</v>
      </c>
      <c r="I71" s="54"/>
      <c r="J71" s="54"/>
      <c r="K71" s="38" t="s">
        <v>2598</v>
      </c>
      <c r="L71" s="38" t="s">
        <v>242</v>
      </c>
      <c r="M71" s="38" t="s">
        <v>245</v>
      </c>
      <c r="N71" s="44" t="s">
        <v>2553</v>
      </c>
      <c r="O71" s="38" t="s">
        <v>2560</v>
      </c>
      <c r="P71" s="51">
        <v>1</v>
      </c>
      <c r="Q71" s="38" t="s">
        <v>2561</v>
      </c>
      <c r="R71" s="38" t="s">
        <v>245</v>
      </c>
    </row>
    <row r="72" spans="1:18" ht="28.8" x14ac:dyDescent="0.3">
      <c r="A72" s="37" t="s">
        <v>1751</v>
      </c>
      <c r="B72" s="37" t="s">
        <v>2627</v>
      </c>
      <c r="C72" s="37" t="s">
        <v>1749</v>
      </c>
      <c r="D72" s="37" t="s">
        <v>1749</v>
      </c>
      <c r="E72" s="37" t="s">
        <v>386</v>
      </c>
      <c r="F72" s="37" t="s">
        <v>1130</v>
      </c>
      <c r="G72" s="37" t="s">
        <v>282</v>
      </c>
      <c r="H72" s="37" t="s">
        <v>306</v>
      </c>
      <c r="I72" s="53"/>
      <c r="J72" s="53"/>
      <c r="K72" s="37" t="s">
        <v>2564</v>
      </c>
      <c r="L72" s="37" t="s">
        <v>242</v>
      </c>
      <c r="M72" s="37" t="s">
        <v>245</v>
      </c>
      <c r="N72" s="41" t="s">
        <v>2553</v>
      </c>
      <c r="O72" s="37" t="s">
        <v>2565</v>
      </c>
      <c r="P72" s="49">
        <v>1.08</v>
      </c>
      <c r="Q72" s="37" t="s">
        <v>2566</v>
      </c>
      <c r="R72" s="37" t="s">
        <v>245</v>
      </c>
    </row>
    <row r="73" spans="1:18" x14ac:dyDescent="0.3">
      <c r="A73" s="38" t="s">
        <v>1756</v>
      </c>
      <c r="B73" s="38" t="s">
        <v>2628</v>
      </c>
      <c r="C73" s="38" t="s">
        <v>1754</v>
      </c>
      <c r="D73" s="38" t="s">
        <v>1754</v>
      </c>
      <c r="E73" s="38" t="s">
        <v>239</v>
      </c>
      <c r="F73" s="38" t="s">
        <v>522</v>
      </c>
      <c r="G73" s="38" t="s">
        <v>282</v>
      </c>
      <c r="H73" s="38" t="s">
        <v>362</v>
      </c>
      <c r="I73" s="54"/>
      <c r="J73" s="54"/>
      <c r="K73" s="38" t="s">
        <v>2564</v>
      </c>
      <c r="L73" s="38" t="s">
        <v>242</v>
      </c>
      <c r="M73" s="38" t="s">
        <v>245</v>
      </c>
      <c r="N73" s="44" t="s">
        <v>2553</v>
      </c>
      <c r="O73" s="38" t="s">
        <v>2565</v>
      </c>
      <c r="P73" s="51">
        <v>1.08</v>
      </c>
      <c r="Q73" s="38" t="s">
        <v>2566</v>
      </c>
      <c r="R73" s="38" t="s">
        <v>245</v>
      </c>
    </row>
    <row r="74" spans="1:18" x14ac:dyDescent="0.3">
      <c r="A74" s="37" t="s">
        <v>1760</v>
      </c>
      <c r="B74" s="37" t="s">
        <v>2629</v>
      </c>
      <c r="C74" s="37" t="s">
        <v>1759</v>
      </c>
      <c r="D74" s="37" t="s">
        <v>1759</v>
      </c>
      <c r="E74" s="37" t="s">
        <v>239</v>
      </c>
      <c r="F74" s="37" t="s">
        <v>522</v>
      </c>
      <c r="G74" s="37" t="s">
        <v>282</v>
      </c>
      <c r="H74" s="37" t="s">
        <v>362</v>
      </c>
      <c r="I74" s="53"/>
      <c r="J74" s="53"/>
      <c r="K74" s="37" t="s">
        <v>2564</v>
      </c>
      <c r="L74" s="37" t="s">
        <v>242</v>
      </c>
      <c r="M74" s="37" t="s">
        <v>245</v>
      </c>
      <c r="N74" s="41" t="s">
        <v>2553</v>
      </c>
      <c r="O74" s="37" t="s">
        <v>2565</v>
      </c>
      <c r="P74" s="49">
        <v>1.08</v>
      </c>
      <c r="Q74" s="37" t="s">
        <v>2566</v>
      </c>
      <c r="R74" s="37" t="s">
        <v>245</v>
      </c>
    </row>
    <row r="75" spans="1:18" x14ac:dyDescent="0.3">
      <c r="A75" s="38" t="s">
        <v>1764</v>
      </c>
      <c r="B75" s="38" t="s">
        <v>2630</v>
      </c>
      <c r="C75" s="38" t="s">
        <v>1763</v>
      </c>
      <c r="D75" s="38" t="s">
        <v>1763</v>
      </c>
      <c r="E75" s="38" t="s">
        <v>320</v>
      </c>
      <c r="F75" s="38" t="s">
        <v>1316</v>
      </c>
      <c r="G75" s="38" t="s">
        <v>282</v>
      </c>
      <c r="H75" s="38" t="s">
        <v>306</v>
      </c>
      <c r="I75" s="54"/>
      <c r="J75" s="54"/>
      <c r="K75" s="38" t="s">
        <v>2564</v>
      </c>
      <c r="L75" s="38" t="s">
        <v>242</v>
      </c>
      <c r="M75" s="38" t="s">
        <v>245</v>
      </c>
      <c r="N75" s="44" t="s">
        <v>2553</v>
      </c>
      <c r="O75" s="38" t="s">
        <v>2565</v>
      </c>
      <c r="P75" s="51">
        <v>1.08</v>
      </c>
      <c r="Q75" s="38" t="s">
        <v>2566</v>
      </c>
      <c r="R75" s="38" t="s">
        <v>245</v>
      </c>
    </row>
    <row r="76" spans="1:18" ht="43.2" x14ac:dyDescent="0.3">
      <c r="A76" s="37" t="s">
        <v>1785</v>
      </c>
      <c r="B76" s="37" t="s">
        <v>2631</v>
      </c>
      <c r="C76" s="37" t="s">
        <v>1784</v>
      </c>
      <c r="D76" s="37" t="s">
        <v>1784</v>
      </c>
      <c r="E76" s="37" t="s">
        <v>360</v>
      </c>
      <c r="F76" s="37" t="s">
        <v>1384</v>
      </c>
      <c r="G76" s="37" t="s">
        <v>282</v>
      </c>
      <c r="H76" s="37" t="s">
        <v>306</v>
      </c>
      <c r="I76" s="53">
        <v>500</v>
      </c>
      <c r="J76" s="53">
        <v>160</v>
      </c>
      <c r="K76" s="37" t="s">
        <v>2564</v>
      </c>
      <c r="L76" s="37" t="s">
        <v>242</v>
      </c>
      <c r="M76" s="37" t="s">
        <v>245</v>
      </c>
      <c r="N76" s="41" t="s">
        <v>2553</v>
      </c>
      <c r="O76" s="37" t="s">
        <v>2565</v>
      </c>
      <c r="P76" s="49">
        <v>1.08</v>
      </c>
      <c r="Q76" s="37" t="s">
        <v>2566</v>
      </c>
      <c r="R76" s="37" t="s">
        <v>245</v>
      </c>
    </row>
    <row r="77" spans="1:18" x14ac:dyDescent="0.3">
      <c r="A77" s="38" t="s">
        <v>1790</v>
      </c>
      <c r="B77" s="38" t="s">
        <v>2632</v>
      </c>
      <c r="C77" s="38" t="s">
        <v>1788</v>
      </c>
      <c r="D77" s="38" t="s">
        <v>1788</v>
      </c>
      <c r="E77" s="38" t="s">
        <v>281</v>
      </c>
      <c r="F77" s="38" t="s">
        <v>1316</v>
      </c>
      <c r="G77" s="38" t="s">
        <v>282</v>
      </c>
      <c r="H77" s="38" t="s">
        <v>362</v>
      </c>
      <c r="I77" s="54"/>
      <c r="J77" s="54"/>
      <c r="K77" s="38" t="s">
        <v>2564</v>
      </c>
      <c r="L77" s="38" t="s">
        <v>242</v>
      </c>
      <c r="M77" s="38" t="s">
        <v>245</v>
      </c>
      <c r="N77" s="44" t="s">
        <v>2553</v>
      </c>
      <c r="O77" s="38" t="s">
        <v>2565</v>
      </c>
      <c r="P77" s="51">
        <v>1.08</v>
      </c>
      <c r="Q77" s="38" t="s">
        <v>2566</v>
      </c>
      <c r="R77" s="38" t="s">
        <v>245</v>
      </c>
    </row>
    <row r="78" spans="1:18" x14ac:dyDescent="0.3">
      <c r="A78" s="37" t="s">
        <v>1795</v>
      </c>
      <c r="B78" s="37" t="s">
        <v>2633</v>
      </c>
      <c r="C78" s="37" t="s">
        <v>1793</v>
      </c>
      <c r="D78" s="37" t="s">
        <v>1793</v>
      </c>
      <c r="E78" s="37" t="s">
        <v>239</v>
      </c>
      <c r="F78" s="37" t="s">
        <v>522</v>
      </c>
      <c r="G78" s="37" t="s">
        <v>282</v>
      </c>
      <c r="H78" s="37" t="s">
        <v>306</v>
      </c>
      <c r="I78" s="53"/>
      <c r="J78" s="53"/>
      <c r="K78" s="37" t="s">
        <v>2564</v>
      </c>
      <c r="L78" s="37" t="s">
        <v>242</v>
      </c>
      <c r="M78" s="37" t="s">
        <v>245</v>
      </c>
      <c r="N78" s="41" t="s">
        <v>2553</v>
      </c>
      <c r="O78" s="37" t="s">
        <v>2565</v>
      </c>
      <c r="P78" s="49">
        <v>1.08</v>
      </c>
      <c r="Q78" s="37" t="s">
        <v>2566</v>
      </c>
      <c r="R78" s="37" t="s">
        <v>245</v>
      </c>
    </row>
    <row r="79" spans="1:18" x14ac:dyDescent="0.3">
      <c r="A79" s="38" t="s">
        <v>1799</v>
      </c>
      <c r="B79" s="38" t="s">
        <v>2634</v>
      </c>
      <c r="C79" s="38" t="s">
        <v>1798</v>
      </c>
      <c r="D79" s="38" t="s">
        <v>1798</v>
      </c>
      <c r="E79" s="38" t="s">
        <v>239</v>
      </c>
      <c r="F79" s="38" t="s">
        <v>522</v>
      </c>
      <c r="G79" s="38" t="s">
        <v>282</v>
      </c>
      <c r="H79" s="38" t="s">
        <v>306</v>
      </c>
      <c r="I79" s="54"/>
      <c r="J79" s="54"/>
      <c r="K79" s="38" t="s">
        <v>2564</v>
      </c>
      <c r="L79" s="38" t="s">
        <v>242</v>
      </c>
      <c r="M79" s="38" t="s">
        <v>245</v>
      </c>
      <c r="N79" s="44" t="s">
        <v>2553</v>
      </c>
      <c r="O79" s="38" t="s">
        <v>2565</v>
      </c>
      <c r="P79" s="51">
        <v>1.08</v>
      </c>
      <c r="Q79" s="38" t="s">
        <v>2566</v>
      </c>
      <c r="R79" s="38" t="s">
        <v>245</v>
      </c>
    </row>
    <row r="80" spans="1:18" x14ac:dyDescent="0.3">
      <c r="A80" s="37" t="s">
        <v>1804</v>
      </c>
      <c r="B80" s="37" t="s">
        <v>1802</v>
      </c>
      <c r="C80" s="37" t="s">
        <v>1802</v>
      </c>
      <c r="D80" s="37" t="s">
        <v>1802</v>
      </c>
      <c r="E80" s="37" t="s">
        <v>239</v>
      </c>
      <c r="F80" s="37" t="s">
        <v>1062</v>
      </c>
      <c r="G80" s="37" t="s">
        <v>282</v>
      </c>
      <c r="H80" s="37" t="s">
        <v>241</v>
      </c>
      <c r="I80" s="53"/>
      <c r="J80" s="53"/>
      <c r="K80" s="37" t="s">
        <v>367</v>
      </c>
      <c r="L80" s="37" t="s">
        <v>242</v>
      </c>
      <c r="M80" s="37" t="s">
        <v>245</v>
      </c>
      <c r="N80" s="41" t="s">
        <v>2553</v>
      </c>
      <c r="O80" s="37" t="s">
        <v>2584</v>
      </c>
      <c r="P80" s="49">
        <v>1.1000000000000001</v>
      </c>
      <c r="Q80" s="37" t="s">
        <v>2555</v>
      </c>
      <c r="R80" s="37" t="s">
        <v>245</v>
      </c>
    </row>
    <row r="81" spans="1:18" x14ac:dyDescent="0.3">
      <c r="A81" s="38" t="s">
        <v>1808</v>
      </c>
      <c r="B81" s="38" t="s">
        <v>2635</v>
      </c>
      <c r="C81" s="38" t="s">
        <v>1807</v>
      </c>
      <c r="D81" s="38" t="s">
        <v>1807</v>
      </c>
      <c r="E81" s="38" t="s">
        <v>239</v>
      </c>
      <c r="F81" s="38" t="s">
        <v>252</v>
      </c>
      <c r="G81" s="38" t="s">
        <v>282</v>
      </c>
      <c r="H81" s="38" t="s">
        <v>241</v>
      </c>
      <c r="I81" s="54"/>
      <c r="J81" s="54"/>
      <c r="K81" s="38" t="s">
        <v>252</v>
      </c>
      <c r="L81" s="38" t="s">
        <v>242</v>
      </c>
      <c r="M81" s="38" t="s">
        <v>245</v>
      </c>
      <c r="N81" s="44" t="s">
        <v>2553</v>
      </c>
      <c r="O81" s="38" t="s">
        <v>2565</v>
      </c>
      <c r="P81" s="51">
        <v>1.08</v>
      </c>
      <c r="Q81" s="38" t="s">
        <v>2566</v>
      </c>
      <c r="R81" s="38" t="s">
        <v>245</v>
      </c>
    </row>
    <row r="82" spans="1:18" ht="28.8" x14ac:dyDescent="0.3">
      <c r="A82" s="37" t="s">
        <v>1813</v>
      </c>
      <c r="B82" s="37" t="s">
        <v>2636</v>
      </c>
      <c r="C82" s="37" t="s">
        <v>1811</v>
      </c>
      <c r="D82" s="37" t="s">
        <v>1811</v>
      </c>
      <c r="E82" s="37" t="s">
        <v>239</v>
      </c>
      <c r="F82" s="37" t="s">
        <v>252</v>
      </c>
      <c r="G82" s="37" t="s">
        <v>282</v>
      </c>
      <c r="H82" s="37" t="s">
        <v>241</v>
      </c>
      <c r="I82" s="53"/>
      <c r="J82" s="53"/>
      <c r="K82" s="37" t="s">
        <v>252</v>
      </c>
      <c r="L82" s="37" t="s">
        <v>242</v>
      </c>
      <c r="M82" s="37" t="s">
        <v>245</v>
      </c>
      <c r="N82" s="41" t="s">
        <v>2553</v>
      </c>
      <c r="O82" s="37" t="s">
        <v>2565</v>
      </c>
      <c r="P82" s="49">
        <v>1.08</v>
      </c>
      <c r="Q82" s="37" t="s">
        <v>2566</v>
      </c>
      <c r="R82" s="37" t="s">
        <v>245</v>
      </c>
    </row>
    <row r="83" spans="1:18" ht="57.6" x14ac:dyDescent="0.3">
      <c r="A83" s="38" t="s">
        <v>1833</v>
      </c>
      <c r="B83" s="38" t="s">
        <v>2637</v>
      </c>
      <c r="C83" s="38" t="s">
        <v>1832</v>
      </c>
      <c r="D83" s="38" t="s">
        <v>1832</v>
      </c>
      <c r="E83" s="38" t="s">
        <v>239</v>
      </c>
      <c r="F83" s="38" t="s">
        <v>252</v>
      </c>
      <c r="G83" s="38" t="s">
        <v>282</v>
      </c>
      <c r="H83" s="38" t="s">
        <v>241</v>
      </c>
      <c r="I83" s="54"/>
      <c r="J83" s="54"/>
      <c r="K83" s="38" t="s">
        <v>252</v>
      </c>
      <c r="L83" s="38" t="s">
        <v>242</v>
      </c>
      <c r="M83" s="38" t="s">
        <v>245</v>
      </c>
      <c r="N83" s="44" t="s">
        <v>2553</v>
      </c>
      <c r="O83" s="38" t="s">
        <v>2554</v>
      </c>
      <c r="P83" s="51">
        <v>1.05</v>
      </c>
      <c r="Q83" s="38" t="s">
        <v>2555</v>
      </c>
      <c r="R83" s="38" t="s">
        <v>245</v>
      </c>
    </row>
    <row r="84" spans="1:18" x14ac:dyDescent="0.3">
      <c r="A84" s="37" t="s">
        <v>1838</v>
      </c>
      <c r="B84" s="37" t="s">
        <v>2638</v>
      </c>
      <c r="C84" s="37" t="s">
        <v>1836</v>
      </c>
      <c r="D84" s="37" t="s">
        <v>1836</v>
      </c>
      <c r="E84" s="37" t="s">
        <v>239</v>
      </c>
      <c r="F84" s="37" t="s">
        <v>1113</v>
      </c>
      <c r="G84" s="37" t="s">
        <v>282</v>
      </c>
      <c r="H84" s="37" t="s">
        <v>306</v>
      </c>
      <c r="I84" s="53"/>
      <c r="J84" s="53"/>
      <c r="K84" s="37" t="s">
        <v>2564</v>
      </c>
      <c r="L84" s="37" t="s">
        <v>242</v>
      </c>
      <c r="M84" s="37" t="s">
        <v>245</v>
      </c>
      <c r="N84" s="41" t="s">
        <v>2553</v>
      </c>
      <c r="O84" s="37" t="s">
        <v>2565</v>
      </c>
      <c r="P84" s="49">
        <v>1.08</v>
      </c>
      <c r="Q84" s="37" t="s">
        <v>2566</v>
      </c>
      <c r="R84" s="37" t="s">
        <v>245</v>
      </c>
    </row>
    <row r="85" spans="1:18" x14ac:dyDescent="0.3">
      <c r="A85" s="38" t="s">
        <v>1845</v>
      </c>
      <c r="B85" s="38" t="s">
        <v>2639</v>
      </c>
      <c r="C85" s="38" t="s">
        <v>1844</v>
      </c>
      <c r="D85" s="38" t="s">
        <v>1844</v>
      </c>
      <c r="E85" s="38" t="s">
        <v>405</v>
      </c>
      <c r="F85" s="38" t="s">
        <v>1120</v>
      </c>
      <c r="G85" s="38" t="s">
        <v>282</v>
      </c>
      <c r="H85" s="38" t="s">
        <v>306</v>
      </c>
      <c r="I85" s="54"/>
      <c r="J85" s="54"/>
      <c r="K85" s="38" t="s">
        <v>2568</v>
      </c>
      <c r="L85" s="38" t="s">
        <v>242</v>
      </c>
      <c r="M85" s="38" t="s">
        <v>245</v>
      </c>
      <c r="N85" s="44" t="s">
        <v>2553</v>
      </c>
      <c r="O85" s="38" t="s">
        <v>2554</v>
      </c>
      <c r="P85" s="51">
        <v>1.05</v>
      </c>
      <c r="Q85" s="38" t="s">
        <v>2555</v>
      </c>
      <c r="R85" s="38" t="s">
        <v>245</v>
      </c>
    </row>
    <row r="86" spans="1:18" x14ac:dyDescent="0.3">
      <c r="A86" s="37" t="s">
        <v>1853</v>
      </c>
      <c r="B86" s="37" t="s">
        <v>2640</v>
      </c>
      <c r="C86" s="37" t="s">
        <v>1851</v>
      </c>
      <c r="D86" s="37" t="s">
        <v>1851</v>
      </c>
      <c r="E86" s="37" t="s">
        <v>281</v>
      </c>
      <c r="F86" s="37" t="s">
        <v>447</v>
      </c>
      <c r="G86" s="37" t="s">
        <v>282</v>
      </c>
      <c r="H86" s="37" t="s">
        <v>362</v>
      </c>
      <c r="I86" s="53"/>
      <c r="J86" s="53"/>
      <c r="K86" s="37" t="s">
        <v>2564</v>
      </c>
      <c r="L86" s="37" t="s">
        <v>242</v>
      </c>
      <c r="M86" s="37" t="s">
        <v>245</v>
      </c>
      <c r="N86" s="41" t="s">
        <v>2553</v>
      </c>
      <c r="O86" s="37" t="s">
        <v>2565</v>
      </c>
      <c r="P86" s="49">
        <v>1.08</v>
      </c>
      <c r="Q86" s="37" t="s">
        <v>2566</v>
      </c>
      <c r="R86" s="37" t="s">
        <v>245</v>
      </c>
    </row>
    <row r="87" spans="1:18" x14ac:dyDescent="0.3">
      <c r="A87" s="38" t="s">
        <v>1858</v>
      </c>
      <c r="B87" s="38" t="s">
        <v>2641</v>
      </c>
      <c r="C87" s="38" t="s">
        <v>1856</v>
      </c>
      <c r="D87" s="38" t="s">
        <v>1856</v>
      </c>
      <c r="E87" s="38" t="s">
        <v>239</v>
      </c>
      <c r="F87" s="38" t="s">
        <v>1056</v>
      </c>
      <c r="G87" s="38" t="s">
        <v>282</v>
      </c>
      <c r="H87" s="38" t="s">
        <v>388</v>
      </c>
      <c r="I87" s="54"/>
      <c r="J87" s="54"/>
      <c r="K87" s="38" t="s">
        <v>2559</v>
      </c>
      <c r="L87" s="38" t="s">
        <v>242</v>
      </c>
      <c r="M87" s="38" t="s">
        <v>245</v>
      </c>
      <c r="N87" s="44" t="s">
        <v>2553</v>
      </c>
      <c r="O87" s="38" t="s">
        <v>2560</v>
      </c>
      <c r="P87" s="51">
        <v>1</v>
      </c>
      <c r="Q87" s="38" t="s">
        <v>2561</v>
      </c>
      <c r="R87" s="38" t="s">
        <v>245</v>
      </c>
    </row>
    <row r="88" spans="1:18" x14ac:dyDescent="0.3">
      <c r="A88" s="37" t="s">
        <v>1876</v>
      </c>
      <c r="B88" s="37" t="s">
        <v>2642</v>
      </c>
      <c r="C88" s="37" t="s">
        <v>1875</v>
      </c>
      <c r="D88" s="37" t="s">
        <v>1875</v>
      </c>
      <c r="E88" s="37" t="s">
        <v>320</v>
      </c>
      <c r="F88" s="37" t="s">
        <v>1316</v>
      </c>
      <c r="G88" s="37" t="s">
        <v>282</v>
      </c>
      <c r="H88" s="37" t="s">
        <v>388</v>
      </c>
      <c r="I88" s="53"/>
      <c r="J88" s="53"/>
      <c r="K88" s="37" t="s">
        <v>2559</v>
      </c>
      <c r="L88" s="37" t="s">
        <v>268</v>
      </c>
      <c r="M88" s="37" t="s">
        <v>245</v>
      </c>
      <c r="N88" s="41" t="s">
        <v>2553</v>
      </c>
      <c r="O88" s="37" t="s">
        <v>2560</v>
      </c>
      <c r="P88" s="49">
        <v>1</v>
      </c>
      <c r="Q88" s="37" t="s">
        <v>2561</v>
      </c>
      <c r="R88" s="37" t="s">
        <v>245</v>
      </c>
    </row>
    <row r="89" spans="1:18" x14ac:dyDescent="0.3">
      <c r="A89" s="38" t="s">
        <v>1882</v>
      </c>
      <c r="B89" s="38" t="s">
        <v>2643</v>
      </c>
      <c r="C89" s="38" t="s">
        <v>1880</v>
      </c>
      <c r="D89" s="38" t="s">
        <v>1880</v>
      </c>
      <c r="E89" s="38" t="s">
        <v>239</v>
      </c>
      <c r="F89" s="38" t="s">
        <v>1113</v>
      </c>
      <c r="G89" s="38" t="s">
        <v>282</v>
      </c>
      <c r="H89" s="38" t="s">
        <v>306</v>
      </c>
      <c r="I89" s="54"/>
      <c r="J89" s="54"/>
      <c r="K89" s="38" t="s">
        <v>2564</v>
      </c>
      <c r="L89" s="38" t="s">
        <v>242</v>
      </c>
      <c r="M89" s="38" t="s">
        <v>245</v>
      </c>
      <c r="N89" s="44" t="s">
        <v>2553</v>
      </c>
      <c r="O89" s="38" t="s">
        <v>2565</v>
      </c>
      <c r="P89" s="51">
        <v>1.08</v>
      </c>
      <c r="Q89" s="38" t="s">
        <v>2566</v>
      </c>
      <c r="R89" s="38" t="s">
        <v>245</v>
      </c>
    </row>
    <row r="90" spans="1:18" ht="28.8" x14ac:dyDescent="0.3">
      <c r="A90" s="37" t="s">
        <v>1886</v>
      </c>
      <c r="B90" s="37" t="s">
        <v>2644</v>
      </c>
      <c r="C90" s="37" t="s">
        <v>1885</v>
      </c>
      <c r="D90" s="37" t="s">
        <v>1885</v>
      </c>
      <c r="E90" s="37" t="s">
        <v>386</v>
      </c>
      <c r="F90" s="37" t="s">
        <v>1130</v>
      </c>
      <c r="G90" s="37" t="s">
        <v>282</v>
      </c>
      <c r="H90" s="37" t="s">
        <v>306</v>
      </c>
      <c r="I90" s="53"/>
      <c r="J90" s="53"/>
      <c r="K90" s="37" t="s">
        <v>2564</v>
      </c>
      <c r="L90" s="37" t="s">
        <v>242</v>
      </c>
      <c r="M90" s="37" t="s">
        <v>245</v>
      </c>
      <c r="N90" s="41" t="s">
        <v>2553</v>
      </c>
      <c r="O90" s="37" t="s">
        <v>2565</v>
      </c>
      <c r="P90" s="49">
        <v>1.08</v>
      </c>
      <c r="Q90" s="37" t="s">
        <v>2566</v>
      </c>
      <c r="R90" s="37" t="s">
        <v>245</v>
      </c>
    </row>
    <row r="91" spans="1:18" ht="28.8" x14ac:dyDescent="0.3">
      <c r="A91" s="38" t="s">
        <v>1891</v>
      </c>
      <c r="B91" s="38" t="s">
        <v>2645</v>
      </c>
      <c r="C91" s="38" t="s">
        <v>1889</v>
      </c>
      <c r="D91" s="38" t="s">
        <v>1889</v>
      </c>
      <c r="E91" s="38" t="s">
        <v>386</v>
      </c>
      <c r="F91" s="38" t="s">
        <v>1130</v>
      </c>
      <c r="G91" s="38" t="s">
        <v>282</v>
      </c>
      <c r="H91" s="38" t="s">
        <v>306</v>
      </c>
      <c r="I91" s="54"/>
      <c r="J91" s="54"/>
      <c r="K91" s="38" t="s">
        <v>2568</v>
      </c>
      <c r="L91" s="38" t="s">
        <v>242</v>
      </c>
      <c r="M91" s="38" t="s">
        <v>245</v>
      </c>
      <c r="N91" s="44" t="s">
        <v>2553</v>
      </c>
      <c r="O91" s="38" t="s">
        <v>2554</v>
      </c>
      <c r="P91" s="51">
        <v>1.05</v>
      </c>
      <c r="Q91" s="38" t="s">
        <v>2555</v>
      </c>
      <c r="R91" s="38" t="s">
        <v>245</v>
      </c>
    </row>
    <row r="92" spans="1:18" x14ac:dyDescent="0.3">
      <c r="A92" s="37" t="s">
        <v>1900</v>
      </c>
      <c r="B92" s="37" t="s">
        <v>2646</v>
      </c>
      <c r="C92" s="37" t="s">
        <v>1898</v>
      </c>
      <c r="D92" s="37" t="s">
        <v>1898</v>
      </c>
      <c r="E92" s="37" t="s">
        <v>239</v>
      </c>
      <c r="F92" s="37" t="s">
        <v>1056</v>
      </c>
      <c r="G92" s="37" t="s">
        <v>282</v>
      </c>
      <c r="H92" s="37" t="s">
        <v>1441</v>
      </c>
      <c r="I92" s="53"/>
      <c r="J92" s="53"/>
      <c r="K92" s="37" t="s">
        <v>2559</v>
      </c>
      <c r="L92" s="37" t="s">
        <v>242</v>
      </c>
      <c r="M92" s="37" t="s">
        <v>245</v>
      </c>
      <c r="N92" s="41" t="s">
        <v>2553</v>
      </c>
      <c r="O92" s="37" t="s">
        <v>2560</v>
      </c>
      <c r="P92" s="49">
        <v>1</v>
      </c>
      <c r="Q92" s="37" t="s">
        <v>2561</v>
      </c>
      <c r="R92" s="37" t="s">
        <v>245</v>
      </c>
    </row>
    <row r="93" spans="1:18" x14ac:dyDescent="0.3">
      <c r="A93" s="38" t="s">
        <v>1905</v>
      </c>
      <c r="B93" s="38" t="s">
        <v>2647</v>
      </c>
      <c r="C93" s="38" t="s">
        <v>1903</v>
      </c>
      <c r="D93" s="38" t="s">
        <v>1903</v>
      </c>
      <c r="E93" s="38" t="s">
        <v>239</v>
      </c>
      <c r="F93" s="38" t="s">
        <v>1056</v>
      </c>
      <c r="G93" s="38" t="s">
        <v>282</v>
      </c>
      <c r="H93" s="38" t="s">
        <v>1441</v>
      </c>
      <c r="I93" s="54"/>
      <c r="J93" s="54"/>
      <c r="K93" s="38" t="s">
        <v>2559</v>
      </c>
      <c r="L93" s="38" t="s">
        <v>242</v>
      </c>
      <c r="M93" s="38" t="s">
        <v>245</v>
      </c>
      <c r="N93" s="44" t="s">
        <v>2553</v>
      </c>
      <c r="O93" s="38" t="s">
        <v>2560</v>
      </c>
      <c r="P93" s="51">
        <v>1</v>
      </c>
      <c r="Q93" s="38" t="s">
        <v>2561</v>
      </c>
      <c r="R93" s="38" t="s">
        <v>245</v>
      </c>
    </row>
    <row r="94" spans="1:18" x14ac:dyDescent="0.3">
      <c r="A94" s="37" t="s">
        <v>1910</v>
      </c>
      <c r="B94" s="37" t="s">
        <v>2648</v>
      </c>
      <c r="C94" s="37" t="s">
        <v>1908</v>
      </c>
      <c r="D94" s="37" t="s">
        <v>1908</v>
      </c>
      <c r="E94" s="37" t="s">
        <v>239</v>
      </c>
      <c r="F94" s="37" t="s">
        <v>1056</v>
      </c>
      <c r="G94" s="37" t="s">
        <v>282</v>
      </c>
      <c r="H94" s="37" t="s">
        <v>306</v>
      </c>
      <c r="I94" s="53">
        <v>8</v>
      </c>
      <c r="J94" s="53">
        <v>100</v>
      </c>
      <c r="K94" s="37" t="s">
        <v>2568</v>
      </c>
      <c r="L94" s="37" t="s">
        <v>242</v>
      </c>
      <c r="M94" s="37" t="s">
        <v>245</v>
      </c>
      <c r="N94" s="41" t="s">
        <v>2553</v>
      </c>
      <c r="O94" s="37" t="s">
        <v>2554</v>
      </c>
      <c r="P94" s="49">
        <v>1.05</v>
      </c>
      <c r="Q94" s="37" t="s">
        <v>2555</v>
      </c>
      <c r="R94" s="37" t="s">
        <v>245</v>
      </c>
    </row>
    <row r="95" spans="1:18" ht="28.8" x14ac:dyDescent="0.3">
      <c r="A95" s="38" t="s">
        <v>1915</v>
      </c>
      <c r="B95" s="38" t="s">
        <v>2649</v>
      </c>
      <c r="C95" s="38" t="s">
        <v>1913</v>
      </c>
      <c r="D95" s="38" t="s">
        <v>1913</v>
      </c>
      <c r="E95" s="38" t="s">
        <v>386</v>
      </c>
      <c r="F95" s="38" t="s">
        <v>1130</v>
      </c>
      <c r="G95" s="38" t="s">
        <v>282</v>
      </c>
      <c r="H95" s="38" t="s">
        <v>306</v>
      </c>
      <c r="I95" s="54"/>
      <c r="J95" s="54"/>
      <c r="K95" s="38" t="s">
        <v>2568</v>
      </c>
      <c r="L95" s="38" t="s">
        <v>242</v>
      </c>
      <c r="M95" s="38" t="s">
        <v>245</v>
      </c>
      <c r="N95" s="44" t="s">
        <v>2553</v>
      </c>
      <c r="O95" s="38" t="s">
        <v>2554</v>
      </c>
      <c r="P95" s="51">
        <v>1.05</v>
      </c>
      <c r="Q95" s="38" t="s">
        <v>2555</v>
      </c>
      <c r="R95" s="38" t="s">
        <v>245</v>
      </c>
    </row>
    <row r="96" spans="1:18" ht="28.8" x14ac:dyDescent="0.3">
      <c r="A96" s="37" t="s">
        <v>1919</v>
      </c>
      <c r="B96" s="37" t="s">
        <v>2650</v>
      </c>
      <c r="C96" s="37" t="s">
        <v>1918</v>
      </c>
      <c r="D96" s="37" t="s">
        <v>1918</v>
      </c>
      <c r="E96" s="37" t="s">
        <v>386</v>
      </c>
      <c r="F96" s="37" t="s">
        <v>1130</v>
      </c>
      <c r="G96" s="37" t="s">
        <v>282</v>
      </c>
      <c r="H96" s="37" t="s">
        <v>306</v>
      </c>
      <c r="I96" s="53"/>
      <c r="J96" s="53"/>
      <c r="K96" s="37" t="s">
        <v>2568</v>
      </c>
      <c r="L96" s="37" t="s">
        <v>242</v>
      </c>
      <c r="M96" s="37" t="s">
        <v>245</v>
      </c>
      <c r="N96" s="41" t="s">
        <v>2553</v>
      </c>
      <c r="O96" s="37" t="s">
        <v>2554</v>
      </c>
      <c r="P96" s="49">
        <v>1.05</v>
      </c>
      <c r="Q96" s="37" t="s">
        <v>2555</v>
      </c>
      <c r="R96" s="37" t="s">
        <v>245</v>
      </c>
    </row>
    <row r="97" spans="1:18" ht="28.8" x14ac:dyDescent="0.3">
      <c r="A97" s="38" t="s">
        <v>1924</v>
      </c>
      <c r="B97" s="38" t="s">
        <v>2651</v>
      </c>
      <c r="C97" s="38" t="s">
        <v>1922</v>
      </c>
      <c r="D97" s="38" t="s">
        <v>1922</v>
      </c>
      <c r="E97" s="38" t="s">
        <v>386</v>
      </c>
      <c r="F97" s="38" t="s">
        <v>1130</v>
      </c>
      <c r="G97" s="38" t="s">
        <v>282</v>
      </c>
      <c r="H97" s="38" t="s">
        <v>306</v>
      </c>
      <c r="I97" s="54"/>
      <c r="J97" s="54"/>
      <c r="K97" s="38" t="s">
        <v>2568</v>
      </c>
      <c r="L97" s="38" t="s">
        <v>242</v>
      </c>
      <c r="M97" s="38" t="s">
        <v>245</v>
      </c>
      <c r="N97" s="44" t="s">
        <v>2553</v>
      </c>
      <c r="O97" s="38" t="s">
        <v>2554</v>
      </c>
      <c r="P97" s="51">
        <v>1.05</v>
      </c>
      <c r="Q97" s="38" t="s">
        <v>2555</v>
      </c>
      <c r="R97" s="38" t="s">
        <v>245</v>
      </c>
    </row>
    <row r="98" spans="1:18" ht="28.8" x14ac:dyDescent="0.3">
      <c r="A98" s="37" t="s">
        <v>1929</v>
      </c>
      <c r="B98" s="37" t="s">
        <v>2652</v>
      </c>
      <c r="C98" s="37" t="s">
        <v>1927</v>
      </c>
      <c r="D98" s="37" t="s">
        <v>1927</v>
      </c>
      <c r="E98" s="37" t="s">
        <v>239</v>
      </c>
      <c r="F98" s="37" t="s">
        <v>1113</v>
      </c>
      <c r="G98" s="37" t="s">
        <v>282</v>
      </c>
      <c r="H98" s="37" t="s">
        <v>306</v>
      </c>
      <c r="I98" s="53">
        <v>50</v>
      </c>
      <c r="J98" s="53">
        <v>50</v>
      </c>
      <c r="K98" s="37" t="s">
        <v>367</v>
      </c>
      <c r="L98" s="37" t="s">
        <v>242</v>
      </c>
      <c r="M98" s="37" t="s">
        <v>245</v>
      </c>
      <c r="N98" s="41" t="s">
        <v>2553</v>
      </c>
      <c r="O98" s="37" t="s">
        <v>2560</v>
      </c>
      <c r="P98" s="49">
        <v>1</v>
      </c>
      <c r="Q98" s="37" t="s">
        <v>2561</v>
      </c>
      <c r="R98" s="37" t="s">
        <v>245</v>
      </c>
    </row>
    <row r="99" spans="1:18" x14ac:dyDescent="0.3">
      <c r="A99" s="38" t="s">
        <v>1933</v>
      </c>
      <c r="B99" s="38" t="s">
        <v>2653</v>
      </c>
      <c r="C99" s="38" t="s">
        <v>1932</v>
      </c>
      <c r="D99" s="38" t="s">
        <v>1932</v>
      </c>
      <c r="E99" s="38" t="s">
        <v>239</v>
      </c>
      <c r="F99" s="38" t="s">
        <v>252</v>
      </c>
      <c r="G99" s="38" t="s">
        <v>282</v>
      </c>
      <c r="H99" s="38" t="s">
        <v>241</v>
      </c>
      <c r="I99" s="54"/>
      <c r="J99" s="54"/>
      <c r="K99" s="38" t="s">
        <v>252</v>
      </c>
      <c r="L99" s="38" t="s">
        <v>242</v>
      </c>
      <c r="M99" s="38" t="s">
        <v>245</v>
      </c>
      <c r="N99" s="44" t="s">
        <v>2553</v>
      </c>
      <c r="O99" s="38" t="s">
        <v>2554</v>
      </c>
      <c r="P99" s="51">
        <v>1.05</v>
      </c>
      <c r="Q99" s="38" t="s">
        <v>2555</v>
      </c>
      <c r="R99" s="38" t="s">
        <v>245</v>
      </c>
    </row>
    <row r="100" spans="1:18" ht="28.8" x14ac:dyDescent="0.3">
      <c r="A100" s="37" t="s">
        <v>1944</v>
      </c>
      <c r="B100" s="37" t="s">
        <v>2654</v>
      </c>
      <c r="C100" s="37" t="s">
        <v>1943</v>
      </c>
      <c r="D100" s="37" t="s">
        <v>1943</v>
      </c>
      <c r="E100" s="37" t="s">
        <v>386</v>
      </c>
      <c r="F100" s="37" t="s">
        <v>1130</v>
      </c>
      <c r="G100" s="37" t="s">
        <v>282</v>
      </c>
      <c r="H100" s="37" t="s">
        <v>306</v>
      </c>
      <c r="I100" s="53"/>
      <c r="J100" s="53"/>
      <c r="K100" s="37" t="s">
        <v>2568</v>
      </c>
      <c r="L100" s="37" t="s">
        <v>242</v>
      </c>
      <c r="M100" s="37" t="s">
        <v>245</v>
      </c>
      <c r="N100" s="41" t="s">
        <v>2553</v>
      </c>
      <c r="O100" s="37" t="s">
        <v>2554</v>
      </c>
      <c r="P100" s="49">
        <v>1.05</v>
      </c>
      <c r="Q100" s="37" t="s">
        <v>2555</v>
      </c>
      <c r="R100" s="37" t="s">
        <v>245</v>
      </c>
    </row>
    <row r="101" spans="1:18" x14ac:dyDescent="0.3">
      <c r="A101" s="38" t="s">
        <v>1953</v>
      </c>
      <c r="B101" s="38" t="s">
        <v>2655</v>
      </c>
      <c r="C101" s="38" t="s">
        <v>1951</v>
      </c>
      <c r="D101" s="38" t="s">
        <v>1951</v>
      </c>
      <c r="E101" s="38" t="s">
        <v>399</v>
      </c>
      <c r="F101" s="38" t="s">
        <v>1012</v>
      </c>
      <c r="G101" s="38" t="s">
        <v>282</v>
      </c>
      <c r="H101" s="38" t="s">
        <v>1952</v>
      </c>
      <c r="I101" s="54"/>
      <c r="J101" s="54"/>
      <c r="K101" s="38" t="s">
        <v>2564</v>
      </c>
      <c r="L101" s="38" t="s">
        <v>242</v>
      </c>
      <c r="M101" s="38" t="s">
        <v>245</v>
      </c>
      <c r="N101" s="44" t="s">
        <v>2553</v>
      </c>
      <c r="O101" s="38" t="s">
        <v>2565</v>
      </c>
      <c r="P101" s="51">
        <v>1.08</v>
      </c>
      <c r="Q101" s="38" t="s">
        <v>2566</v>
      </c>
      <c r="R101" s="38" t="s">
        <v>245</v>
      </c>
    </row>
    <row r="102" spans="1:18" x14ac:dyDescent="0.3">
      <c r="A102" s="37" t="s">
        <v>1957</v>
      </c>
      <c r="B102" s="37" t="s">
        <v>2656</v>
      </c>
      <c r="C102" s="37" t="s">
        <v>1956</v>
      </c>
      <c r="D102" s="37" t="s">
        <v>1956</v>
      </c>
      <c r="E102" s="37" t="s">
        <v>281</v>
      </c>
      <c r="F102" s="37" t="s">
        <v>1316</v>
      </c>
      <c r="G102" s="37" t="s">
        <v>282</v>
      </c>
      <c r="H102" s="37" t="s">
        <v>1952</v>
      </c>
      <c r="I102" s="53"/>
      <c r="J102" s="53"/>
      <c r="K102" s="37" t="s">
        <v>2564</v>
      </c>
      <c r="L102" s="37" t="s">
        <v>242</v>
      </c>
      <c r="M102" s="37" t="s">
        <v>245</v>
      </c>
      <c r="N102" s="41" t="s">
        <v>2553</v>
      </c>
      <c r="O102" s="37" t="s">
        <v>2565</v>
      </c>
      <c r="P102" s="49">
        <v>1.08</v>
      </c>
      <c r="Q102" s="37" t="s">
        <v>2566</v>
      </c>
      <c r="R102" s="37" t="s">
        <v>245</v>
      </c>
    </row>
    <row r="103" spans="1:18" ht="28.8" x14ac:dyDescent="0.3">
      <c r="A103" s="38" t="s">
        <v>1969</v>
      </c>
      <c r="B103" s="38" t="s">
        <v>2657</v>
      </c>
      <c r="C103" s="38" t="s">
        <v>1966</v>
      </c>
      <c r="D103" s="38" t="s">
        <v>1966</v>
      </c>
      <c r="E103" s="38" t="s">
        <v>360</v>
      </c>
      <c r="F103" s="38" t="s">
        <v>1968</v>
      </c>
      <c r="G103" s="38" t="s">
        <v>282</v>
      </c>
      <c r="H103" s="38" t="s">
        <v>1103</v>
      </c>
      <c r="I103" s="54"/>
      <c r="J103" s="54"/>
      <c r="K103" s="38" t="s">
        <v>2598</v>
      </c>
      <c r="L103" s="38" t="s">
        <v>242</v>
      </c>
      <c r="M103" s="38" t="s">
        <v>245</v>
      </c>
      <c r="N103" s="44" t="s">
        <v>2553</v>
      </c>
      <c r="O103" s="38" t="s">
        <v>2560</v>
      </c>
      <c r="P103" s="51">
        <v>1</v>
      </c>
      <c r="Q103" s="38" t="s">
        <v>2561</v>
      </c>
      <c r="R103" s="38" t="s">
        <v>245</v>
      </c>
    </row>
    <row r="104" spans="1:18" ht="28.8" x14ac:dyDescent="0.3">
      <c r="A104" s="37" t="s">
        <v>1975</v>
      </c>
      <c r="B104" s="37" t="s">
        <v>2658</v>
      </c>
      <c r="C104" s="37" t="s">
        <v>1972</v>
      </c>
      <c r="D104" s="37" t="s">
        <v>1972</v>
      </c>
      <c r="E104" s="37" t="s">
        <v>320</v>
      </c>
      <c r="F104" s="37" t="s">
        <v>1974</v>
      </c>
      <c r="G104" s="37" t="s">
        <v>282</v>
      </c>
      <c r="H104" s="37" t="s">
        <v>1103</v>
      </c>
      <c r="I104" s="53"/>
      <c r="J104" s="53"/>
      <c r="K104" s="37" t="s">
        <v>2598</v>
      </c>
      <c r="L104" s="37" t="s">
        <v>242</v>
      </c>
      <c r="M104" s="37" t="s">
        <v>245</v>
      </c>
      <c r="N104" s="41" t="s">
        <v>2553</v>
      </c>
      <c r="O104" s="37" t="s">
        <v>2560</v>
      </c>
      <c r="P104" s="49">
        <v>1</v>
      </c>
      <c r="Q104" s="37" t="s">
        <v>2561</v>
      </c>
      <c r="R104" s="37" t="s">
        <v>245</v>
      </c>
    </row>
    <row r="105" spans="1:18" ht="28.8" x14ac:dyDescent="0.3">
      <c r="A105" s="38" t="s">
        <v>1980</v>
      </c>
      <c r="B105" s="38" t="s">
        <v>2659</v>
      </c>
      <c r="C105" s="38" t="s">
        <v>1978</v>
      </c>
      <c r="D105" s="38" t="s">
        <v>1978</v>
      </c>
      <c r="E105" s="38" t="s">
        <v>239</v>
      </c>
      <c r="F105" s="38" t="s">
        <v>1062</v>
      </c>
      <c r="G105" s="38" t="s">
        <v>282</v>
      </c>
      <c r="H105" s="38" t="s">
        <v>1103</v>
      </c>
      <c r="I105" s="54"/>
      <c r="J105" s="54"/>
      <c r="K105" s="38" t="s">
        <v>2598</v>
      </c>
      <c r="L105" s="38" t="s">
        <v>242</v>
      </c>
      <c r="M105" s="38" t="s">
        <v>245</v>
      </c>
      <c r="N105" s="44" t="s">
        <v>2553</v>
      </c>
      <c r="O105" s="38" t="s">
        <v>2560</v>
      </c>
      <c r="P105" s="51">
        <v>1</v>
      </c>
      <c r="Q105" s="38" t="s">
        <v>2561</v>
      </c>
      <c r="R105" s="38" t="s">
        <v>245</v>
      </c>
    </row>
    <row r="106" spans="1:18" ht="28.8" x14ac:dyDescent="0.3">
      <c r="A106" s="37" t="s">
        <v>1985</v>
      </c>
      <c r="B106" s="37" t="s">
        <v>2660</v>
      </c>
      <c r="C106" s="37" t="s">
        <v>1983</v>
      </c>
      <c r="D106" s="37" t="s">
        <v>1983</v>
      </c>
      <c r="E106" s="37" t="s">
        <v>360</v>
      </c>
      <c r="F106" s="37" t="s">
        <v>1968</v>
      </c>
      <c r="G106" s="37" t="s">
        <v>282</v>
      </c>
      <c r="H106" s="37" t="s">
        <v>306</v>
      </c>
      <c r="I106" s="53"/>
      <c r="J106" s="53"/>
      <c r="K106" s="37" t="s">
        <v>2598</v>
      </c>
      <c r="L106" s="37" t="s">
        <v>242</v>
      </c>
      <c r="M106" s="37" t="s">
        <v>245</v>
      </c>
      <c r="N106" s="41" t="s">
        <v>2553</v>
      </c>
      <c r="O106" s="37" t="s">
        <v>2560</v>
      </c>
      <c r="P106" s="49">
        <v>1</v>
      </c>
      <c r="Q106" s="37" t="s">
        <v>2561</v>
      </c>
      <c r="R106" s="37" t="s">
        <v>245</v>
      </c>
    </row>
    <row r="107" spans="1:18" x14ac:dyDescent="0.3">
      <c r="A107" s="38" t="s">
        <v>1990</v>
      </c>
      <c r="B107" s="38" t="s">
        <v>2661</v>
      </c>
      <c r="C107" s="38" t="s">
        <v>1988</v>
      </c>
      <c r="D107" s="38" t="s">
        <v>1988</v>
      </c>
      <c r="E107" s="38" t="s">
        <v>239</v>
      </c>
      <c r="F107" s="38" t="s">
        <v>1049</v>
      </c>
      <c r="G107" s="38" t="s">
        <v>282</v>
      </c>
      <c r="H107" s="38" t="s">
        <v>1103</v>
      </c>
      <c r="I107" s="54">
        <v>50</v>
      </c>
      <c r="J107" s="54">
        <v>50</v>
      </c>
      <c r="K107" s="38" t="s">
        <v>2559</v>
      </c>
      <c r="L107" s="38" t="s">
        <v>242</v>
      </c>
      <c r="M107" s="38" t="s">
        <v>245</v>
      </c>
      <c r="N107" s="44" t="s">
        <v>2553</v>
      </c>
      <c r="O107" s="38" t="s">
        <v>2560</v>
      </c>
      <c r="P107" s="51">
        <v>1</v>
      </c>
      <c r="Q107" s="38" t="s">
        <v>2561</v>
      </c>
      <c r="R107" s="38" t="s">
        <v>245</v>
      </c>
    </row>
    <row r="108" spans="1:18" ht="28.8" x14ac:dyDescent="0.3">
      <c r="A108" s="37" t="s">
        <v>1995</v>
      </c>
      <c r="B108" s="37" t="s">
        <v>2662</v>
      </c>
      <c r="C108" s="37" t="s">
        <v>1993</v>
      </c>
      <c r="D108" s="37" t="s">
        <v>1993</v>
      </c>
      <c r="E108" s="37" t="s">
        <v>239</v>
      </c>
      <c r="F108" s="37" t="s">
        <v>1062</v>
      </c>
      <c r="G108" s="37" t="s">
        <v>282</v>
      </c>
      <c r="H108" s="37" t="s">
        <v>418</v>
      </c>
      <c r="I108" s="53"/>
      <c r="J108" s="53"/>
      <c r="K108" s="37" t="s">
        <v>2559</v>
      </c>
      <c r="L108" s="37" t="s">
        <v>242</v>
      </c>
      <c r="M108" s="37" t="s">
        <v>245</v>
      </c>
      <c r="N108" s="41" t="s">
        <v>2553</v>
      </c>
      <c r="O108" s="37" t="s">
        <v>2560</v>
      </c>
      <c r="P108" s="49">
        <v>1</v>
      </c>
      <c r="Q108" s="37" t="s">
        <v>2561</v>
      </c>
      <c r="R108" s="37" t="s">
        <v>245</v>
      </c>
    </row>
    <row r="109" spans="1:18" x14ac:dyDescent="0.3">
      <c r="A109" s="38" t="s">
        <v>1999</v>
      </c>
      <c r="B109" s="38" t="s">
        <v>2663</v>
      </c>
      <c r="C109" s="38" t="s">
        <v>1998</v>
      </c>
      <c r="D109" s="38" t="s">
        <v>1998</v>
      </c>
      <c r="E109" s="38" t="s">
        <v>281</v>
      </c>
      <c r="F109" s="38" t="s">
        <v>1290</v>
      </c>
      <c r="G109" s="38" t="s">
        <v>282</v>
      </c>
      <c r="H109" s="38" t="s">
        <v>418</v>
      </c>
      <c r="I109" s="54"/>
      <c r="J109" s="54"/>
      <c r="K109" s="38" t="s">
        <v>2583</v>
      </c>
      <c r="L109" s="38" t="s">
        <v>242</v>
      </c>
      <c r="M109" s="38" t="s">
        <v>245</v>
      </c>
      <c r="N109" s="44" t="s">
        <v>2553</v>
      </c>
      <c r="O109" s="38" t="s">
        <v>2560</v>
      </c>
      <c r="P109" s="51">
        <v>1</v>
      </c>
      <c r="Q109" s="38" t="s">
        <v>2561</v>
      </c>
      <c r="R109" s="38" t="s">
        <v>245</v>
      </c>
    </row>
    <row r="110" spans="1:18" x14ac:dyDescent="0.3">
      <c r="A110" s="37" t="s">
        <v>2021</v>
      </c>
      <c r="B110" s="37" t="s">
        <v>2664</v>
      </c>
      <c r="C110" s="37" t="s">
        <v>2019</v>
      </c>
      <c r="D110" s="37" t="s">
        <v>2019</v>
      </c>
      <c r="E110" s="37" t="s">
        <v>281</v>
      </c>
      <c r="F110" s="37" t="s">
        <v>1049</v>
      </c>
      <c r="G110" s="37" t="s">
        <v>282</v>
      </c>
      <c r="H110" s="37" t="s">
        <v>1103</v>
      </c>
      <c r="I110" s="53"/>
      <c r="J110" s="53"/>
      <c r="K110" s="37" t="s">
        <v>330</v>
      </c>
      <c r="L110" s="37" t="s">
        <v>242</v>
      </c>
      <c r="M110" s="37" t="s">
        <v>245</v>
      </c>
      <c r="N110" s="41" t="s">
        <v>2553</v>
      </c>
      <c r="O110" s="37" t="s">
        <v>2557</v>
      </c>
      <c r="P110" s="49">
        <v>1.1000000000000001</v>
      </c>
      <c r="Q110" s="37" t="s">
        <v>2555</v>
      </c>
      <c r="R110" s="37" t="s">
        <v>245</v>
      </c>
    </row>
    <row r="111" spans="1:18" x14ac:dyDescent="0.3">
      <c r="A111" s="38" t="s">
        <v>2025</v>
      </c>
      <c r="B111" s="38" t="s">
        <v>2665</v>
      </c>
      <c r="C111" s="38" t="s">
        <v>2024</v>
      </c>
      <c r="D111" s="38" t="s">
        <v>2024</v>
      </c>
      <c r="E111" s="38" t="s">
        <v>239</v>
      </c>
      <c r="F111" s="38" t="s">
        <v>1049</v>
      </c>
      <c r="G111" s="38" t="s">
        <v>282</v>
      </c>
      <c r="H111" s="38" t="s">
        <v>1103</v>
      </c>
      <c r="I111" s="54"/>
      <c r="J111" s="54"/>
      <c r="K111" s="38" t="s">
        <v>330</v>
      </c>
      <c r="L111" s="38" t="s">
        <v>242</v>
      </c>
      <c r="M111" s="38" t="s">
        <v>245</v>
      </c>
      <c r="N111" s="44" t="s">
        <v>2553</v>
      </c>
      <c r="O111" s="38" t="s">
        <v>2557</v>
      </c>
      <c r="P111" s="51">
        <v>1.1000000000000001</v>
      </c>
      <c r="Q111" s="38" t="s">
        <v>2555</v>
      </c>
      <c r="R111" s="38" t="s">
        <v>245</v>
      </c>
    </row>
    <row r="112" spans="1:18" ht="28.8" x14ac:dyDescent="0.3">
      <c r="A112" s="37" t="s">
        <v>2029</v>
      </c>
      <c r="B112" s="37" t="s">
        <v>2666</v>
      </c>
      <c r="C112" s="37" t="s">
        <v>2028</v>
      </c>
      <c r="D112" s="37" t="s">
        <v>2028</v>
      </c>
      <c r="E112" s="37" t="s">
        <v>281</v>
      </c>
      <c r="F112" s="37" t="s">
        <v>1049</v>
      </c>
      <c r="G112" s="37" t="s">
        <v>282</v>
      </c>
      <c r="H112" s="37" t="s">
        <v>1103</v>
      </c>
      <c r="I112" s="53"/>
      <c r="J112" s="53"/>
      <c r="K112" s="37" t="s">
        <v>330</v>
      </c>
      <c r="L112" s="37" t="s">
        <v>242</v>
      </c>
      <c r="M112" s="37" t="s">
        <v>245</v>
      </c>
      <c r="N112" s="41" t="s">
        <v>2553</v>
      </c>
      <c r="O112" s="37" t="s">
        <v>2557</v>
      </c>
      <c r="P112" s="49">
        <v>1.1000000000000001</v>
      </c>
      <c r="Q112" s="37" t="s">
        <v>2555</v>
      </c>
      <c r="R112" s="37" t="s">
        <v>245</v>
      </c>
    </row>
    <row r="113" spans="1:18" x14ac:dyDescent="0.3">
      <c r="A113" s="38" t="s">
        <v>2034</v>
      </c>
      <c r="B113" s="38" t="s">
        <v>2667</v>
      </c>
      <c r="C113" s="38" t="s">
        <v>2032</v>
      </c>
      <c r="D113" s="38" t="s">
        <v>2032</v>
      </c>
      <c r="E113" s="38" t="s">
        <v>239</v>
      </c>
      <c r="F113" s="38" t="s">
        <v>1049</v>
      </c>
      <c r="G113" s="38" t="s">
        <v>282</v>
      </c>
      <c r="H113" s="38" t="s">
        <v>1103</v>
      </c>
      <c r="I113" s="54"/>
      <c r="J113" s="54"/>
      <c r="K113" s="38" t="s">
        <v>330</v>
      </c>
      <c r="L113" s="38" t="s">
        <v>242</v>
      </c>
      <c r="M113" s="38" t="s">
        <v>245</v>
      </c>
      <c r="N113" s="44" t="s">
        <v>2553</v>
      </c>
      <c r="O113" s="38" t="s">
        <v>2557</v>
      </c>
      <c r="P113" s="51">
        <v>1.1000000000000001</v>
      </c>
      <c r="Q113" s="38" t="s">
        <v>2555</v>
      </c>
      <c r="R113" s="38" t="s">
        <v>245</v>
      </c>
    </row>
    <row r="114" spans="1:18" x14ac:dyDescent="0.3">
      <c r="A114" s="37" t="s">
        <v>2195</v>
      </c>
      <c r="B114" s="37" t="s">
        <v>2668</v>
      </c>
      <c r="C114" s="37" t="s">
        <v>2193</v>
      </c>
      <c r="D114" s="37" t="s">
        <v>2193</v>
      </c>
      <c r="E114" s="37" t="s">
        <v>239</v>
      </c>
      <c r="F114" s="37" t="s">
        <v>1113</v>
      </c>
      <c r="G114" s="37" t="s">
        <v>282</v>
      </c>
      <c r="H114" s="37" t="s">
        <v>306</v>
      </c>
      <c r="I114" s="53">
        <v>12</v>
      </c>
      <c r="J114" s="53">
        <v>1220</v>
      </c>
      <c r="K114" s="37" t="s">
        <v>2568</v>
      </c>
      <c r="L114" s="37" t="s">
        <v>242</v>
      </c>
      <c r="M114" s="37" t="s">
        <v>245</v>
      </c>
      <c r="N114" s="41" t="s">
        <v>2553</v>
      </c>
      <c r="O114" s="37" t="s">
        <v>2554</v>
      </c>
      <c r="P114" s="49">
        <v>1.05</v>
      </c>
      <c r="Q114" s="37" t="s">
        <v>2555</v>
      </c>
      <c r="R114" s="37" t="s">
        <v>245</v>
      </c>
    </row>
    <row r="115" spans="1:18" ht="28.8" x14ac:dyDescent="0.3">
      <c r="A115" s="38" t="s">
        <v>2199</v>
      </c>
      <c r="B115" s="38" t="s">
        <v>2669</v>
      </c>
      <c r="C115" s="38" t="s">
        <v>2198</v>
      </c>
      <c r="D115" s="38" t="s">
        <v>2198</v>
      </c>
      <c r="E115" s="38" t="s">
        <v>360</v>
      </c>
      <c r="F115" s="38" t="s">
        <v>1968</v>
      </c>
      <c r="G115" s="38" t="s">
        <v>282</v>
      </c>
      <c r="H115" s="38" t="s">
        <v>388</v>
      </c>
      <c r="I115" s="54"/>
      <c r="J115" s="54"/>
      <c r="K115" s="38" t="s">
        <v>2559</v>
      </c>
      <c r="L115" s="38" t="s">
        <v>242</v>
      </c>
      <c r="M115" s="38" t="s">
        <v>245</v>
      </c>
      <c r="N115" s="44" t="s">
        <v>2553</v>
      </c>
      <c r="O115" s="38" t="s">
        <v>2560</v>
      </c>
      <c r="P115" s="51">
        <v>1</v>
      </c>
      <c r="Q115" s="38" t="s">
        <v>2561</v>
      </c>
      <c r="R115" s="38" t="s">
        <v>245</v>
      </c>
    </row>
    <row r="116" spans="1:18" x14ac:dyDescent="0.3">
      <c r="A116" s="37" t="s">
        <v>2203</v>
      </c>
      <c r="B116" s="37" t="s">
        <v>2670</v>
      </c>
      <c r="C116" s="37" t="s">
        <v>2202</v>
      </c>
      <c r="D116" s="37" t="s">
        <v>2202</v>
      </c>
      <c r="E116" s="37" t="s">
        <v>360</v>
      </c>
      <c r="F116" s="37" t="s">
        <v>1316</v>
      </c>
      <c r="G116" s="37" t="s">
        <v>282</v>
      </c>
      <c r="H116" s="37" t="s">
        <v>306</v>
      </c>
      <c r="I116" s="53"/>
      <c r="J116" s="53"/>
      <c r="K116" s="37" t="s">
        <v>2564</v>
      </c>
      <c r="L116" s="37" t="s">
        <v>242</v>
      </c>
      <c r="M116" s="37" t="s">
        <v>245</v>
      </c>
      <c r="N116" s="41" t="s">
        <v>2553</v>
      </c>
      <c r="O116" s="37" t="s">
        <v>2565</v>
      </c>
      <c r="P116" s="49">
        <v>1.08</v>
      </c>
      <c r="Q116" s="37" t="s">
        <v>2566</v>
      </c>
      <c r="R116" s="37" t="s">
        <v>245</v>
      </c>
    </row>
    <row r="117" spans="1:18" x14ac:dyDescent="0.3">
      <c r="A117" s="38" t="s">
        <v>2209</v>
      </c>
      <c r="B117" s="38" t="s">
        <v>2671</v>
      </c>
      <c r="C117" s="38" t="s">
        <v>2206</v>
      </c>
      <c r="D117" s="38" t="s">
        <v>2206</v>
      </c>
      <c r="E117" s="38" t="s">
        <v>386</v>
      </c>
      <c r="F117" s="38" t="s">
        <v>2208</v>
      </c>
      <c r="G117" s="38" t="s">
        <v>282</v>
      </c>
      <c r="H117" s="38" t="s">
        <v>306</v>
      </c>
      <c r="I117" s="54"/>
      <c r="J117" s="54"/>
      <c r="K117" s="38" t="s">
        <v>2568</v>
      </c>
      <c r="L117" s="38" t="s">
        <v>242</v>
      </c>
      <c r="M117" s="38" t="s">
        <v>245</v>
      </c>
      <c r="N117" s="44" t="s">
        <v>2553</v>
      </c>
      <c r="O117" s="38" t="s">
        <v>2554</v>
      </c>
      <c r="P117" s="51">
        <v>1.05</v>
      </c>
      <c r="Q117" s="38" t="s">
        <v>2555</v>
      </c>
      <c r="R117" s="38" t="s">
        <v>245</v>
      </c>
    </row>
    <row r="118" spans="1:18" x14ac:dyDescent="0.3">
      <c r="A118" s="37" t="s">
        <v>2220</v>
      </c>
      <c r="B118" s="37" t="s">
        <v>2672</v>
      </c>
      <c r="C118" s="37" t="s">
        <v>2218</v>
      </c>
      <c r="D118" s="37" t="s">
        <v>2218</v>
      </c>
      <c r="E118" s="37" t="s">
        <v>320</v>
      </c>
      <c r="F118" s="37" t="s">
        <v>1316</v>
      </c>
      <c r="G118" s="37" t="s">
        <v>282</v>
      </c>
      <c r="H118" s="37" t="s">
        <v>362</v>
      </c>
      <c r="I118" s="53"/>
      <c r="J118" s="53"/>
      <c r="K118" s="37" t="s">
        <v>2564</v>
      </c>
      <c r="L118" s="37" t="s">
        <v>242</v>
      </c>
      <c r="M118" s="37" t="s">
        <v>245</v>
      </c>
      <c r="N118" s="41" t="s">
        <v>2553</v>
      </c>
      <c r="O118" s="37" t="s">
        <v>2565</v>
      </c>
      <c r="P118" s="49">
        <v>1.08</v>
      </c>
      <c r="Q118" s="37" t="s">
        <v>2566</v>
      </c>
      <c r="R118" s="37" t="s">
        <v>245</v>
      </c>
    </row>
    <row r="119" spans="1:18" x14ac:dyDescent="0.3">
      <c r="A119" s="38" t="s">
        <v>2225</v>
      </c>
      <c r="B119" s="38" t="s">
        <v>2673</v>
      </c>
      <c r="C119" s="38" t="s">
        <v>2223</v>
      </c>
      <c r="D119" s="38" t="s">
        <v>2223</v>
      </c>
      <c r="E119" s="38" t="s">
        <v>320</v>
      </c>
      <c r="F119" s="38" t="s">
        <v>1316</v>
      </c>
      <c r="G119" s="38" t="s">
        <v>282</v>
      </c>
      <c r="H119" s="38" t="s">
        <v>362</v>
      </c>
      <c r="I119" s="54"/>
      <c r="J119" s="54"/>
      <c r="K119" s="38" t="s">
        <v>2564</v>
      </c>
      <c r="L119" s="38" t="s">
        <v>242</v>
      </c>
      <c r="M119" s="38" t="s">
        <v>245</v>
      </c>
      <c r="N119" s="44" t="s">
        <v>2553</v>
      </c>
      <c r="O119" s="38" t="s">
        <v>2565</v>
      </c>
      <c r="P119" s="51">
        <v>1.08</v>
      </c>
      <c r="Q119" s="38" t="s">
        <v>2566</v>
      </c>
      <c r="R119" s="38" t="s">
        <v>245</v>
      </c>
    </row>
    <row r="120" spans="1:18" x14ac:dyDescent="0.3">
      <c r="A120" s="37" t="s">
        <v>2229</v>
      </c>
      <c r="B120" s="37" t="s">
        <v>2673</v>
      </c>
      <c r="C120" s="37" t="s">
        <v>2228</v>
      </c>
      <c r="D120" s="37" t="s">
        <v>2228</v>
      </c>
      <c r="E120" s="37" t="s">
        <v>386</v>
      </c>
      <c r="F120" s="37" t="s">
        <v>2208</v>
      </c>
      <c r="G120" s="37" t="s">
        <v>282</v>
      </c>
      <c r="H120" s="37" t="s">
        <v>306</v>
      </c>
      <c r="I120" s="53"/>
      <c r="J120" s="53"/>
      <c r="K120" s="37" t="s">
        <v>2564</v>
      </c>
      <c r="L120" s="37" t="s">
        <v>242</v>
      </c>
      <c r="M120" s="37" t="s">
        <v>245</v>
      </c>
      <c r="N120" s="41" t="s">
        <v>2553</v>
      </c>
      <c r="O120" s="37" t="s">
        <v>2565</v>
      </c>
      <c r="P120" s="49">
        <v>1.08</v>
      </c>
      <c r="Q120" s="37" t="s">
        <v>2566</v>
      </c>
      <c r="R120" s="37" t="s">
        <v>245</v>
      </c>
    </row>
    <row r="121" spans="1:18" ht="57.6" x14ac:dyDescent="0.3">
      <c r="A121" s="38" t="s">
        <v>2234</v>
      </c>
      <c r="B121" s="38" t="s">
        <v>2674</v>
      </c>
      <c r="C121" s="38" t="s">
        <v>2232</v>
      </c>
      <c r="D121" s="38" t="s">
        <v>2232</v>
      </c>
      <c r="E121" s="38" t="s">
        <v>386</v>
      </c>
      <c r="F121" s="38" t="s">
        <v>1130</v>
      </c>
      <c r="G121" s="38" t="s">
        <v>282</v>
      </c>
      <c r="H121" s="38" t="s">
        <v>306</v>
      </c>
      <c r="I121" s="54">
        <v>500</v>
      </c>
      <c r="J121" s="54">
        <v>600</v>
      </c>
      <c r="K121" s="38" t="s">
        <v>2568</v>
      </c>
      <c r="L121" s="38" t="s">
        <v>242</v>
      </c>
      <c r="M121" s="38" t="s">
        <v>245</v>
      </c>
      <c r="N121" s="44" t="s">
        <v>2553</v>
      </c>
      <c r="O121" s="38" t="s">
        <v>2554</v>
      </c>
      <c r="P121" s="51">
        <v>1.05</v>
      </c>
      <c r="Q121" s="38" t="s">
        <v>2555</v>
      </c>
      <c r="R121" s="38" t="s">
        <v>245</v>
      </c>
    </row>
    <row r="122" spans="1:18" x14ac:dyDescent="0.3">
      <c r="A122" s="37" t="s">
        <v>2239</v>
      </c>
      <c r="B122" s="37" t="s">
        <v>2675</v>
      </c>
      <c r="C122" s="37" t="s">
        <v>2237</v>
      </c>
      <c r="D122" s="37" t="s">
        <v>2237</v>
      </c>
      <c r="E122" s="37" t="s">
        <v>239</v>
      </c>
      <c r="F122" s="37" t="s">
        <v>1056</v>
      </c>
      <c r="G122" s="37" t="s">
        <v>282</v>
      </c>
      <c r="H122" s="37" t="s">
        <v>1441</v>
      </c>
      <c r="I122" s="53"/>
      <c r="J122" s="53"/>
      <c r="K122" s="37" t="s">
        <v>2559</v>
      </c>
      <c r="L122" s="37" t="s">
        <v>242</v>
      </c>
      <c r="M122" s="37" t="s">
        <v>245</v>
      </c>
      <c r="N122" s="41" t="s">
        <v>2553</v>
      </c>
      <c r="O122" s="37" t="s">
        <v>2560</v>
      </c>
      <c r="P122" s="49">
        <v>1</v>
      </c>
      <c r="Q122" s="37" t="s">
        <v>2561</v>
      </c>
      <c r="R122" s="37" t="s">
        <v>245</v>
      </c>
    </row>
  </sheetData>
  <autoFilter ref="A1:R122" xr:uid="{00000000-0009-0000-0000-000023000000}"/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A122"/>
  <sheetViews>
    <sheetView showGridLines="0" topLeftCell="F1" workbookViewId="0">
      <pane ySplit="1" topLeftCell="A32" activePane="bottomLeft" state="frozen"/>
      <selection pane="bottomLeft" activeCell="I35" sqref="I35"/>
    </sheetView>
  </sheetViews>
  <sheetFormatPr defaultRowHeight="14.4" x14ac:dyDescent="0.3"/>
  <cols>
    <col min="1" max="1" width="11" customWidth="1"/>
    <col min="2" max="2" width="12" customWidth="1"/>
    <col min="3" max="3" width="13" customWidth="1"/>
    <col min="4" max="6" width="10" customWidth="1"/>
    <col min="7" max="7" width="11" customWidth="1"/>
    <col min="8" max="9" width="14" customWidth="1"/>
    <col min="10" max="10" width="40" customWidth="1"/>
    <col min="11" max="11" width="19" customWidth="1"/>
    <col min="12" max="12" width="11" customWidth="1"/>
    <col min="13" max="13" width="10" customWidth="1"/>
    <col min="14" max="14" width="40" customWidth="1"/>
    <col min="15" max="15" width="14" customWidth="1"/>
    <col min="16" max="16" width="25" customWidth="1"/>
    <col min="17" max="17" width="14" customWidth="1"/>
    <col min="18" max="18" width="10" customWidth="1"/>
    <col min="19" max="19" width="14" customWidth="1"/>
    <col min="20" max="20" width="24" customWidth="1"/>
    <col min="21" max="21" width="16" customWidth="1"/>
    <col min="22" max="22" width="14" customWidth="1"/>
    <col min="23" max="24" width="10" customWidth="1"/>
    <col min="25" max="25" width="14" customWidth="1"/>
    <col min="26" max="26" width="19" customWidth="1"/>
    <col min="27" max="27" width="13" customWidth="1"/>
  </cols>
  <sheetData>
    <row r="1" spans="1:27" x14ac:dyDescent="0.3">
      <c r="A1" s="36" t="s">
        <v>467</v>
      </c>
      <c r="B1" s="36" t="s">
        <v>344</v>
      </c>
      <c r="C1" s="36" t="s">
        <v>524</v>
      </c>
      <c r="D1" s="36" t="s">
        <v>525</v>
      </c>
      <c r="E1" s="36" t="s">
        <v>199</v>
      </c>
      <c r="F1" s="36" t="s">
        <v>200</v>
      </c>
      <c r="G1" s="36" t="s">
        <v>198</v>
      </c>
      <c r="H1" s="36" t="s">
        <v>526</v>
      </c>
      <c r="I1" s="36" t="s">
        <v>527</v>
      </c>
      <c r="J1" s="36" t="s">
        <v>528</v>
      </c>
      <c r="K1" s="36" t="s">
        <v>433</v>
      </c>
      <c r="L1" s="36" t="s">
        <v>474</v>
      </c>
      <c r="M1" s="36" t="s">
        <v>436</v>
      </c>
      <c r="N1" s="36" t="s">
        <v>116</v>
      </c>
      <c r="O1" s="36" t="s">
        <v>529</v>
      </c>
      <c r="P1" s="36" t="s">
        <v>530</v>
      </c>
      <c r="Q1" s="36" t="s">
        <v>531</v>
      </c>
      <c r="R1" s="36" t="s">
        <v>532</v>
      </c>
      <c r="S1" s="36" t="s">
        <v>533</v>
      </c>
      <c r="T1" s="36" t="s">
        <v>438</v>
      </c>
      <c r="U1" s="36" t="s">
        <v>439</v>
      </c>
      <c r="V1" s="36" t="s">
        <v>440</v>
      </c>
      <c r="W1" s="36" t="s">
        <v>441</v>
      </c>
      <c r="X1" s="36" t="s">
        <v>534</v>
      </c>
      <c r="Y1" s="36" t="s">
        <v>535</v>
      </c>
      <c r="Z1" s="36" t="s">
        <v>196</v>
      </c>
      <c r="AA1" s="36" t="s">
        <v>555</v>
      </c>
    </row>
    <row r="2" spans="1:27" ht="28.8" x14ac:dyDescent="0.3">
      <c r="A2" s="40" t="s">
        <v>536</v>
      </c>
      <c r="B2" s="37" t="s">
        <v>1043</v>
      </c>
      <c r="C2" s="53">
        <v>100</v>
      </c>
      <c r="D2" s="37"/>
      <c r="E2" s="37"/>
      <c r="F2" s="37"/>
      <c r="G2" s="37"/>
      <c r="H2" s="37"/>
      <c r="I2" s="39">
        <v>3480</v>
      </c>
      <c r="J2" s="37" t="s">
        <v>1040</v>
      </c>
      <c r="K2" s="37" t="s">
        <v>242</v>
      </c>
      <c r="L2" s="37" t="s">
        <v>245</v>
      </c>
      <c r="M2" s="37" t="s">
        <v>245</v>
      </c>
      <c r="N2" s="41" t="s">
        <v>2676</v>
      </c>
      <c r="O2" s="37" t="s">
        <v>241</v>
      </c>
      <c r="P2" s="50"/>
      <c r="Q2" s="37" t="s">
        <v>241</v>
      </c>
      <c r="R2" s="37"/>
      <c r="S2" s="53"/>
      <c r="T2" s="37" t="s">
        <v>2245</v>
      </c>
      <c r="U2" s="37"/>
      <c r="V2" s="37"/>
      <c r="W2" s="37"/>
      <c r="X2" s="50"/>
      <c r="Y2" s="53"/>
      <c r="Z2" s="37" t="s">
        <v>335</v>
      </c>
      <c r="AA2" s="37" t="s">
        <v>566</v>
      </c>
    </row>
    <row r="3" spans="1:27" ht="43.2" x14ac:dyDescent="0.3">
      <c r="A3" s="43" t="s">
        <v>540</v>
      </c>
      <c r="B3" s="38" t="s">
        <v>1050</v>
      </c>
      <c r="C3" s="54"/>
      <c r="D3" s="38"/>
      <c r="E3" s="38"/>
      <c r="F3" s="38"/>
      <c r="G3" s="38"/>
      <c r="H3" s="38"/>
      <c r="I3" s="42">
        <v>48</v>
      </c>
      <c r="J3" s="38" t="s">
        <v>1045</v>
      </c>
      <c r="K3" s="38" t="s">
        <v>242</v>
      </c>
      <c r="L3" s="38" t="s">
        <v>245</v>
      </c>
      <c r="M3" s="38" t="s">
        <v>245</v>
      </c>
      <c r="N3" s="44" t="s">
        <v>2676</v>
      </c>
      <c r="O3" s="38" t="s">
        <v>306</v>
      </c>
      <c r="P3" s="52"/>
      <c r="Q3" s="38" t="s">
        <v>306</v>
      </c>
      <c r="R3" s="38"/>
      <c r="S3" s="54"/>
      <c r="T3" s="38" t="s">
        <v>2245</v>
      </c>
      <c r="U3" s="38"/>
      <c r="V3" s="38"/>
      <c r="W3" s="38"/>
      <c r="X3" s="52"/>
      <c r="Y3" s="54"/>
      <c r="Z3" s="38" t="s">
        <v>335</v>
      </c>
      <c r="AA3" s="38" t="s">
        <v>567</v>
      </c>
    </row>
    <row r="4" spans="1:27" ht="28.8" x14ac:dyDescent="0.3">
      <c r="A4" s="40" t="s">
        <v>543</v>
      </c>
      <c r="B4" s="37" t="s">
        <v>1057</v>
      </c>
      <c r="C4" s="53"/>
      <c r="D4" s="37"/>
      <c r="E4" s="37"/>
      <c r="F4" s="37"/>
      <c r="G4" s="37"/>
      <c r="H4" s="37"/>
      <c r="I4" s="39">
        <v>580</v>
      </c>
      <c r="J4" s="37" t="s">
        <v>1052</v>
      </c>
      <c r="K4" s="37" t="s">
        <v>242</v>
      </c>
      <c r="L4" s="37" t="s">
        <v>245</v>
      </c>
      <c r="M4" s="37" t="s">
        <v>245</v>
      </c>
      <c r="N4" s="41" t="s">
        <v>2676</v>
      </c>
      <c r="O4" s="37" t="s">
        <v>1053</v>
      </c>
      <c r="P4" s="50"/>
      <c r="Q4" s="37" t="s">
        <v>1053</v>
      </c>
      <c r="R4" s="37"/>
      <c r="S4" s="53"/>
      <c r="T4" s="37" t="s">
        <v>2245</v>
      </c>
      <c r="U4" s="37"/>
      <c r="V4" s="37"/>
      <c r="W4" s="37"/>
      <c r="X4" s="50"/>
      <c r="Y4" s="53"/>
      <c r="Z4" s="37" t="s">
        <v>335</v>
      </c>
      <c r="AA4" s="37" t="s">
        <v>1051</v>
      </c>
    </row>
    <row r="5" spans="1:27" ht="28.8" x14ac:dyDescent="0.3">
      <c r="A5" s="43" t="s">
        <v>545</v>
      </c>
      <c r="B5" s="38" t="s">
        <v>1105</v>
      </c>
      <c r="C5" s="54"/>
      <c r="D5" s="38"/>
      <c r="E5" s="38"/>
      <c r="F5" s="38"/>
      <c r="G5" s="38"/>
      <c r="H5" s="38"/>
      <c r="I5" s="42">
        <v>63</v>
      </c>
      <c r="J5" s="38" t="s">
        <v>1102</v>
      </c>
      <c r="K5" s="38" t="s">
        <v>242</v>
      </c>
      <c r="L5" s="38" t="s">
        <v>245</v>
      </c>
      <c r="M5" s="38" t="s">
        <v>245</v>
      </c>
      <c r="N5" s="44" t="s">
        <v>2676</v>
      </c>
      <c r="O5" s="38" t="s">
        <v>1103</v>
      </c>
      <c r="P5" s="52"/>
      <c r="Q5" s="38" t="s">
        <v>1103</v>
      </c>
      <c r="R5" s="38"/>
      <c r="S5" s="54"/>
      <c r="T5" s="38" t="s">
        <v>2245</v>
      </c>
      <c r="U5" s="38"/>
      <c r="V5" s="38"/>
      <c r="W5" s="38"/>
      <c r="X5" s="52"/>
      <c r="Y5" s="54"/>
      <c r="Z5" s="38" t="s">
        <v>335</v>
      </c>
      <c r="AA5" s="38" t="s">
        <v>1101</v>
      </c>
    </row>
    <row r="6" spans="1:27" ht="28.8" x14ac:dyDescent="0.3">
      <c r="A6" s="40" t="s">
        <v>547</v>
      </c>
      <c r="B6" s="37" t="s">
        <v>1109</v>
      </c>
      <c r="C6" s="53"/>
      <c r="D6" s="37"/>
      <c r="E6" s="37"/>
      <c r="F6" s="37"/>
      <c r="G6" s="37"/>
      <c r="H6" s="37"/>
      <c r="I6" s="39">
        <v>85</v>
      </c>
      <c r="J6" s="37" t="s">
        <v>1107</v>
      </c>
      <c r="K6" s="37" t="s">
        <v>242</v>
      </c>
      <c r="L6" s="37" t="s">
        <v>245</v>
      </c>
      <c r="M6" s="37" t="s">
        <v>245</v>
      </c>
      <c r="N6" s="41" t="s">
        <v>2676</v>
      </c>
      <c r="O6" s="37" t="s">
        <v>1103</v>
      </c>
      <c r="P6" s="50"/>
      <c r="Q6" s="37" t="s">
        <v>1103</v>
      </c>
      <c r="R6" s="37"/>
      <c r="S6" s="53"/>
      <c r="T6" s="37" t="s">
        <v>2245</v>
      </c>
      <c r="U6" s="37"/>
      <c r="V6" s="37"/>
      <c r="W6" s="37"/>
      <c r="X6" s="50"/>
      <c r="Y6" s="53"/>
      <c r="Z6" s="37" t="s">
        <v>335</v>
      </c>
      <c r="AA6" s="37" t="s">
        <v>1106</v>
      </c>
    </row>
    <row r="7" spans="1:27" ht="28.8" x14ac:dyDescent="0.3">
      <c r="A7" s="43" t="s">
        <v>549</v>
      </c>
      <c r="B7" s="38" t="s">
        <v>1121</v>
      </c>
      <c r="C7" s="54"/>
      <c r="D7" s="38"/>
      <c r="E7" s="38"/>
      <c r="F7" s="38"/>
      <c r="G7" s="38"/>
      <c r="H7" s="38"/>
      <c r="I7" s="42">
        <v>15000</v>
      </c>
      <c r="J7" s="38" t="s">
        <v>1116</v>
      </c>
      <c r="K7" s="38" t="s">
        <v>242</v>
      </c>
      <c r="L7" s="38" t="s">
        <v>245</v>
      </c>
      <c r="M7" s="38" t="s">
        <v>245</v>
      </c>
      <c r="N7" s="44" t="s">
        <v>2676</v>
      </c>
      <c r="O7" s="38" t="s">
        <v>362</v>
      </c>
      <c r="P7" s="52"/>
      <c r="Q7" s="38" t="s">
        <v>362</v>
      </c>
      <c r="R7" s="38"/>
      <c r="S7" s="54"/>
      <c r="T7" s="38" t="s">
        <v>2245</v>
      </c>
      <c r="U7" s="38"/>
      <c r="V7" s="38"/>
      <c r="W7" s="38"/>
      <c r="X7" s="52"/>
      <c r="Y7" s="54"/>
      <c r="Z7" s="38" t="s">
        <v>335</v>
      </c>
      <c r="AA7" s="38" t="s">
        <v>1115</v>
      </c>
    </row>
    <row r="8" spans="1:27" ht="28.8" x14ac:dyDescent="0.3">
      <c r="A8" s="40" t="s">
        <v>551</v>
      </c>
      <c r="B8" s="37" t="s">
        <v>1131</v>
      </c>
      <c r="C8" s="53"/>
      <c r="D8" s="37"/>
      <c r="E8" s="37"/>
      <c r="F8" s="37"/>
      <c r="G8" s="37"/>
      <c r="H8" s="37"/>
      <c r="I8" s="39">
        <v>6000</v>
      </c>
      <c r="J8" s="37" t="s">
        <v>1128</v>
      </c>
      <c r="K8" s="37" t="s">
        <v>242</v>
      </c>
      <c r="L8" s="37" t="s">
        <v>245</v>
      </c>
      <c r="M8" s="37" t="s">
        <v>245</v>
      </c>
      <c r="N8" s="41" t="s">
        <v>2676</v>
      </c>
      <c r="O8" s="37" t="s">
        <v>306</v>
      </c>
      <c r="P8" s="50"/>
      <c r="Q8" s="37" t="s">
        <v>306</v>
      </c>
      <c r="R8" s="37"/>
      <c r="S8" s="53"/>
      <c r="T8" s="37" t="s">
        <v>2245</v>
      </c>
      <c r="U8" s="37"/>
      <c r="V8" s="37"/>
      <c r="W8" s="37"/>
      <c r="X8" s="50"/>
      <c r="Y8" s="53"/>
      <c r="Z8" s="37" t="s">
        <v>335</v>
      </c>
      <c r="AA8" s="37" t="s">
        <v>1127</v>
      </c>
    </row>
    <row r="9" spans="1:27" ht="28.8" x14ac:dyDescent="0.3">
      <c r="A9" s="43" t="s">
        <v>553</v>
      </c>
      <c r="B9" s="38" t="s">
        <v>1136</v>
      </c>
      <c r="C9" s="54"/>
      <c r="D9" s="38"/>
      <c r="E9" s="38"/>
      <c r="F9" s="38"/>
      <c r="G9" s="38"/>
      <c r="H9" s="38"/>
      <c r="I9" s="42">
        <v>0</v>
      </c>
      <c r="J9" s="38" t="s">
        <v>1133</v>
      </c>
      <c r="K9" s="38" t="s">
        <v>242</v>
      </c>
      <c r="L9" s="38" t="s">
        <v>245</v>
      </c>
      <c r="M9" s="38" t="s">
        <v>245</v>
      </c>
      <c r="N9" s="44" t="s">
        <v>2676</v>
      </c>
      <c r="O9" s="38" t="s">
        <v>1103</v>
      </c>
      <c r="P9" s="52"/>
      <c r="Q9" s="38" t="s">
        <v>1103</v>
      </c>
      <c r="R9" s="38"/>
      <c r="S9" s="54"/>
      <c r="T9" s="38" t="s">
        <v>2245</v>
      </c>
      <c r="U9" s="38"/>
      <c r="V9" s="38"/>
      <c r="W9" s="38"/>
      <c r="X9" s="52"/>
      <c r="Y9" s="54"/>
      <c r="Z9" s="38" t="s">
        <v>335</v>
      </c>
      <c r="AA9" s="38" t="s">
        <v>1132</v>
      </c>
    </row>
    <row r="10" spans="1:27" ht="28.8" x14ac:dyDescent="0.3">
      <c r="A10" s="40" t="s">
        <v>1141</v>
      </c>
      <c r="B10" s="37" t="s">
        <v>1140</v>
      </c>
      <c r="C10" s="53"/>
      <c r="D10" s="37"/>
      <c r="E10" s="37"/>
      <c r="F10" s="37"/>
      <c r="G10" s="37"/>
      <c r="H10" s="37"/>
      <c r="I10" s="39">
        <v>320</v>
      </c>
      <c r="J10" s="37" t="s">
        <v>1138</v>
      </c>
      <c r="K10" s="37" t="s">
        <v>242</v>
      </c>
      <c r="L10" s="37" t="s">
        <v>245</v>
      </c>
      <c r="M10" s="37" t="s">
        <v>245</v>
      </c>
      <c r="N10" s="41" t="s">
        <v>2676</v>
      </c>
      <c r="O10" s="37" t="s">
        <v>1103</v>
      </c>
      <c r="P10" s="50"/>
      <c r="Q10" s="37" t="s">
        <v>1103</v>
      </c>
      <c r="R10" s="37"/>
      <c r="S10" s="53"/>
      <c r="T10" s="37" t="s">
        <v>2245</v>
      </c>
      <c r="U10" s="37"/>
      <c r="V10" s="37"/>
      <c r="W10" s="37"/>
      <c r="X10" s="50"/>
      <c r="Y10" s="53"/>
      <c r="Z10" s="37" t="s">
        <v>335</v>
      </c>
      <c r="AA10" s="37" t="s">
        <v>1137</v>
      </c>
    </row>
    <row r="11" spans="1:27" ht="28.8" x14ac:dyDescent="0.3">
      <c r="A11" s="43" t="s">
        <v>1146</v>
      </c>
      <c r="B11" s="38" t="s">
        <v>1145</v>
      </c>
      <c r="C11" s="54">
        <v>4</v>
      </c>
      <c r="D11" s="38"/>
      <c r="E11" s="38"/>
      <c r="F11" s="38"/>
      <c r="G11" s="38"/>
      <c r="H11" s="38"/>
      <c r="I11" s="42">
        <v>430</v>
      </c>
      <c r="J11" s="38" t="s">
        <v>1143</v>
      </c>
      <c r="K11" s="38" t="s">
        <v>242</v>
      </c>
      <c r="L11" s="38" t="s">
        <v>245</v>
      </c>
      <c r="M11" s="38" t="s">
        <v>245</v>
      </c>
      <c r="N11" s="44" t="s">
        <v>2676</v>
      </c>
      <c r="O11" s="38" t="s">
        <v>1103</v>
      </c>
      <c r="P11" s="52"/>
      <c r="Q11" s="38" t="s">
        <v>1103</v>
      </c>
      <c r="R11" s="38"/>
      <c r="S11" s="54"/>
      <c r="T11" s="38" t="s">
        <v>2245</v>
      </c>
      <c r="U11" s="38"/>
      <c r="V11" s="38"/>
      <c r="W11" s="38"/>
      <c r="X11" s="52"/>
      <c r="Y11" s="54"/>
      <c r="Z11" s="38" t="s">
        <v>335</v>
      </c>
      <c r="AA11" s="38" t="s">
        <v>1142</v>
      </c>
    </row>
    <row r="12" spans="1:27" ht="28.8" x14ac:dyDescent="0.3">
      <c r="A12" s="40" t="s">
        <v>1152</v>
      </c>
      <c r="B12" s="37" t="s">
        <v>1151</v>
      </c>
      <c r="C12" s="53">
        <v>3000</v>
      </c>
      <c r="D12" s="37"/>
      <c r="E12" s="37"/>
      <c r="F12" s="37"/>
      <c r="G12" s="37"/>
      <c r="H12" s="37"/>
      <c r="I12" s="39">
        <v>280</v>
      </c>
      <c r="J12" s="37" t="s">
        <v>1148</v>
      </c>
      <c r="K12" s="37" t="s">
        <v>242</v>
      </c>
      <c r="L12" s="37" t="s">
        <v>245</v>
      </c>
      <c r="M12" s="37" t="s">
        <v>245</v>
      </c>
      <c r="N12" s="41" t="s">
        <v>2676</v>
      </c>
      <c r="O12" s="37" t="s">
        <v>306</v>
      </c>
      <c r="P12" s="50"/>
      <c r="Q12" s="37" t="s">
        <v>306</v>
      </c>
      <c r="R12" s="37"/>
      <c r="S12" s="53"/>
      <c r="T12" s="37" t="s">
        <v>2245</v>
      </c>
      <c r="U12" s="37"/>
      <c r="V12" s="37"/>
      <c r="W12" s="37"/>
      <c r="X12" s="50"/>
      <c r="Y12" s="53"/>
      <c r="Z12" s="37" t="s">
        <v>335</v>
      </c>
      <c r="AA12" s="37" t="s">
        <v>1147</v>
      </c>
    </row>
    <row r="13" spans="1:27" ht="28.8" x14ac:dyDescent="0.3">
      <c r="A13" s="43" t="s">
        <v>1157</v>
      </c>
      <c r="B13" s="38" t="s">
        <v>1156</v>
      </c>
      <c r="C13" s="54">
        <v>3000</v>
      </c>
      <c r="D13" s="38"/>
      <c r="E13" s="38"/>
      <c r="F13" s="38"/>
      <c r="G13" s="38"/>
      <c r="H13" s="38"/>
      <c r="I13" s="42">
        <v>245</v>
      </c>
      <c r="J13" s="38" t="s">
        <v>1154</v>
      </c>
      <c r="K13" s="38" t="s">
        <v>242</v>
      </c>
      <c r="L13" s="38" t="s">
        <v>245</v>
      </c>
      <c r="M13" s="38" t="s">
        <v>245</v>
      </c>
      <c r="N13" s="44" t="s">
        <v>2676</v>
      </c>
      <c r="O13" s="38" t="s">
        <v>306</v>
      </c>
      <c r="P13" s="52"/>
      <c r="Q13" s="38" t="s">
        <v>306</v>
      </c>
      <c r="R13" s="38"/>
      <c r="S13" s="54"/>
      <c r="T13" s="38" t="s">
        <v>2245</v>
      </c>
      <c r="U13" s="38"/>
      <c r="V13" s="38"/>
      <c r="W13" s="38"/>
      <c r="X13" s="52"/>
      <c r="Y13" s="54"/>
      <c r="Z13" s="38" t="s">
        <v>335</v>
      </c>
      <c r="AA13" s="38" t="s">
        <v>1153</v>
      </c>
    </row>
    <row r="14" spans="1:27" ht="28.8" x14ac:dyDescent="0.3">
      <c r="A14" s="40" t="s">
        <v>1162</v>
      </c>
      <c r="B14" s="37" t="s">
        <v>1161</v>
      </c>
      <c r="C14" s="53">
        <v>100</v>
      </c>
      <c r="D14" s="37"/>
      <c r="E14" s="37"/>
      <c r="F14" s="37"/>
      <c r="G14" s="37"/>
      <c r="H14" s="37"/>
      <c r="I14" s="39">
        <v>2500</v>
      </c>
      <c r="J14" s="37" t="s">
        <v>1159</v>
      </c>
      <c r="K14" s="37" t="s">
        <v>242</v>
      </c>
      <c r="L14" s="37" t="s">
        <v>245</v>
      </c>
      <c r="M14" s="37" t="s">
        <v>245</v>
      </c>
      <c r="N14" s="41" t="s">
        <v>2676</v>
      </c>
      <c r="O14" s="37" t="s">
        <v>241</v>
      </c>
      <c r="P14" s="50"/>
      <c r="Q14" s="37" t="s">
        <v>241</v>
      </c>
      <c r="R14" s="37"/>
      <c r="S14" s="53"/>
      <c r="T14" s="37" t="s">
        <v>2245</v>
      </c>
      <c r="U14" s="37"/>
      <c r="V14" s="37"/>
      <c r="W14" s="37"/>
      <c r="X14" s="50"/>
      <c r="Y14" s="53"/>
      <c r="Z14" s="37" t="s">
        <v>335</v>
      </c>
      <c r="AA14" s="37" t="s">
        <v>1158</v>
      </c>
    </row>
    <row r="15" spans="1:27" ht="28.8" x14ac:dyDescent="0.3">
      <c r="A15" s="43" t="s">
        <v>1166</v>
      </c>
      <c r="B15" s="38" t="s">
        <v>1165</v>
      </c>
      <c r="C15" s="54">
        <v>50</v>
      </c>
      <c r="D15" s="38"/>
      <c r="E15" s="38"/>
      <c r="F15" s="38"/>
      <c r="G15" s="38"/>
      <c r="H15" s="38"/>
      <c r="I15" s="42">
        <v>2300</v>
      </c>
      <c r="J15" s="38" t="s">
        <v>1164</v>
      </c>
      <c r="K15" s="38" t="s">
        <v>242</v>
      </c>
      <c r="L15" s="38" t="s">
        <v>245</v>
      </c>
      <c r="M15" s="38" t="s">
        <v>245</v>
      </c>
      <c r="N15" s="44" t="s">
        <v>2676</v>
      </c>
      <c r="O15" s="38" t="s">
        <v>241</v>
      </c>
      <c r="P15" s="52"/>
      <c r="Q15" s="38" t="s">
        <v>241</v>
      </c>
      <c r="R15" s="38"/>
      <c r="S15" s="54"/>
      <c r="T15" s="38" t="s">
        <v>2245</v>
      </c>
      <c r="U15" s="38"/>
      <c r="V15" s="38"/>
      <c r="W15" s="38"/>
      <c r="X15" s="52"/>
      <c r="Y15" s="54"/>
      <c r="Z15" s="38" t="s">
        <v>335</v>
      </c>
      <c r="AA15" s="38" t="s">
        <v>1163</v>
      </c>
    </row>
    <row r="16" spans="1:27" ht="28.8" x14ac:dyDescent="0.3">
      <c r="A16" s="40" t="s">
        <v>1171</v>
      </c>
      <c r="B16" s="37" t="s">
        <v>1170</v>
      </c>
      <c r="C16" s="53"/>
      <c r="D16" s="37"/>
      <c r="E16" s="37"/>
      <c r="F16" s="37"/>
      <c r="G16" s="37"/>
      <c r="H16" s="37"/>
      <c r="I16" s="39">
        <v>4730</v>
      </c>
      <c r="J16" s="37" t="s">
        <v>1168</v>
      </c>
      <c r="K16" s="37" t="s">
        <v>242</v>
      </c>
      <c r="L16" s="37" t="s">
        <v>245</v>
      </c>
      <c r="M16" s="37" t="s">
        <v>245</v>
      </c>
      <c r="N16" s="41" t="s">
        <v>2676</v>
      </c>
      <c r="O16" s="37" t="s">
        <v>241</v>
      </c>
      <c r="P16" s="50"/>
      <c r="Q16" s="37" t="s">
        <v>241</v>
      </c>
      <c r="R16" s="37"/>
      <c r="S16" s="53"/>
      <c r="T16" s="37" t="s">
        <v>2245</v>
      </c>
      <c r="U16" s="37"/>
      <c r="V16" s="37"/>
      <c r="W16" s="37"/>
      <c r="X16" s="50"/>
      <c r="Y16" s="53"/>
      <c r="Z16" s="37" t="s">
        <v>335</v>
      </c>
      <c r="AA16" s="37" t="s">
        <v>1167</v>
      </c>
    </row>
    <row r="17" spans="1:27" ht="28.8" x14ac:dyDescent="0.3">
      <c r="A17" s="43" t="s">
        <v>1176</v>
      </c>
      <c r="B17" s="38" t="s">
        <v>1175</v>
      </c>
      <c r="C17" s="54">
        <v>50</v>
      </c>
      <c r="D17" s="38"/>
      <c r="E17" s="38"/>
      <c r="F17" s="38"/>
      <c r="G17" s="38"/>
      <c r="H17" s="38"/>
      <c r="I17" s="42">
        <v>4630</v>
      </c>
      <c r="J17" s="38" t="s">
        <v>1173</v>
      </c>
      <c r="K17" s="38" t="s">
        <v>242</v>
      </c>
      <c r="L17" s="38" t="s">
        <v>245</v>
      </c>
      <c r="M17" s="38" t="s">
        <v>245</v>
      </c>
      <c r="N17" s="44" t="s">
        <v>2676</v>
      </c>
      <c r="O17" s="38" t="s">
        <v>241</v>
      </c>
      <c r="P17" s="52"/>
      <c r="Q17" s="38" t="s">
        <v>241</v>
      </c>
      <c r="R17" s="38"/>
      <c r="S17" s="54"/>
      <c r="T17" s="38" t="s">
        <v>2245</v>
      </c>
      <c r="U17" s="38"/>
      <c r="V17" s="38"/>
      <c r="W17" s="38"/>
      <c r="X17" s="52"/>
      <c r="Y17" s="54"/>
      <c r="Z17" s="38" t="s">
        <v>335</v>
      </c>
      <c r="AA17" s="38" t="s">
        <v>1172</v>
      </c>
    </row>
    <row r="18" spans="1:27" ht="28.8" x14ac:dyDescent="0.3">
      <c r="A18" s="40" t="s">
        <v>1181</v>
      </c>
      <c r="B18" s="37" t="s">
        <v>1180</v>
      </c>
      <c r="C18" s="53"/>
      <c r="D18" s="37"/>
      <c r="E18" s="37"/>
      <c r="F18" s="37"/>
      <c r="G18" s="37"/>
      <c r="H18" s="37"/>
      <c r="I18" s="39">
        <v>840</v>
      </c>
      <c r="J18" s="37" t="s">
        <v>1178</v>
      </c>
      <c r="K18" s="37" t="s">
        <v>242</v>
      </c>
      <c r="L18" s="37" t="s">
        <v>245</v>
      </c>
      <c r="M18" s="37" t="s">
        <v>245</v>
      </c>
      <c r="N18" s="41" t="s">
        <v>2676</v>
      </c>
      <c r="O18" s="37" t="s">
        <v>241</v>
      </c>
      <c r="P18" s="50"/>
      <c r="Q18" s="37" t="s">
        <v>241</v>
      </c>
      <c r="R18" s="37"/>
      <c r="S18" s="53"/>
      <c r="T18" s="37" t="s">
        <v>2245</v>
      </c>
      <c r="U18" s="37"/>
      <c r="V18" s="37"/>
      <c r="W18" s="37"/>
      <c r="X18" s="50"/>
      <c r="Y18" s="53"/>
      <c r="Z18" s="37" t="s">
        <v>335</v>
      </c>
      <c r="AA18" s="37" t="s">
        <v>1177</v>
      </c>
    </row>
    <row r="19" spans="1:27" ht="28.8" x14ac:dyDescent="0.3">
      <c r="A19" s="43" t="s">
        <v>1186</v>
      </c>
      <c r="B19" s="38" t="s">
        <v>1185</v>
      </c>
      <c r="C19" s="54">
        <v>60</v>
      </c>
      <c r="D19" s="38"/>
      <c r="E19" s="38"/>
      <c r="F19" s="38"/>
      <c r="G19" s="38"/>
      <c r="H19" s="38"/>
      <c r="I19" s="42">
        <v>1100</v>
      </c>
      <c r="J19" s="38" t="s">
        <v>1183</v>
      </c>
      <c r="K19" s="38" t="s">
        <v>242</v>
      </c>
      <c r="L19" s="38" t="s">
        <v>245</v>
      </c>
      <c r="M19" s="38" t="s">
        <v>245</v>
      </c>
      <c r="N19" s="44" t="s">
        <v>2676</v>
      </c>
      <c r="O19" s="38" t="s">
        <v>241</v>
      </c>
      <c r="P19" s="52"/>
      <c r="Q19" s="38" t="s">
        <v>241</v>
      </c>
      <c r="R19" s="38"/>
      <c r="S19" s="54"/>
      <c r="T19" s="38" t="s">
        <v>2245</v>
      </c>
      <c r="U19" s="38"/>
      <c r="V19" s="38"/>
      <c r="W19" s="38"/>
      <c r="X19" s="52"/>
      <c r="Y19" s="54"/>
      <c r="Z19" s="38" t="s">
        <v>335</v>
      </c>
      <c r="AA19" s="38" t="s">
        <v>1182</v>
      </c>
    </row>
    <row r="20" spans="1:27" ht="28.8" x14ac:dyDescent="0.3">
      <c r="A20" s="40" t="s">
        <v>1191</v>
      </c>
      <c r="B20" s="37" t="s">
        <v>1190</v>
      </c>
      <c r="C20" s="53"/>
      <c r="D20" s="37"/>
      <c r="E20" s="37"/>
      <c r="F20" s="37"/>
      <c r="G20" s="37"/>
      <c r="H20" s="37"/>
      <c r="I20" s="39">
        <v>3025</v>
      </c>
      <c r="J20" s="37" t="s">
        <v>1188</v>
      </c>
      <c r="K20" s="37" t="s">
        <v>242</v>
      </c>
      <c r="L20" s="37" t="s">
        <v>245</v>
      </c>
      <c r="M20" s="37" t="s">
        <v>245</v>
      </c>
      <c r="N20" s="41" t="s">
        <v>2676</v>
      </c>
      <c r="O20" s="37" t="s">
        <v>241</v>
      </c>
      <c r="P20" s="50"/>
      <c r="Q20" s="37" t="s">
        <v>241</v>
      </c>
      <c r="R20" s="37"/>
      <c r="S20" s="53"/>
      <c r="T20" s="37" t="s">
        <v>2245</v>
      </c>
      <c r="U20" s="37"/>
      <c r="V20" s="37"/>
      <c r="W20" s="37"/>
      <c r="X20" s="50"/>
      <c r="Y20" s="53"/>
      <c r="Z20" s="37" t="s">
        <v>335</v>
      </c>
      <c r="AA20" s="37" t="s">
        <v>1187</v>
      </c>
    </row>
    <row r="21" spans="1:27" ht="28.8" x14ac:dyDescent="0.3">
      <c r="A21" s="43" t="s">
        <v>1280</v>
      </c>
      <c r="B21" s="38" t="s">
        <v>1279</v>
      </c>
      <c r="C21" s="54">
        <v>50</v>
      </c>
      <c r="D21" s="38"/>
      <c r="E21" s="38"/>
      <c r="F21" s="38"/>
      <c r="G21" s="38"/>
      <c r="H21" s="38"/>
      <c r="I21" s="42">
        <v>3850</v>
      </c>
      <c r="J21" s="38" t="s">
        <v>1277</v>
      </c>
      <c r="K21" s="38" t="s">
        <v>242</v>
      </c>
      <c r="L21" s="38" t="s">
        <v>245</v>
      </c>
      <c r="M21" s="38" t="s">
        <v>245</v>
      </c>
      <c r="N21" s="44" t="s">
        <v>2676</v>
      </c>
      <c r="O21" s="38" t="s">
        <v>241</v>
      </c>
      <c r="P21" s="52"/>
      <c r="Q21" s="38" t="s">
        <v>241</v>
      </c>
      <c r="R21" s="38"/>
      <c r="S21" s="54"/>
      <c r="T21" s="38" t="s">
        <v>2245</v>
      </c>
      <c r="U21" s="38"/>
      <c r="V21" s="38"/>
      <c r="W21" s="38"/>
      <c r="X21" s="52"/>
      <c r="Y21" s="54"/>
      <c r="Z21" s="38" t="s">
        <v>335</v>
      </c>
      <c r="AA21" s="38" t="s">
        <v>1276</v>
      </c>
    </row>
    <row r="22" spans="1:27" ht="28.8" x14ac:dyDescent="0.3">
      <c r="A22" s="40" t="s">
        <v>1285</v>
      </c>
      <c r="B22" s="37" t="s">
        <v>1284</v>
      </c>
      <c r="C22" s="53">
        <v>80</v>
      </c>
      <c r="D22" s="37"/>
      <c r="E22" s="37"/>
      <c r="F22" s="37"/>
      <c r="G22" s="37"/>
      <c r="H22" s="37"/>
      <c r="I22" s="39">
        <v>4620</v>
      </c>
      <c r="J22" s="37" t="s">
        <v>1282</v>
      </c>
      <c r="K22" s="37" t="s">
        <v>242</v>
      </c>
      <c r="L22" s="37" t="s">
        <v>245</v>
      </c>
      <c r="M22" s="37" t="s">
        <v>245</v>
      </c>
      <c r="N22" s="41" t="s">
        <v>2676</v>
      </c>
      <c r="O22" s="37" t="s">
        <v>241</v>
      </c>
      <c r="P22" s="50"/>
      <c r="Q22" s="37" t="s">
        <v>241</v>
      </c>
      <c r="R22" s="37"/>
      <c r="S22" s="53"/>
      <c r="T22" s="37" t="s">
        <v>2245</v>
      </c>
      <c r="U22" s="37"/>
      <c r="V22" s="37"/>
      <c r="W22" s="37"/>
      <c r="X22" s="50"/>
      <c r="Y22" s="53"/>
      <c r="Z22" s="37" t="s">
        <v>335</v>
      </c>
      <c r="AA22" s="37" t="s">
        <v>1281</v>
      </c>
    </row>
    <row r="23" spans="1:27" ht="28.8" x14ac:dyDescent="0.3">
      <c r="A23" s="43" t="s">
        <v>1292</v>
      </c>
      <c r="B23" s="38" t="s">
        <v>1291</v>
      </c>
      <c r="C23" s="54"/>
      <c r="D23" s="38"/>
      <c r="E23" s="38"/>
      <c r="F23" s="38"/>
      <c r="G23" s="38"/>
      <c r="H23" s="38"/>
      <c r="I23" s="42">
        <v>330</v>
      </c>
      <c r="J23" s="38" t="s">
        <v>1287</v>
      </c>
      <c r="K23" s="38" t="s">
        <v>242</v>
      </c>
      <c r="L23" s="38" t="s">
        <v>245</v>
      </c>
      <c r="M23" s="38" t="s">
        <v>245</v>
      </c>
      <c r="N23" s="44" t="s">
        <v>2676</v>
      </c>
      <c r="O23" s="38" t="s">
        <v>1288</v>
      </c>
      <c r="P23" s="52"/>
      <c r="Q23" s="38" t="s">
        <v>1288</v>
      </c>
      <c r="R23" s="38"/>
      <c r="S23" s="54"/>
      <c r="T23" s="38" t="s">
        <v>2245</v>
      </c>
      <c r="U23" s="38"/>
      <c r="V23" s="38"/>
      <c r="W23" s="38"/>
      <c r="X23" s="52"/>
      <c r="Y23" s="54"/>
      <c r="Z23" s="38" t="s">
        <v>335</v>
      </c>
      <c r="AA23" s="38" t="s">
        <v>1286</v>
      </c>
    </row>
    <row r="24" spans="1:27" ht="28.8" x14ac:dyDescent="0.3">
      <c r="A24" s="40" t="s">
        <v>1297</v>
      </c>
      <c r="B24" s="37" t="s">
        <v>1296</v>
      </c>
      <c r="C24" s="53"/>
      <c r="D24" s="37"/>
      <c r="E24" s="37"/>
      <c r="F24" s="37"/>
      <c r="G24" s="37"/>
      <c r="H24" s="37"/>
      <c r="I24" s="39">
        <v>115</v>
      </c>
      <c r="J24" s="37" t="s">
        <v>1294</v>
      </c>
      <c r="K24" s="37" t="s">
        <v>242</v>
      </c>
      <c r="L24" s="37" t="s">
        <v>245</v>
      </c>
      <c r="M24" s="37" t="s">
        <v>245</v>
      </c>
      <c r="N24" s="41" t="s">
        <v>2676</v>
      </c>
      <c r="O24" s="37" t="s">
        <v>1288</v>
      </c>
      <c r="P24" s="50"/>
      <c r="Q24" s="37" t="s">
        <v>1288</v>
      </c>
      <c r="R24" s="37"/>
      <c r="S24" s="53"/>
      <c r="T24" s="37" t="s">
        <v>2245</v>
      </c>
      <c r="U24" s="37"/>
      <c r="V24" s="37"/>
      <c r="W24" s="37"/>
      <c r="X24" s="50"/>
      <c r="Y24" s="53"/>
      <c r="Z24" s="37" t="s">
        <v>335</v>
      </c>
      <c r="AA24" s="37" t="s">
        <v>1293</v>
      </c>
    </row>
    <row r="25" spans="1:27" ht="28.8" x14ac:dyDescent="0.3">
      <c r="A25" s="43" t="s">
        <v>1302</v>
      </c>
      <c r="B25" s="38" t="s">
        <v>1301</v>
      </c>
      <c r="C25" s="54"/>
      <c r="D25" s="38"/>
      <c r="E25" s="38"/>
      <c r="F25" s="38"/>
      <c r="G25" s="38"/>
      <c r="H25" s="38"/>
      <c r="I25" s="42">
        <v>145</v>
      </c>
      <c r="J25" s="38" t="s">
        <v>1299</v>
      </c>
      <c r="K25" s="38" t="s">
        <v>242</v>
      </c>
      <c r="L25" s="38" t="s">
        <v>245</v>
      </c>
      <c r="M25" s="38" t="s">
        <v>245</v>
      </c>
      <c r="N25" s="44" t="s">
        <v>2676</v>
      </c>
      <c r="O25" s="38" t="s">
        <v>1288</v>
      </c>
      <c r="P25" s="52"/>
      <c r="Q25" s="38" t="s">
        <v>1288</v>
      </c>
      <c r="R25" s="38"/>
      <c r="S25" s="54"/>
      <c r="T25" s="38" t="s">
        <v>2245</v>
      </c>
      <c r="U25" s="38"/>
      <c r="V25" s="38"/>
      <c r="W25" s="38"/>
      <c r="X25" s="52"/>
      <c r="Y25" s="54"/>
      <c r="Z25" s="38" t="s">
        <v>335</v>
      </c>
      <c r="AA25" s="38" t="s">
        <v>1298</v>
      </c>
    </row>
    <row r="26" spans="1:27" ht="28.8" x14ac:dyDescent="0.3">
      <c r="A26" s="40" t="s">
        <v>1307</v>
      </c>
      <c r="B26" s="37" t="s">
        <v>1306</v>
      </c>
      <c r="C26" s="53"/>
      <c r="D26" s="37"/>
      <c r="E26" s="37"/>
      <c r="F26" s="37"/>
      <c r="G26" s="37"/>
      <c r="H26" s="37"/>
      <c r="I26" s="39">
        <v>75</v>
      </c>
      <c r="J26" s="37" t="s">
        <v>1304</v>
      </c>
      <c r="K26" s="37" t="s">
        <v>242</v>
      </c>
      <c r="L26" s="37" t="s">
        <v>245</v>
      </c>
      <c r="M26" s="37" t="s">
        <v>245</v>
      </c>
      <c r="N26" s="41" t="s">
        <v>2676</v>
      </c>
      <c r="O26" s="37" t="s">
        <v>241</v>
      </c>
      <c r="P26" s="50"/>
      <c r="Q26" s="37" t="s">
        <v>241</v>
      </c>
      <c r="R26" s="37"/>
      <c r="S26" s="53"/>
      <c r="T26" s="37" t="s">
        <v>2245</v>
      </c>
      <c r="U26" s="37"/>
      <c r="V26" s="37"/>
      <c r="W26" s="37"/>
      <c r="X26" s="50"/>
      <c r="Y26" s="53"/>
      <c r="Z26" s="37" t="s">
        <v>335</v>
      </c>
      <c r="AA26" s="37" t="s">
        <v>1303</v>
      </c>
    </row>
    <row r="27" spans="1:27" ht="28.8" x14ac:dyDescent="0.3">
      <c r="A27" s="43" t="s">
        <v>1312</v>
      </c>
      <c r="B27" s="38" t="s">
        <v>1311</v>
      </c>
      <c r="C27" s="54"/>
      <c r="D27" s="38"/>
      <c r="E27" s="38"/>
      <c r="F27" s="38"/>
      <c r="G27" s="38"/>
      <c r="H27" s="38"/>
      <c r="I27" s="42">
        <v>105</v>
      </c>
      <c r="J27" s="38" t="s">
        <v>1309</v>
      </c>
      <c r="K27" s="38" t="s">
        <v>242</v>
      </c>
      <c r="L27" s="38" t="s">
        <v>245</v>
      </c>
      <c r="M27" s="38" t="s">
        <v>245</v>
      </c>
      <c r="N27" s="44" t="s">
        <v>2676</v>
      </c>
      <c r="O27" s="38" t="s">
        <v>241</v>
      </c>
      <c r="P27" s="52"/>
      <c r="Q27" s="38" t="s">
        <v>241</v>
      </c>
      <c r="R27" s="38"/>
      <c r="S27" s="54"/>
      <c r="T27" s="38" t="s">
        <v>2245</v>
      </c>
      <c r="U27" s="38"/>
      <c r="V27" s="38"/>
      <c r="W27" s="38"/>
      <c r="X27" s="52"/>
      <c r="Y27" s="54"/>
      <c r="Z27" s="38" t="s">
        <v>335</v>
      </c>
      <c r="AA27" s="38" t="s">
        <v>1308</v>
      </c>
    </row>
    <row r="28" spans="1:27" ht="28.8" x14ac:dyDescent="0.3">
      <c r="A28" s="40" t="s">
        <v>1318</v>
      </c>
      <c r="B28" s="37" t="s">
        <v>1317</v>
      </c>
      <c r="C28" s="53"/>
      <c r="D28" s="37"/>
      <c r="E28" s="37"/>
      <c r="F28" s="37"/>
      <c r="G28" s="37"/>
      <c r="H28" s="37"/>
      <c r="I28" s="39">
        <v>650</v>
      </c>
      <c r="J28" s="37" t="s">
        <v>1314</v>
      </c>
      <c r="K28" s="37" t="s">
        <v>242</v>
      </c>
      <c r="L28" s="37" t="s">
        <v>245</v>
      </c>
      <c r="M28" s="37" t="s">
        <v>245</v>
      </c>
      <c r="N28" s="41" t="s">
        <v>2676</v>
      </c>
      <c r="O28" s="37" t="s">
        <v>306</v>
      </c>
      <c r="P28" s="50"/>
      <c r="Q28" s="37" t="s">
        <v>306</v>
      </c>
      <c r="R28" s="37"/>
      <c r="S28" s="53"/>
      <c r="T28" s="37" t="s">
        <v>2245</v>
      </c>
      <c r="U28" s="37"/>
      <c r="V28" s="37"/>
      <c r="W28" s="37"/>
      <c r="X28" s="50"/>
      <c r="Y28" s="53"/>
      <c r="Z28" s="37" t="s">
        <v>335</v>
      </c>
      <c r="AA28" s="37" t="s">
        <v>1313</v>
      </c>
    </row>
    <row r="29" spans="1:27" ht="28.8" x14ac:dyDescent="0.3">
      <c r="A29" s="43" t="s">
        <v>1323</v>
      </c>
      <c r="B29" s="38" t="s">
        <v>1322</v>
      </c>
      <c r="C29" s="54"/>
      <c r="D29" s="38"/>
      <c r="E29" s="38"/>
      <c r="F29" s="38"/>
      <c r="G29" s="38"/>
      <c r="H29" s="38"/>
      <c r="I29" s="42">
        <v>150</v>
      </c>
      <c r="J29" s="38" t="s">
        <v>1320</v>
      </c>
      <c r="K29" s="38" t="s">
        <v>242</v>
      </c>
      <c r="L29" s="38" t="s">
        <v>245</v>
      </c>
      <c r="M29" s="38" t="s">
        <v>245</v>
      </c>
      <c r="N29" s="44" t="s">
        <v>2676</v>
      </c>
      <c r="O29" s="38" t="s">
        <v>1103</v>
      </c>
      <c r="P29" s="52"/>
      <c r="Q29" s="38" t="s">
        <v>1103</v>
      </c>
      <c r="R29" s="38"/>
      <c r="S29" s="54"/>
      <c r="T29" s="38" t="s">
        <v>2245</v>
      </c>
      <c r="U29" s="38"/>
      <c r="V29" s="38"/>
      <c r="W29" s="38"/>
      <c r="X29" s="52"/>
      <c r="Y29" s="54"/>
      <c r="Z29" s="38" t="s">
        <v>335</v>
      </c>
      <c r="AA29" s="38" t="s">
        <v>1319</v>
      </c>
    </row>
    <row r="30" spans="1:27" ht="28.8" x14ac:dyDescent="0.3">
      <c r="A30" s="40" t="s">
        <v>1328</v>
      </c>
      <c r="B30" s="37" t="s">
        <v>1327</v>
      </c>
      <c r="C30" s="53"/>
      <c r="D30" s="37"/>
      <c r="E30" s="37"/>
      <c r="F30" s="37"/>
      <c r="G30" s="37"/>
      <c r="H30" s="37"/>
      <c r="I30" s="39">
        <v>1880</v>
      </c>
      <c r="J30" s="37" t="s">
        <v>1325</v>
      </c>
      <c r="K30" s="37" t="s">
        <v>242</v>
      </c>
      <c r="L30" s="37" t="s">
        <v>245</v>
      </c>
      <c r="M30" s="37" t="s">
        <v>245</v>
      </c>
      <c r="N30" s="41" t="s">
        <v>2676</v>
      </c>
      <c r="O30" s="37" t="s">
        <v>362</v>
      </c>
      <c r="P30" s="50"/>
      <c r="Q30" s="37" t="s">
        <v>362</v>
      </c>
      <c r="R30" s="37"/>
      <c r="S30" s="53"/>
      <c r="T30" s="37" t="s">
        <v>2245</v>
      </c>
      <c r="U30" s="37"/>
      <c r="V30" s="37"/>
      <c r="W30" s="37"/>
      <c r="X30" s="50"/>
      <c r="Y30" s="53"/>
      <c r="Z30" s="37" t="s">
        <v>335</v>
      </c>
      <c r="AA30" s="37" t="s">
        <v>1324</v>
      </c>
    </row>
    <row r="31" spans="1:27" ht="28.8" x14ac:dyDescent="0.3">
      <c r="A31" s="43" t="s">
        <v>1332</v>
      </c>
      <c r="B31" s="38" t="s">
        <v>1331</v>
      </c>
      <c r="C31" s="54"/>
      <c r="D31" s="38"/>
      <c r="E31" s="38"/>
      <c r="F31" s="38"/>
      <c r="G31" s="38"/>
      <c r="H31" s="38"/>
      <c r="I31" s="42">
        <v>8000</v>
      </c>
      <c r="J31" s="38" t="s">
        <v>1330</v>
      </c>
      <c r="K31" s="38" t="s">
        <v>242</v>
      </c>
      <c r="L31" s="38" t="s">
        <v>245</v>
      </c>
      <c r="M31" s="38" t="s">
        <v>245</v>
      </c>
      <c r="N31" s="44" t="s">
        <v>2676</v>
      </c>
      <c r="O31" s="38" t="s">
        <v>362</v>
      </c>
      <c r="P31" s="52"/>
      <c r="Q31" s="38" t="s">
        <v>362</v>
      </c>
      <c r="R31" s="38"/>
      <c r="S31" s="54"/>
      <c r="T31" s="38" t="s">
        <v>2245</v>
      </c>
      <c r="U31" s="38"/>
      <c r="V31" s="38"/>
      <c r="W31" s="38"/>
      <c r="X31" s="52"/>
      <c r="Y31" s="54"/>
      <c r="Z31" s="38" t="s">
        <v>335</v>
      </c>
      <c r="AA31" s="38" t="s">
        <v>1329</v>
      </c>
    </row>
    <row r="32" spans="1:27" ht="28.8" x14ac:dyDescent="0.3">
      <c r="A32" s="40" t="s">
        <v>1337</v>
      </c>
      <c r="B32" s="37" t="s">
        <v>1336</v>
      </c>
      <c r="C32" s="53"/>
      <c r="D32" s="37"/>
      <c r="E32" s="37"/>
      <c r="F32" s="37"/>
      <c r="G32" s="37"/>
      <c r="H32" s="37"/>
      <c r="I32" s="39">
        <v>18700</v>
      </c>
      <c r="J32" s="37" t="s">
        <v>1334</v>
      </c>
      <c r="K32" s="37" t="s">
        <v>242</v>
      </c>
      <c r="L32" s="37" t="s">
        <v>245</v>
      </c>
      <c r="M32" s="37" t="s">
        <v>245</v>
      </c>
      <c r="N32" s="41" t="s">
        <v>2676</v>
      </c>
      <c r="O32" s="37" t="s">
        <v>416</v>
      </c>
      <c r="P32" s="50"/>
      <c r="Q32" s="37" t="s">
        <v>416</v>
      </c>
      <c r="R32" s="37"/>
      <c r="S32" s="53"/>
      <c r="T32" s="37" t="s">
        <v>2245</v>
      </c>
      <c r="U32" s="37"/>
      <c r="V32" s="37"/>
      <c r="W32" s="37"/>
      <c r="X32" s="50"/>
      <c r="Y32" s="53"/>
      <c r="Z32" s="37" t="s">
        <v>335</v>
      </c>
      <c r="AA32" s="37" t="s">
        <v>1333</v>
      </c>
    </row>
    <row r="33" spans="1:27" ht="28.8" x14ac:dyDescent="0.3">
      <c r="A33" s="43" t="s">
        <v>1341</v>
      </c>
      <c r="B33" s="38" t="s">
        <v>1340</v>
      </c>
      <c r="C33" s="54"/>
      <c r="D33" s="38"/>
      <c r="E33" s="38"/>
      <c r="F33" s="38"/>
      <c r="G33" s="38"/>
      <c r="H33" s="38"/>
      <c r="I33" s="42">
        <v>1200</v>
      </c>
      <c r="J33" s="38" t="s">
        <v>1339</v>
      </c>
      <c r="K33" s="38" t="s">
        <v>242</v>
      </c>
      <c r="L33" s="38" t="s">
        <v>245</v>
      </c>
      <c r="M33" s="38" t="s">
        <v>245</v>
      </c>
      <c r="N33" s="44" t="s">
        <v>2676</v>
      </c>
      <c r="O33" s="38" t="s">
        <v>362</v>
      </c>
      <c r="P33" s="52"/>
      <c r="Q33" s="38" t="s">
        <v>362</v>
      </c>
      <c r="R33" s="38"/>
      <c r="S33" s="54"/>
      <c r="T33" s="38" t="s">
        <v>2245</v>
      </c>
      <c r="U33" s="38"/>
      <c r="V33" s="38"/>
      <c r="W33" s="38"/>
      <c r="X33" s="52"/>
      <c r="Y33" s="54"/>
      <c r="Z33" s="38" t="s">
        <v>335</v>
      </c>
      <c r="AA33" s="38" t="s">
        <v>1338</v>
      </c>
    </row>
    <row r="34" spans="1:27" ht="28.8" x14ac:dyDescent="0.3">
      <c r="A34" s="40" t="s">
        <v>1345</v>
      </c>
      <c r="B34" s="37" t="s">
        <v>1344</v>
      </c>
      <c r="C34" s="53"/>
      <c r="D34" s="37"/>
      <c r="E34" s="37"/>
      <c r="F34" s="37"/>
      <c r="G34" s="37"/>
      <c r="H34" s="37"/>
      <c r="I34" s="39">
        <v>2300</v>
      </c>
      <c r="J34" s="37" t="s">
        <v>1343</v>
      </c>
      <c r="K34" s="37" t="s">
        <v>242</v>
      </c>
      <c r="L34" s="37" t="s">
        <v>245</v>
      </c>
      <c r="M34" s="37" t="s">
        <v>245</v>
      </c>
      <c r="N34" s="41" t="s">
        <v>2676</v>
      </c>
      <c r="O34" s="37" t="s">
        <v>362</v>
      </c>
      <c r="P34" s="50"/>
      <c r="Q34" s="37" t="s">
        <v>362</v>
      </c>
      <c r="R34" s="37"/>
      <c r="S34" s="53"/>
      <c r="T34" s="37" t="s">
        <v>2245</v>
      </c>
      <c r="U34" s="37"/>
      <c r="V34" s="37"/>
      <c r="W34" s="37"/>
      <c r="X34" s="50"/>
      <c r="Y34" s="53"/>
      <c r="Z34" s="37" t="s">
        <v>293</v>
      </c>
      <c r="AA34" s="37" t="s">
        <v>1342</v>
      </c>
    </row>
    <row r="35" spans="1:27" ht="28.8" x14ac:dyDescent="0.3">
      <c r="A35" s="43" t="s">
        <v>1354</v>
      </c>
      <c r="B35" s="38" t="s">
        <v>1353</v>
      </c>
      <c r="C35" s="54"/>
      <c r="D35" s="38"/>
      <c r="E35" s="38"/>
      <c r="F35" s="38"/>
      <c r="G35" s="38"/>
      <c r="H35" s="38"/>
      <c r="I35" s="42">
        <v>400</v>
      </c>
      <c r="J35" s="38" t="s">
        <v>1351</v>
      </c>
      <c r="K35" s="38" t="s">
        <v>242</v>
      </c>
      <c r="L35" s="38" t="s">
        <v>245</v>
      </c>
      <c r="M35" s="38" t="s">
        <v>245</v>
      </c>
      <c r="N35" s="44" t="s">
        <v>2676</v>
      </c>
      <c r="O35" s="38" t="s">
        <v>1053</v>
      </c>
      <c r="P35" s="52"/>
      <c r="Q35" s="38" t="s">
        <v>1053</v>
      </c>
      <c r="R35" s="38"/>
      <c r="S35" s="54"/>
      <c r="T35" s="38" t="s">
        <v>2245</v>
      </c>
      <c r="U35" s="38"/>
      <c r="V35" s="38"/>
      <c r="W35" s="38"/>
      <c r="X35" s="52"/>
      <c r="Y35" s="54"/>
      <c r="Z35" s="38" t="s">
        <v>335</v>
      </c>
      <c r="AA35" s="38" t="s">
        <v>1350</v>
      </c>
    </row>
    <row r="36" spans="1:27" ht="28.8" x14ac:dyDescent="0.3">
      <c r="A36" s="40" t="s">
        <v>1375</v>
      </c>
      <c r="B36" s="37" t="s">
        <v>1374</v>
      </c>
      <c r="C36" s="53"/>
      <c r="D36" s="37"/>
      <c r="E36" s="37"/>
      <c r="F36" s="37"/>
      <c r="G36" s="37"/>
      <c r="H36" s="37"/>
      <c r="I36" s="39">
        <v>5700</v>
      </c>
      <c r="J36" s="37" t="s">
        <v>1372</v>
      </c>
      <c r="K36" s="37" t="s">
        <v>242</v>
      </c>
      <c r="L36" s="37" t="s">
        <v>245</v>
      </c>
      <c r="M36" s="37" t="s">
        <v>245</v>
      </c>
      <c r="N36" s="41" t="s">
        <v>2676</v>
      </c>
      <c r="O36" s="37" t="s">
        <v>306</v>
      </c>
      <c r="P36" s="50"/>
      <c r="Q36" s="37" t="s">
        <v>306</v>
      </c>
      <c r="R36" s="37"/>
      <c r="S36" s="53"/>
      <c r="T36" s="37" t="s">
        <v>2245</v>
      </c>
      <c r="U36" s="37"/>
      <c r="V36" s="37"/>
      <c r="W36" s="37"/>
      <c r="X36" s="50"/>
      <c r="Y36" s="53"/>
      <c r="Z36" s="37" t="s">
        <v>335</v>
      </c>
      <c r="AA36" s="37" t="s">
        <v>1371</v>
      </c>
    </row>
    <row r="37" spans="1:27" ht="28.8" x14ac:dyDescent="0.3">
      <c r="A37" s="43" t="s">
        <v>1380</v>
      </c>
      <c r="B37" s="38" t="s">
        <v>1379</v>
      </c>
      <c r="C37" s="54"/>
      <c r="D37" s="38"/>
      <c r="E37" s="38"/>
      <c r="F37" s="38"/>
      <c r="G37" s="38"/>
      <c r="H37" s="38"/>
      <c r="I37" s="42">
        <v>72</v>
      </c>
      <c r="J37" s="38" t="s">
        <v>1377</v>
      </c>
      <c r="K37" s="38" t="s">
        <v>242</v>
      </c>
      <c r="L37" s="38" t="s">
        <v>245</v>
      </c>
      <c r="M37" s="38" t="s">
        <v>245</v>
      </c>
      <c r="N37" s="44" t="s">
        <v>2676</v>
      </c>
      <c r="O37" s="38" t="s">
        <v>306</v>
      </c>
      <c r="P37" s="52"/>
      <c r="Q37" s="38" t="s">
        <v>306</v>
      </c>
      <c r="R37" s="38"/>
      <c r="S37" s="54"/>
      <c r="T37" s="38" t="s">
        <v>2245</v>
      </c>
      <c r="U37" s="38"/>
      <c r="V37" s="38"/>
      <c r="W37" s="38"/>
      <c r="X37" s="52"/>
      <c r="Y37" s="54"/>
      <c r="Z37" s="38" t="s">
        <v>335</v>
      </c>
      <c r="AA37" s="38" t="s">
        <v>1376</v>
      </c>
    </row>
    <row r="38" spans="1:27" ht="43.2" x14ac:dyDescent="0.3">
      <c r="A38" s="40" t="s">
        <v>1386</v>
      </c>
      <c r="B38" s="37" t="s">
        <v>1385</v>
      </c>
      <c r="C38" s="53"/>
      <c r="D38" s="37"/>
      <c r="E38" s="37"/>
      <c r="F38" s="37"/>
      <c r="G38" s="37"/>
      <c r="H38" s="37"/>
      <c r="I38" s="39">
        <v>3300</v>
      </c>
      <c r="J38" s="37" t="s">
        <v>1382</v>
      </c>
      <c r="K38" s="37" t="s">
        <v>242</v>
      </c>
      <c r="L38" s="37" t="s">
        <v>245</v>
      </c>
      <c r="M38" s="37" t="s">
        <v>245</v>
      </c>
      <c r="N38" s="41" t="s">
        <v>2676</v>
      </c>
      <c r="O38" s="37" t="s">
        <v>306</v>
      </c>
      <c r="P38" s="50"/>
      <c r="Q38" s="37" t="s">
        <v>306</v>
      </c>
      <c r="R38" s="37"/>
      <c r="S38" s="53"/>
      <c r="T38" s="37" t="s">
        <v>2245</v>
      </c>
      <c r="U38" s="37"/>
      <c r="V38" s="37"/>
      <c r="W38" s="37"/>
      <c r="X38" s="50"/>
      <c r="Y38" s="53"/>
      <c r="Z38" s="37" t="s">
        <v>335</v>
      </c>
      <c r="AA38" s="37" t="s">
        <v>1381</v>
      </c>
    </row>
    <row r="39" spans="1:27" ht="28.8" x14ac:dyDescent="0.3">
      <c r="A39" s="43" t="s">
        <v>1392</v>
      </c>
      <c r="B39" s="38" t="s">
        <v>1391</v>
      </c>
      <c r="C39" s="54">
        <v>300</v>
      </c>
      <c r="D39" s="38"/>
      <c r="E39" s="38"/>
      <c r="F39" s="38"/>
      <c r="G39" s="38"/>
      <c r="H39" s="38"/>
      <c r="I39" s="42">
        <v>1400</v>
      </c>
      <c r="J39" s="38" t="s">
        <v>1388</v>
      </c>
      <c r="K39" s="38" t="s">
        <v>242</v>
      </c>
      <c r="L39" s="38" t="s">
        <v>245</v>
      </c>
      <c r="M39" s="38" t="s">
        <v>245</v>
      </c>
      <c r="N39" s="44" t="s">
        <v>2676</v>
      </c>
      <c r="O39" s="38" t="s">
        <v>306</v>
      </c>
      <c r="P39" s="52"/>
      <c r="Q39" s="38" t="s">
        <v>306</v>
      </c>
      <c r="R39" s="38"/>
      <c r="S39" s="54"/>
      <c r="T39" s="38" t="s">
        <v>2245</v>
      </c>
      <c r="U39" s="38"/>
      <c r="V39" s="38"/>
      <c r="W39" s="38"/>
      <c r="X39" s="52"/>
      <c r="Y39" s="54"/>
      <c r="Z39" s="38" t="s">
        <v>293</v>
      </c>
      <c r="AA39" s="38" t="s">
        <v>1387</v>
      </c>
    </row>
    <row r="40" spans="1:27" ht="28.8" x14ac:dyDescent="0.3">
      <c r="A40" s="40" t="s">
        <v>1398</v>
      </c>
      <c r="B40" s="37" t="s">
        <v>1397</v>
      </c>
      <c r="C40" s="53">
        <v>3000</v>
      </c>
      <c r="D40" s="37"/>
      <c r="E40" s="37"/>
      <c r="F40" s="37"/>
      <c r="G40" s="37"/>
      <c r="H40" s="37"/>
      <c r="I40" s="39">
        <v>70</v>
      </c>
      <c r="J40" s="37" t="s">
        <v>1395</v>
      </c>
      <c r="K40" s="37" t="s">
        <v>242</v>
      </c>
      <c r="L40" s="37" t="s">
        <v>245</v>
      </c>
      <c r="M40" s="37" t="s">
        <v>245</v>
      </c>
      <c r="N40" s="41" t="s">
        <v>2676</v>
      </c>
      <c r="O40" s="37" t="s">
        <v>1103</v>
      </c>
      <c r="P40" s="50"/>
      <c r="Q40" s="37" t="s">
        <v>1103</v>
      </c>
      <c r="R40" s="37"/>
      <c r="S40" s="53"/>
      <c r="T40" s="37" t="s">
        <v>2245</v>
      </c>
      <c r="U40" s="37"/>
      <c r="V40" s="37"/>
      <c r="W40" s="37"/>
      <c r="X40" s="50"/>
      <c r="Y40" s="53"/>
      <c r="Z40" s="37" t="s">
        <v>335</v>
      </c>
      <c r="AA40" s="37" t="s">
        <v>1394</v>
      </c>
    </row>
    <row r="41" spans="1:27" ht="28.8" x14ac:dyDescent="0.3">
      <c r="A41" s="43" t="s">
        <v>1403</v>
      </c>
      <c r="B41" s="38" t="s">
        <v>1402</v>
      </c>
      <c r="C41" s="54">
        <v>6000</v>
      </c>
      <c r="D41" s="38"/>
      <c r="E41" s="38"/>
      <c r="F41" s="38"/>
      <c r="G41" s="38"/>
      <c r="H41" s="38"/>
      <c r="I41" s="42">
        <v>1680</v>
      </c>
      <c r="J41" s="38" t="s">
        <v>1400</v>
      </c>
      <c r="K41" s="38" t="s">
        <v>242</v>
      </c>
      <c r="L41" s="38" t="s">
        <v>245</v>
      </c>
      <c r="M41" s="38" t="s">
        <v>245</v>
      </c>
      <c r="N41" s="44" t="s">
        <v>2676</v>
      </c>
      <c r="O41" s="38" t="s">
        <v>306</v>
      </c>
      <c r="P41" s="52"/>
      <c r="Q41" s="38" t="s">
        <v>306</v>
      </c>
      <c r="R41" s="38"/>
      <c r="S41" s="54"/>
      <c r="T41" s="38" t="s">
        <v>2245</v>
      </c>
      <c r="U41" s="38"/>
      <c r="V41" s="38"/>
      <c r="W41" s="38"/>
      <c r="X41" s="52"/>
      <c r="Y41" s="54"/>
      <c r="Z41" s="38" t="s">
        <v>335</v>
      </c>
      <c r="AA41" s="38" t="s">
        <v>1399</v>
      </c>
    </row>
    <row r="42" spans="1:27" ht="28.8" x14ac:dyDescent="0.3">
      <c r="A42" s="40" t="s">
        <v>1408</v>
      </c>
      <c r="B42" s="37" t="s">
        <v>1407</v>
      </c>
      <c r="C42" s="53">
        <v>6000</v>
      </c>
      <c r="D42" s="37"/>
      <c r="E42" s="37"/>
      <c r="F42" s="37"/>
      <c r="G42" s="37"/>
      <c r="H42" s="37"/>
      <c r="I42" s="39">
        <v>1025</v>
      </c>
      <c r="J42" s="37" t="s">
        <v>1405</v>
      </c>
      <c r="K42" s="37" t="s">
        <v>242</v>
      </c>
      <c r="L42" s="37" t="s">
        <v>245</v>
      </c>
      <c r="M42" s="37" t="s">
        <v>245</v>
      </c>
      <c r="N42" s="41" t="s">
        <v>2676</v>
      </c>
      <c r="O42" s="37" t="s">
        <v>306</v>
      </c>
      <c r="P42" s="50"/>
      <c r="Q42" s="37" t="s">
        <v>306</v>
      </c>
      <c r="R42" s="37"/>
      <c r="S42" s="53"/>
      <c r="T42" s="37" t="s">
        <v>2245</v>
      </c>
      <c r="U42" s="37"/>
      <c r="V42" s="37"/>
      <c r="W42" s="37"/>
      <c r="X42" s="50"/>
      <c r="Y42" s="53"/>
      <c r="Z42" s="37" t="s">
        <v>335</v>
      </c>
      <c r="AA42" s="37" t="s">
        <v>1404</v>
      </c>
    </row>
    <row r="43" spans="1:27" ht="28.8" x14ac:dyDescent="0.3">
      <c r="A43" s="43" t="s">
        <v>1413</v>
      </c>
      <c r="B43" s="38" t="s">
        <v>1412</v>
      </c>
      <c r="C43" s="54">
        <v>3000</v>
      </c>
      <c r="D43" s="38"/>
      <c r="E43" s="38"/>
      <c r="F43" s="38"/>
      <c r="G43" s="38"/>
      <c r="H43" s="38"/>
      <c r="I43" s="42">
        <v>410</v>
      </c>
      <c r="J43" s="38" t="s">
        <v>1410</v>
      </c>
      <c r="K43" s="38" t="s">
        <v>242</v>
      </c>
      <c r="L43" s="38" t="s">
        <v>245</v>
      </c>
      <c r="M43" s="38" t="s">
        <v>245</v>
      </c>
      <c r="N43" s="44" t="s">
        <v>2676</v>
      </c>
      <c r="O43" s="38" t="s">
        <v>306</v>
      </c>
      <c r="P43" s="52"/>
      <c r="Q43" s="38" t="s">
        <v>306</v>
      </c>
      <c r="R43" s="38"/>
      <c r="S43" s="54"/>
      <c r="T43" s="38" t="s">
        <v>2245</v>
      </c>
      <c r="U43" s="38"/>
      <c r="V43" s="38"/>
      <c r="W43" s="38"/>
      <c r="X43" s="52"/>
      <c r="Y43" s="54"/>
      <c r="Z43" s="38" t="s">
        <v>335</v>
      </c>
      <c r="AA43" s="38" t="s">
        <v>1409</v>
      </c>
    </row>
    <row r="44" spans="1:27" ht="28.8" x14ac:dyDescent="0.3">
      <c r="A44" s="40" t="s">
        <v>1418</v>
      </c>
      <c r="B44" s="37" t="s">
        <v>1417</v>
      </c>
      <c r="C44" s="53">
        <v>3000</v>
      </c>
      <c r="D44" s="37"/>
      <c r="E44" s="37"/>
      <c r="F44" s="37"/>
      <c r="G44" s="37"/>
      <c r="H44" s="37"/>
      <c r="I44" s="39">
        <v>560</v>
      </c>
      <c r="J44" s="37" t="s">
        <v>1415</v>
      </c>
      <c r="K44" s="37" t="s">
        <v>242</v>
      </c>
      <c r="L44" s="37" t="s">
        <v>245</v>
      </c>
      <c r="M44" s="37" t="s">
        <v>245</v>
      </c>
      <c r="N44" s="41" t="s">
        <v>2676</v>
      </c>
      <c r="O44" s="37" t="s">
        <v>306</v>
      </c>
      <c r="P44" s="50"/>
      <c r="Q44" s="37" t="s">
        <v>306</v>
      </c>
      <c r="R44" s="37"/>
      <c r="S44" s="53"/>
      <c r="T44" s="37" t="s">
        <v>2245</v>
      </c>
      <c r="U44" s="37"/>
      <c r="V44" s="37"/>
      <c r="W44" s="37"/>
      <c r="X44" s="50"/>
      <c r="Y44" s="53"/>
      <c r="Z44" s="37" t="s">
        <v>335</v>
      </c>
      <c r="AA44" s="37" t="s">
        <v>1414</v>
      </c>
    </row>
    <row r="45" spans="1:27" ht="28.8" x14ac:dyDescent="0.3">
      <c r="A45" s="43" t="s">
        <v>1423</v>
      </c>
      <c r="B45" s="38" t="s">
        <v>1422</v>
      </c>
      <c r="C45" s="54">
        <v>6000</v>
      </c>
      <c r="D45" s="38"/>
      <c r="E45" s="38"/>
      <c r="F45" s="38"/>
      <c r="G45" s="38"/>
      <c r="H45" s="38"/>
      <c r="I45" s="42">
        <v>1465</v>
      </c>
      <c r="J45" s="38" t="s">
        <v>1420</v>
      </c>
      <c r="K45" s="38" t="s">
        <v>242</v>
      </c>
      <c r="L45" s="38" t="s">
        <v>245</v>
      </c>
      <c r="M45" s="38" t="s">
        <v>245</v>
      </c>
      <c r="N45" s="44" t="s">
        <v>2676</v>
      </c>
      <c r="O45" s="38" t="s">
        <v>306</v>
      </c>
      <c r="P45" s="52"/>
      <c r="Q45" s="38" t="s">
        <v>306</v>
      </c>
      <c r="R45" s="38"/>
      <c r="S45" s="54"/>
      <c r="T45" s="38" t="s">
        <v>2245</v>
      </c>
      <c r="U45" s="38"/>
      <c r="V45" s="38"/>
      <c r="W45" s="38"/>
      <c r="X45" s="52"/>
      <c r="Y45" s="54"/>
      <c r="Z45" s="38" t="s">
        <v>335</v>
      </c>
      <c r="AA45" s="38" t="s">
        <v>1419</v>
      </c>
    </row>
    <row r="46" spans="1:27" ht="28.8" x14ac:dyDescent="0.3">
      <c r="A46" s="40" t="s">
        <v>1428</v>
      </c>
      <c r="B46" s="37" t="s">
        <v>1427</v>
      </c>
      <c r="C46" s="53">
        <v>6000</v>
      </c>
      <c r="D46" s="37"/>
      <c r="E46" s="37"/>
      <c r="F46" s="37"/>
      <c r="G46" s="37"/>
      <c r="H46" s="37"/>
      <c r="I46" s="39">
        <v>570</v>
      </c>
      <c r="J46" s="37" t="s">
        <v>1425</v>
      </c>
      <c r="K46" s="37" t="s">
        <v>242</v>
      </c>
      <c r="L46" s="37" t="s">
        <v>245</v>
      </c>
      <c r="M46" s="37" t="s">
        <v>245</v>
      </c>
      <c r="N46" s="41" t="s">
        <v>2676</v>
      </c>
      <c r="O46" s="37" t="s">
        <v>306</v>
      </c>
      <c r="P46" s="50"/>
      <c r="Q46" s="37" t="s">
        <v>306</v>
      </c>
      <c r="R46" s="37"/>
      <c r="S46" s="53"/>
      <c r="T46" s="37" t="s">
        <v>2245</v>
      </c>
      <c r="U46" s="37"/>
      <c r="V46" s="37"/>
      <c r="W46" s="37"/>
      <c r="X46" s="50"/>
      <c r="Y46" s="53"/>
      <c r="Z46" s="37" t="s">
        <v>335</v>
      </c>
      <c r="AA46" s="37" t="s">
        <v>1424</v>
      </c>
    </row>
    <row r="47" spans="1:27" ht="28.8" x14ac:dyDescent="0.3">
      <c r="A47" s="43" t="s">
        <v>1443</v>
      </c>
      <c r="B47" s="38" t="s">
        <v>1442</v>
      </c>
      <c r="C47" s="54"/>
      <c r="D47" s="38"/>
      <c r="E47" s="38"/>
      <c r="F47" s="38"/>
      <c r="G47" s="38"/>
      <c r="H47" s="38"/>
      <c r="I47" s="42">
        <v>2300</v>
      </c>
      <c r="J47" s="38" t="s">
        <v>1440</v>
      </c>
      <c r="K47" s="38" t="s">
        <v>242</v>
      </c>
      <c r="L47" s="38" t="s">
        <v>245</v>
      </c>
      <c r="M47" s="38" t="s">
        <v>245</v>
      </c>
      <c r="N47" s="44" t="s">
        <v>2676</v>
      </c>
      <c r="O47" s="38" t="s">
        <v>1441</v>
      </c>
      <c r="P47" s="52"/>
      <c r="Q47" s="38" t="s">
        <v>1441</v>
      </c>
      <c r="R47" s="38"/>
      <c r="S47" s="54"/>
      <c r="T47" s="38" t="s">
        <v>2245</v>
      </c>
      <c r="U47" s="38"/>
      <c r="V47" s="38"/>
      <c r="W47" s="38"/>
      <c r="X47" s="52"/>
      <c r="Y47" s="54"/>
      <c r="Z47" s="38" t="s">
        <v>335</v>
      </c>
      <c r="AA47" s="38" t="s">
        <v>1439</v>
      </c>
    </row>
    <row r="48" spans="1:27" ht="28.8" x14ac:dyDescent="0.3">
      <c r="A48" s="40" t="s">
        <v>1459</v>
      </c>
      <c r="B48" s="37" t="s">
        <v>1458</v>
      </c>
      <c r="C48" s="53"/>
      <c r="D48" s="37"/>
      <c r="E48" s="37"/>
      <c r="F48" s="37"/>
      <c r="G48" s="37"/>
      <c r="H48" s="37"/>
      <c r="I48" s="39">
        <v>1420</v>
      </c>
      <c r="J48" s="37" t="s">
        <v>1456</v>
      </c>
      <c r="K48" s="37" t="s">
        <v>242</v>
      </c>
      <c r="L48" s="37" t="s">
        <v>245</v>
      </c>
      <c r="M48" s="37" t="s">
        <v>245</v>
      </c>
      <c r="N48" s="41" t="s">
        <v>2676</v>
      </c>
      <c r="O48" s="37" t="s">
        <v>306</v>
      </c>
      <c r="P48" s="50"/>
      <c r="Q48" s="37" t="s">
        <v>306</v>
      </c>
      <c r="R48" s="37"/>
      <c r="S48" s="53"/>
      <c r="T48" s="37" t="s">
        <v>2245</v>
      </c>
      <c r="U48" s="37"/>
      <c r="V48" s="37"/>
      <c r="W48" s="37"/>
      <c r="X48" s="50"/>
      <c r="Y48" s="53"/>
      <c r="Z48" s="37" t="s">
        <v>335</v>
      </c>
      <c r="AA48" s="37" t="s">
        <v>1455</v>
      </c>
    </row>
    <row r="49" spans="1:27" ht="28.8" x14ac:dyDescent="0.3">
      <c r="A49" s="43" t="s">
        <v>1471</v>
      </c>
      <c r="B49" s="38" t="s">
        <v>1470</v>
      </c>
      <c r="C49" s="54"/>
      <c r="D49" s="38"/>
      <c r="E49" s="38"/>
      <c r="F49" s="38"/>
      <c r="G49" s="38"/>
      <c r="H49" s="38"/>
      <c r="I49" s="42">
        <v>170</v>
      </c>
      <c r="J49" s="38" t="s">
        <v>1467</v>
      </c>
      <c r="K49" s="38" t="s">
        <v>242</v>
      </c>
      <c r="L49" s="38" t="s">
        <v>245</v>
      </c>
      <c r="M49" s="38" t="s">
        <v>245</v>
      </c>
      <c r="N49" s="44" t="s">
        <v>2676</v>
      </c>
      <c r="O49" s="38" t="s">
        <v>306</v>
      </c>
      <c r="P49" s="52"/>
      <c r="Q49" s="38" t="s">
        <v>306</v>
      </c>
      <c r="R49" s="38"/>
      <c r="S49" s="54"/>
      <c r="T49" s="38" t="s">
        <v>2245</v>
      </c>
      <c r="U49" s="38"/>
      <c r="V49" s="38"/>
      <c r="W49" s="38"/>
      <c r="X49" s="52"/>
      <c r="Y49" s="54"/>
      <c r="Z49" s="38" t="s">
        <v>335</v>
      </c>
      <c r="AA49" s="38" t="s">
        <v>1466</v>
      </c>
    </row>
    <row r="50" spans="1:27" ht="28.8" x14ac:dyDescent="0.3">
      <c r="A50" s="40" t="s">
        <v>1476</v>
      </c>
      <c r="B50" s="37" t="s">
        <v>1475</v>
      </c>
      <c r="C50" s="53"/>
      <c r="D50" s="37"/>
      <c r="E50" s="37"/>
      <c r="F50" s="37"/>
      <c r="G50" s="37"/>
      <c r="H50" s="37"/>
      <c r="I50" s="39">
        <v>190</v>
      </c>
      <c r="J50" s="37" t="s">
        <v>1473</v>
      </c>
      <c r="K50" s="37" t="s">
        <v>242</v>
      </c>
      <c r="L50" s="37" t="s">
        <v>245</v>
      </c>
      <c r="M50" s="37" t="s">
        <v>245</v>
      </c>
      <c r="N50" s="41" t="s">
        <v>2676</v>
      </c>
      <c r="O50" s="37" t="s">
        <v>306</v>
      </c>
      <c r="P50" s="50"/>
      <c r="Q50" s="37" t="s">
        <v>306</v>
      </c>
      <c r="R50" s="37"/>
      <c r="S50" s="53"/>
      <c r="T50" s="37" t="s">
        <v>2245</v>
      </c>
      <c r="U50" s="37"/>
      <c r="V50" s="37"/>
      <c r="W50" s="37"/>
      <c r="X50" s="50"/>
      <c r="Y50" s="53"/>
      <c r="Z50" s="37" t="s">
        <v>335</v>
      </c>
      <c r="AA50" s="37" t="s">
        <v>1472</v>
      </c>
    </row>
    <row r="51" spans="1:27" ht="28.8" x14ac:dyDescent="0.3">
      <c r="A51" s="43" t="s">
        <v>1481</v>
      </c>
      <c r="B51" s="38" t="s">
        <v>1480</v>
      </c>
      <c r="C51" s="54"/>
      <c r="D51" s="38"/>
      <c r="E51" s="38"/>
      <c r="F51" s="38"/>
      <c r="G51" s="38"/>
      <c r="H51" s="38"/>
      <c r="I51" s="42">
        <v>340</v>
      </c>
      <c r="J51" s="38" t="s">
        <v>1478</v>
      </c>
      <c r="K51" s="38" t="s">
        <v>242</v>
      </c>
      <c r="L51" s="38" t="s">
        <v>245</v>
      </c>
      <c r="M51" s="38" t="s">
        <v>245</v>
      </c>
      <c r="N51" s="44" t="s">
        <v>2676</v>
      </c>
      <c r="O51" s="38" t="s">
        <v>306</v>
      </c>
      <c r="P51" s="52"/>
      <c r="Q51" s="38" t="s">
        <v>306</v>
      </c>
      <c r="R51" s="38"/>
      <c r="S51" s="54"/>
      <c r="T51" s="38" t="s">
        <v>2245</v>
      </c>
      <c r="U51" s="38"/>
      <c r="V51" s="38"/>
      <c r="W51" s="38"/>
      <c r="X51" s="52"/>
      <c r="Y51" s="54"/>
      <c r="Z51" s="38" t="s">
        <v>335</v>
      </c>
      <c r="AA51" s="38" t="s">
        <v>1477</v>
      </c>
    </row>
    <row r="52" spans="1:27" ht="28.8" x14ac:dyDescent="0.3">
      <c r="A52" s="40" t="s">
        <v>1487</v>
      </c>
      <c r="B52" s="37" t="s">
        <v>1486</v>
      </c>
      <c r="C52" s="53"/>
      <c r="D52" s="37"/>
      <c r="E52" s="37"/>
      <c r="F52" s="37"/>
      <c r="G52" s="37"/>
      <c r="H52" s="37"/>
      <c r="I52" s="39">
        <v>1520</v>
      </c>
      <c r="J52" s="37" t="s">
        <v>1483</v>
      </c>
      <c r="K52" s="37" t="s">
        <v>242</v>
      </c>
      <c r="L52" s="37" t="s">
        <v>245</v>
      </c>
      <c r="M52" s="37" t="s">
        <v>245</v>
      </c>
      <c r="N52" s="41" t="s">
        <v>2676</v>
      </c>
      <c r="O52" s="37" t="s">
        <v>306</v>
      </c>
      <c r="P52" s="50"/>
      <c r="Q52" s="37" t="s">
        <v>306</v>
      </c>
      <c r="R52" s="37"/>
      <c r="S52" s="53"/>
      <c r="T52" s="37" t="s">
        <v>2245</v>
      </c>
      <c r="U52" s="37"/>
      <c r="V52" s="37"/>
      <c r="W52" s="37"/>
      <c r="X52" s="50"/>
      <c r="Y52" s="53"/>
      <c r="Z52" s="37" t="s">
        <v>335</v>
      </c>
      <c r="AA52" s="37" t="s">
        <v>1482</v>
      </c>
    </row>
    <row r="53" spans="1:27" ht="28.8" x14ac:dyDescent="0.3">
      <c r="A53" s="43" t="s">
        <v>1492</v>
      </c>
      <c r="B53" s="38" t="s">
        <v>1491</v>
      </c>
      <c r="C53" s="54"/>
      <c r="D53" s="38"/>
      <c r="E53" s="38"/>
      <c r="F53" s="38"/>
      <c r="G53" s="38"/>
      <c r="H53" s="38"/>
      <c r="I53" s="42">
        <v>2070</v>
      </c>
      <c r="J53" s="38" t="s">
        <v>1489</v>
      </c>
      <c r="K53" s="38" t="s">
        <v>242</v>
      </c>
      <c r="L53" s="38" t="s">
        <v>245</v>
      </c>
      <c r="M53" s="38" t="s">
        <v>245</v>
      </c>
      <c r="N53" s="44" t="s">
        <v>2676</v>
      </c>
      <c r="O53" s="38" t="s">
        <v>306</v>
      </c>
      <c r="P53" s="52"/>
      <c r="Q53" s="38" t="s">
        <v>306</v>
      </c>
      <c r="R53" s="38"/>
      <c r="S53" s="54"/>
      <c r="T53" s="38" t="s">
        <v>2245</v>
      </c>
      <c r="U53" s="38"/>
      <c r="V53" s="38"/>
      <c r="W53" s="38"/>
      <c r="X53" s="52"/>
      <c r="Y53" s="54"/>
      <c r="Z53" s="38" t="s">
        <v>335</v>
      </c>
      <c r="AA53" s="38" t="s">
        <v>1488</v>
      </c>
    </row>
    <row r="54" spans="1:27" ht="28.8" x14ac:dyDescent="0.3">
      <c r="A54" s="40" t="s">
        <v>1497</v>
      </c>
      <c r="B54" s="37" t="s">
        <v>1496</v>
      </c>
      <c r="C54" s="53"/>
      <c r="D54" s="37"/>
      <c r="E54" s="37"/>
      <c r="F54" s="37"/>
      <c r="G54" s="37"/>
      <c r="H54" s="37"/>
      <c r="I54" s="39">
        <v>5400</v>
      </c>
      <c r="J54" s="37" t="s">
        <v>1494</v>
      </c>
      <c r="K54" s="37" t="s">
        <v>242</v>
      </c>
      <c r="L54" s="37" t="s">
        <v>245</v>
      </c>
      <c r="M54" s="37" t="s">
        <v>245</v>
      </c>
      <c r="N54" s="41" t="s">
        <v>2676</v>
      </c>
      <c r="O54" s="37" t="s">
        <v>306</v>
      </c>
      <c r="P54" s="50"/>
      <c r="Q54" s="37" t="s">
        <v>306</v>
      </c>
      <c r="R54" s="37"/>
      <c r="S54" s="53"/>
      <c r="T54" s="37" t="s">
        <v>2245</v>
      </c>
      <c r="U54" s="37"/>
      <c r="V54" s="37"/>
      <c r="W54" s="37"/>
      <c r="X54" s="50"/>
      <c r="Y54" s="53"/>
      <c r="Z54" s="37" t="s">
        <v>335</v>
      </c>
      <c r="AA54" s="37" t="s">
        <v>1493</v>
      </c>
    </row>
    <row r="55" spans="1:27" ht="28.8" x14ac:dyDescent="0.3">
      <c r="A55" s="43" t="s">
        <v>1503</v>
      </c>
      <c r="B55" s="38" t="s">
        <v>1502</v>
      </c>
      <c r="C55" s="54"/>
      <c r="D55" s="38"/>
      <c r="E55" s="38"/>
      <c r="F55" s="38"/>
      <c r="G55" s="38"/>
      <c r="H55" s="38"/>
      <c r="I55" s="42">
        <v>5566</v>
      </c>
      <c r="J55" s="38" t="s">
        <v>1499</v>
      </c>
      <c r="K55" s="38" t="s">
        <v>242</v>
      </c>
      <c r="L55" s="38" t="s">
        <v>245</v>
      </c>
      <c r="M55" s="38" t="s">
        <v>245</v>
      </c>
      <c r="N55" s="44" t="s">
        <v>2676</v>
      </c>
      <c r="O55" s="38" t="s">
        <v>306</v>
      </c>
      <c r="P55" s="52"/>
      <c r="Q55" s="38" t="s">
        <v>306</v>
      </c>
      <c r="R55" s="38"/>
      <c r="S55" s="54"/>
      <c r="T55" s="38" t="s">
        <v>2245</v>
      </c>
      <c r="U55" s="38"/>
      <c r="V55" s="38"/>
      <c r="W55" s="38"/>
      <c r="X55" s="52"/>
      <c r="Y55" s="54"/>
      <c r="Z55" s="38" t="s">
        <v>335</v>
      </c>
      <c r="AA55" s="38" t="s">
        <v>1498</v>
      </c>
    </row>
    <row r="56" spans="1:27" ht="28.8" x14ac:dyDescent="0.3">
      <c r="A56" s="40" t="s">
        <v>1508</v>
      </c>
      <c r="B56" s="37" t="s">
        <v>1507</v>
      </c>
      <c r="C56" s="53"/>
      <c r="D56" s="37"/>
      <c r="E56" s="37"/>
      <c r="F56" s="37"/>
      <c r="G56" s="37"/>
      <c r="H56" s="37"/>
      <c r="I56" s="39">
        <v>810</v>
      </c>
      <c r="J56" s="37" t="s">
        <v>1505</v>
      </c>
      <c r="K56" s="37" t="s">
        <v>242</v>
      </c>
      <c r="L56" s="37" t="s">
        <v>245</v>
      </c>
      <c r="M56" s="37" t="s">
        <v>245</v>
      </c>
      <c r="N56" s="41" t="s">
        <v>2676</v>
      </c>
      <c r="O56" s="37" t="s">
        <v>306</v>
      </c>
      <c r="P56" s="50"/>
      <c r="Q56" s="37" t="s">
        <v>306</v>
      </c>
      <c r="R56" s="37"/>
      <c r="S56" s="53"/>
      <c r="T56" s="37" t="s">
        <v>2245</v>
      </c>
      <c r="U56" s="37"/>
      <c r="V56" s="37"/>
      <c r="W56" s="37"/>
      <c r="X56" s="50"/>
      <c r="Y56" s="53"/>
      <c r="Z56" s="37" t="s">
        <v>335</v>
      </c>
      <c r="AA56" s="37" t="s">
        <v>1504</v>
      </c>
    </row>
    <row r="57" spans="1:27" ht="28.8" x14ac:dyDescent="0.3">
      <c r="A57" s="43" t="s">
        <v>1513</v>
      </c>
      <c r="B57" s="38" t="s">
        <v>1512</v>
      </c>
      <c r="C57" s="54"/>
      <c r="D57" s="38"/>
      <c r="E57" s="38"/>
      <c r="F57" s="38"/>
      <c r="G57" s="38"/>
      <c r="H57" s="38"/>
      <c r="I57" s="42">
        <v>8165</v>
      </c>
      <c r="J57" s="38" t="s">
        <v>1510</v>
      </c>
      <c r="K57" s="38" t="s">
        <v>242</v>
      </c>
      <c r="L57" s="38" t="s">
        <v>245</v>
      </c>
      <c r="M57" s="38" t="s">
        <v>245</v>
      </c>
      <c r="N57" s="44" t="s">
        <v>2676</v>
      </c>
      <c r="O57" s="38" t="s">
        <v>306</v>
      </c>
      <c r="P57" s="52"/>
      <c r="Q57" s="38" t="s">
        <v>306</v>
      </c>
      <c r="R57" s="38"/>
      <c r="S57" s="54"/>
      <c r="T57" s="38" t="s">
        <v>2245</v>
      </c>
      <c r="U57" s="38"/>
      <c r="V57" s="38"/>
      <c r="W57" s="38"/>
      <c r="X57" s="52"/>
      <c r="Y57" s="54"/>
      <c r="Z57" s="38" t="s">
        <v>335</v>
      </c>
      <c r="AA57" s="38" t="s">
        <v>1509</v>
      </c>
    </row>
    <row r="58" spans="1:27" ht="43.2" x14ac:dyDescent="0.3">
      <c r="A58" s="40" t="s">
        <v>1528</v>
      </c>
      <c r="B58" s="37" t="s">
        <v>1527</v>
      </c>
      <c r="C58" s="53"/>
      <c r="D58" s="37"/>
      <c r="E58" s="37"/>
      <c r="F58" s="37"/>
      <c r="G58" s="37"/>
      <c r="H58" s="37"/>
      <c r="I58" s="39">
        <v>1000</v>
      </c>
      <c r="J58" s="37" t="s">
        <v>1525</v>
      </c>
      <c r="K58" s="37" t="s">
        <v>242</v>
      </c>
      <c r="L58" s="37" t="s">
        <v>245</v>
      </c>
      <c r="M58" s="37" t="s">
        <v>245</v>
      </c>
      <c r="N58" s="41" t="s">
        <v>2676</v>
      </c>
      <c r="O58" s="37" t="s">
        <v>388</v>
      </c>
      <c r="P58" s="50"/>
      <c r="Q58" s="37" t="s">
        <v>388</v>
      </c>
      <c r="R58" s="37"/>
      <c r="S58" s="53"/>
      <c r="T58" s="37" t="s">
        <v>2245</v>
      </c>
      <c r="U58" s="37"/>
      <c r="V58" s="37"/>
      <c r="W58" s="37"/>
      <c r="X58" s="50"/>
      <c r="Y58" s="53"/>
      <c r="Z58" s="37" t="s">
        <v>335</v>
      </c>
      <c r="AA58" s="37" t="s">
        <v>1524</v>
      </c>
    </row>
    <row r="59" spans="1:27" ht="28.8" x14ac:dyDescent="0.3">
      <c r="A59" s="43" t="s">
        <v>1538</v>
      </c>
      <c r="B59" s="38" t="s">
        <v>1537</v>
      </c>
      <c r="C59" s="54"/>
      <c r="D59" s="38"/>
      <c r="E59" s="38"/>
      <c r="F59" s="38"/>
      <c r="G59" s="38"/>
      <c r="H59" s="38"/>
      <c r="I59" s="42">
        <v>1300</v>
      </c>
      <c r="J59" s="38" t="s">
        <v>1535</v>
      </c>
      <c r="K59" s="38" t="s">
        <v>242</v>
      </c>
      <c r="L59" s="38" t="s">
        <v>245</v>
      </c>
      <c r="M59" s="38" t="s">
        <v>245</v>
      </c>
      <c r="N59" s="44" t="s">
        <v>2676</v>
      </c>
      <c r="O59" s="38" t="s">
        <v>1053</v>
      </c>
      <c r="P59" s="52"/>
      <c r="Q59" s="38" t="s">
        <v>1053</v>
      </c>
      <c r="R59" s="38"/>
      <c r="S59" s="54"/>
      <c r="T59" s="38" t="s">
        <v>2245</v>
      </c>
      <c r="U59" s="38"/>
      <c r="V59" s="38"/>
      <c r="W59" s="38"/>
      <c r="X59" s="52"/>
      <c r="Y59" s="54"/>
      <c r="Z59" s="38" t="s">
        <v>335</v>
      </c>
      <c r="AA59" s="38" t="s">
        <v>1534</v>
      </c>
    </row>
    <row r="60" spans="1:27" ht="28.8" x14ac:dyDescent="0.3">
      <c r="A60" s="40" t="s">
        <v>1543</v>
      </c>
      <c r="B60" s="37" t="s">
        <v>1542</v>
      </c>
      <c r="C60" s="53"/>
      <c r="D60" s="37"/>
      <c r="E60" s="37"/>
      <c r="F60" s="37"/>
      <c r="G60" s="37"/>
      <c r="H60" s="37"/>
      <c r="I60" s="39">
        <v>4115</v>
      </c>
      <c r="J60" s="37" t="s">
        <v>1540</v>
      </c>
      <c r="K60" s="37" t="s">
        <v>242</v>
      </c>
      <c r="L60" s="37" t="s">
        <v>245</v>
      </c>
      <c r="M60" s="37" t="s">
        <v>245</v>
      </c>
      <c r="N60" s="41" t="s">
        <v>2676</v>
      </c>
      <c r="O60" s="37" t="s">
        <v>306</v>
      </c>
      <c r="P60" s="50"/>
      <c r="Q60" s="37" t="s">
        <v>306</v>
      </c>
      <c r="R60" s="37"/>
      <c r="S60" s="53"/>
      <c r="T60" s="37" t="s">
        <v>2245</v>
      </c>
      <c r="U60" s="37"/>
      <c r="V60" s="37"/>
      <c r="W60" s="37"/>
      <c r="X60" s="50"/>
      <c r="Y60" s="53"/>
      <c r="Z60" s="37" t="s">
        <v>335</v>
      </c>
      <c r="AA60" s="37" t="s">
        <v>1539</v>
      </c>
    </row>
    <row r="61" spans="1:27" ht="28.8" x14ac:dyDescent="0.3">
      <c r="A61" s="43" t="s">
        <v>1548</v>
      </c>
      <c r="B61" s="38" t="s">
        <v>1547</v>
      </c>
      <c r="C61" s="54"/>
      <c r="D61" s="38"/>
      <c r="E61" s="38"/>
      <c r="F61" s="38"/>
      <c r="G61" s="38"/>
      <c r="H61" s="38"/>
      <c r="I61" s="42">
        <v>10000</v>
      </c>
      <c r="J61" s="38" t="s">
        <v>1545</v>
      </c>
      <c r="K61" s="38" t="s">
        <v>242</v>
      </c>
      <c r="L61" s="38" t="s">
        <v>245</v>
      </c>
      <c r="M61" s="38" t="s">
        <v>245</v>
      </c>
      <c r="N61" s="44" t="s">
        <v>2676</v>
      </c>
      <c r="O61" s="38" t="s">
        <v>1103</v>
      </c>
      <c r="P61" s="52"/>
      <c r="Q61" s="38" t="s">
        <v>1103</v>
      </c>
      <c r="R61" s="38"/>
      <c r="S61" s="54"/>
      <c r="T61" s="38" t="s">
        <v>2245</v>
      </c>
      <c r="U61" s="38"/>
      <c r="V61" s="38"/>
      <c r="W61" s="38"/>
      <c r="X61" s="52"/>
      <c r="Y61" s="54"/>
      <c r="Z61" s="38" t="s">
        <v>335</v>
      </c>
      <c r="AA61" s="38" t="s">
        <v>1544</v>
      </c>
    </row>
    <row r="62" spans="1:27" ht="28.8" x14ac:dyDescent="0.3">
      <c r="A62" s="40" t="s">
        <v>1552</v>
      </c>
      <c r="B62" s="37" t="s">
        <v>1551</v>
      </c>
      <c r="C62" s="53"/>
      <c r="D62" s="37"/>
      <c r="E62" s="37"/>
      <c r="F62" s="37"/>
      <c r="G62" s="37"/>
      <c r="H62" s="37"/>
      <c r="I62" s="39">
        <v>1500</v>
      </c>
      <c r="J62" s="37" t="s">
        <v>1550</v>
      </c>
      <c r="K62" s="37" t="s">
        <v>242</v>
      </c>
      <c r="L62" s="37" t="s">
        <v>245</v>
      </c>
      <c r="M62" s="37" t="s">
        <v>245</v>
      </c>
      <c r="N62" s="41" t="s">
        <v>2676</v>
      </c>
      <c r="O62" s="37" t="s">
        <v>306</v>
      </c>
      <c r="P62" s="50"/>
      <c r="Q62" s="37" t="s">
        <v>306</v>
      </c>
      <c r="R62" s="37"/>
      <c r="S62" s="53"/>
      <c r="T62" s="37" t="s">
        <v>2245</v>
      </c>
      <c r="U62" s="37"/>
      <c r="V62" s="37"/>
      <c r="W62" s="37"/>
      <c r="X62" s="50"/>
      <c r="Y62" s="53"/>
      <c r="Z62" s="37" t="s">
        <v>335</v>
      </c>
      <c r="AA62" s="37" t="s">
        <v>1549</v>
      </c>
    </row>
    <row r="63" spans="1:27" ht="28.8" x14ac:dyDescent="0.3">
      <c r="A63" s="43" t="s">
        <v>1557</v>
      </c>
      <c r="B63" s="38" t="s">
        <v>1556</v>
      </c>
      <c r="C63" s="54"/>
      <c r="D63" s="38"/>
      <c r="E63" s="38"/>
      <c r="F63" s="38"/>
      <c r="G63" s="38"/>
      <c r="H63" s="38"/>
      <c r="I63" s="42">
        <v>4000</v>
      </c>
      <c r="J63" s="38" t="s">
        <v>1554</v>
      </c>
      <c r="K63" s="38" t="s">
        <v>242</v>
      </c>
      <c r="L63" s="38" t="s">
        <v>245</v>
      </c>
      <c r="M63" s="38" t="s">
        <v>245</v>
      </c>
      <c r="N63" s="44" t="s">
        <v>2676</v>
      </c>
      <c r="O63" s="38" t="s">
        <v>306</v>
      </c>
      <c r="P63" s="52"/>
      <c r="Q63" s="38" t="s">
        <v>306</v>
      </c>
      <c r="R63" s="38"/>
      <c r="S63" s="54"/>
      <c r="T63" s="38" t="s">
        <v>2245</v>
      </c>
      <c r="U63" s="38"/>
      <c r="V63" s="38"/>
      <c r="W63" s="38"/>
      <c r="X63" s="52"/>
      <c r="Y63" s="54"/>
      <c r="Z63" s="38" t="s">
        <v>335</v>
      </c>
      <c r="AA63" s="38" t="s">
        <v>1553</v>
      </c>
    </row>
    <row r="64" spans="1:27" ht="28.8" x14ac:dyDescent="0.3">
      <c r="A64" s="40" t="s">
        <v>1562</v>
      </c>
      <c r="B64" s="37" t="s">
        <v>1561</v>
      </c>
      <c r="C64" s="53"/>
      <c r="D64" s="37"/>
      <c r="E64" s="37"/>
      <c r="F64" s="37"/>
      <c r="G64" s="37"/>
      <c r="H64" s="37"/>
      <c r="I64" s="39">
        <v>4010</v>
      </c>
      <c r="J64" s="37" t="s">
        <v>1559</v>
      </c>
      <c r="K64" s="37" t="s">
        <v>242</v>
      </c>
      <c r="L64" s="37" t="s">
        <v>245</v>
      </c>
      <c r="M64" s="37" t="s">
        <v>245</v>
      </c>
      <c r="N64" s="41" t="s">
        <v>2676</v>
      </c>
      <c r="O64" s="37" t="s">
        <v>1103</v>
      </c>
      <c r="P64" s="50"/>
      <c r="Q64" s="37" t="s">
        <v>1103</v>
      </c>
      <c r="R64" s="37"/>
      <c r="S64" s="53"/>
      <c r="T64" s="37" t="s">
        <v>2245</v>
      </c>
      <c r="U64" s="37"/>
      <c r="V64" s="37"/>
      <c r="W64" s="37"/>
      <c r="X64" s="50"/>
      <c r="Y64" s="53"/>
      <c r="Z64" s="37" t="s">
        <v>335</v>
      </c>
      <c r="AA64" s="37" t="s">
        <v>1558</v>
      </c>
    </row>
    <row r="65" spans="1:27" ht="28.8" x14ac:dyDescent="0.3">
      <c r="A65" s="43" t="s">
        <v>1567</v>
      </c>
      <c r="B65" s="38" t="s">
        <v>1566</v>
      </c>
      <c r="C65" s="54"/>
      <c r="D65" s="38" t="s">
        <v>366</v>
      </c>
      <c r="E65" s="38"/>
      <c r="F65" s="38"/>
      <c r="G65" s="38"/>
      <c r="H65" s="38"/>
      <c r="I65" s="42">
        <v>3640</v>
      </c>
      <c r="J65" s="38" t="s">
        <v>1564</v>
      </c>
      <c r="K65" s="38" t="s">
        <v>242</v>
      </c>
      <c r="L65" s="38" t="s">
        <v>245</v>
      </c>
      <c r="M65" s="38" t="s">
        <v>245</v>
      </c>
      <c r="N65" s="44" t="s">
        <v>2676</v>
      </c>
      <c r="O65" s="38" t="s">
        <v>306</v>
      </c>
      <c r="P65" s="52"/>
      <c r="Q65" s="38" t="s">
        <v>306</v>
      </c>
      <c r="R65" s="38"/>
      <c r="S65" s="54"/>
      <c r="T65" s="38" t="s">
        <v>2245</v>
      </c>
      <c r="U65" s="38"/>
      <c r="V65" s="38"/>
      <c r="W65" s="38"/>
      <c r="X65" s="52"/>
      <c r="Y65" s="54"/>
      <c r="Z65" s="38" t="s">
        <v>335</v>
      </c>
      <c r="AA65" s="38" t="s">
        <v>1563</v>
      </c>
    </row>
    <row r="66" spans="1:27" ht="28.8" x14ac:dyDescent="0.3">
      <c r="A66" s="40" t="s">
        <v>1571</v>
      </c>
      <c r="B66" s="37" t="s">
        <v>1570</v>
      </c>
      <c r="C66" s="53"/>
      <c r="D66" s="37"/>
      <c r="E66" s="37"/>
      <c r="F66" s="37"/>
      <c r="G66" s="37"/>
      <c r="H66" s="37"/>
      <c r="I66" s="39">
        <v>330</v>
      </c>
      <c r="J66" s="37" t="s">
        <v>1569</v>
      </c>
      <c r="K66" s="37" t="s">
        <v>242</v>
      </c>
      <c r="L66" s="37" t="s">
        <v>245</v>
      </c>
      <c r="M66" s="37" t="s">
        <v>245</v>
      </c>
      <c r="N66" s="41" t="s">
        <v>2676</v>
      </c>
      <c r="O66" s="37" t="s">
        <v>418</v>
      </c>
      <c r="P66" s="50"/>
      <c r="Q66" s="37" t="s">
        <v>418</v>
      </c>
      <c r="R66" s="37"/>
      <c r="S66" s="53"/>
      <c r="T66" s="37" t="s">
        <v>2245</v>
      </c>
      <c r="U66" s="37"/>
      <c r="V66" s="37"/>
      <c r="W66" s="37"/>
      <c r="X66" s="50"/>
      <c r="Y66" s="53"/>
      <c r="Z66" s="37" t="s">
        <v>335</v>
      </c>
      <c r="AA66" s="37" t="s">
        <v>1568</v>
      </c>
    </row>
    <row r="67" spans="1:27" ht="28.8" x14ac:dyDescent="0.3">
      <c r="A67" s="43" t="s">
        <v>1576</v>
      </c>
      <c r="B67" s="38" t="s">
        <v>1575</v>
      </c>
      <c r="C67" s="54"/>
      <c r="D67" s="38"/>
      <c r="E67" s="38"/>
      <c r="F67" s="38"/>
      <c r="G67" s="38"/>
      <c r="H67" s="38"/>
      <c r="I67" s="42">
        <v>3910</v>
      </c>
      <c r="J67" s="38" t="s">
        <v>1573</v>
      </c>
      <c r="K67" s="38" t="s">
        <v>242</v>
      </c>
      <c r="L67" s="38" t="s">
        <v>245</v>
      </c>
      <c r="M67" s="38" t="s">
        <v>245</v>
      </c>
      <c r="N67" s="44" t="s">
        <v>2676</v>
      </c>
      <c r="O67" s="38" t="s">
        <v>306</v>
      </c>
      <c r="P67" s="52"/>
      <c r="Q67" s="38" t="s">
        <v>306</v>
      </c>
      <c r="R67" s="38"/>
      <c r="S67" s="54"/>
      <c r="T67" s="38" t="s">
        <v>2245</v>
      </c>
      <c r="U67" s="38"/>
      <c r="V67" s="38"/>
      <c r="W67" s="38"/>
      <c r="X67" s="52"/>
      <c r="Y67" s="54"/>
      <c r="Z67" s="38" t="s">
        <v>335</v>
      </c>
      <c r="AA67" s="38" t="s">
        <v>1572</v>
      </c>
    </row>
    <row r="68" spans="1:27" ht="28.8" x14ac:dyDescent="0.3">
      <c r="A68" s="40" t="s">
        <v>1581</v>
      </c>
      <c r="B68" s="37" t="s">
        <v>1580</v>
      </c>
      <c r="C68" s="53"/>
      <c r="D68" s="37"/>
      <c r="E68" s="37"/>
      <c r="F68" s="37"/>
      <c r="G68" s="37"/>
      <c r="H68" s="37"/>
      <c r="I68" s="39">
        <v>9000</v>
      </c>
      <c r="J68" s="37" t="s">
        <v>1578</v>
      </c>
      <c r="K68" s="37" t="s">
        <v>242</v>
      </c>
      <c r="L68" s="37" t="s">
        <v>245</v>
      </c>
      <c r="M68" s="37" t="s">
        <v>245</v>
      </c>
      <c r="N68" s="41" t="s">
        <v>2676</v>
      </c>
      <c r="O68" s="37" t="s">
        <v>388</v>
      </c>
      <c r="P68" s="50"/>
      <c r="Q68" s="37" t="s">
        <v>388</v>
      </c>
      <c r="R68" s="37"/>
      <c r="S68" s="53"/>
      <c r="T68" s="37" t="s">
        <v>2245</v>
      </c>
      <c r="U68" s="37"/>
      <c r="V68" s="37"/>
      <c r="W68" s="37"/>
      <c r="X68" s="50"/>
      <c r="Y68" s="53"/>
      <c r="Z68" s="37" t="s">
        <v>293</v>
      </c>
      <c r="AA68" s="37" t="s">
        <v>1577</v>
      </c>
    </row>
    <row r="69" spans="1:27" ht="28.8" x14ac:dyDescent="0.3">
      <c r="A69" s="43" t="s">
        <v>1585</v>
      </c>
      <c r="B69" s="38" t="s">
        <v>1584</v>
      </c>
      <c r="C69" s="54"/>
      <c r="D69" s="38"/>
      <c r="E69" s="38"/>
      <c r="F69" s="38"/>
      <c r="G69" s="38"/>
      <c r="H69" s="38"/>
      <c r="I69" s="42">
        <v>2000</v>
      </c>
      <c r="J69" s="38" t="s">
        <v>1583</v>
      </c>
      <c r="K69" s="38" t="s">
        <v>242</v>
      </c>
      <c r="L69" s="38" t="s">
        <v>245</v>
      </c>
      <c r="M69" s="38" t="s">
        <v>245</v>
      </c>
      <c r="N69" s="44" t="s">
        <v>2676</v>
      </c>
      <c r="O69" s="38" t="s">
        <v>418</v>
      </c>
      <c r="P69" s="52"/>
      <c r="Q69" s="38" t="s">
        <v>418</v>
      </c>
      <c r="R69" s="38"/>
      <c r="S69" s="54"/>
      <c r="T69" s="38" t="s">
        <v>2245</v>
      </c>
      <c r="U69" s="38"/>
      <c r="V69" s="38"/>
      <c r="W69" s="38"/>
      <c r="X69" s="52"/>
      <c r="Y69" s="54"/>
      <c r="Z69" s="38" t="s">
        <v>335</v>
      </c>
      <c r="AA69" s="38" t="s">
        <v>1582</v>
      </c>
    </row>
    <row r="70" spans="1:27" ht="28.8" x14ac:dyDescent="0.3">
      <c r="A70" s="40" t="s">
        <v>1709</v>
      </c>
      <c r="B70" s="37" t="s">
        <v>1708</v>
      </c>
      <c r="C70" s="53"/>
      <c r="D70" s="37"/>
      <c r="E70" s="37"/>
      <c r="F70" s="37"/>
      <c r="G70" s="37"/>
      <c r="H70" s="37"/>
      <c r="I70" s="39">
        <v>630</v>
      </c>
      <c r="J70" s="37" t="s">
        <v>1706</v>
      </c>
      <c r="K70" s="37" t="s">
        <v>242</v>
      </c>
      <c r="L70" s="37" t="s">
        <v>245</v>
      </c>
      <c r="M70" s="37" t="s">
        <v>245</v>
      </c>
      <c r="N70" s="41" t="s">
        <v>2676</v>
      </c>
      <c r="O70" s="37" t="s">
        <v>306</v>
      </c>
      <c r="P70" s="50"/>
      <c r="Q70" s="37" t="s">
        <v>306</v>
      </c>
      <c r="R70" s="37"/>
      <c r="S70" s="53"/>
      <c r="T70" s="37" t="s">
        <v>2245</v>
      </c>
      <c r="U70" s="37"/>
      <c r="V70" s="37"/>
      <c r="W70" s="37"/>
      <c r="X70" s="50"/>
      <c r="Y70" s="53"/>
      <c r="Z70" s="37" t="s">
        <v>335</v>
      </c>
      <c r="AA70" s="37" t="s">
        <v>1705</v>
      </c>
    </row>
    <row r="71" spans="1:27" ht="28.8" x14ac:dyDescent="0.3">
      <c r="A71" s="43" t="s">
        <v>1713</v>
      </c>
      <c r="B71" s="38" t="s">
        <v>1712</v>
      </c>
      <c r="C71" s="54"/>
      <c r="D71" s="38"/>
      <c r="E71" s="38"/>
      <c r="F71" s="38"/>
      <c r="G71" s="38"/>
      <c r="H71" s="38"/>
      <c r="I71" s="42">
        <v>1300</v>
      </c>
      <c r="J71" s="38" t="s">
        <v>1711</v>
      </c>
      <c r="K71" s="38" t="s">
        <v>242</v>
      </c>
      <c r="L71" s="38" t="s">
        <v>245</v>
      </c>
      <c r="M71" s="38" t="s">
        <v>245</v>
      </c>
      <c r="N71" s="44" t="s">
        <v>2676</v>
      </c>
      <c r="O71" s="38" t="s">
        <v>306</v>
      </c>
      <c r="P71" s="52"/>
      <c r="Q71" s="38" t="s">
        <v>306</v>
      </c>
      <c r="R71" s="38"/>
      <c r="S71" s="54"/>
      <c r="T71" s="38" t="s">
        <v>2245</v>
      </c>
      <c r="U71" s="38"/>
      <c r="V71" s="38"/>
      <c r="W71" s="38"/>
      <c r="X71" s="52"/>
      <c r="Y71" s="54"/>
      <c r="Z71" s="38" t="s">
        <v>335</v>
      </c>
      <c r="AA71" s="38" t="s">
        <v>1710</v>
      </c>
    </row>
    <row r="72" spans="1:27" ht="28.8" x14ac:dyDescent="0.3">
      <c r="A72" s="40" t="s">
        <v>1752</v>
      </c>
      <c r="B72" s="37" t="s">
        <v>1751</v>
      </c>
      <c r="C72" s="53"/>
      <c r="D72" s="37"/>
      <c r="E72" s="37"/>
      <c r="F72" s="37"/>
      <c r="G72" s="37"/>
      <c r="H72" s="37"/>
      <c r="I72" s="39">
        <v>2150</v>
      </c>
      <c r="J72" s="37" t="s">
        <v>1749</v>
      </c>
      <c r="K72" s="37" t="s">
        <v>242</v>
      </c>
      <c r="L72" s="37" t="s">
        <v>245</v>
      </c>
      <c r="M72" s="37" t="s">
        <v>245</v>
      </c>
      <c r="N72" s="41" t="s">
        <v>2676</v>
      </c>
      <c r="O72" s="37" t="s">
        <v>306</v>
      </c>
      <c r="P72" s="50"/>
      <c r="Q72" s="37" t="s">
        <v>306</v>
      </c>
      <c r="R72" s="37"/>
      <c r="S72" s="53"/>
      <c r="T72" s="37" t="s">
        <v>2245</v>
      </c>
      <c r="U72" s="37"/>
      <c r="V72" s="37"/>
      <c r="W72" s="37"/>
      <c r="X72" s="50"/>
      <c r="Y72" s="53"/>
      <c r="Z72" s="37" t="s">
        <v>335</v>
      </c>
      <c r="AA72" s="37" t="s">
        <v>1748</v>
      </c>
    </row>
    <row r="73" spans="1:27" ht="28.8" x14ac:dyDescent="0.3">
      <c r="A73" s="43" t="s">
        <v>1757</v>
      </c>
      <c r="B73" s="38" t="s">
        <v>1756</v>
      </c>
      <c r="C73" s="54"/>
      <c r="D73" s="38"/>
      <c r="E73" s="38"/>
      <c r="F73" s="38"/>
      <c r="G73" s="38"/>
      <c r="H73" s="38"/>
      <c r="I73" s="42">
        <v>3100</v>
      </c>
      <c r="J73" s="38" t="s">
        <v>1754</v>
      </c>
      <c r="K73" s="38" t="s">
        <v>242</v>
      </c>
      <c r="L73" s="38" t="s">
        <v>245</v>
      </c>
      <c r="M73" s="38" t="s">
        <v>245</v>
      </c>
      <c r="N73" s="44" t="s">
        <v>2676</v>
      </c>
      <c r="O73" s="38" t="s">
        <v>362</v>
      </c>
      <c r="P73" s="52"/>
      <c r="Q73" s="38" t="s">
        <v>362</v>
      </c>
      <c r="R73" s="38"/>
      <c r="S73" s="54"/>
      <c r="T73" s="38" t="s">
        <v>2245</v>
      </c>
      <c r="U73" s="38"/>
      <c r="V73" s="38"/>
      <c r="W73" s="38"/>
      <c r="X73" s="52"/>
      <c r="Y73" s="54"/>
      <c r="Z73" s="38" t="s">
        <v>335</v>
      </c>
      <c r="AA73" s="38" t="s">
        <v>1753</v>
      </c>
    </row>
    <row r="74" spans="1:27" ht="28.8" x14ac:dyDescent="0.3">
      <c r="A74" s="40" t="s">
        <v>1761</v>
      </c>
      <c r="B74" s="37" t="s">
        <v>1760</v>
      </c>
      <c r="C74" s="53"/>
      <c r="D74" s="37"/>
      <c r="E74" s="37"/>
      <c r="F74" s="37"/>
      <c r="G74" s="37"/>
      <c r="H74" s="37"/>
      <c r="I74" s="39">
        <v>1500</v>
      </c>
      <c r="J74" s="37" t="s">
        <v>1759</v>
      </c>
      <c r="K74" s="37" t="s">
        <v>242</v>
      </c>
      <c r="L74" s="37" t="s">
        <v>245</v>
      </c>
      <c r="M74" s="37" t="s">
        <v>245</v>
      </c>
      <c r="N74" s="41" t="s">
        <v>2676</v>
      </c>
      <c r="O74" s="37" t="s">
        <v>362</v>
      </c>
      <c r="P74" s="50"/>
      <c r="Q74" s="37" t="s">
        <v>362</v>
      </c>
      <c r="R74" s="37"/>
      <c r="S74" s="53"/>
      <c r="T74" s="37" t="s">
        <v>2245</v>
      </c>
      <c r="U74" s="37"/>
      <c r="V74" s="37"/>
      <c r="W74" s="37"/>
      <c r="X74" s="50"/>
      <c r="Y74" s="53"/>
      <c r="Z74" s="37" t="s">
        <v>335</v>
      </c>
      <c r="AA74" s="37" t="s">
        <v>1758</v>
      </c>
    </row>
    <row r="75" spans="1:27" ht="28.8" x14ac:dyDescent="0.3">
      <c r="A75" s="43" t="s">
        <v>1765</v>
      </c>
      <c r="B75" s="38" t="s">
        <v>1764</v>
      </c>
      <c r="C75" s="54"/>
      <c r="D75" s="38"/>
      <c r="E75" s="38"/>
      <c r="F75" s="38"/>
      <c r="G75" s="38"/>
      <c r="H75" s="38"/>
      <c r="I75" s="42">
        <v>450</v>
      </c>
      <c r="J75" s="38" t="s">
        <v>1763</v>
      </c>
      <c r="K75" s="38" t="s">
        <v>242</v>
      </c>
      <c r="L75" s="38" t="s">
        <v>245</v>
      </c>
      <c r="M75" s="38" t="s">
        <v>245</v>
      </c>
      <c r="N75" s="44" t="s">
        <v>2676</v>
      </c>
      <c r="O75" s="38" t="s">
        <v>306</v>
      </c>
      <c r="P75" s="52"/>
      <c r="Q75" s="38" t="s">
        <v>306</v>
      </c>
      <c r="R75" s="38"/>
      <c r="S75" s="54"/>
      <c r="T75" s="38" t="s">
        <v>2245</v>
      </c>
      <c r="U75" s="38"/>
      <c r="V75" s="38"/>
      <c r="W75" s="38"/>
      <c r="X75" s="52"/>
      <c r="Y75" s="54"/>
      <c r="Z75" s="38" t="s">
        <v>335</v>
      </c>
      <c r="AA75" s="38" t="s">
        <v>1762</v>
      </c>
    </row>
    <row r="76" spans="1:27" ht="43.2" x14ac:dyDescent="0.3">
      <c r="A76" s="40" t="s">
        <v>1786</v>
      </c>
      <c r="B76" s="37" t="s">
        <v>1785</v>
      </c>
      <c r="C76" s="53">
        <v>420</v>
      </c>
      <c r="D76" s="37"/>
      <c r="E76" s="37"/>
      <c r="F76" s="37"/>
      <c r="G76" s="37"/>
      <c r="H76" s="37"/>
      <c r="I76" s="39">
        <v>2700</v>
      </c>
      <c r="J76" s="37" t="s">
        <v>1784</v>
      </c>
      <c r="K76" s="37" t="s">
        <v>242</v>
      </c>
      <c r="L76" s="37" t="s">
        <v>245</v>
      </c>
      <c r="M76" s="37" t="s">
        <v>245</v>
      </c>
      <c r="N76" s="41" t="s">
        <v>2676</v>
      </c>
      <c r="O76" s="37" t="s">
        <v>306</v>
      </c>
      <c r="P76" s="50"/>
      <c r="Q76" s="37" t="s">
        <v>306</v>
      </c>
      <c r="R76" s="37"/>
      <c r="S76" s="53"/>
      <c r="T76" s="37" t="s">
        <v>2245</v>
      </c>
      <c r="U76" s="37"/>
      <c r="V76" s="37"/>
      <c r="W76" s="37"/>
      <c r="X76" s="50"/>
      <c r="Y76" s="53"/>
      <c r="Z76" s="37" t="s">
        <v>335</v>
      </c>
      <c r="AA76" s="37" t="s">
        <v>1783</v>
      </c>
    </row>
    <row r="77" spans="1:27" ht="28.8" x14ac:dyDescent="0.3">
      <c r="A77" s="43" t="s">
        <v>1791</v>
      </c>
      <c r="B77" s="38" t="s">
        <v>1790</v>
      </c>
      <c r="C77" s="54"/>
      <c r="D77" s="38"/>
      <c r="E77" s="38"/>
      <c r="F77" s="38"/>
      <c r="G77" s="38"/>
      <c r="H77" s="38"/>
      <c r="I77" s="42">
        <v>2600</v>
      </c>
      <c r="J77" s="38" t="s">
        <v>1788</v>
      </c>
      <c r="K77" s="38" t="s">
        <v>242</v>
      </c>
      <c r="L77" s="38" t="s">
        <v>245</v>
      </c>
      <c r="M77" s="38" t="s">
        <v>245</v>
      </c>
      <c r="N77" s="44" t="s">
        <v>2676</v>
      </c>
      <c r="O77" s="38" t="s">
        <v>362</v>
      </c>
      <c r="P77" s="52"/>
      <c r="Q77" s="38" t="s">
        <v>362</v>
      </c>
      <c r="R77" s="38"/>
      <c r="S77" s="54"/>
      <c r="T77" s="38" t="s">
        <v>2245</v>
      </c>
      <c r="U77" s="38"/>
      <c r="V77" s="38"/>
      <c r="W77" s="38"/>
      <c r="X77" s="52"/>
      <c r="Y77" s="54"/>
      <c r="Z77" s="38" t="s">
        <v>335</v>
      </c>
      <c r="AA77" s="38" t="s">
        <v>1787</v>
      </c>
    </row>
    <row r="78" spans="1:27" ht="28.8" x14ac:dyDescent="0.3">
      <c r="A78" s="40" t="s">
        <v>1796</v>
      </c>
      <c r="B78" s="37" t="s">
        <v>1795</v>
      </c>
      <c r="C78" s="53"/>
      <c r="D78" s="37"/>
      <c r="E78" s="37"/>
      <c r="F78" s="37"/>
      <c r="G78" s="37"/>
      <c r="H78" s="37"/>
      <c r="I78" s="39">
        <v>399</v>
      </c>
      <c r="J78" s="37" t="s">
        <v>1793</v>
      </c>
      <c r="K78" s="37" t="s">
        <v>242</v>
      </c>
      <c r="L78" s="37" t="s">
        <v>245</v>
      </c>
      <c r="M78" s="37" t="s">
        <v>245</v>
      </c>
      <c r="N78" s="41" t="s">
        <v>2676</v>
      </c>
      <c r="O78" s="37" t="s">
        <v>306</v>
      </c>
      <c r="P78" s="50"/>
      <c r="Q78" s="37" t="s">
        <v>306</v>
      </c>
      <c r="R78" s="37"/>
      <c r="S78" s="53"/>
      <c r="T78" s="37" t="s">
        <v>2245</v>
      </c>
      <c r="U78" s="37"/>
      <c r="V78" s="37"/>
      <c r="W78" s="37"/>
      <c r="X78" s="50"/>
      <c r="Y78" s="53"/>
      <c r="Z78" s="37" t="s">
        <v>335</v>
      </c>
      <c r="AA78" s="37" t="s">
        <v>1792</v>
      </c>
    </row>
    <row r="79" spans="1:27" ht="28.8" x14ac:dyDescent="0.3">
      <c r="A79" s="43" t="s">
        <v>1800</v>
      </c>
      <c r="B79" s="38" t="s">
        <v>1799</v>
      </c>
      <c r="C79" s="54"/>
      <c r="D79" s="38"/>
      <c r="E79" s="38"/>
      <c r="F79" s="38"/>
      <c r="G79" s="38"/>
      <c r="H79" s="38"/>
      <c r="I79" s="42">
        <v>250</v>
      </c>
      <c r="J79" s="38" t="s">
        <v>1798</v>
      </c>
      <c r="K79" s="38" t="s">
        <v>242</v>
      </c>
      <c r="L79" s="38" t="s">
        <v>245</v>
      </c>
      <c r="M79" s="38" t="s">
        <v>245</v>
      </c>
      <c r="N79" s="44" t="s">
        <v>2676</v>
      </c>
      <c r="O79" s="38" t="s">
        <v>306</v>
      </c>
      <c r="P79" s="52"/>
      <c r="Q79" s="38" t="s">
        <v>306</v>
      </c>
      <c r="R79" s="38"/>
      <c r="S79" s="54"/>
      <c r="T79" s="38" t="s">
        <v>2245</v>
      </c>
      <c r="U79" s="38"/>
      <c r="V79" s="38"/>
      <c r="W79" s="38"/>
      <c r="X79" s="52"/>
      <c r="Y79" s="54"/>
      <c r="Z79" s="38" t="s">
        <v>335</v>
      </c>
      <c r="AA79" s="38" t="s">
        <v>1797</v>
      </c>
    </row>
    <row r="80" spans="1:27" ht="28.8" x14ac:dyDescent="0.3">
      <c r="A80" s="40" t="s">
        <v>1805</v>
      </c>
      <c r="B80" s="37" t="s">
        <v>1804</v>
      </c>
      <c r="C80" s="53"/>
      <c r="D80" s="37"/>
      <c r="E80" s="37"/>
      <c r="F80" s="37"/>
      <c r="G80" s="37"/>
      <c r="H80" s="37"/>
      <c r="I80" s="39">
        <v>30</v>
      </c>
      <c r="J80" s="37" t="s">
        <v>1802</v>
      </c>
      <c r="K80" s="37" t="s">
        <v>242</v>
      </c>
      <c r="L80" s="37" t="s">
        <v>245</v>
      </c>
      <c r="M80" s="37" t="s">
        <v>245</v>
      </c>
      <c r="N80" s="41" t="s">
        <v>2676</v>
      </c>
      <c r="O80" s="37" t="s">
        <v>241</v>
      </c>
      <c r="P80" s="50"/>
      <c r="Q80" s="37" t="s">
        <v>241</v>
      </c>
      <c r="R80" s="37"/>
      <c r="S80" s="53"/>
      <c r="T80" s="37" t="s">
        <v>2245</v>
      </c>
      <c r="U80" s="37"/>
      <c r="V80" s="37"/>
      <c r="W80" s="37"/>
      <c r="X80" s="50"/>
      <c r="Y80" s="53"/>
      <c r="Z80" s="37" t="s">
        <v>335</v>
      </c>
      <c r="AA80" s="37" t="s">
        <v>1801</v>
      </c>
    </row>
    <row r="81" spans="1:27" ht="28.8" x14ac:dyDescent="0.3">
      <c r="A81" s="43" t="s">
        <v>1809</v>
      </c>
      <c r="B81" s="38" t="s">
        <v>1808</v>
      </c>
      <c r="C81" s="54"/>
      <c r="D81" s="38"/>
      <c r="E81" s="38"/>
      <c r="F81" s="38"/>
      <c r="G81" s="38"/>
      <c r="H81" s="38"/>
      <c r="I81" s="42">
        <v>2500</v>
      </c>
      <c r="J81" s="38" t="s">
        <v>1807</v>
      </c>
      <c r="K81" s="38" t="s">
        <v>242</v>
      </c>
      <c r="L81" s="38" t="s">
        <v>245</v>
      </c>
      <c r="M81" s="38" t="s">
        <v>245</v>
      </c>
      <c r="N81" s="44" t="s">
        <v>2676</v>
      </c>
      <c r="O81" s="38" t="s">
        <v>241</v>
      </c>
      <c r="P81" s="52"/>
      <c r="Q81" s="38" t="s">
        <v>241</v>
      </c>
      <c r="R81" s="38"/>
      <c r="S81" s="54"/>
      <c r="T81" s="38" t="s">
        <v>2245</v>
      </c>
      <c r="U81" s="38"/>
      <c r="V81" s="38"/>
      <c r="W81" s="38"/>
      <c r="X81" s="52"/>
      <c r="Y81" s="54"/>
      <c r="Z81" s="38" t="s">
        <v>335</v>
      </c>
      <c r="AA81" s="38" t="s">
        <v>1806</v>
      </c>
    </row>
    <row r="82" spans="1:27" ht="28.8" x14ac:dyDescent="0.3">
      <c r="A82" s="40" t="s">
        <v>1814</v>
      </c>
      <c r="B82" s="37" t="s">
        <v>1813</v>
      </c>
      <c r="C82" s="53"/>
      <c r="D82" s="37"/>
      <c r="E82" s="37"/>
      <c r="F82" s="37"/>
      <c r="G82" s="37"/>
      <c r="H82" s="37"/>
      <c r="I82" s="39">
        <v>8500</v>
      </c>
      <c r="J82" s="37" t="s">
        <v>1811</v>
      </c>
      <c r="K82" s="37" t="s">
        <v>242</v>
      </c>
      <c r="L82" s="37" t="s">
        <v>245</v>
      </c>
      <c r="M82" s="37" t="s">
        <v>245</v>
      </c>
      <c r="N82" s="41" t="s">
        <v>2676</v>
      </c>
      <c r="O82" s="37" t="s">
        <v>241</v>
      </c>
      <c r="P82" s="50"/>
      <c r="Q82" s="37" t="s">
        <v>241</v>
      </c>
      <c r="R82" s="37"/>
      <c r="S82" s="53"/>
      <c r="T82" s="37" t="s">
        <v>2245</v>
      </c>
      <c r="U82" s="37"/>
      <c r="V82" s="37"/>
      <c r="W82" s="37"/>
      <c r="X82" s="50"/>
      <c r="Y82" s="53"/>
      <c r="Z82" s="37" t="s">
        <v>335</v>
      </c>
      <c r="AA82" s="37" t="s">
        <v>1810</v>
      </c>
    </row>
    <row r="83" spans="1:27" ht="57.6" x14ac:dyDescent="0.3">
      <c r="A83" s="43" t="s">
        <v>1834</v>
      </c>
      <c r="B83" s="38" t="s">
        <v>1833</v>
      </c>
      <c r="C83" s="54"/>
      <c r="D83" s="38"/>
      <c r="E83" s="38"/>
      <c r="F83" s="38"/>
      <c r="G83" s="38"/>
      <c r="H83" s="38"/>
      <c r="I83" s="42">
        <v>2200</v>
      </c>
      <c r="J83" s="38" t="s">
        <v>1832</v>
      </c>
      <c r="K83" s="38" t="s">
        <v>242</v>
      </c>
      <c r="L83" s="38" t="s">
        <v>245</v>
      </c>
      <c r="M83" s="38" t="s">
        <v>245</v>
      </c>
      <c r="N83" s="44" t="s">
        <v>2676</v>
      </c>
      <c r="O83" s="38" t="s">
        <v>241</v>
      </c>
      <c r="P83" s="52"/>
      <c r="Q83" s="38" t="s">
        <v>241</v>
      </c>
      <c r="R83" s="38"/>
      <c r="S83" s="54"/>
      <c r="T83" s="38" t="s">
        <v>2245</v>
      </c>
      <c r="U83" s="38"/>
      <c r="V83" s="38"/>
      <c r="W83" s="38"/>
      <c r="X83" s="52"/>
      <c r="Y83" s="54"/>
      <c r="Z83" s="38" t="s">
        <v>335</v>
      </c>
      <c r="AA83" s="38" t="s">
        <v>1831</v>
      </c>
    </row>
    <row r="84" spans="1:27" ht="28.8" x14ac:dyDescent="0.3">
      <c r="A84" s="40" t="s">
        <v>1839</v>
      </c>
      <c r="B84" s="37" t="s">
        <v>1838</v>
      </c>
      <c r="C84" s="53"/>
      <c r="D84" s="37"/>
      <c r="E84" s="37"/>
      <c r="F84" s="37"/>
      <c r="G84" s="37"/>
      <c r="H84" s="37"/>
      <c r="I84" s="39">
        <v>605</v>
      </c>
      <c r="J84" s="37" t="s">
        <v>1836</v>
      </c>
      <c r="K84" s="37" t="s">
        <v>242</v>
      </c>
      <c r="L84" s="37" t="s">
        <v>245</v>
      </c>
      <c r="M84" s="37" t="s">
        <v>245</v>
      </c>
      <c r="N84" s="41" t="s">
        <v>2676</v>
      </c>
      <c r="O84" s="37" t="s">
        <v>306</v>
      </c>
      <c r="P84" s="50"/>
      <c r="Q84" s="37" t="s">
        <v>306</v>
      </c>
      <c r="R84" s="37"/>
      <c r="S84" s="53"/>
      <c r="T84" s="37" t="s">
        <v>2245</v>
      </c>
      <c r="U84" s="37"/>
      <c r="V84" s="37"/>
      <c r="W84" s="37"/>
      <c r="X84" s="50"/>
      <c r="Y84" s="53"/>
      <c r="Z84" s="37" t="s">
        <v>335</v>
      </c>
      <c r="AA84" s="37" t="s">
        <v>1835</v>
      </c>
    </row>
    <row r="85" spans="1:27" ht="28.8" x14ac:dyDescent="0.3">
      <c r="A85" s="43" t="s">
        <v>1846</v>
      </c>
      <c r="B85" s="38" t="s">
        <v>1845</v>
      </c>
      <c r="C85" s="54"/>
      <c r="D85" s="38"/>
      <c r="E85" s="38"/>
      <c r="F85" s="38"/>
      <c r="G85" s="38"/>
      <c r="H85" s="38"/>
      <c r="I85" s="42">
        <v>1100</v>
      </c>
      <c r="J85" s="38" t="s">
        <v>1844</v>
      </c>
      <c r="K85" s="38" t="s">
        <v>242</v>
      </c>
      <c r="L85" s="38" t="s">
        <v>245</v>
      </c>
      <c r="M85" s="38" t="s">
        <v>245</v>
      </c>
      <c r="N85" s="44" t="s">
        <v>2676</v>
      </c>
      <c r="O85" s="38" t="s">
        <v>306</v>
      </c>
      <c r="P85" s="52"/>
      <c r="Q85" s="38" t="s">
        <v>306</v>
      </c>
      <c r="R85" s="38"/>
      <c r="S85" s="54"/>
      <c r="T85" s="38" t="s">
        <v>2245</v>
      </c>
      <c r="U85" s="38"/>
      <c r="V85" s="38"/>
      <c r="W85" s="38"/>
      <c r="X85" s="52"/>
      <c r="Y85" s="54"/>
      <c r="Z85" s="38" t="s">
        <v>335</v>
      </c>
      <c r="AA85" s="38" t="s">
        <v>1843</v>
      </c>
    </row>
    <row r="86" spans="1:27" ht="28.8" x14ac:dyDescent="0.3">
      <c r="A86" s="40" t="s">
        <v>1854</v>
      </c>
      <c r="B86" s="37" t="s">
        <v>1853</v>
      </c>
      <c r="C86" s="53"/>
      <c r="D86" s="37"/>
      <c r="E86" s="37"/>
      <c r="F86" s="37"/>
      <c r="G86" s="37"/>
      <c r="H86" s="37"/>
      <c r="I86" s="39">
        <v>1700</v>
      </c>
      <c r="J86" s="37" t="s">
        <v>1851</v>
      </c>
      <c r="K86" s="37" t="s">
        <v>242</v>
      </c>
      <c r="L86" s="37" t="s">
        <v>245</v>
      </c>
      <c r="M86" s="37" t="s">
        <v>245</v>
      </c>
      <c r="N86" s="41" t="s">
        <v>2676</v>
      </c>
      <c r="O86" s="37" t="s">
        <v>362</v>
      </c>
      <c r="P86" s="50"/>
      <c r="Q86" s="37" t="s">
        <v>362</v>
      </c>
      <c r="R86" s="37"/>
      <c r="S86" s="53"/>
      <c r="T86" s="37" t="s">
        <v>2245</v>
      </c>
      <c r="U86" s="37"/>
      <c r="V86" s="37"/>
      <c r="W86" s="37"/>
      <c r="X86" s="50"/>
      <c r="Y86" s="53"/>
      <c r="Z86" s="37" t="s">
        <v>335</v>
      </c>
      <c r="AA86" s="37" t="s">
        <v>1850</v>
      </c>
    </row>
    <row r="87" spans="1:27" ht="28.8" x14ac:dyDescent="0.3">
      <c r="A87" s="43" t="s">
        <v>1859</v>
      </c>
      <c r="B87" s="38" t="s">
        <v>1858</v>
      </c>
      <c r="C87" s="54"/>
      <c r="D87" s="38"/>
      <c r="E87" s="38"/>
      <c r="F87" s="38"/>
      <c r="G87" s="38"/>
      <c r="H87" s="38"/>
      <c r="I87" s="42">
        <v>131400</v>
      </c>
      <c r="J87" s="38" t="s">
        <v>1856</v>
      </c>
      <c r="K87" s="38" t="s">
        <v>242</v>
      </c>
      <c r="L87" s="38" t="s">
        <v>245</v>
      </c>
      <c r="M87" s="38" t="s">
        <v>245</v>
      </c>
      <c r="N87" s="44" t="s">
        <v>2676</v>
      </c>
      <c r="O87" s="38" t="s">
        <v>388</v>
      </c>
      <c r="P87" s="52"/>
      <c r="Q87" s="38" t="s">
        <v>388</v>
      </c>
      <c r="R87" s="38"/>
      <c r="S87" s="54"/>
      <c r="T87" s="38" t="s">
        <v>2245</v>
      </c>
      <c r="U87" s="38"/>
      <c r="V87" s="38"/>
      <c r="W87" s="38"/>
      <c r="X87" s="52"/>
      <c r="Y87" s="54"/>
      <c r="Z87" s="38" t="s">
        <v>335</v>
      </c>
      <c r="AA87" s="38" t="s">
        <v>1855</v>
      </c>
    </row>
    <row r="88" spans="1:27" ht="28.8" x14ac:dyDescent="0.3">
      <c r="A88" s="40" t="s">
        <v>1877</v>
      </c>
      <c r="B88" s="37" t="s">
        <v>1876</v>
      </c>
      <c r="C88" s="53"/>
      <c r="D88" s="37"/>
      <c r="E88" s="37"/>
      <c r="F88" s="37"/>
      <c r="G88" s="37"/>
      <c r="H88" s="37"/>
      <c r="I88" s="39"/>
      <c r="J88" s="37" t="s">
        <v>1875</v>
      </c>
      <c r="K88" s="37" t="s">
        <v>268</v>
      </c>
      <c r="L88" s="37" t="s">
        <v>245</v>
      </c>
      <c r="M88" s="37" t="s">
        <v>245</v>
      </c>
      <c r="N88" s="41" t="s">
        <v>2676</v>
      </c>
      <c r="O88" s="37" t="s">
        <v>388</v>
      </c>
      <c r="P88" s="50"/>
      <c r="Q88" s="37" t="s">
        <v>388</v>
      </c>
      <c r="R88" s="37"/>
      <c r="S88" s="53"/>
      <c r="T88" s="37" t="s">
        <v>2245</v>
      </c>
      <c r="U88" s="37"/>
      <c r="V88" s="37"/>
      <c r="W88" s="37"/>
      <c r="X88" s="50"/>
      <c r="Y88" s="53"/>
      <c r="Z88" s="37" t="s">
        <v>293</v>
      </c>
      <c r="AA88" s="37" t="s">
        <v>1874</v>
      </c>
    </row>
    <row r="89" spans="1:27" ht="28.8" x14ac:dyDescent="0.3">
      <c r="A89" s="43" t="s">
        <v>1883</v>
      </c>
      <c r="B89" s="38" t="s">
        <v>1882</v>
      </c>
      <c r="C89" s="54"/>
      <c r="D89" s="38"/>
      <c r="E89" s="38"/>
      <c r="F89" s="38"/>
      <c r="G89" s="38"/>
      <c r="H89" s="38"/>
      <c r="I89" s="42">
        <v>645</v>
      </c>
      <c r="J89" s="38" t="s">
        <v>1880</v>
      </c>
      <c r="K89" s="38" t="s">
        <v>242</v>
      </c>
      <c r="L89" s="38" t="s">
        <v>245</v>
      </c>
      <c r="M89" s="38" t="s">
        <v>245</v>
      </c>
      <c r="N89" s="44" t="s">
        <v>2676</v>
      </c>
      <c r="O89" s="38" t="s">
        <v>306</v>
      </c>
      <c r="P89" s="52"/>
      <c r="Q89" s="38" t="s">
        <v>306</v>
      </c>
      <c r="R89" s="38"/>
      <c r="S89" s="54"/>
      <c r="T89" s="38" t="s">
        <v>2245</v>
      </c>
      <c r="U89" s="38"/>
      <c r="V89" s="38"/>
      <c r="W89" s="38"/>
      <c r="X89" s="52"/>
      <c r="Y89" s="54"/>
      <c r="Z89" s="38" t="s">
        <v>335</v>
      </c>
      <c r="AA89" s="38" t="s">
        <v>1879</v>
      </c>
    </row>
    <row r="90" spans="1:27" ht="28.8" x14ac:dyDescent="0.3">
      <c r="A90" s="40" t="s">
        <v>1887</v>
      </c>
      <c r="B90" s="37" t="s">
        <v>1886</v>
      </c>
      <c r="C90" s="53"/>
      <c r="D90" s="37"/>
      <c r="E90" s="37"/>
      <c r="F90" s="37"/>
      <c r="G90" s="37"/>
      <c r="H90" s="37"/>
      <c r="I90" s="39">
        <v>1100</v>
      </c>
      <c r="J90" s="37" t="s">
        <v>1885</v>
      </c>
      <c r="K90" s="37" t="s">
        <v>242</v>
      </c>
      <c r="L90" s="37" t="s">
        <v>245</v>
      </c>
      <c r="M90" s="37" t="s">
        <v>245</v>
      </c>
      <c r="N90" s="41" t="s">
        <v>2676</v>
      </c>
      <c r="O90" s="37" t="s">
        <v>306</v>
      </c>
      <c r="P90" s="50"/>
      <c r="Q90" s="37" t="s">
        <v>306</v>
      </c>
      <c r="R90" s="37"/>
      <c r="S90" s="53"/>
      <c r="T90" s="37" t="s">
        <v>2245</v>
      </c>
      <c r="U90" s="37"/>
      <c r="V90" s="37"/>
      <c r="W90" s="37"/>
      <c r="X90" s="50"/>
      <c r="Y90" s="53"/>
      <c r="Z90" s="37" t="s">
        <v>335</v>
      </c>
      <c r="AA90" s="37" t="s">
        <v>1884</v>
      </c>
    </row>
    <row r="91" spans="1:27" ht="28.8" x14ac:dyDescent="0.3">
      <c r="A91" s="43" t="s">
        <v>1892</v>
      </c>
      <c r="B91" s="38" t="s">
        <v>1891</v>
      </c>
      <c r="C91" s="54"/>
      <c r="D91" s="38"/>
      <c r="E91" s="38"/>
      <c r="F91" s="38"/>
      <c r="G91" s="38"/>
      <c r="H91" s="38"/>
      <c r="I91" s="42">
        <v>7900</v>
      </c>
      <c r="J91" s="38" t="s">
        <v>1889</v>
      </c>
      <c r="K91" s="38" t="s">
        <v>242</v>
      </c>
      <c r="L91" s="38" t="s">
        <v>245</v>
      </c>
      <c r="M91" s="38" t="s">
        <v>245</v>
      </c>
      <c r="N91" s="44" t="s">
        <v>2676</v>
      </c>
      <c r="O91" s="38" t="s">
        <v>306</v>
      </c>
      <c r="P91" s="52"/>
      <c r="Q91" s="38" t="s">
        <v>306</v>
      </c>
      <c r="R91" s="38"/>
      <c r="S91" s="54"/>
      <c r="T91" s="38" t="s">
        <v>2245</v>
      </c>
      <c r="U91" s="38"/>
      <c r="V91" s="38"/>
      <c r="W91" s="38"/>
      <c r="X91" s="52"/>
      <c r="Y91" s="54"/>
      <c r="Z91" s="38" t="s">
        <v>335</v>
      </c>
      <c r="AA91" s="38" t="s">
        <v>1888</v>
      </c>
    </row>
    <row r="92" spans="1:27" ht="28.8" x14ac:dyDescent="0.3">
      <c r="A92" s="40" t="s">
        <v>1901</v>
      </c>
      <c r="B92" s="37" t="s">
        <v>1900</v>
      </c>
      <c r="C92" s="53"/>
      <c r="D92" s="37"/>
      <c r="E92" s="37"/>
      <c r="F92" s="37"/>
      <c r="G92" s="37"/>
      <c r="H92" s="37"/>
      <c r="I92" s="39">
        <v>1470</v>
      </c>
      <c r="J92" s="37" t="s">
        <v>1898</v>
      </c>
      <c r="K92" s="37" t="s">
        <v>242</v>
      </c>
      <c r="L92" s="37" t="s">
        <v>245</v>
      </c>
      <c r="M92" s="37" t="s">
        <v>245</v>
      </c>
      <c r="N92" s="41" t="s">
        <v>2676</v>
      </c>
      <c r="O92" s="37" t="s">
        <v>1441</v>
      </c>
      <c r="P92" s="50"/>
      <c r="Q92" s="37" t="s">
        <v>1441</v>
      </c>
      <c r="R92" s="37"/>
      <c r="S92" s="53"/>
      <c r="T92" s="37" t="s">
        <v>2245</v>
      </c>
      <c r="U92" s="37"/>
      <c r="V92" s="37"/>
      <c r="W92" s="37"/>
      <c r="X92" s="50"/>
      <c r="Y92" s="53"/>
      <c r="Z92" s="37" t="s">
        <v>335</v>
      </c>
      <c r="AA92" s="37" t="s">
        <v>1897</v>
      </c>
    </row>
    <row r="93" spans="1:27" ht="28.8" x14ac:dyDescent="0.3">
      <c r="A93" s="43" t="s">
        <v>1906</v>
      </c>
      <c r="B93" s="38" t="s">
        <v>1905</v>
      </c>
      <c r="C93" s="54"/>
      <c r="D93" s="38"/>
      <c r="E93" s="38"/>
      <c r="F93" s="38"/>
      <c r="G93" s="38"/>
      <c r="H93" s="38"/>
      <c r="I93" s="42">
        <v>680</v>
      </c>
      <c r="J93" s="38" t="s">
        <v>1903</v>
      </c>
      <c r="K93" s="38" t="s">
        <v>242</v>
      </c>
      <c r="L93" s="38" t="s">
        <v>245</v>
      </c>
      <c r="M93" s="38" t="s">
        <v>245</v>
      </c>
      <c r="N93" s="44" t="s">
        <v>2676</v>
      </c>
      <c r="O93" s="38" t="s">
        <v>1441</v>
      </c>
      <c r="P93" s="52"/>
      <c r="Q93" s="38" t="s">
        <v>1441</v>
      </c>
      <c r="R93" s="38"/>
      <c r="S93" s="54"/>
      <c r="T93" s="38" t="s">
        <v>2245</v>
      </c>
      <c r="U93" s="38"/>
      <c r="V93" s="38"/>
      <c r="W93" s="38"/>
      <c r="X93" s="52"/>
      <c r="Y93" s="54"/>
      <c r="Z93" s="38" t="s">
        <v>335</v>
      </c>
      <c r="AA93" s="38" t="s">
        <v>1902</v>
      </c>
    </row>
    <row r="94" spans="1:27" ht="28.8" x14ac:dyDescent="0.3">
      <c r="A94" s="40" t="s">
        <v>1911</v>
      </c>
      <c r="B94" s="37" t="s">
        <v>1910</v>
      </c>
      <c r="C94" s="53"/>
      <c r="D94" s="37"/>
      <c r="E94" s="37"/>
      <c r="F94" s="37"/>
      <c r="G94" s="37"/>
      <c r="H94" s="37"/>
      <c r="I94" s="39">
        <v>540</v>
      </c>
      <c r="J94" s="37" t="s">
        <v>1908</v>
      </c>
      <c r="K94" s="37" t="s">
        <v>242</v>
      </c>
      <c r="L94" s="37" t="s">
        <v>245</v>
      </c>
      <c r="M94" s="37" t="s">
        <v>245</v>
      </c>
      <c r="N94" s="41" t="s">
        <v>2676</v>
      </c>
      <c r="O94" s="37" t="s">
        <v>306</v>
      </c>
      <c r="P94" s="50"/>
      <c r="Q94" s="37" t="s">
        <v>306</v>
      </c>
      <c r="R94" s="37"/>
      <c r="S94" s="53"/>
      <c r="T94" s="37" t="s">
        <v>2245</v>
      </c>
      <c r="U94" s="37"/>
      <c r="V94" s="37"/>
      <c r="W94" s="37"/>
      <c r="X94" s="50"/>
      <c r="Y94" s="53"/>
      <c r="Z94" s="37" t="s">
        <v>335</v>
      </c>
      <c r="AA94" s="37" t="s">
        <v>1907</v>
      </c>
    </row>
    <row r="95" spans="1:27" ht="28.8" x14ac:dyDescent="0.3">
      <c r="A95" s="43" t="s">
        <v>1916</v>
      </c>
      <c r="B95" s="38" t="s">
        <v>1915</v>
      </c>
      <c r="C95" s="54"/>
      <c r="D95" s="38"/>
      <c r="E95" s="38"/>
      <c r="F95" s="38"/>
      <c r="G95" s="38"/>
      <c r="H95" s="38"/>
      <c r="I95" s="42">
        <v>12000</v>
      </c>
      <c r="J95" s="38" t="s">
        <v>1913</v>
      </c>
      <c r="K95" s="38" t="s">
        <v>242</v>
      </c>
      <c r="L95" s="38" t="s">
        <v>245</v>
      </c>
      <c r="M95" s="38" t="s">
        <v>245</v>
      </c>
      <c r="N95" s="44" t="s">
        <v>2676</v>
      </c>
      <c r="O95" s="38" t="s">
        <v>306</v>
      </c>
      <c r="P95" s="52"/>
      <c r="Q95" s="38" t="s">
        <v>306</v>
      </c>
      <c r="R95" s="38"/>
      <c r="S95" s="54"/>
      <c r="T95" s="38" t="s">
        <v>2245</v>
      </c>
      <c r="U95" s="38"/>
      <c r="V95" s="38"/>
      <c r="W95" s="38"/>
      <c r="X95" s="52"/>
      <c r="Y95" s="54"/>
      <c r="Z95" s="38" t="s">
        <v>335</v>
      </c>
      <c r="AA95" s="38" t="s">
        <v>1912</v>
      </c>
    </row>
    <row r="96" spans="1:27" ht="28.8" x14ac:dyDescent="0.3">
      <c r="A96" s="40" t="s">
        <v>1920</v>
      </c>
      <c r="B96" s="37" t="s">
        <v>1919</v>
      </c>
      <c r="C96" s="53"/>
      <c r="D96" s="37"/>
      <c r="E96" s="37"/>
      <c r="F96" s="37"/>
      <c r="G96" s="37"/>
      <c r="H96" s="37"/>
      <c r="I96" s="39">
        <v>20000</v>
      </c>
      <c r="J96" s="37" t="s">
        <v>1918</v>
      </c>
      <c r="K96" s="37" t="s">
        <v>242</v>
      </c>
      <c r="L96" s="37" t="s">
        <v>245</v>
      </c>
      <c r="M96" s="37" t="s">
        <v>245</v>
      </c>
      <c r="N96" s="41" t="s">
        <v>2676</v>
      </c>
      <c r="O96" s="37" t="s">
        <v>306</v>
      </c>
      <c r="P96" s="50"/>
      <c r="Q96" s="37" t="s">
        <v>306</v>
      </c>
      <c r="R96" s="37"/>
      <c r="S96" s="53"/>
      <c r="T96" s="37" t="s">
        <v>2245</v>
      </c>
      <c r="U96" s="37"/>
      <c r="V96" s="37"/>
      <c r="W96" s="37"/>
      <c r="X96" s="50"/>
      <c r="Y96" s="53"/>
      <c r="Z96" s="37" t="s">
        <v>335</v>
      </c>
      <c r="AA96" s="37" t="s">
        <v>1917</v>
      </c>
    </row>
    <row r="97" spans="1:27" ht="28.8" x14ac:dyDescent="0.3">
      <c r="A97" s="43" t="s">
        <v>1925</v>
      </c>
      <c r="B97" s="38" t="s">
        <v>1924</v>
      </c>
      <c r="C97" s="54"/>
      <c r="D97" s="38"/>
      <c r="E97" s="38"/>
      <c r="F97" s="38"/>
      <c r="G97" s="38"/>
      <c r="H97" s="38"/>
      <c r="I97" s="42">
        <v>18000</v>
      </c>
      <c r="J97" s="38" t="s">
        <v>1922</v>
      </c>
      <c r="K97" s="38" t="s">
        <v>242</v>
      </c>
      <c r="L97" s="38" t="s">
        <v>245</v>
      </c>
      <c r="M97" s="38" t="s">
        <v>245</v>
      </c>
      <c r="N97" s="44" t="s">
        <v>2676</v>
      </c>
      <c r="O97" s="38" t="s">
        <v>306</v>
      </c>
      <c r="P97" s="52"/>
      <c r="Q97" s="38" t="s">
        <v>306</v>
      </c>
      <c r="R97" s="38"/>
      <c r="S97" s="54"/>
      <c r="T97" s="38" t="s">
        <v>2245</v>
      </c>
      <c r="U97" s="38"/>
      <c r="V97" s="38"/>
      <c r="W97" s="38"/>
      <c r="X97" s="52"/>
      <c r="Y97" s="54"/>
      <c r="Z97" s="38" t="s">
        <v>335</v>
      </c>
      <c r="AA97" s="38" t="s">
        <v>1921</v>
      </c>
    </row>
    <row r="98" spans="1:27" ht="28.8" x14ac:dyDescent="0.3">
      <c r="A98" s="40" t="s">
        <v>1930</v>
      </c>
      <c r="B98" s="37" t="s">
        <v>1929</v>
      </c>
      <c r="C98" s="53"/>
      <c r="D98" s="37"/>
      <c r="E98" s="37"/>
      <c r="F98" s="37"/>
      <c r="G98" s="37"/>
      <c r="H98" s="37"/>
      <c r="I98" s="39">
        <v>225</v>
      </c>
      <c r="J98" s="37" t="s">
        <v>1927</v>
      </c>
      <c r="K98" s="37" t="s">
        <v>242</v>
      </c>
      <c r="L98" s="37" t="s">
        <v>245</v>
      </c>
      <c r="M98" s="37" t="s">
        <v>245</v>
      </c>
      <c r="N98" s="41" t="s">
        <v>2676</v>
      </c>
      <c r="O98" s="37" t="s">
        <v>306</v>
      </c>
      <c r="P98" s="50"/>
      <c r="Q98" s="37" t="s">
        <v>306</v>
      </c>
      <c r="R98" s="37"/>
      <c r="S98" s="53"/>
      <c r="T98" s="37" t="s">
        <v>2245</v>
      </c>
      <c r="U98" s="37"/>
      <c r="V98" s="37"/>
      <c r="W98" s="37"/>
      <c r="X98" s="50"/>
      <c r="Y98" s="53"/>
      <c r="Z98" s="37" t="s">
        <v>335</v>
      </c>
      <c r="AA98" s="37" t="s">
        <v>1926</v>
      </c>
    </row>
    <row r="99" spans="1:27" ht="28.8" x14ac:dyDescent="0.3">
      <c r="A99" s="43" t="s">
        <v>1934</v>
      </c>
      <c r="B99" s="38" t="s">
        <v>1933</v>
      </c>
      <c r="C99" s="54"/>
      <c r="D99" s="38"/>
      <c r="E99" s="38"/>
      <c r="F99" s="38"/>
      <c r="G99" s="38"/>
      <c r="H99" s="38"/>
      <c r="I99" s="42">
        <v>1600</v>
      </c>
      <c r="J99" s="38" t="s">
        <v>1932</v>
      </c>
      <c r="K99" s="38" t="s">
        <v>242</v>
      </c>
      <c r="L99" s="38" t="s">
        <v>245</v>
      </c>
      <c r="M99" s="38" t="s">
        <v>245</v>
      </c>
      <c r="N99" s="44" t="s">
        <v>2676</v>
      </c>
      <c r="O99" s="38" t="s">
        <v>241</v>
      </c>
      <c r="P99" s="52"/>
      <c r="Q99" s="38" t="s">
        <v>241</v>
      </c>
      <c r="R99" s="38"/>
      <c r="S99" s="54"/>
      <c r="T99" s="38" t="s">
        <v>2245</v>
      </c>
      <c r="U99" s="38"/>
      <c r="V99" s="38"/>
      <c r="W99" s="38"/>
      <c r="X99" s="52"/>
      <c r="Y99" s="54"/>
      <c r="Z99" s="38" t="s">
        <v>335</v>
      </c>
      <c r="AA99" s="38" t="s">
        <v>1931</v>
      </c>
    </row>
    <row r="100" spans="1:27" ht="28.8" x14ac:dyDescent="0.3">
      <c r="A100" s="40" t="s">
        <v>1945</v>
      </c>
      <c r="B100" s="37" t="s">
        <v>1944</v>
      </c>
      <c r="C100" s="53"/>
      <c r="D100" s="37"/>
      <c r="E100" s="37"/>
      <c r="F100" s="37"/>
      <c r="G100" s="37"/>
      <c r="H100" s="37"/>
      <c r="I100" s="39">
        <v>2500</v>
      </c>
      <c r="J100" s="37" t="s">
        <v>1943</v>
      </c>
      <c r="K100" s="37" t="s">
        <v>242</v>
      </c>
      <c r="L100" s="37" t="s">
        <v>245</v>
      </c>
      <c r="M100" s="37" t="s">
        <v>245</v>
      </c>
      <c r="N100" s="41" t="s">
        <v>2676</v>
      </c>
      <c r="O100" s="37" t="s">
        <v>306</v>
      </c>
      <c r="P100" s="50"/>
      <c r="Q100" s="37" t="s">
        <v>306</v>
      </c>
      <c r="R100" s="37"/>
      <c r="S100" s="53"/>
      <c r="T100" s="37" t="s">
        <v>2245</v>
      </c>
      <c r="U100" s="37"/>
      <c r="V100" s="37"/>
      <c r="W100" s="37"/>
      <c r="X100" s="50"/>
      <c r="Y100" s="53"/>
      <c r="Z100" s="37" t="s">
        <v>335</v>
      </c>
      <c r="AA100" s="37" t="s">
        <v>1942</v>
      </c>
    </row>
    <row r="101" spans="1:27" ht="28.8" x14ac:dyDescent="0.3">
      <c r="A101" s="43" t="s">
        <v>1954</v>
      </c>
      <c r="B101" s="38" t="s">
        <v>1953</v>
      </c>
      <c r="C101" s="54"/>
      <c r="D101" s="38"/>
      <c r="E101" s="38"/>
      <c r="F101" s="38"/>
      <c r="G101" s="38"/>
      <c r="H101" s="38"/>
      <c r="I101" s="42">
        <v>1200</v>
      </c>
      <c r="J101" s="38" t="s">
        <v>1951</v>
      </c>
      <c r="K101" s="38" t="s">
        <v>242</v>
      </c>
      <c r="L101" s="38" t="s">
        <v>245</v>
      </c>
      <c r="M101" s="38" t="s">
        <v>245</v>
      </c>
      <c r="N101" s="44" t="s">
        <v>2676</v>
      </c>
      <c r="O101" s="38" t="s">
        <v>1952</v>
      </c>
      <c r="P101" s="52"/>
      <c r="Q101" s="38" t="s">
        <v>1952</v>
      </c>
      <c r="R101" s="38"/>
      <c r="S101" s="54"/>
      <c r="T101" s="38" t="s">
        <v>2245</v>
      </c>
      <c r="U101" s="38"/>
      <c r="V101" s="38"/>
      <c r="W101" s="38"/>
      <c r="X101" s="52"/>
      <c r="Y101" s="54"/>
      <c r="Z101" s="38" t="s">
        <v>293</v>
      </c>
      <c r="AA101" s="38" t="s">
        <v>1950</v>
      </c>
    </row>
    <row r="102" spans="1:27" ht="28.8" x14ac:dyDescent="0.3">
      <c r="A102" s="40" t="s">
        <v>1958</v>
      </c>
      <c r="B102" s="37" t="s">
        <v>1957</v>
      </c>
      <c r="C102" s="53"/>
      <c r="D102" s="37"/>
      <c r="E102" s="37"/>
      <c r="F102" s="37"/>
      <c r="G102" s="37"/>
      <c r="H102" s="37"/>
      <c r="I102" s="39">
        <v>2200</v>
      </c>
      <c r="J102" s="37" t="s">
        <v>1956</v>
      </c>
      <c r="K102" s="37" t="s">
        <v>242</v>
      </c>
      <c r="L102" s="37" t="s">
        <v>245</v>
      </c>
      <c r="M102" s="37" t="s">
        <v>245</v>
      </c>
      <c r="N102" s="41" t="s">
        <v>2676</v>
      </c>
      <c r="O102" s="37" t="s">
        <v>1952</v>
      </c>
      <c r="P102" s="50"/>
      <c r="Q102" s="37" t="s">
        <v>1952</v>
      </c>
      <c r="R102" s="37"/>
      <c r="S102" s="53"/>
      <c r="T102" s="37" t="s">
        <v>2245</v>
      </c>
      <c r="U102" s="37"/>
      <c r="V102" s="37"/>
      <c r="W102" s="37"/>
      <c r="X102" s="50"/>
      <c r="Y102" s="53"/>
      <c r="Z102" s="37" t="s">
        <v>335</v>
      </c>
      <c r="AA102" s="37" t="s">
        <v>1955</v>
      </c>
    </row>
    <row r="103" spans="1:27" ht="28.8" x14ac:dyDescent="0.3">
      <c r="A103" s="43" t="s">
        <v>1970</v>
      </c>
      <c r="B103" s="38" t="s">
        <v>1969</v>
      </c>
      <c r="C103" s="54"/>
      <c r="D103" s="38"/>
      <c r="E103" s="38"/>
      <c r="F103" s="38"/>
      <c r="G103" s="38"/>
      <c r="H103" s="38"/>
      <c r="I103" s="42">
        <v>480</v>
      </c>
      <c r="J103" s="38" t="s">
        <v>1966</v>
      </c>
      <c r="K103" s="38" t="s">
        <v>242</v>
      </c>
      <c r="L103" s="38" t="s">
        <v>245</v>
      </c>
      <c r="M103" s="38" t="s">
        <v>245</v>
      </c>
      <c r="N103" s="44" t="s">
        <v>2676</v>
      </c>
      <c r="O103" s="38" t="s">
        <v>1103</v>
      </c>
      <c r="P103" s="52"/>
      <c r="Q103" s="38" t="s">
        <v>1103</v>
      </c>
      <c r="R103" s="38"/>
      <c r="S103" s="54"/>
      <c r="T103" s="38" t="s">
        <v>2245</v>
      </c>
      <c r="U103" s="38"/>
      <c r="V103" s="38"/>
      <c r="W103" s="38"/>
      <c r="X103" s="52"/>
      <c r="Y103" s="54"/>
      <c r="Z103" s="38" t="s">
        <v>335</v>
      </c>
      <c r="AA103" s="38" t="s">
        <v>1965</v>
      </c>
    </row>
    <row r="104" spans="1:27" ht="28.8" x14ac:dyDescent="0.3">
      <c r="A104" s="40" t="s">
        <v>1976</v>
      </c>
      <c r="B104" s="37" t="s">
        <v>1975</v>
      </c>
      <c r="C104" s="53"/>
      <c r="D104" s="37"/>
      <c r="E104" s="37"/>
      <c r="F104" s="37"/>
      <c r="G104" s="37"/>
      <c r="H104" s="37"/>
      <c r="I104" s="39">
        <v>185</v>
      </c>
      <c r="J104" s="37" t="s">
        <v>1972</v>
      </c>
      <c r="K104" s="37" t="s">
        <v>242</v>
      </c>
      <c r="L104" s="37" t="s">
        <v>245</v>
      </c>
      <c r="M104" s="37" t="s">
        <v>245</v>
      </c>
      <c r="N104" s="41" t="s">
        <v>2676</v>
      </c>
      <c r="O104" s="37" t="s">
        <v>1103</v>
      </c>
      <c r="P104" s="50"/>
      <c r="Q104" s="37" t="s">
        <v>1103</v>
      </c>
      <c r="R104" s="37"/>
      <c r="S104" s="53"/>
      <c r="T104" s="37" t="s">
        <v>2245</v>
      </c>
      <c r="U104" s="37"/>
      <c r="V104" s="37"/>
      <c r="W104" s="37"/>
      <c r="X104" s="50"/>
      <c r="Y104" s="53"/>
      <c r="Z104" s="37" t="s">
        <v>335</v>
      </c>
      <c r="AA104" s="37" t="s">
        <v>1971</v>
      </c>
    </row>
    <row r="105" spans="1:27" ht="28.8" x14ac:dyDescent="0.3">
      <c r="A105" s="43" t="s">
        <v>1981</v>
      </c>
      <c r="B105" s="38" t="s">
        <v>1980</v>
      </c>
      <c r="C105" s="54"/>
      <c r="D105" s="38"/>
      <c r="E105" s="38"/>
      <c r="F105" s="38"/>
      <c r="G105" s="38"/>
      <c r="H105" s="38"/>
      <c r="I105" s="42">
        <v>305</v>
      </c>
      <c r="J105" s="38" t="s">
        <v>1978</v>
      </c>
      <c r="K105" s="38" t="s">
        <v>242</v>
      </c>
      <c r="L105" s="38" t="s">
        <v>245</v>
      </c>
      <c r="M105" s="38" t="s">
        <v>245</v>
      </c>
      <c r="N105" s="44" t="s">
        <v>2676</v>
      </c>
      <c r="O105" s="38" t="s">
        <v>1103</v>
      </c>
      <c r="P105" s="52"/>
      <c r="Q105" s="38" t="s">
        <v>1103</v>
      </c>
      <c r="R105" s="38"/>
      <c r="S105" s="54"/>
      <c r="T105" s="38" t="s">
        <v>2245</v>
      </c>
      <c r="U105" s="38"/>
      <c r="V105" s="38"/>
      <c r="W105" s="38"/>
      <c r="X105" s="52"/>
      <c r="Y105" s="54"/>
      <c r="Z105" s="38" t="s">
        <v>335</v>
      </c>
      <c r="AA105" s="38" t="s">
        <v>1977</v>
      </c>
    </row>
    <row r="106" spans="1:27" ht="28.8" x14ac:dyDescent="0.3">
      <c r="A106" s="40" t="s">
        <v>1986</v>
      </c>
      <c r="B106" s="37" t="s">
        <v>1985</v>
      </c>
      <c r="C106" s="53"/>
      <c r="D106" s="37"/>
      <c r="E106" s="37"/>
      <c r="F106" s="37"/>
      <c r="G106" s="37"/>
      <c r="H106" s="37"/>
      <c r="I106" s="39">
        <v>710</v>
      </c>
      <c r="J106" s="37" t="s">
        <v>1983</v>
      </c>
      <c r="K106" s="37" t="s">
        <v>242</v>
      </c>
      <c r="L106" s="37" t="s">
        <v>245</v>
      </c>
      <c r="M106" s="37" t="s">
        <v>245</v>
      </c>
      <c r="N106" s="41" t="s">
        <v>2676</v>
      </c>
      <c r="O106" s="37" t="s">
        <v>306</v>
      </c>
      <c r="P106" s="50"/>
      <c r="Q106" s="37" t="s">
        <v>306</v>
      </c>
      <c r="R106" s="37"/>
      <c r="S106" s="53"/>
      <c r="T106" s="37" t="s">
        <v>2245</v>
      </c>
      <c r="U106" s="37"/>
      <c r="V106" s="37"/>
      <c r="W106" s="37"/>
      <c r="X106" s="50"/>
      <c r="Y106" s="53"/>
      <c r="Z106" s="37" t="s">
        <v>335</v>
      </c>
      <c r="AA106" s="37" t="s">
        <v>1982</v>
      </c>
    </row>
    <row r="107" spans="1:27" ht="28.8" x14ac:dyDescent="0.3">
      <c r="A107" s="43" t="s">
        <v>1991</v>
      </c>
      <c r="B107" s="38" t="s">
        <v>1990</v>
      </c>
      <c r="C107" s="54">
        <v>5</v>
      </c>
      <c r="D107" s="38"/>
      <c r="E107" s="38"/>
      <c r="F107" s="38"/>
      <c r="G107" s="38"/>
      <c r="H107" s="38"/>
      <c r="I107" s="42">
        <v>460</v>
      </c>
      <c r="J107" s="38" t="s">
        <v>1988</v>
      </c>
      <c r="K107" s="38" t="s">
        <v>242</v>
      </c>
      <c r="L107" s="38" t="s">
        <v>245</v>
      </c>
      <c r="M107" s="38" t="s">
        <v>245</v>
      </c>
      <c r="N107" s="44" t="s">
        <v>2676</v>
      </c>
      <c r="O107" s="38" t="s">
        <v>1103</v>
      </c>
      <c r="P107" s="52"/>
      <c r="Q107" s="38" t="s">
        <v>1103</v>
      </c>
      <c r="R107" s="38"/>
      <c r="S107" s="54"/>
      <c r="T107" s="38" t="s">
        <v>2245</v>
      </c>
      <c r="U107" s="38"/>
      <c r="V107" s="38"/>
      <c r="W107" s="38"/>
      <c r="X107" s="52"/>
      <c r="Y107" s="54"/>
      <c r="Z107" s="38" t="s">
        <v>335</v>
      </c>
      <c r="AA107" s="38" t="s">
        <v>1987</v>
      </c>
    </row>
    <row r="108" spans="1:27" ht="28.8" x14ac:dyDescent="0.3">
      <c r="A108" s="40" t="s">
        <v>1996</v>
      </c>
      <c r="B108" s="37" t="s">
        <v>1995</v>
      </c>
      <c r="C108" s="53"/>
      <c r="D108" s="37"/>
      <c r="E108" s="37"/>
      <c r="F108" s="37"/>
      <c r="G108" s="37"/>
      <c r="H108" s="37"/>
      <c r="I108" s="39">
        <v>615</v>
      </c>
      <c r="J108" s="37" t="s">
        <v>1993</v>
      </c>
      <c r="K108" s="37" t="s">
        <v>242</v>
      </c>
      <c r="L108" s="37" t="s">
        <v>245</v>
      </c>
      <c r="M108" s="37" t="s">
        <v>245</v>
      </c>
      <c r="N108" s="41" t="s">
        <v>2676</v>
      </c>
      <c r="O108" s="37" t="s">
        <v>418</v>
      </c>
      <c r="P108" s="50"/>
      <c r="Q108" s="37" t="s">
        <v>418</v>
      </c>
      <c r="R108" s="37"/>
      <c r="S108" s="53"/>
      <c r="T108" s="37" t="s">
        <v>2245</v>
      </c>
      <c r="U108" s="37"/>
      <c r="V108" s="37"/>
      <c r="W108" s="37"/>
      <c r="X108" s="50"/>
      <c r="Y108" s="53"/>
      <c r="Z108" s="37" t="s">
        <v>335</v>
      </c>
      <c r="AA108" s="37" t="s">
        <v>1992</v>
      </c>
    </row>
    <row r="109" spans="1:27" ht="28.8" x14ac:dyDescent="0.3">
      <c r="A109" s="43" t="s">
        <v>2000</v>
      </c>
      <c r="B109" s="38" t="s">
        <v>1999</v>
      </c>
      <c r="C109" s="54"/>
      <c r="D109" s="38"/>
      <c r="E109" s="38"/>
      <c r="F109" s="38"/>
      <c r="G109" s="38"/>
      <c r="H109" s="38"/>
      <c r="I109" s="42">
        <v>190</v>
      </c>
      <c r="J109" s="38" t="s">
        <v>1998</v>
      </c>
      <c r="K109" s="38" t="s">
        <v>242</v>
      </c>
      <c r="L109" s="38" t="s">
        <v>245</v>
      </c>
      <c r="M109" s="38" t="s">
        <v>245</v>
      </c>
      <c r="N109" s="44" t="s">
        <v>2676</v>
      </c>
      <c r="O109" s="38" t="s">
        <v>418</v>
      </c>
      <c r="P109" s="52"/>
      <c r="Q109" s="38" t="s">
        <v>418</v>
      </c>
      <c r="R109" s="38"/>
      <c r="S109" s="54"/>
      <c r="T109" s="38" t="s">
        <v>2245</v>
      </c>
      <c r="U109" s="38"/>
      <c r="V109" s="38"/>
      <c r="W109" s="38"/>
      <c r="X109" s="52"/>
      <c r="Y109" s="54"/>
      <c r="Z109" s="38" t="s">
        <v>335</v>
      </c>
      <c r="AA109" s="38" t="s">
        <v>1997</v>
      </c>
    </row>
    <row r="110" spans="1:27" ht="28.8" x14ac:dyDescent="0.3">
      <c r="A110" s="40" t="s">
        <v>2022</v>
      </c>
      <c r="B110" s="37" t="s">
        <v>2021</v>
      </c>
      <c r="C110" s="53"/>
      <c r="D110" s="37"/>
      <c r="E110" s="37"/>
      <c r="F110" s="37"/>
      <c r="G110" s="37"/>
      <c r="H110" s="37"/>
      <c r="I110" s="39">
        <v>240</v>
      </c>
      <c r="J110" s="37" t="s">
        <v>2019</v>
      </c>
      <c r="K110" s="37" t="s">
        <v>242</v>
      </c>
      <c r="L110" s="37" t="s">
        <v>245</v>
      </c>
      <c r="M110" s="37" t="s">
        <v>245</v>
      </c>
      <c r="N110" s="41" t="s">
        <v>2676</v>
      </c>
      <c r="O110" s="37" t="s">
        <v>1103</v>
      </c>
      <c r="P110" s="50"/>
      <c r="Q110" s="37" t="s">
        <v>1103</v>
      </c>
      <c r="R110" s="37"/>
      <c r="S110" s="53"/>
      <c r="T110" s="37" t="s">
        <v>2245</v>
      </c>
      <c r="U110" s="37"/>
      <c r="V110" s="37"/>
      <c r="W110" s="37"/>
      <c r="X110" s="50"/>
      <c r="Y110" s="53"/>
      <c r="Z110" s="37" t="s">
        <v>335</v>
      </c>
      <c r="AA110" s="37" t="s">
        <v>2018</v>
      </c>
    </row>
    <row r="111" spans="1:27" ht="28.8" x14ac:dyDescent="0.3">
      <c r="A111" s="43" t="s">
        <v>2026</v>
      </c>
      <c r="B111" s="38" t="s">
        <v>2025</v>
      </c>
      <c r="C111" s="54"/>
      <c r="D111" s="38"/>
      <c r="E111" s="38"/>
      <c r="F111" s="38"/>
      <c r="G111" s="38"/>
      <c r="H111" s="38"/>
      <c r="I111" s="42">
        <v>260</v>
      </c>
      <c r="J111" s="38" t="s">
        <v>2024</v>
      </c>
      <c r="K111" s="38" t="s">
        <v>242</v>
      </c>
      <c r="L111" s="38" t="s">
        <v>245</v>
      </c>
      <c r="M111" s="38" t="s">
        <v>245</v>
      </c>
      <c r="N111" s="44" t="s">
        <v>2676</v>
      </c>
      <c r="O111" s="38" t="s">
        <v>1103</v>
      </c>
      <c r="P111" s="52"/>
      <c r="Q111" s="38" t="s">
        <v>1103</v>
      </c>
      <c r="R111" s="38"/>
      <c r="S111" s="54"/>
      <c r="T111" s="38" t="s">
        <v>2245</v>
      </c>
      <c r="U111" s="38"/>
      <c r="V111" s="38"/>
      <c r="W111" s="38"/>
      <c r="X111" s="52"/>
      <c r="Y111" s="54"/>
      <c r="Z111" s="38" t="s">
        <v>335</v>
      </c>
      <c r="AA111" s="38" t="s">
        <v>2023</v>
      </c>
    </row>
    <row r="112" spans="1:27" ht="28.8" x14ac:dyDescent="0.3">
      <c r="A112" s="40" t="s">
        <v>2030</v>
      </c>
      <c r="B112" s="37" t="s">
        <v>2029</v>
      </c>
      <c r="C112" s="53"/>
      <c r="D112" s="37"/>
      <c r="E112" s="37"/>
      <c r="F112" s="37"/>
      <c r="G112" s="37"/>
      <c r="H112" s="37"/>
      <c r="I112" s="39">
        <v>450</v>
      </c>
      <c r="J112" s="37" t="s">
        <v>2028</v>
      </c>
      <c r="K112" s="37" t="s">
        <v>242</v>
      </c>
      <c r="L112" s="37" t="s">
        <v>245</v>
      </c>
      <c r="M112" s="37" t="s">
        <v>245</v>
      </c>
      <c r="N112" s="41" t="s">
        <v>2676</v>
      </c>
      <c r="O112" s="37" t="s">
        <v>1103</v>
      </c>
      <c r="P112" s="50"/>
      <c r="Q112" s="37" t="s">
        <v>1103</v>
      </c>
      <c r="R112" s="37"/>
      <c r="S112" s="53"/>
      <c r="T112" s="37" t="s">
        <v>2245</v>
      </c>
      <c r="U112" s="37"/>
      <c r="V112" s="37"/>
      <c r="W112" s="37"/>
      <c r="X112" s="50"/>
      <c r="Y112" s="53"/>
      <c r="Z112" s="37" t="s">
        <v>335</v>
      </c>
      <c r="AA112" s="37" t="s">
        <v>2027</v>
      </c>
    </row>
    <row r="113" spans="1:27" ht="28.8" x14ac:dyDescent="0.3">
      <c r="A113" s="43" t="s">
        <v>2035</v>
      </c>
      <c r="B113" s="38" t="s">
        <v>2034</v>
      </c>
      <c r="C113" s="54"/>
      <c r="D113" s="38"/>
      <c r="E113" s="38"/>
      <c r="F113" s="38"/>
      <c r="G113" s="38"/>
      <c r="H113" s="38"/>
      <c r="I113" s="42">
        <v>120</v>
      </c>
      <c r="J113" s="38" t="s">
        <v>2032</v>
      </c>
      <c r="K113" s="38" t="s">
        <v>242</v>
      </c>
      <c r="L113" s="38" t="s">
        <v>245</v>
      </c>
      <c r="M113" s="38" t="s">
        <v>245</v>
      </c>
      <c r="N113" s="44" t="s">
        <v>2676</v>
      </c>
      <c r="O113" s="38" t="s">
        <v>1103</v>
      </c>
      <c r="P113" s="52"/>
      <c r="Q113" s="38" t="s">
        <v>1103</v>
      </c>
      <c r="R113" s="38"/>
      <c r="S113" s="54"/>
      <c r="T113" s="38" t="s">
        <v>2245</v>
      </c>
      <c r="U113" s="38"/>
      <c r="V113" s="38"/>
      <c r="W113" s="38"/>
      <c r="X113" s="52"/>
      <c r="Y113" s="54"/>
      <c r="Z113" s="38" t="s">
        <v>335</v>
      </c>
      <c r="AA113" s="38" t="s">
        <v>2031</v>
      </c>
    </row>
    <row r="114" spans="1:27" ht="28.8" x14ac:dyDescent="0.3">
      <c r="A114" s="40" t="s">
        <v>2196</v>
      </c>
      <c r="B114" s="37" t="s">
        <v>2195</v>
      </c>
      <c r="C114" s="53">
        <v>2440</v>
      </c>
      <c r="D114" s="37"/>
      <c r="E114" s="37"/>
      <c r="F114" s="37"/>
      <c r="G114" s="37"/>
      <c r="H114" s="37"/>
      <c r="I114" s="39">
        <v>2880</v>
      </c>
      <c r="J114" s="37" t="s">
        <v>2193</v>
      </c>
      <c r="K114" s="37" t="s">
        <v>242</v>
      </c>
      <c r="L114" s="37" t="s">
        <v>245</v>
      </c>
      <c r="M114" s="37" t="s">
        <v>245</v>
      </c>
      <c r="N114" s="41" t="s">
        <v>2676</v>
      </c>
      <c r="O114" s="37" t="s">
        <v>306</v>
      </c>
      <c r="P114" s="50"/>
      <c r="Q114" s="37" t="s">
        <v>306</v>
      </c>
      <c r="R114" s="37"/>
      <c r="S114" s="53"/>
      <c r="T114" s="37" t="s">
        <v>2245</v>
      </c>
      <c r="U114" s="37"/>
      <c r="V114" s="37"/>
      <c r="W114" s="37"/>
      <c r="X114" s="50"/>
      <c r="Y114" s="53"/>
      <c r="Z114" s="37" t="s">
        <v>335</v>
      </c>
      <c r="AA114" s="37" t="s">
        <v>2192</v>
      </c>
    </row>
    <row r="115" spans="1:27" ht="28.8" x14ac:dyDescent="0.3">
      <c r="A115" s="43" t="s">
        <v>2200</v>
      </c>
      <c r="B115" s="38" t="s">
        <v>2199</v>
      </c>
      <c r="C115" s="54"/>
      <c r="D115" s="38"/>
      <c r="E115" s="38"/>
      <c r="F115" s="38"/>
      <c r="G115" s="38"/>
      <c r="H115" s="38"/>
      <c r="I115" s="42">
        <v>200</v>
      </c>
      <c r="J115" s="38" t="s">
        <v>2198</v>
      </c>
      <c r="K115" s="38" t="s">
        <v>242</v>
      </c>
      <c r="L115" s="38" t="s">
        <v>245</v>
      </c>
      <c r="M115" s="38" t="s">
        <v>245</v>
      </c>
      <c r="N115" s="44" t="s">
        <v>2676</v>
      </c>
      <c r="O115" s="38" t="s">
        <v>388</v>
      </c>
      <c r="P115" s="52"/>
      <c r="Q115" s="38" t="s">
        <v>388</v>
      </c>
      <c r="R115" s="38"/>
      <c r="S115" s="54"/>
      <c r="T115" s="38" t="s">
        <v>2245</v>
      </c>
      <c r="U115" s="38"/>
      <c r="V115" s="38"/>
      <c r="W115" s="38"/>
      <c r="X115" s="52"/>
      <c r="Y115" s="54"/>
      <c r="Z115" s="38" t="s">
        <v>335</v>
      </c>
      <c r="AA115" s="38" t="s">
        <v>2197</v>
      </c>
    </row>
    <row r="116" spans="1:27" ht="28.8" x14ac:dyDescent="0.3">
      <c r="A116" s="40" t="s">
        <v>2204</v>
      </c>
      <c r="B116" s="37" t="s">
        <v>2203</v>
      </c>
      <c r="C116" s="53"/>
      <c r="D116" s="37"/>
      <c r="E116" s="37"/>
      <c r="F116" s="37"/>
      <c r="G116" s="37"/>
      <c r="H116" s="37"/>
      <c r="I116" s="39">
        <v>510</v>
      </c>
      <c r="J116" s="37" t="s">
        <v>2202</v>
      </c>
      <c r="K116" s="37" t="s">
        <v>242</v>
      </c>
      <c r="L116" s="37" t="s">
        <v>245</v>
      </c>
      <c r="M116" s="37" t="s">
        <v>245</v>
      </c>
      <c r="N116" s="41" t="s">
        <v>2676</v>
      </c>
      <c r="O116" s="37" t="s">
        <v>306</v>
      </c>
      <c r="P116" s="50"/>
      <c r="Q116" s="37" t="s">
        <v>306</v>
      </c>
      <c r="R116" s="37"/>
      <c r="S116" s="53"/>
      <c r="T116" s="37" t="s">
        <v>2245</v>
      </c>
      <c r="U116" s="37"/>
      <c r="V116" s="37"/>
      <c r="W116" s="37"/>
      <c r="X116" s="50"/>
      <c r="Y116" s="53"/>
      <c r="Z116" s="37" t="s">
        <v>335</v>
      </c>
      <c r="AA116" s="37" t="s">
        <v>2201</v>
      </c>
    </row>
    <row r="117" spans="1:27" ht="28.8" x14ac:dyDescent="0.3">
      <c r="A117" s="43" t="s">
        <v>2210</v>
      </c>
      <c r="B117" s="38" t="s">
        <v>2209</v>
      </c>
      <c r="C117" s="54"/>
      <c r="D117" s="38"/>
      <c r="E117" s="38"/>
      <c r="F117" s="38"/>
      <c r="G117" s="38"/>
      <c r="H117" s="38"/>
      <c r="I117" s="42">
        <v>265</v>
      </c>
      <c r="J117" s="38" t="s">
        <v>2206</v>
      </c>
      <c r="K117" s="38" t="s">
        <v>242</v>
      </c>
      <c r="L117" s="38" t="s">
        <v>245</v>
      </c>
      <c r="M117" s="38" t="s">
        <v>245</v>
      </c>
      <c r="N117" s="44" t="s">
        <v>2676</v>
      </c>
      <c r="O117" s="38" t="s">
        <v>306</v>
      </c>
      <c r="P117" s="52"/>
      <c r="Q117" s="38" t="s">
        <v>306</v>
      </c>
      <c r="R117" s="38"/>
      <c r="S117" s="54"/>
      <c r="T117" s="38" t="s">
        <v>2245</v>
      </c>
      <c r="U117" s="38"/>
      <c r="V117" s="38"/>
      <c r="W117" s="38"/>
      <c r="X117" s="52"/>
      <c r="Y117" s="54"/>
      <c r="Z117" s="38" t="s">
        <v>335</v>
      </c>
      <c r="AA117" s="38" t="s">
        <v>2205</v>
      </c>
    </row>
    <row r="118" spans="1:27" ht="28.8" x14ac:dyDescent="0.3">
      <c r="A118" s="40" t="s">
        <v>2221</v>
      </c>
      <c r="B118" s="37" t="s">
        <v>2220</v>
      </c>
      <c r="C118" s="53"/>
      <c r="D118" s="37"/>
      <c r="E118" s="37"/>
      <c r="F118" s="37"/>
      <c r="G118" s="37"/>
      <c r="H118" s="37"/>
      <c r="I118" s="39">
        <v>2060</v>
      </c>
      <c r="J118" s="37" t="s">
        <v>2218</v>
      </c>
      <c r="K118" s="37" t="s">
        <v>242</v>
      </c>
      <c r="L118" s="37" t="s">
        <v>245</v>
      </c>
      <c r="M118" s="37" t="s">
        <v>245</v>
      </c>
      <c r="N118" s="41" t="s">
        <v>2676</v>
      </c>
      <c r="O118" s="37" t="s">
        <v>362</v>
      </c>
      <c r="P118" s="50"/>
      <c r="Q118" s="37" t="s">
        <v>362</v>
      </c>
      <c r="R118" s="37"/>
      <c r="S118" s="53"/>
      <c r="T118" s="37" t="s">
        <v>2245</v>
      </c>
      <c r="U118" s="37"/>
      <c r="V118" s="37"/>
      <c r="W118" s="37"/>
      <c r="X118" s="50"/>
      <c r="Y118" s="53"/>
      <c r="Z118" s="37" t="s">
        <v>335</v>
      </c>
      <c r="AA118" s="37" t="s">
        <v>2217</v>
      </c>
    </row>
    <row r="119" spans="1:27" ht="28.8" x14ac:dyDescent="0.3">
      <c r="A119" s="43" t="s">
        <v>2226</v>
      </c>
      <c r="B119" s="38" t="s">
        <v>2225</v>
      </c>
      <c r="C119" s="54"/>
      <c r="D119" s="38"/>
      <c r="E119" s="38"/>
      <c r="F119" s="38"/>
      <c r="G119" s="38"/>
      <c r="H119" s="38"/>
      <c r="I119" s="42">
        <v>2840</v>
      </c>
      <c r="J119" s="38" t="s">
        <v>2223</v>
      </c>
      <c r="K119" s="38" t="s">
        <v>242</v>
      </c>
      <c r="L119" s="38" t="s">
        <v>245</v>
      </c>
      <c r="M119" s="38" t="s">
        <v>245</v>
      </c>
      <c r="N119" s="44" t="s">
        <v>2676</v>
      </c>
      <c r="O119" s="38" t="s">
        <v>362</v>
      </c>
      <c r="P119" s="52"/>
      <c r="Q119" s="38" t="s">
        <v>362</v>
      </c>
      <c r="R119" s="38"/>
      <c r="S119" s="54"/>
      <c r="T119" s="38" t="s">
        <v>2245</v>
      </c>
      <c r="U119" s="38"/>
      <c r="V119" s="38"/>
      <c r="W119" s="38"/>
      <c r="X119" s="52"/>
      <c r="Y119" s="54"/>
      <c r="Z119" s="38" t="s">
        <v>335</v>
      </c>
      <c r="AA119" s="38" t="s">
        <v>2222</v>
      </c>
    </row>
    <row r="120" spans="1:27" ht="28.8" x14ac:dyDescent="0.3">
      <c r="A120" s="40" t="s">
        <v>2230</v>
      </c>
      <c r="B120" s="37" t="s">
        <v>2229</v>
      </c>
      <c r="C120" s="53"/>
      <c r="D120" s="37"/>
      <c r="E120" s="37"/>
      <c r="F120" s="37"/>
      <c r="G120" s="37"/>
      <c r="H120" s="37"/>
      <c r="I120" s="39">
        <v>340</v>
      </c>
      <c r="J120" s="37" t="s">
        <v>2228</v>
      </c>
      <c r="K120" s="37" t="s">
        <v>242</v>
      </c>
      <c r="L120" s="37" t="s">
        <v>245</v>
      </c>
      <c r="M120" s="37" t="s">
        <v>245</v>
      </c>
      <c r="N120" s="41" t="s">
        <v>2676</v>
      </c>
      <c r="O120" s="37" t="s">
        <v>306</v>
      </c>
      <c r="P120" s="50"/>
      <c r="Q120" s="37" t="s">
        <v>306</v>
      </c>
      <c r="R120" s="37"/>
      <c r="S120" s="53"/>
      <c r="T120" s="37" t="s">
        <v>2245</v>
      </c>
      <c r="U120" s="37"/>
      <c r="V120" s="37"/>
      <c r="W120" s="37"/>
      <c r="X120" s="50"/>
      <c r="Y120" s="53"/>
      <c r="Z120" s="37" t="s">
        <v>335</v>
      </c>
      <c r="AA120" s="37" t="s">
        <v>2227</v>
      </c>
    </row>
    <row r="121" spans="1:27" ht="57.6" x14ac:dyDescent="0.3">
      <c r="A121" s="43" t="s">
        <v>2235</v>
      </c>
      <c r="B121" s="38" t="s">
        <v>2234</v>
      </c>
      <c r="C121" s="54">
        <v>200</v>
      </c>
      <c r="D121" s="38"/>
      <c r="E121" s="38"/>
      <c r="F121" s="38"/>
      <c r="G121" s="38"/>
      <c r="H121" s="38"/>
      <c r="I121" s="42">
        <v>35000</v>
      </c>
      <c r="J121" s="38" t="s">
        <v>2232</v>
      </c>
      <c r="K121" s="38" t="s">
        <v>242</v>
      </c>
      <c r="L121" s="38" t="s">
        <v>245</v>
      </c>
      <c r="M121" s="38" t="s">
        <v>245</v>
      </c>
      <c r="N121" s="44" t="s">
        <v>2676</v>
      </c>
      <c r="O121" s="38" t="s">
        <v>306</v>
      </c>
      <c r="P121" s="52"/>
      <c r="Q121" s="38" t="s">
        <v>306</v>
      </c>
      <c r="R121" s="38"/>
      <c r="S121" s="54"/>
      <c r="T121" s="38" t="s">
        <v>2245</v>
      </c>
      <c r="U121" s="38"/>
      <c r="V121" s="38"/>
      <c r="W121" s="38"/>
      <c r="X121" s="52"/>
      <c r="Y121" s="54"/>
      <c r="Z121" s="38" t="s">
        <v>335</v>
      </c>
      <c r="AA121" s="38" t="s">
        <v>2231</v>
      </c>
    </row>
    <row r="122" spans="1:27" ht="28.8" x14ac:dyDescent="0.3">
      <c r="A122" s="40" t="s">
        <v>2240</v>
      </c>
      <c r="B122" s="37" t="s">
        <v>2239</v>
      </c>
      <c r="C122" s="53"/>
      <c r="D122" s="37"/>
      <c r="E122" s="37"/>
      <c r="F122" s="37"/>
      <c r="G122" s="37"/>
      <c r="H122" s="37"/>
      <c r="I122" s="39">
        <v>690</v>
      </c>
      <c r="J122" s="37" t="s">
        <v>2237</v>
      </c>
      <c r="K122" s="37" t="s">
        <v>242</v>
      </c>
      <c r="L122" s="37" t="s">
        <v>245</v>
      </c>
      <c r="M122" s="37" t="s">
        <v>245</v>
      </c>
      <c r="N122" s="41" t="s">
        <v>2676</v>
      </c>
      <c r="O122" s="37" t="s">
        <v>1441</v>
      </c>
      <c r="P122" s="50"/>
      <c r="Q122" s="37" t="s">
        <v>1441</v>
      </c>
      <c r="R122" s="37"/>
      <c r="S122" s="53"/>
      <c r="T122" s="37" t="s">
        <v>2245</v>
      </c>
      <c r="U122" s="37"/>
      <c r="V122" s="37"/>
      <c r="W122" s="37"/>
      <c r="X122" s="50"/>
      <c r="Y122" s="53"/>
      <c r="Z122" s="37" t="s">
        <v>335</v>
      </c>
      <c r="AA122" s="37" t="s">
        <v>2236</v>
      </c>
    </row>
  </sheetData>
  <autoFilter ref="A1:AA122" xr:uid="{00000000-0009-0000-0000-000024000000}"/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L280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40" customWidth="1"/>
    <col min="3" max="3" width="24" customWidth="1"/>
    <col min="4" max="4" width="17" customWidth="1"/>
    <col min="5" max="5" width="24" customWidth="1"/>
    <col min="6" max="7" width="12" customWidth="1"/>
    <col min="8" max="8" width="11" customWidth="1"/>
    <col min="9" max="9" width="19" customWidth="1"/>
    <col min="10" max="10" width="15" customWidth="1"/>
    <col min="11" max="11" width="13" customWidth="1"/>
    <col min="12" max="12" width="40" customWidth="1"/>
  </cols>
  <sheetData>
    <row r="1" spans="1:12" ht="28.8" x14ac:dyDescent="0.3">
      <c r="A1" s="36" t="s">
        <v>555</v>
      </c>
      <c r="B1" s="36" t="s">
        <v>556</v>
      </c>
      <c r="C1" s="36" t="s">
        <v>557</v>
      </c>
      <c r="D1" s="36" t="s">
        <v>558</v>
      </c>
      <c r="E1" s="36" t="s">
        <v>559</v>
      </c>
      <c r="F1" s="36" t="s">
        <v>560</v>
      </c>
      <c r="G1" s="36" t="s">
        <v>561</v>
      </c>
      <c r="H1" s="36" t="s">
        <v>467</v>
      </c>
      <c r="I1" s="36" t="s">
        <v>196</v>
      </c>
      <c r="J1" s="36" t="s">
        <v>197</v>
      </c>
      <c r="K1" s="36" t="s">
        <v>562</v>
      </c>
      <c r="L1" s="36" t="s">
        <v>116</v>
      </c>
    </row>
    <row r="2" spans="1:12" ht="28.8" x14ac:dyDescent="0.3">
      <c r="A2" s="37" t="s">
        <v>563</v>
      </c>
      <c r="B2" s="37" t="s">
        <v>1035</v>
      </c>
      <c r="C2" s="37" t="s">
        <v>2677</v>
      </c>
      <c r="D2" s="37">
        <v>2</v>
      </c>
      <c r="E2" s="37" t="s">
        <v>402</v>
      </c>
      <c r="F2" s="37" t="s">
        <v>246</v>
      </c>
      <c r="G2" s="40" t="s">
        <v>1038</v>
      </c>
      <c r="H2" s="40"/>
      <c r="I2" s="37" t="s">
        <v>335</v>
      </c>
      <c r="J2" s="37" t="s">
        <v>2678</v>
      </c>
      <c r="K2" s="37" t="s">
        <v>255</v>
      </c>
      <c r="L2" s="41" t="s">
        <v>1039</v>
      </c>
    </row>
    <row r="3" spans="1:12" ht="28.8" x14ac:dyDescent="0.3">
      <c r="A3" s="38" t="s">
        <v>566</v>
      </c>
      <c r="B3" s="38" t="s">
        <v>1040</v>
      </c>
      <c r="C3" s="38" t="s">
        <v>2677</v>
      </c>
      <c r="D3" s="38">
        <v>3</v>
      </c>
      <c r="E3" s="38" t="s">
        <v>239</v>
      </c>
      <c r="F3" s="38" t="s">
        <v>286</v>
      </c>
      <c r="G3" s="43" t="s">
        <v>1043</v>
      </c>
      <c r="H3" s="43" t="s">
        <v>536</v>
      </c>
      <c r="I3" s="38" t="s">
        <v>335</v>
      </c>
      <c r="J3" s="38" t="s">
        <v>2678</v>
      </c>
      <c r="K3" s="38" t="s">
        <v>255</v>
      </c>
      <c r="L3" s="44" t="s">
        <v>1044</v>
      </c>
    </row>
    <row r="4" spans="1:12" ht="43.2" x14ac:dyDescent="0.3">
      <c r="A4" s="37" t="s">
        <v>567</v>
      </c>
      <c r="B4" s="37" t="s">
        <v>1045</v>
      </c>
      <c r="C4" s="37" t="s">
        <v>2677</v>
      </c>
      <c r="D4" s="37">
        <v>4</v>
      </c>
      <c r="E4" s="37" t="s">
        <v>1048</v>
      </c>
      <c r="F4" s="37" t="s">
        <v>286</v>
      </c>
      <c r="G4" s="40" t="s">
        <v>1050</v>
      </c>
      <c r="H4" s="40" t="s">
        <v>540</v>
      </c>
      <c r="I4" s="37" t="s">
        <v>335</v>
      </c>
      <c r="J4" s="37" t="s">
        <v>2678</v>
      </c>
      <c r="K4" s="37" t="s">
        <v>255</v>
      </c>
      <c r="L4" s="41" t="s">
        <v>1044</v>
      </c>
    </row>
    <row r="5" spans="1:12" ht="28.8" x14ac:dyDescent="0.3">
      <c r="A5" s="38" t="s">
        <v>1051</v>
      </c>
      <c r="B5" s="38" t="s">
        <v>1052</v>
      </c>
      <c r="C5" s="38" t="s">
        <v>2677</v>
      </c>
      <c r="D5" s="38">
        <v>5</v>
      </c>
      <c r="E5" s="38" t="s">
        <v>239</v>
      </c>
      <c r="F5" s="38" t="s">
        <v>286</v>
      </c>
      <c r="G5" s="43" t="s">
        <v>1057</v>
      </c>
      <c r="H5" s="43" t="s">
        <v>543</v>
      </c>
      <c r="I5" s="38" t="s">
        <v>335</v>
      </c>
      <c r="J5" s="38" t="s">
        <v>2678</v>
      </c>
      <c r="K5" s="38" t="s">
        <v>255</v>
      </c>
      <c r="L5" s="44" t="s">
        <v>1044</v>
      </c>
    </row>
    <row r="6" spans="1:12" ht="28.8" x14ac:dyDescent="0.3">
      <c r="A6" s="37" t="s">
        <v>1058</v>
      </c>
      <c r="B6" s="37" t="s">
        <v>1059</v>
      </c>
      <c r="C6" s="37" t="s">
        <v>2677</v>
      </c>
      <c r="D6" s="37">
        <v>6</v>
      </c>
      <c r="E6" s="37" t="s">
        <v>239</v>
      </c>
      <c r="F6" s="37" t="s">
        <v>246</v>
      </c>
      <c r="G6" s="40" t="s">
        <v>1064</v>
      </c>
      <c r="H6" s="40"/>
      <c r="I6" s="37" t="s">
        <v>335</v>
      </c>
      <c r="J6" s="37" t="s">
        <v>2678</v>
      </c>
      <c r="K6" s="37" t="s">
        <v>255</v>
      </c>
      <c r="L6" s="41" t="s">
        <v>1044</v>
      </c>
    </row>
    <row r="7" spans="1:12" ht="28.8" x14ac:dyDescent="0.3">
      <c r="A7" s="38" t="s">
        <v>1065</v>
      </c>
      <c r="B7" s="38" t="s">
        <v>1066</v>
      </c>
      <c r="C7" s="38" t="s">
        <v>2677</v>
      </c>
      <c r="D7" s="38">
        <v>7</v>
      </c>
      <c r="E7" s="38" t="s">
        <v>402</v>
      </c>
      <c r="F7" s="38" t="s">
        <v>246</v>
      </c>
      <c r="G7" s="43" t="s">
        <v>1072</v>
      </c>
      <c r="H7" s="43"/>
      <c r="I7" s="38" t="s">
        <v>335</v>
      </c>
      <c r="J7" s="38" t="s">
        <v>2678</v>
      </c>
      <c r="K7" s="38" t="s">
        <v>255</v>
      </c>
      <c r="L7" s="44" t="s">
        <v>1073</v>
      </c>
    </row>
    <row r="8" spans="1:12" ht="43.2" x14ac:dyDescent="0.3">
      <c r="A8" s="37" t="s">
        <v>1074</v>
      </c>
      <c r="B8" s="37" t="s">
        <v>1075</v>
      </c>
      <c r="C8" s="37" t="s">
        <v>2677</v>
      </c>
      <c r="D8" s="37">
        <v>8</v>
      </c>
      <c r="E8" s="37" t="s">
        <v>1078</v>
      </c>
      <c r="F8" s="37" t="s">
        <v>246</v>
      </c>
      <c r="G8" s="40" t="s">
        <v>1081</v>
      </c>
      <c r="H8" s="40"/>
      <c r="I8" s="37" t="s">
        <v>335</v>
      </c>
      <c r="J8" s="37" t="s">
        <v>2678</v>
      </c>
      <c r="K8" s="37" t="s">
        <v>255</v>
      </c>
      <c r="L8" s="41" t="s">
        <v>1082</v>
      </c>
    </row>
    <row r="9" spans="1:12" ht="28.8" x14ac:dyDescent="0.3">
      <c r="A9" s="38" t="s">
        <v>1083</v>
      </c>
      <c r="B9" s="38" t="s">
        <v>1084</v>
      </c>
      <c r="C9" s="38" t="s">
        <v>2677</v>
      </c>
      <c r="D9" s="38">
        <v>9</v>
      </c>
      <c r="E9" s="38" t="s">
        <v>1086</v>
      </c>
      <c r="F9" s="38" t="s">
        <v>246</v>
      </c>
      <c r="G9" s="43" t="s">
        <v>1087</v>
      </c>
      <c r="H9" s="43"/>
      <c r="I9" s="38" t="s">
        <v>335</v>
      </c>
      <c r="J9" s="38" t="s">
        <v>2678</v>
      </c>
      <c r="K9" s="38" t="s">
        <v>255</v>
      </c>
      <c r="L9" s="44" t="s">
        <v>1044</v>
      </c>
    </row>
    <row r="10" spans="1:12" ht="43.2" x14ac:dyDescent="0.3">
      <c r="A10" s="37" t="s">
        <v>1088</v>
      </c>
      <c r="B10" s="37" t="s">
        <v>1089</v>
      </c>
      <c r="C10" s="37" t="s">
        <v>2677</v>
      </c>
      <c r="D10" s="37">
        <v>10</v>
      </c>
      <c r="E10" s="37" t="s">
        <v>1078</v>
      </c>
      <c r="F10" s="37" t="s">
        <v>246</v>
      </c>
      <c r="G10" s="40" t="s">
        <v>1091</v>
      </c>
      <c r="H10" s="40"/>
      <c r="I10" s="37" t="s">
        <v>335</v>
      </c>
      <c r="J10" s="37" t="s">
        <v>2678</v>
      </c>
      <c r="K10" s="37" t="s">
        <v>255</v>
      </c>
      <c r="L10" s="41" t="s">
        <v>1082</v>
      </c>
    </row>
    <row r="11" spans="1:12" ht="28.8" x14ac:dyDescent="0.3">
      <c r="A11" s="38" t="s">
        <v>1092</v>
      </c>
      <c r="B11" s="38" t="s">
        <v>1093</v>
      </c>
      <c r="C11" s="38" t="s">
        <v>2677</v>
      </c>
      <c r="D11" s="38">
        <v>11</v>
      </c>
      <c r="E11" s="38" t="s">
        <v>402</v>
      </c>
      <c r="F11" s="38" t="s">
        <v>246</v>
      </c>
      <c r="G11" s="43" t="s">
        <v>1096</v>
      </c>
      <c r="H11" s="43"/>
      <c r="I11" s="38" t="s">
        <v>335</v>
      </c>
      <c r="J11" s="38" t="s">
        <v>2678</v>
      </c>
      <c r="K11" s="38" t="s">
        <v>255</v>
      </c>
      <c r="L11" s="44" t="s">
        <v>1073</v>
      </c>
    </row>
    <row r="12" spans="1:12" ht="43.2" x14ac:dyDescent="0.3">
      <c r="A12" s="37" t="s">
        <v>1097</v>
      </c>
      <c r="B12" s="37" t="s">
        <v>1098</v>
      </c>
      <c r="C12" s="37" t="s">
        <v>2677</v>
      </c>
      <c r="D12" s="37">
        <v>12</v>
      </c>
      <c r="E12" s="37" t="s">
        <v>1078</v>
      </c>
      <c r="F12" s="37" t="s">
        <v>246</v>
      </c>
      <c r="G12" s="40" t="s">
        <v>1100</v>
      </c>
      <c r="H12" s="40"/>
      <c r="I12" s="37" t="s">
        <v>335</v>
      </c>
      <c r="J12" s="37" t="s">
        <v>2678</v>
      </c>
      <c r="K12" s="37" t="s">
        <v>255</v>
      </c>
      <c r="L12" s="41" t="s">
        <v>1082</v>
      </c>
    </row>
    <row r="13" spans="1:12" ht="28.8" x14ac:dyDescent="0.3">
      <c r="A13" s="38" t="s">
        <v>1101</v>
      </c>
      <c r="B13" s="38" t="s">
        <v>1102</v>
      </c>
      <c r="C13" s="38" t="s">
        <v>2677</v>
      </c>
      <c r="D13" s="38">
        <v>13</v>
      </c>
      <c r="E13" s="38" t="s">
        <v>239</v>
      </c>
      <c r="F13" s="38" t="s">
        <v>286</v>
      </c>
      <c r="G13" s="43" t="s">
        <v>1105</v>
      </c>
      <c r="H13" s="43" t="s">
        <v>545</v>
      </c>
      <c r="I13" s="38" t="s">
        <v>335</v>
      </c>
      <c r="J13" s="38" t="s">
        <v>2678</v>
      </c>
      <c r="K13" s="38" t="s">
        <v>255</v>
      </c>
      <c r="L13" s="44" t="s">
        <v>1044</v>
      </c>
    </row>
    <row r="14" spans="1:12" ht="28.8" x14ac:dyDescent="0.3">
      <c r="A14" s="37" t="s">
        <v>1106</v>
      </c>
      <c r="B14" s="37" t="s">
        <v>1107</v>
      </c>
      <c r="C14" s="37" t="s">
        <v>2677</v>
      </c>
      <c r="D14" s="37">
        <v>14</v>
      </c>
      <c r="E14" s="37" t="s">
        <v>239</v>
      </c>
      <c r="F14" s="37" t="s">
        <v>286</v>
      </c>
      <c r="G14" s="40" t="s">
        <v>1109</v>
      </c>
      <c r="H14" s="40" t="s">
        <v>547</v>
      </c>
      <c r="I14" s="37" t="s">
        <v>335</v>
      </c>
      <c r="J14" s="37" t="s">
        <v>2678</v>
      </c>
      <c r="K14" s="37" t="s">
        <v>255</v>
      </c>
      <c r="L14" s="41" t="s">
        <v>1044</v>
      </c>
    </row>
    <row r="15" spans="1:12" ht="28.8" x14ac:dyDescent="0.3">
      <c r="A15" s="38" t="s">
        <v>1110</v>
      </c>
      <c r="B15" s="38" t="s">
        <v>1111</v>
      </c>
      <c r="C15" s="38" t="s">
        <v>2677</v>
      </c>
      <c r="D15" s="38">
        <v>15</v>
      </c>
      <c r="E15" s="38" t="s">
        <v>239</v>
      </c>
      <c r="F15" s="38" t="s">
        <v>246</v>
      </c>
      <c r="G15" s="43" t="s">
        <v>1114</v>
      </c>
      <c r="H15" s="43"/>
      <c r="I15" s="38" t="s">
        <v>335</v>
      </c>
      <c r="J15" s="38" t="s">
        <v>2678</v>
      </c>
      <c r="K15" s="38" t="s">
        <v>255</v>
      </c>
      <c r="L15" s="44" t="s">
        <v>1044</v>
      </c>
    </row>
    <row r="16" spans="1:12" ht="28.8" x14ac:dyDescent="0.3">
      <c r="A16" s="37" t="s">
        <v>1115</v>
      </c>
      <c r="B16" s="37" t="s">
        <v>1116</v>
      </c>
      <c r="C16" s="37" t="s">
        <v>2677</v>
      </c>
      <c r="D16" s="37">
        <v>16</v>
      </c>
      <c r="E16" s="37" t="s">
        <v>1119</v>
      </c>
      <c r="F16" s="37" t="s">
        <v>286</v>
      </c>
      <c r="G16" s="40" t="s">
        <v>1121</v>
      </c>
      <c r="H16" s="40" t="s">
        <v>549</v>
      </c>
      <c r="I16" s="37" t="s">
        <v>335</v>
      </c>
      <c r="J16" s="37" t="s">
        <v>2678</v>
      </c>
      <c r="K16" s="37" t="s">
        <v>255</v>
      </c>
      <c r="L16" s="41" t="s">
        <v>1044</v>
      </c>
    </row>
    <row r="17" spans="1:12" ht="28.8" x14ac:dyDescent="0.3">
      <c r="A17" s="38" t="s">
        <v>1122</v>
      </c>
      <c r="B17" s="38" t="s">
        <v>1123</v>
      </c>
      <c r="C17" s="38" t="s">
        <v>2677</v>
      </c>
      <c r="D17" s="38">
        <v>17</v>
      </c>
      <c r="E17" s="38" t="s">
        <v>1119</v>
      </c>
      <c r="F17" s="38" t="s">
        <v>246</v>
      </c>
      <c r="G17" s="43" t="s">
        <v>1126</v>
      </c>
      <c r="H17" s="43"/>
      <c r="I17" s="38" t="s">
        <v>335</v>
      </c>
      <c r="J17" s="38" t="s">
        <v>2678</v>
      </c>
      <c r="K17" s="38" t="s">
        <v>255</v>
      </c>
      <c r="L17" s="44" t="s">
        <v>1044</v>
      </c>
    </row>
    <row r="18" spans="1:12" ht="28.8" x14ac:dyDescent="0.3">
      <c r="A18" s="37" t="s">
        <v>1127</v>
      </c>
      <c r="B18" s="37" t="s">
        <v>1128</v>
      </c>
      <c r="C18" s="37" t="s">
        <v>2677</v>
      </c>
      <c r="D18" s="37">
        <v>18</v>
      </c>
      <c r="E18" s="37" t="s">
        <v>386</v>
      </c>
      <c r="F18" s="37" t="s">
        <v>286</v>
      </c>
      <c r="G18" s="40" t="s">
        <v>1131</v>
      </c>
      <c r="H18" s="40" t="s">
        <v>551</v>
      </c>
      <c r="I18" s="37" t="s">
        <v>335</v>
      </c>
      <c r="J18" s="37" t="s">
        <v>2678</v>
      </c>
      <c r="K18" s="37" t="s">
        <v>255</v>
      </c>
      <c r="L18" s="41" t="s">
        <v>1044</v>
      </c>
    </row>
    <row r="19" spans="1:12" ht="28.8" x14ac:dyDescent="0.3">
      <c r="A19" s="38" t="s">
        <v>1132</v>
      </c>
      <c r="B19" s="38" t="s">
        <v>1133</v>
      </c>
      <c r="C19" s="38" t="s">
        <v>2677</v>
      </c>
      <c r="D19" s="38">
        <v>19</v>
      </c>
      <c r="E19" s="38" t="s">
        <v>239</v>
      </c>
      <c r="F19" s="38" t="s">
        <v>286</v>
      </c>
      <c r="G19" s="43" t="s">
        <v>1136</v>
      </c>
      <c r="H19" s="43" t="s">
        <v>553</v>
      </c>
      <c r="I19" s="38" t="s">
        <v>335</v>
      </c>
      <c r="J19" s="38" t="s">
        <v>2678</v>
      </c>
      <c r="K19" s="38" t="s">
        <v>255</v>
      </c>
      <c r="L19" s="44" t="s">
        <v>1044</v>
      </c>
    </row>
    <row r="20" spans="1:12" ht="28.8" x14ac:dyDescent="0.3">
      <c r="A20" s="37" t="s">
        <v>1137</v>
      </c>
      <c r="B20" s="37" t="s">
        <v>1138</v>
      </c>
      <c r="C20" s="37" t="s">
        <v>2677</v>
      </c>
      <c r="D20" s="37">
        <v>20</v>
      </c>
      <c r="E20" s="37" t="s">
        <v>239</v>
      </c>
      <c r="F20" s="37" t="s">
        <v>286</v>
      </c>
      <c r="G20" s="40" t="s">
        <v>1140</v>
      </c>
      <c r="H20" s="40" t="s">
        <v>1141</v>
      </c>
      <c r="I20" s="37" t="s">
        <v>335</v>
      </c>
      <c r="J20" s="37" t="s">
        <v>2678</v>
      </c>
      <c r="K20" s="37" t="s">
        <v>255</v>
      </c>
      <c r="L20" s="41" t="s">
        <v>1044</v>
      </c>
    </row>
    <row r="21" spans="1:12" ht="28.8" x14ac:dyDescent="0.3">
      <c r="A21" s="38" t="s">
        <v>1142</v>
      </c>
      <c r="B21" s="38" t="s">
        <v>1143</v>
      </c>
      <c r="C21" s="38" t="s">
        <v>2677</v>
      </c>
      <c r="D21" s="38">
        <v>21</v>
      </c>
      <c r="E21" s="38" t="s">
        <v>1048</v>
      </c>
      <c r="F21" s="38" t="s">
        <v>286</v>
      </c>
      <c r="G21" s="43" t="s">
        <v>1145</v>
      </c>
      <c r="H21" s="43" t="s">
        <v>1146</v>
      </c>
      <c r="I21" s="38" t="s">
        <v>335</v>
      </c>
      <c r="J21" s="38" t="s">
        <v>2678</v>
      </c>
      <c r="K21" s="38" t="s">
        <v>255</v>
      </c>
      <c r="L21" s="44" t="s">
        <v>1044</v>
      </c>
    </row>
    <row r="22" spans="1:12" ht="28.8" x14ac:dyDescent="0.3">
      <c r="A22" s="37" t="s">
        <v>1147</v>
      </c>
      <c r="B22" s="37" t="s">
        <v>1148</v>
      </c>
      <c r="C22" s="37" t="s">
        <v>2677</v>
      </c>
      <c r="D22" s="37">
        <v>22</v>
      </c>
      <c r="E22" s="37" t="s">
        <v>1119</v>
      </c>
      <c r="F22" s="37" t="s">
        <v>286</v>
      </c>
      <c r="G22" s="40" t="s">
        <v>1151</v>
      </c>
      <c r="H22" s="40" t="s">
        <v>1152</v>
      </c>
      <c r="I22" s="37" t="s">
        <v>335</v>
      </c>
      <c r="J22" s="37" t="s">
        <v>2678</v>
      </c>
      <c r="K22" s="37" t="s">
        <v>255</v>
      </c>
      <c r="L22" s="41" t="s">
        <v>1044</v>
      </c>
    </row>
    <row r="23" spans="1:12" ht="28.8" x14ac:dyDescent="0.3">
      <c r="A23" s="38" t="s">
        <v>1153</v>
      </c>
      <c r="B23" s="38" t="s">
        <v>1154</v>
      </c>
      <c r="C23" s="38" t="s">
        <v>2677</v>
      </c>
      <c r="D23" s="38">
        <v>23</v>
      </c>
      <c r="E23" s="38" t="s">
        <v>239</v>
      </c>
      <c r="F23" s="38" t="s">
        <v>286</v>
      </c>
      <c r="G23" s="43" t="s">
        <v>1156</v>
      </c>
      <c r="H23" s="43" t="s">
        <v>1157</v>
      </c>
      <c r="I23" s="38" t="s">
        <v>335</v>
      </c>
      <c r="J23" s="38" t="s">
        <v>2678</v>
      </c>
      <c r="K23" s="38" t="s">
        <v>255</v>
      </c>
      <c r="L23" s="44" t="s">
        <v>1044</v>
      </c>
    </row>
    <row r="24" spans="1:12" ht="28.8" x14ac:dyDescent="0.3">
      <c r="A24" s="37" t="s">
        <v>1158</v>
      </c>
      <c r="B24" s="37" t="s">
        <v>1159</v>
      </c>
      <c r="C24" s="37" t="s">
        <v>2677</v>
      </c>
      <c r="D24" s="37">
        <v>24</v>
      </c>
      <c r="E24" s="37" t="s">
        <v>239</v>
      </c>
      <c r="F24" s="37" t="s">
        <v>286</v>
      </c>
      <c r="G24" s="40" t="s">
        <v>1161</v>
      </c>
      <c r="H24" s="40" t="s">
        <v>1162</v>
      </c>
      <c r="I24" s="37" t="s">
        <v>335</v>
      </c>
      <c r="J24" s="37" t="s">
        <v>2678</v>
      </c>
      <c r="K24" s="37" t="s">
        <v>255</v>
      </c>
      <c r="L24" s="41" t="s">
        <v>1044</v>
      </c>
    </row>
    <row r="25" spans="1:12" ht="28.8" x14ac:dyDescent="0.3">
      <c r="A25" s="38" t="s">
        <v>1163</v>
      </c>
      <c r="B25" s="38" t="s">
        <v>1164</v>
      </c>
      <c r="C25" s="38" t="s">
        <v>2677</v>
      </c>
      <c r="D25" s="38">
        <v>25</v>
      </c>
      <c r="E25" s="38" t="s">
        <v>239</v>
      </c>
      <c r="F25" s="38" t="s">
        <v>286</v>
      </c>
      <c r="G25" s="43" t="s">
        <v>1165</v>
      </c>
      <c r="H25" s="43" t="s">
        <v>1166</v>
      </c>
      <c r="I25" s="38" t="s">
        <v>335</v>
      </c>
      <c r="J25" s="38" t="s">
        <v>2678</v>
      </c>
      <c r="K25" s="38" t="s">
        <v>255</v>
      </c>
      <c r="L25" s="44" t="s">
        <v>1044</v>
      </c>
    </row>
    <row r="26" spans="1:12" ht="28.8" x14ac:dyDescent="0.3">
      <c r="A26" s="37" t="s">
        <v>1167</v>
      </c>
      <c r="B26" s="37" t="s">
        <v>1168</v>
      </c>
      <c r="C26" s="37" t="s">
        <v>2677</v>
      </c>
      <c r="D26" s="37">
        <v>26</v>
      </c>
      <c r="E26" s="37" t="s">
        <v>239</v>
      </c>
      <c r="F26" s="37" t="s">
        <v>286</v>
      </c>
      <c r="G26" s="40" t="s">
        <v>1170</v>
      </c>
      <c r="H26" s="40" t="s">
        <v>1171</v>
      </c>
      <c r="I26" s="37" t="s">
        <v>335</v>
      </c>
      <c r="J26" s="37" t="s">
        <v>2678</v>
      </c>
      <c r="K26" s="37" t="s">
        <v>255</v>
      </c>
      <c r="L26" s="41" t="s">
        <v>1044</v>
      </c>
    </row>
    <row r="27" spans="1:12" ht="28.8" x14ac:dyDescent="0.3">
      <c r="A27" s="38" t="s">
        <v>1172</v>
      </c>
      <c r="B27" s="38" t="s">
        <v>1173</v>
      </c>
      <c r="C27" s="38" t="s">
        <v>2677</v>
      </c>
      <c r="D27" s="38">
        <v>27</v>
      </c>
      <c r="E27" s="38" t="s">
        <v>239</v>
      </c>
      <c r="F27" s="38" t="s">
        <v>286</v>
      </c>
      <c r="G27" s="43" t="s">
        <v>1175</v>
      </c>
      <c r="H27" s="43" t="s">
        <v>1176</v>
      </c>
      <c r="I27" s="38" t="s">
        <v>335</v>
      </c>
      <c r="J27" s="38" t="s">
        <v>2678</v>
      </c>
      <c r="K27" s="38" t="s">
        <v>255</v>
      </c>
      <c r="L27" s="44" t="s">
        <v>1044</v>
      </c>
    </row>
    <row r="28" spans="1:12" ht="28.8" x14ac:dyDescent="0.3">
      <c r="A28" s="37" t="s">
        <v>1177</v>
      </c>
      <c r="B28" s="37" t="s">
        <v>1178</v>
      </c>
      <c r="C28" s="37" t="s">
        <v>2677</v>
      </c>
      <c r="D28" s="37">
        <v>28</v>
      </c>
      <c r="E28" s="37" t="s">
        <v>239</v>
      </c>
      <c r="F28" s="37" t="s">
        <v>286</v>
      </c>
      <c r="G28" s="40" t="s">
        <v>1180</v>
      </c>
      <c r="H28" s="40" t="s">
        <v>1181</v>
      </c>
      <c r="I28" s="37" t="s">
        <v>335</v>
      </c>
      <c r="J28" s="37" t="s">
        <v>2678</v>
      </c>
      <c r="K28" s="37" t="s">
        <v>255</v>
      </c>
      <c r="L28" s="41" t="s">
        <v>1044</v>
      </c>
    </row>
    <row r="29" spans="1:12" ht="28.8" x14ac:dyDescent="0.3">
      <c r="A29" s="38" t="s">
        <v>1182</v>
      </c>
      <c r="B29" s="38" t="s">
        <v>1183</v>
      </c>
      <c r="C29" s="38" t="s">
        <v>2677</v>
      </c>
      <c r="D29" s="38">
        <v>29</v>
      </c>
      <c r="E29" s="38" t="s">
        <v>239</v>
      </c>
      <c r="F29" s="38" t="s">
        <v>286</v>
      </c>
      <c r="G29" s="43" t="s">
        <v>1185</v>
      </c>
      <c r="H29" s="43" t="s">
        <v>1186</v>
      </c>
      <c r="I29" s="38" t="s">
        <v>335</v>
      </c>
      <c r="J29" s="38" t="s">
        <v>2678</v>
      </c>
      <c r="K29" s="38" t="s">
        <v>255</v>
      </c>
      <c r="L29" s="44" t="s">
        <v>1044</v>
      </c>
    </row>
    <row r="30" spans="1:12" ht="28.8" x14ac:dyDescent="0.3">
      <c r="A30" s="37" t="s">
        <v>1187</v>
      </c>
      <c r="B30" s="37" t="s">
        <v>1188</v>
      </c>
      <c r="C30" s="37" t="s">
        <v>2677</v>
      </c>
      <c r="D30" s="37">
        <v>30</v>
      </c>
      <c r="E30" s="37" t="s">
        <v>239</v>
      </c>
      <c r="F30" s="37" t="s">
        <v>286</v>
      </c>
      <c r="G30" s="40" t="s">
        <v>1190</v>
      </c>
      <c r="H30" s="40" t="s">
        <v>1191</v>
      </c>
      <c r="I30" s="37" t="s">
        <v>335</v>
      </c>
      <c r="J30" s="37" t="s">
        <v>2678</v>
      </c>
      <c r="K30" s="37" t="s">
        <v>255</v>
      </c>
      <c r="L30" s="41" t="s">
        <v>1044</v>
      </c>
    </row>
    <row r="31" spans="1:12" ht="28.8" x14ac:dyDescent="0.3">
      <c r="A31" s="38" t="s">
        <v>1192</v>
      </c>
      <c r="B31" s="38" t="s">
        <v>1193</v>
      </c>
      <c r="C31" s="38" t="s">
        <v>2677</v>
      </c>
      <c r="D31" s="38">
        <v>31</v>
      </c>
      <c r="E31" s="38" t="s">
        <v>1195</v>
      </c>
      <c r="F31" s="38" t="s">
        <v>246</v>
      </c>
      <c r="G31" s="43" t="s">
        <v>1197</v>
      </c>
      <c r="H31" s="43"/>
      <c r="I31" s="38" t="s">
        <v>335</v>
      </c>
      <c r="J31" s="38" t="s">
        <v>2678</v>
      </c>
      <c r="K31" s="38" t="s">
        <v>255</v>
      </c>
      <c r="L31" s="44" t="s">
        <v>1044</v>
      </c>
    </row>
    <row r="32" spans="1:12" ht="28.8" x14ac:dyDescent="0.3">
      <c r="A32" s="37" t="s">
        <v>1198</v>
      </c>
      <c r="B32" s="37" t="s">
        <v>1199</v>
      </c>
      <c r="C32" s="37" t="s">
        <v>2677</v>
      </c>
      <c r="D32" s="37">
        <v>32</v>
      </c>
      <c r="E32" s="37" t="s">
        <v>1195</v>
      </c>
      <c r="F32" s="37" t="s">
        <v>246</v>
      </c>
      <c r="G32" s="40" t="s">
        <v>1201</v>
      </c>
      <c r="H32" s="40"/>
      <c r="I32" s="37" t="s">
        <v>335</v>
      </c>
      <c r="J32" s="37" t="s">
        <v>2678</v>
      </c>
      <c r="K32" s="37" t="s">
        <v>255</v>
      </c>
      <c r="L32" s="41" t="s">
        <v>1044</v>
      </c>
    </row>
    <row r="33" spans="1:12" ht="28.8" x14ac:dyDescent="0.3">
      <c r="A33" s="38" t="s">
        <v>1202</v>
      </c>
      <c r="B33" s="38" t="s">
        <v>1203</v>
      </c>
      <c r="C33" s="38" t="s">
        <v>2677</v>
      </c>
      <c r="D33" s="38">
        <v>33</v>
      </c>
      <c r="E33" s="38" t="s">
        <v>239</v>
      </c>
      <c r="F33" s="38" t="s">
        <v>246</v>
      </c>
      <c r="G33" s="43" t="s">
        <v>1205</v>
      </c>
      <c r="H33" s="43"/>
      <c r="I33" s="38" t="s">
        <v>335</v>
      </c>
      <c r="J33" s="38" t="s">
        <v>2678</v>
      </c>
      <c r="K33" s="38" t="s">
        <v>255</v>
      </c>
      <c r="L33" s="44" t="s">
        <v>1044</v>
      </c>
    </row>
    <row r="34" spans="1:12" ht="28.8" x14ac:dyDescent="0.3">
      <c r="A34" s="37" t="s">
        <v>1206</v>
      </c>
      <c r="B34" s="37" t="s">
        <v>1207</v>
      </c>
      <c r="C34" s="37" t="s">
        <v>2677</v>
      </c>
      <c r="D34" s="37">
        <v>34</v>
      </c>
      <c r="E34" s="37" t="s">
        <v>1086</v>
      </c>
      <c r="F34" s="37" t="s">
        <v>246</v>
      </c>
      <c r="G34" s="40" t="s">
        <v>1210</v>
      </c>
      <c r="H34" s="40"/>
      <c r="I34" s="37" t="s">
        <v>335</v>
      </c>
      <c r="J34" s="37" t="s">
        <v>2678</v>
      </c>
      <c r="K34" s="37" t="s">
        <v>255</v>
      </c>
      <c r="L34" s="41" t="s">
        <v>1044</v>
      </c>
    </row>
    <row r="35" spans="1:12" ht="28.8" x14ac:dyDescent="0.3">
      <c r="A35" s="45" t="s">
        <v>1211</v>
      </c>
      <c r="B35" s="45" t="s">
        <v>1212</v>
      </c>
      <c r="C35" s="45" t="s">
        <v>2677</v>
      </c>
      <c r="D35" s="45">
        <v>35</v>
      </c>
      <c r="E35" s="45" t="s">
        <v>402</v>
      </c>
      <c r="F35" s="45" t="s">
        <v>246</v>
      </c>
      <c r="G35" s="47" t="s">
        <v>1215</v>
      </c>
      <c r="H35" s="47"/>
      <c r="I35" s="45" t="s">
        <v>335</v>
      </c>
      <c r="J35" s="45" t="s">
        <v>2678</v>
      </c>
      <c r="K35" s="45" t="s">
        <v>245</v>
      </c>
      <c r="L35" s="48" t="s">
        <v>1216</v>
      </c>
    </row>
    <row r="36" spans="1:12" ht="28.8" x14ac:dyDescent="0.3">
      <c r="A36" s="37" t="s">
        <v>1217</v>
      </c>
      <c r="B36" s="37" t="s">
        <v>1218</v>
      </c>
      <c r="C36" s="37" t="s">
        <v>2677</v>
      </c>
      <c r="D36" s="37">
        <v>36</v>
      </c>
      <c r="E36" s="37" t="s">
        <v>1048</v>
      </c>
      <c r="F36" s="37" t="s">
        <v>246</v>
      </c>
      <c r="G36" s="40" t="s">
        <v>1220</v>
      </c>
      <c r="H36" s="40"/>
      <c r="I36" s="37" t="s">
        <v>335</v>
      </c>
      <c r="J36" s="37" t="s">
        <v>2678</v>
      </c>
      <c r="K36" s="37" t="s">
        <v>255</v>
      </c>
      <c r="L36" s="41" t="s">
        <v>1044</v>
      </c>
    </row>
    <row r="37" spans="1:12" ht="28.8" x14ac:dyDescent="0.3">
      <c r="A37" s="38" t="s">
        <v>1221</v>
      </c>
      <c r="B37" s="38" t="s">
        <v>1222</v>
      </c>
      <c r="C37" s="38" t="s">
        <v>2677</v>
      </c>
      <c r="D37" s="38">
        <v>37</v>
      </c>
      <c r="E37" s="38" t="s">
        <v>1086</v>
      </c>
      <c r="F37" s="38" t="s">
        <v>246</v>
      </c>
      <c r="G37" s="43" t="s">
        <v>1224</v>
      </c>
      <c r="H37" s="43"/>
      <c r="I37" s="38" t="s">
        <v>335</v>
      </c>
      <c r="J37" s="38" t="s">
        <v>2678</v>
      </c>
      <c r="K37" s="38" t="s">
        <v>255</v>
      </c>
      <c r="L37" s="44" t="s">
        <v>1044</v>
      </c>
    </row>
    <row r="38" spans="1:12" ht="28.8" x14ac:dyDescent="0.3">
      <c r="A38" s="37" t="s">
        <v>1225</v>
      </c>
      <c r="B38" s="37" t="s">
        <v>1226</v>
      </c>
      <c r="C38" s="37" t="s">
        <v>2677</v>
      </c>
      <c r="D38" s="37">
        <v>38</v>
      </c>
      <c r="E38" s="37" t="s">
        <v>1228</v>
      </c>
      <c r="F38" s="37" t="s">
        <v>246</v>
      </c>
      <c r="G38" s="40" t="s">
        <v>1230</v>
      </c>
      <c r="H38" s="40"/>
      <c r="I38" s="37" t="s">
        <v>335</v>
      </c>
      <c r="J38" s="37" t="s">
        <v>2678</v>
      </c>
      <c r="K38" s="37" t="s">
        <v>255</v>
      </c>
      <c r="L38" s="41" t="s">
        <v>1231</v>
      </c>
    </row>
    <row r="39" spans="1:12" ht="28.8" x14ac:dyDescent="0.3">
      <c r="A39" s="38" t="s">
        <v>1232</v>
      </c>
      <c r="B39" s="38" t="s">
        <v>1233</v>
      </c>
      <c r="C39" s="38" t="s">
        <v>2677</v>
      </c>
      <c r="D39" s="38">
        <v>39</v>
      </c>
      <c r="E39" s="38" t="s">
        <v>1228</v>
      </c>
      <c r="F39" s="38" t="s">
        <v>246</v>
      </c>
      <c r="G39" s="43" t="s">
        <v>1237</v>
      </c>
      <c r="H39" s="43"/>
      <c r="I39" s="38" t="s">
        <v>335</v>
      </c>
      <c r="J39" s="38" t="s">
        <v>2678</v>
      </c>
      <c r="K39" s="38" t="s">
        <v>255</v>
      </c>
      <c r="L39" s="44" t="s">
        <v>1231</v>
      </c>
    </row>
    <row r="40" spans="1:12" ht="28.8" x14ac:dyDescent="0.3">
      <c r="A40" s="37" t="s">
        <v>1238</v>
      </c>
      <c r="B40" s="37" t="s">
        <v>1239</v>
      </c>
      <c r="C40" s="37" t="s">
        <v>2677</v>
      </c>
      <c r="D40" s="37">
        <v>40</v>
      </c>
      <c r="E40" s="37" t="s">
        <v>402</v>
      </c>
      <c r="F40" s="37" t="s">
        <v>246</v>
      </c>
      <c r="G40" s="40" t="s">
        <v>1241</v>
      </c>
      <c r="H40" s="40"/>
      <c r="I40" s="37" t="s">
        <v>335</v>
      </c>
      <c r="J40" s="37" t="s">
        <v>2678</v>
      </c>
      <c r="K40" s="37" t="s">
        <v>255</v>
      </c>
      <c r="L40" s="41" t="s">
        <v>1073</v>
      </c>
    </row>
    <row r="41" spans="1:12" ht="28.8" x14ac:dyDescent="0.3">
      <c r="A41" s="38" t="s">
        <v>1242</v>
      </c>
      <c r="B41" s="38" t="s">
        <v>1243</v>
      </c>
      <c r="C41" s="38" t="s">
        <v>2677</v>
      </c>
      <c r="D41" s="38">
        <v>41</v>
      </c>
      <c r="E41" s="38" t="s">
        <v>239</v>
      </c>
      <c r="F41" s="38" t="s">
        <v>246</v>
      </c>
      <c r="G41" s="43" t="s">
        <v>1245</v>
      </c>
      <c r="H41" s="43"/>
      <c r="I41" s="38" t="s">
        <v>335</v>
      </c>
      <c r="J41" s="38" t="s">
        <v>2678</v>
      </c>
      <c r="K41" s="38" t="s">
        <v>255</v>
      </c>
      <c r="L41" s="44" t="s">
        <v>1044</v>
      </c>
    </row>
    <row r="42" spans="1:12" ht="28.8" x14ac:dyDescent="0.3">
      <c r="A42" s="37" t="s">
        <v>1246</v>
      </c>
      <c r="B42" s="37" t="s">
        <v>1247</v>
      </c>
      <c r="C42" s="37" t="s">
        <v>2677</v>
      </c>
      <c r="D42" s="37">
        <v>42</v>
      </c>
      <c r="E42" s="37" t="s">
        <v>239</v>
      </c>
      <c r="F42" s="37" t="s">
        <v>246</v>
      </c>
      <c r="G42" s="40" t="s">
        <v>1248</v>
      </c>
      <c r="H42" s="40"/>
      <c r="I42" s="37" t="s">
        <v>335</v>
      </c>
      <c r="J42" s="37" t="s">
        <v>2678</v>
      </c>
      <c r="K42" s="37" t="s">
        <v>255</v>
      </c>
      <c r="L42" s="41" t="s">
        <v>1044</v>
      </c>
    </row>
    <row r="43" spans="1:12" ht="28.8" x14ac:dyDescent="0.3">
      <c r="A43" s="38" t="s">
        <v>1249</v>
      </c>
      <c r="B43" s="38" t="s">
        <v>1250</v>
      </c>
      <c r="C43" s="38" t="s">
        <v>2677</v>
      </c>
      <c r="D43" s="38">
        <v>43</v>
      </c>
      <c r="E43" s="38" t="s">
        <v>1251</v>
      </c>
      <c r="F43" s="38" t="s">
        <v>246</v>
      </c>
      <c r="G43" s="43" t="s">
        <v>1253</v>
      </c>
      <c r="H43" s="43"/>
      <c r="I43" s="38" t="s">
        <v>335</v>
      </c>
      <c r="J43" s="38" t="s">
        <v>2678</v>
      </c>
      <c r="K43" s="38" t="s">
        <v>255</v>
      </c>
      <c r="L43" s="44" t="s">
        <v>1254</v>
      </c>
    </row>
    <row r="44" spans="1:12" ht="28.8" x14ac:dyDescent="0.3">
      <c r="A44" s="37" t="s">
        <v>1255</v>
      </c>
      <c r="B44" s="37" t="s">
        <v>1256</v>
      </c>
      <c r="C44" s="37" t="s">
        <v>2677</v>
      </c>
      <c r="D44" s="37">
        <v>44</v>
      </c>
      <c r="E44" s="37" t="s">
        <v>1251</v>
      </c>
      <c r="F44" s="37" t="s">
        <v>246</v>
      </c>
      <c r="G44" s="40" t="s">
        <v>1258</v>
      </c>
      <c r="H44" s="40"/>
      <c r="I44" s="37" t="s">
        <v>335</v>
      </c>
      <c r="J44" s="37" t="s">
        <v>2678</v>
      </c>
      <c r="K44" s="37" t="s">
        <v>255</v>
      </c>
      <c r="L44" s="41" t="s">
        <v>1254</v>
      </c>
    </row>
    <row r="45" spans="1:12" ht="28.8" x14ac:dyDescent="0.3">
      <c r="A45" s="45" t="s">
        <v>1259</v>
      </c>
      <c r="B45" s="45" t="s">
        <v>1260</v>
      </c>
      <c r="C45" s="45" t="s">
        <v>2677</v>
      </c>
      <c r="D45" s="45">
        <v>45</v>
      </c>
      <c r="E45" s="45" t="s">
        <v>1251</v>
      </c>
      <c r="F45" s="45" t="s">
        <v>246</v>
      </c>
      <c r="G45" s="47" t="s">
        <v>1263</v>
      </c>
      <c r="H45" s="47"/>
      <c r="I45" s="45" t="s">
        <v>293</v>
      </c>
      <c r="J45" s="45" t="s">
        <v>2678</v>
      </c>
      <c r="K45" s="45" t="s">
        <v>245</v>
      </c>
      <c r="L45" s="48" t="s">
        <v>1264</v>
      </c>
    </row>
    <row r="46" spans="1:12" ht="28.8" x14ac:dyDescent="0.3">
      <c r="A46" s="45" t="s">
        <v>1265</v>
      </c>
      <c r="B46" s="45" t="s">
        <v>1266</v>
      </c>
      <c r="C46" s="45" t="s">
        <v>2677</v>
      </c>
      <c r="D46" s="45">
        <v>46</v>
      </c>
      <c r="E46" s="45" t="s">
        <v>1251</v>
      </c>
      <c r="F46" s="45" t="s">
        <v>246</v>
      </c>
      <c r="G46" s="47" t="s">
        <v>1269</v>
      </c>
      <c r="H46" s="47"/>
      <c r="I46" s="45" t="s">
        <v>293</v>
      </c>
      <c r="J46" s="45" t="s">
        <v>2678</v>
      </c>
      <c r="K46" s="45" t="s">
        <v>245</v>
      </c>
      <c r="L46" s="48" t="s">
        <v>1270</v>
      </c>
    </row>
    <row r="47" spans="1:12" ht="28.8" x14ac:dyDescent="0.3">
      <c r="A47" s="38" t="s">
        <v>1271</v>
      </c>
      <c r="B47" s="38" t="s">
        <v>1272</v>
      </c>
      <c r="C47" s="38" t="s">
        <v>2677</v>
      </c>
      <c r="D47" s="38">
        <v>47</v>
      </c>
      <c r="E47" s="38" t="s">
        <v>1195</v>
      </c>
      <c r="F47" s="38" t="s">
        <v>246</v>
      </c>
      <c r="G47" s="43" t="s">
        <v>1275</v>
      </c>
      <c r="H47" s="43"/>
      <c r="I47" s="38" t="s">
        <v>335</v>
      </c>
      <c r="J47" s="38" t="s">
        <v>2678</v>
      </c>
      <c r="K47" s="38" t="s">
        <v>255</v>
      </c>
      <c r="L47" s="44" t="s">
        <v>1044</v>
      </c>
    </row>
    <row r="48" spans="1:12" ht="28.8" x14ac:dyDescent="0.3">
      <c r="A48" s="37" t="s">
        <v>1276</v>
      </c>
      <c r="B48" s="37" t="s">
        <v>1277</v>
      </c>
      <c r="C48" s="37" t="s">
        <v>2677</v>
      </c>
      <c r="D48" s="37">
        <v>48</v>
      </c>
      <c r="E48" s="37" t="s">
        <v>239</v>
      </c>
      <c r="F48" s="37" t="s">
        <v>286</v>
      </c>
      <c r="G48" s="40" t="s">
        <v>1279</v>
      </c>
      <c r="H48" s="40" t="s">
        <v>1280</v>
      </c>
      <c r="I48" s="37" t="s">
        <v>335</v>
      </c>
      <c r="J48" s="37" t="s">
        <v>2678</v>
      </c>
      <c r="K48" s="37" t="s">
        <v>255</v>
      </c>
      <c r="L48" s="41" t="s">
        <v>1044</v>
      </c>
    </row>
    <row r="49" spans="1:12" ht="28.8" x14ac:dyDescent="0.3">
      <c r="A49" s="38" t="s">
        <v>1281</v>
      </c>
      <c r="B49" s="38" t="s">
        <v>1282</v>
      </c>
      <c r="C49" s="38" t="s">
        <v>2677</v>
      </c>
      <c r="D49" s="38">
        <v>49</v>
      </c>
      <c r="E49" s="38" t="s">
        <v>239</v>
      </c>
      <c r="F49" s="38" t="s">
        <v>286</v>
      </c>
      <c r="G49" s="43" t="s">
        <v>1284</v>
      </c>
      <c r="H49" s="43" t="s">
        <v>1285</v>
      </c>
      <c r="I49" s="38" t="s">
        <v>335</v>
      </c>
      <c r="J49" s="38" t="s">
        <v>2678</v>
      </c>
      <c r="K49" s="38" t="s">
        <v>255</v>
      </c>
      <c r="L49" s="44" t="s">
        <v>1044</v>
      </c>
    </row>
    <row r="50" spans="1:12" ht="28.8" x14ac:dyDescent="0.3">
      <c r="A50" s="37" t="s">
        <v>1286</v>
      </c>
      <c r="B50" s="37" t="s">
        <v>1287</v>
      </c>
      <c r="C50" s="37" t="s">
        <v>2677</v>
      </c>
      <c r="D50" s="37">
        <v>50</v>
      </c>
      <c r="E50" s="37" t="s">
        <v>1048</v>
      </c>
      <c r="F50" s="37" t="s">
        <v>286</v>
      </c>
      <c r="G50" s="40" t="s">
        <v>1291</v>
      </c>
      <c r="H50" s="40" t="s">
        <v>1292</v>
      </c>
      <c r="I50" s="37" t="s">
        <v>335</v>
      </c>
      <c r="J50" s="37" t="s">
        <v>2678</v>
      </c>
      <c r="K50" s="37" t="s">
        <v>255</v>
      </c>
      <c r="L50" s="41" t="s">
        <v>1044</v>
      </c>
    </row>
    <row r="51" spans="1:12" ht="28.8" x14ac:dyDescent="0.3">
      <c r="A51" s="38" t="s">
        <v>1293</v>
      </c>
      <c r="B51" s="38" t="s">
        <v>1294</v>
      </c>
      <c r="C51" s="38" t="s">
        <v>2677</v>
      </c>
      <c r="D51" s="38">
        <v>51</v>
      </c>
      <c r="E51" s="38" t="s">
        <v>239</v>
      </c>
      <c r="F51" s="38" t="s">
        <v>286</v>
      </c>
      <c r="G51" s="43" t="s">
        <v>1296</v>
      </c>
      <c r="H51" s="43" t="s">
        <v>1297</v>
      </c>
      <c r="I51" s="38" t="s">
        <v>335</v>
      </c>
      <c r="J51" s="38" t="s">
        <v>2678</v>
      </c>
      <c r="K51" s="38" t="s">
        <v>255</v>
      </c>
      <c r="L51" s="44" t="s">
        <v>1044</v>
      </c>
    </row>
    <row r="52" spans="1:12" ht="28.8" x14ac:dyDescent="0.3">
      <c r="A52" s="37" t="s">
        <v>1298</v>
      </c>
      <c r="B52" s="37" t="s">
        <v>1299</v>
      </c>
      <c r="C52" s="37" t="s">
        <v>2677</v>
      </c>
      <c r="D52" s="37">
        <v>52</v>
      </c>
      <c r="E52" s="37" t="s">
        <v>239</v>
      </c>
      <c r="F52" s="37" t="s">
        <v>286</v>
      </c>
      <c r="G52" s="40" t="s">
        <v>1301</v>
      </c>
      <c r="H52" s="40" t="s">
        <v>1302</v>
      </c>
      <c r="I52" s="37" t="s">
        <v>335</v>
      </c>
      <c r="J52" s="37" t="s">
        <v>2678</v>
      </c>
      <c r="K52" s="37" t="s">
        <v>255</v>
      </c>
      <c r="L52" s="41" t="s">
        <v>1044</v>
      </c>
    </row>
    <row r="53" spans="1:12" ht="28.8" x14ac:dyDescent="0.3">
      <c r="A53" s="38" t="s">
        <v>1303</v>
      </c>
      <c r="B53" s="38" t="s">
        <v>1304</v>
      </c>
      <c r="C53" s="38" t="s">
        <v>2677</v>
      </c>
      <c r="D53" s="38">
        <v>53</v>
      </c>
      <c r="E53" s="38" t="s">
        <v>239</v>
      </c>
      <c r="F53" s="38" t="s">
        <v>286</v>
      </c>
      <c r="G53" s="43" t="s">
        <v>1306</v>
      </c>
      <c r="H53" s="43" t="s">
        <v>1307</v>
      </c>
      <c r="I53" s="38" t="s">
        <v>335</v>
      </c>
      <c r="J53" s="38" t="s">
        <v>2678</v>
      </c>
      <c r="K53" s="38" t="s">
        <v>255</v>
      </c>
      <c r="L53" s="44" t="s">
        <v>1044</v>
      </c>
    </row>
    <row r="54" spans="1:12" ht="28.8" x14ac:dyDescent="0.3">
      <c r="A54" s="37" t="s">
        <v>1308</v>
      </c>
      <c r="B54" s="37" t="s">
        <v>1309</v>
      </c>
      <c r="C54" s="37" t="s">
        <v>2677</v>
      </c>
      <c r="D54" s="37">
        <v>54</v>
      </c>
      <c r="E54" s="37" t="s">
        <v>239</v>
      </c>
      <c r="F54" s="37" t="s">
        <v>286</v>
      </c>
      <c r="G54" s="40" t="s">
        <v>1311</v>
      </c>
      <c r="H54" s="40" t="s">
        <v>1312</v>
      </c>
      <c r="I54" s="37" t="s">
        <v>335</v>
      </c>
      <c r="J54" s="37" t="s">
        <v>2678</v>
      </c>
      <c r="K54" s="37" t="s">
        <v>255</v>
      </c>
      <c r="L54" s="41" t="s">
        <v>1044</v>
      </c>
    </row>
    <row r="55" spans="1:12" ht="28.8" x14ac:dyDescent="0.3">
      <c r="A55" s="38" t="s">
        <v>1313</v>
      </c>
      <c r="B55" s="38" t="s">
        <v>1314</v>
      </c>
      <c r="C55" s="38" t="s">
        <v>2677</v>
      </c>
      <c r="D55" s="38">
        <v>55</v>
      </c>
      <c r="E55" s="38" t="s">
        <v>1086</v>
      </c>
      <c r="F55" s="38" t="s">
        <v>286</v>
      </c>
      <c r="G55" s="43" t="s">
        <v>1317</v>
      </c>
      <c r="H55" s="43" t="s">
        <v>1318</v>
      </c>
      <c r="I55" s="38" t="s">
        <v>335</v>
      </c>
      <c r="J55" s="38" t="s">
        <v>2678</v>
      </c>
      <c r="K55" s="38" t="s">
        <v>255</v>
      </c>
      <c r="L55" s="44" t="s">
        <v>1044</v>
      </c>
    </row>
    <row r="56" spans="1:12" ht="28.8" x14ac:dyDescent="0.3">
      <c r="A56" s="37" t="s">
        <v>1319</v>
      </c>
      <c r="B56" s="37" t="s">
        <v>1320</v>
      </c>
      <c r="C56" s="37" t="s">
        <v>2677</v>
      </c>
      <c r="D56" s="37">
        <v>56</v>
      </c>
      <c r="E56" s="37" t="s">
        <v>239</v>
      </c>
      <c r="F56" s="37" t="s">
        <v>286</v>
      </c>
      <c r="G56" s="40" t="s">
        <v>1322</v>
      </c>
      <c r="H56" s="40" t="s">
        <v>1323</v>
      </c>
      <c r="I56" s="37" t="s">
        <v>335</v>
      </c>
      <c r="J56" s="37" t="s">
        <v>2678</v>
      </c>
      <c r="K56" s="37" t="s">
        <v>255</v>
      </c>
      <c r="L56" s="41" t="s">
        <v>1044</v>
      </c>
    </row>
    <row r="57" spans="1:12" ht="28.8" x14ac:dyDescent="0.3">
      <c r="A57" s="38" t="s">
        <v>1324</v>
      </c>
      <c r="B57" s="38" t="s">
        <v>1325</v>
      </c>
      <c r="C57" s="38" t="s">
        <v>2677</v>
      </c>
      <c r="D57" s="38">
        <v>57</v>
      </c>
      <c r="E57" s="38" t="s">
        <v>239</v>
      </c>
      <c r="F57" s="38" t="s">
        <v>286</v>
      </c>
      <c r="G57" s="43" t="s">
        <v>1327</v>
      </c>
      <c r="H57" s="43" t="s">
        <v>1328</v>
      </c>
      <c r="I57" s="38" t="s">
        <v>335</v>
      </c>
      <c r="J57" s="38" t="s">
        <v>2678</v>
      </c>
      <c r="K57" s="38" t="s">
        <v>255</v>
      </c>
      <c r="L57" s="44" t="s">
        <v>1044</v>
      </c>
    </row>
    <row r="58" spans="1:12" ht="28.8" x14ac:dyDescent="0.3">
      <c r="A58" s="37" t="s">
        <v>1329</v>
      </c>
      <c r="B58" s="37" t="s">
        <v>1330</v>
      </c>
      <c r="C58" s="37" t="s">
        <v>2677</v>
      </c>
      <c r="D58" s="37">
        <v>58</v>
      </c>
      <c r="E58" s="37" t="s">
        <v>239</v>
      </c>
      <c r="F58" s="37" t="s">
        <v>286</v>
      </c>
      <c r="G58" s="40" t="s">
        <v>1331</v>
      </c>
      <c r="H58" s="40" t="s">
        <v>1332</v>
      </c>
      <c r="I58" s="37" t="s">
        <v>335</v>
      </c>
      <c r="J58" s="37" t="s">
        <v>2678</v>
      </c>
      <c r="K58" s="37" t="s">
        <v>255</v>
      </c>
      <c r="L58" s="41" t="s">
        <v>1044</v>
      </c>
    </row>
    <row r="59" spans="1:12" ht="28.8" x14ac:dyDescent="0.3">
      <c r="A59" s="38" t="s">
        <v>1333</v>
      </c>
      <c r="B59" s="38" t="s">
        <v>1334</v>
      </c>
      <c r="C59" s="38" t="s">
        <v>2677</v>
      </c>
      <c r="D59" s="38">
        <v>59</v>
      </c>
      <c r="E59" s="38" t="s">
        <v>239</v>
      </c>
      <c r="F59" s="38" t="s">
        <v>286</v>
      </c>
      <c r="G59" s="43" t="s">
        <v>1336</v>
      </c>
      <c r="H59" s="43" t="s">
        <v>1337</v>
      </c>
      <c r="I59" s="38" t="s">
        <v>335</v>
      </c>
      <c r="J59" s="38" t="s">
        <v>2678</v>
      </c>
      <c r="K59" s="38" t="s">
        <v>255</v>
      </c>
      <c r="L59" s="44" t="s">
        <v>1044</v>
      </c>
    </row>
    <row r="60" spans="1:12" ht="28.8" x14ac:dyDescent="0.3">
      <c r="A60" s="37" t="s">
        <v>1338</v>
      </c>
      <c r="B60" s="37" t="s">
        <v>1339</v>
      </c>
      <c r="C60" s="37" t="s">
        <v>2677</v>
      </c>
      <c r="D60" s="37">
        <v>60</v>
      </c>
      <c r="E60" s="37" t="s">
        <v>239</v>
      </c>
      <c r="F60" s="37" t="s">
        <v>286</v>
      </c>
      <c r="G60" s="40" t="s">
        <v>1340</v>
      </c>
      <c r="H60" s="40" t="s">
        <v>1341</v>
      </c>
      <c r="I60" s="37" t="s">
        <v>335</v>
      </c>
      <c r="J60" s="37" t="s">
        <v>2678</v>
      </c>
      <c r="K60" s="37" t="s">
        <v>255</v>
      </c>
      <c r="L60" s="41" t="s">
        <v>1044</v>
      </c>
    </row>
    <row r="61" spans="1:12" ht="28.8" x14ac:dyDescent="0.3">
      <c r="A61" s="45" t="s">
        <v>1342</v>
      </c>
      <c r="B61" s="45" t="s">
        <v>1343</v>
      </c>
      <c r="C61" s="45" t="s">
        <v>2677</v>
      </c>
      <c r="D61" s="45">
        <v>61</v>
      </c>
      <c r="E61" s="45" t="s">
        <v>1200</v>
      </c>
      <c r="F61" s="45" t="s">
        <v>286</v>
      </c>
      <c r="G61" s="47" t="s">
        <v>1344</v>
      </c>
      <c r="H61" s="47" t="s">
        <v>1345</v>
      </c>
      <c r="I61" s="45" t="s">
        <v>293</v>
      </c>
      <c r="J61" s="45" t="s">
        <v>2678</v>
      </c>
      <c r="K61" s="45" t="s">
        <v>245</v>
      </c>
      <c r="L61" s="48" t="s">
        <v>1044</v>
      </c>
    </row>
    <row r="62" spans="1:12" ht="28.8" x14ac:dyDescent="0.3">
      <c r="A62" s="37" t="s">
        <v>1346</v>
      </c>
      <c r="B62" s="37" t="s">
        <v>1347</v>
      </c>
      <c r="C62" s="37" t="s">
        <v>2677</v>
      </c>
      <c r="D62" s="37">
        <v>62</v>
      </c>
      <c r="E62" s="37" t="s">
        <v>239</v>
      </c>
      <c r="F62" s="37" t="s">
        <v>246</v>
      </c>
      <c r="G62" s="40" t="s">
        <v>1349</v>
      </c>
      <c r="H62" s="40"/>
      <c r="I62" s="37" t="s">
        <v>335</v>
      </c>
      <c r="J62" s="37" t="s">
        <v>2678</v>
      </c>
      <c r="K62" s="37" t="s">
        <v>255</v>
      </c>
      <c r="L62" s="41" t="s">
        <v>1044</v>
      </c>
    </row>
    <row r="63" spans="1:12" ht="28.8" x14ac:dyDescent="0.3">
      <c r="A63" s="38" t="s">
        <v>1350</v>
      </c>
      <c r="B63" s="38" t="s">
        <v>1351</v>
      </c>
      <c r="C63" s="38" t="s">
        <v>2677</v>
      </c>
      <c r="D63" s="38">
        <v>63</v>
      </c>
      <c r="E63" s="38" t="s">
        <v>239</v>
      </c>
      <c r="F63" s="38" t="s">
        <v>286</v>
      </c>
      <c r="G63" s="43" t="s">
        <v>1353</v>
      </c>
      <c r="H63" s="43" t="s">
        <v>1354</v>
      </c>
      <c r="I63" s="38" t="s">
        <v>335</v>
      </c>
      <c r="J63" s="38" t="s">
        <v>2678</v>
      </c>
      <c r="K63" s="38" t="s">
        <v>255</v>
      </c>
      <c r="L63" s="44" t="s">
        <v>1044</v>
      </c>
    </row>
    <row r="64" spans="1:12" ht="28.8" x14ac:dyDescent="0.3">
      <c r="A64" s="37" t="s">
        <v>1355</v>
      </c>
      <c r="B64" s="37" t="s">
        <v>1356</v>
      </c>
      <c r="C64" s="37" t="s">
        <v>2677</v>
      </c>
      <c r="D64" s="37">
        <v>64</v>
      </c>
      <c r="E64" s="37" t="s">
        <v>1251</v>
      </c>
      <c r="F64" s="37" t="s">
        <v>246</v>
      </c>
      <c r="G64" s="40" t="s">
        <v>1358</v>
      </c>
      <c r="H64" s="40"/>
      <c r="I64" s="37" t="s">
        <v>335</v>
      </c>
      <c r="J64" s="37" t="s">
        <v>2678</v>
      </c>
      <c r="K64" s="37" t="s">
        <v>255</v>
      </c>
      <c r="L64" s="41" t="s">
        <v>1254</v>
      </c>
    </row>
    <row r="65" spans="1:12" ht="28.8" x14ac:dyDescent="0.3">
      <c r="A65" s="38" t="s">
        <v>1359</v>
      </c>
      <c r="B65" s="38" t="s">
        <v>1360</v>
      </c>
      <c r="C65" s="38" t="s">
        <v>2677</v>
      </c>
      <c r="D65" s="38">
        <v>65</v>
      </c>
      <c r="E65" s="38" t="s">
        <v>1251</v>
      </c>
      <c r="F65" s="38" t="s">
        <v>246</v>
      </c>
      <c r="G65" s="43" t="s">
        <v>1361</v>
      </c>
      <c r="H65" s="43"/>
      <c r="I65" s="38" t="s">
        <v>335</v>
      </c>
      <c r="J65" s="38" t="s">
        <v>2678</v>
      </c>
      <c r="K65" s="38" t="s">
        <v>255</v>
      </c>
      <c r="L65" s="44" t="s">
        <v>1254</v>
      </c>
    </row>
    <row r="66" spans="1:12" ht="28.8" x14ac:dyDescent="0.3">
      <c r="A66" s="37" t="s">
        <v>1362</v>
      </c>
      <c r="B66" s="37" t="s">
        <v>1363</v>
      </c>
      <c r="C66" s="37" t="s">
        <v>2677</v>
      </c>
      <c r="D66" s="37">
        <v>66</v>
      </c>
      <c r="E66" s="37" t="s">
        <v>1251</v>
      </c>
      <c r="F66" s="37" t="s">
        <v>246</v>
      </c>
      <c r="G66" s="40" t="s">
        <v>1364</v>
      </c>
      <c r="H66" s="40"/>
      <c r="I66" s="37" t="s">
        <v>335</v>
      </c>
      <c r="J66" s="37" t="s">
        <v>2678</v>
      </c>
      <c r="K66" s="37" t="s">
        <v>255</v>
      </c>
      <c r="L66" s="41" t="s">
        <v>1254</v>
      </c>
    </row>
    <row r="67" spans="1:12" ht="28.8" x14ac:dyDescent="0.3">
      <c r="A67" s="38" t="s">
        <v>1365</v>
      </c>
      <c r="B67" s="38" t="s">
        <v>1366</v>
      </c>
      <c r="C67" s="38" t="s">
        <v>2677</v>
      </c>
      <c r="D67" s="38">
        <v>67</v>
      </c>
      <c r="E67" s="38" t="s">
        <v>1369</v>
      </c>
      <c r="F67" s="38" t="s">
        <v>246</v>
      </c>
      <c r="G67" s="43" t="s">
        <v>1370</v>
      </c>
      <c r="H67" s="43"/>
      <c r="I67" s="38" t="s">
        <v>335</v>
      </c>
      <c r="J67" s="38" t="s">
        <v>2678</v>
      </c>
      <c r="K67" s="38" t="s">
        <v>255</v>
      </c>
      <c r="L67" s="44" t="s">
        <v>1044</v>
      </c>
    </row>
    <row r="68" spans="1:12" ht="28.8" x14ac:dyDescent="0.3">
      <c r="A68" s="37" t="s">
        <v>1371</v>
      </c>
      <c r="B68" s="37" t="s">
        <v>1372</v>
      </c>
      <c r="C68" s="37" t="s">
        <v>2677</v>
      </c>
      <c r="D68" s="37">
        <v>68</v>
      </c>
      <c r="E68" s="37" t="s">
        <v>239</v>
      </c>
      <c r="F68" s="37" t="s">
        <v>286</v>
      </c>
      <c r="G68" s="40" t="s">
        <v>1374</v>
      </c>
      <c r="H68" s="40" t="s">
        <v>1375</v>
      </c>
      <c r="I68" s="37" t="s">
        <v>335</v>
      </c>
      <c r="J68" s="37" t="s">
        <v>2678</v>
      </c>
      <c r="K68" s="37" t="s">
        <v>255</v>
      </c>
      <c r="L68" s="41" t="s">
        <v>1044</v>
      </c>
    </row>
    <row r="69" spans="1:12" ht="28.8" x14ac:dyDescent="0.3">
      <c r="A69" s="38" t="s">
        <v>1376</v>
      </c>
      <c r="B69" s="38" t="s">
        <v>1377</v>
      </c>
      <c r="C69" s="38" t="s">
        <v>2677</v>
      </c>
      <c r="D69" s="38">
        <v>69</v>
      </c>
      <c r="E69" s="38" t="s">
        <v>239</v>
      </c>
      <c r="F69" s="38" t="s">
        <v>286</v>
      </c>
      <c r="G69" s="43" t="s">
        <v>1379</v>
      </c>
      <c r="H69" s="43" t="s">
        <v>1380</v>
      </c>
      <c r="I69" s="38" t="s">
        <v>335</v>
      </c>
      <c r="J69" s="38" t="s">
        <v>2678</v>
      </c>
      <c r="K69" s="38" t="s">
        <v>255</v>
      </c>
      <c r="L69" s="44" t="s">
        <v>1044</v>
      </c>
    </row>
    <row r="70" spans="1:12" ht="43.2" x14ac:dyDescent="0.3">
      <c r="A70" s="37" t="s">
        <v>1381</v>
      </c>
      <c r="B70" s="37" t="s">
        <v>1382</v>
      </c>
      <c r="C70" s="37" t="s">
        <v>2677</v>
      </c>
      <c r="D70" s="37">
        <v>70</v>
      </c>
      <c r="E70" s="37" t="s">
        <v>1369</v>
      </c>
      <c r="F70" s="37" t="s">
        <v>286</v>
      </c>
      <c r="G70" s="40" t="s">
        <v>1385</v>
      </c>
      <c r="H70" s="40" t="s">
        <v>1386</v>
      </c>
      <c r="I70" s="37" t="s">
        <v>335</v>
      </c>
      <c r="J70" s="37" t="s">
        <v>2678</v>
      </c>
      <c r="K70" s="37" t="s">
        <v>255</v>
      </c>
      <c r="L70" s="41" t="s">
        <v>1044</v>
      </c>
    </row>
    <row r="71" spans="1:12" ht="43.2" x14ac:dyDescent="0.3">
      <c r="A71" s="45" t="s">
        <v>1387</v>
      </c>
      <c r="B71" s="45" t="s">
        <v>1388</v>
      </c>
      <c r="C71" s="45" t="s">
        <v>2677</v>
      </c>
      <c r="D71" s="45">
        <v>71</v>
      </c>
      <c r="E71" s="45" t="s">
        <v>239</v>
      </c>
      <c r="F71" s="45" t="s">
        <v>286</v>
      </c>
      <c r="G71" s="47" t="s">
        <v>1391</v>
      </c>
      <c r="H71" s="47" t="s">
        <v>1392</v>
      </c>
      <c r="I71" s="45" t="s">
        <v>293</v>
      </c>
      <c r="J71" s="45" t="s">
        <v>2678</v>
      </c>
      <c r="K71" s="45" t="s">
        <v>245</v>
      </c>
      <c r="L71" s="48" t="s">
        <v>1393</v>
      </c>
    </row>
    <row r="72" spans="1:12" ht="28.8" x14ac:dyDescent="0.3">
      <c r="A72" s="37" t="s">
        <v>1394</v>
      </c>
      <c r="B72" s="37" t="s">
        <v>1395</v>
      </c>
      <c r="C72" s="37" t="s">
        <v>2677</v>
      </c>
      <c r="D72" s="37">
        <v>72</v>
      </c>
      <c r="E72" s="37" t="s">
        <v>239</v>
      </c>
      <c r="F72" s="37" t="s">
        <v>286</v>
      </c>
      <c r="G72" s="40" t="s">
        <v>1397</v>
      </c>
      <c r="H72" s="40" t="s">
        <v>1398</v>
      </c>
      <c r="I72" s="37" t="s">
        <v>335</v>
      </c>
      <c r="J72" s="37" t="s">
        <v>2678</v>
      </c>
      <c r="K72" s="37" t="s">
        <v>255</v>
      </c>
      <c r="L72" s="41" t="s">
        <v>1044</v>
      </c>
    </row>
    <row r="73" spans="1:12" ht="28.8" x14ac:dyDescent="0.3">
      <c r="A73" s="38" t="s">
        <v>1399</v>
      </c>
      <c r="B73" s="38" t="s">
        <v>1400</v>
      </c>
      <c r="C73" s="38" t="s">
        <v>2677</v>
      </c>
      <c r="D73" s="38">
        <v>73</v>
      </c>
      <c r="E73" s="38" t="s">
        <v>239</v>
      </c>
      <c r="F73" s="38" t="s">
        <v>286</v>
      </c>
      <c r="G73" s="43" t="s">
        <v>1402</v>
      </c>
      <c r="H73" s="43" t="s">
        <v>1403</v>
      </c>
      <c r="I73" s="38" t="s">
        <v>335</v>
      </c>
      <c r="J73" s="38" t="s">
        <v>2678</v>
      </c>
      <c r="K73" s="38" t="s">
        <v>255</v>
      </c>
      <c r="L73" s="44" t="s">
        <v>1044</v>
      </c>
    </row>
    <row r="74" spans="1:12" ht="28.8" x14ac:dyDescent="0.3">
      <c r="A74" s="37" t="s">
        <v>1404</v>
      </c>
      <c r="B74" s="37" t="s">
        <v>1405</v>
      </c>
      <c r="C74" s="37" t="s">
        <v>2677</v>
      </c>
      <c r="D74" s="37">
        <v>74</v>
      </c>
      <c r="E74" s="37" t="s">
        <v>239</v>
      </c>
      <c r="F74" s="37" t="s">
        <v>286</v>
      </c>
      <c r="G74" s="40" t="s">
        <v>1407</v>
      </c>
      <c r="H74" s="40" t="s">
        <v>1408</v>
      </c>
      <c r="I74" s="37" t="s">
        <v>335</v>
      </c>
      <c r="J74" s="37" t="s">
        <v>2678</v>
      </c>
      <c r="K74" s="37" t="s">
        <v>255</v>
      </c>
      <c r="L74" s="41" t="s">
        <v>1044</v>
      </c>
    </row>
    <row r="75" spans="1:12" ht="28.8" x14ac:dyDescent="0.3">
      <c r="A75" s="38" t="s">
        <v>1409</v>
      </c>
      <c r="B75" s="38" t="s">
        <v>1410</v>
      </c>
      <c r="C75" s="38" t="s">
        <v>2677</v>
      </c>
      <c r="D75" s="38">
        <v>75</v>
      </c>
      <c r="E75" s="38" t="s">
        <v>239</v>
      </c>
      <c r="F75" s="38" t="s">
        <v>286</v>
      </c>
      <c r="G75" s="43" t="s">
        <v>1412</v>
      </c>
      <c r="H75" s="43" t="s">
        <v>1413</v>
      </c>
      <c r="I75" s="38" t="s">
        <v>335</v>
      </c>
      <c r="J75" s="38" t="s">
        <v>2678</v>
      </c>
      <c r="K75" s="38" t="s">
        <v>255</v>
      </c>
      <c r="L75" s="44" t="s">
        <v>1044</v>
      </c>
    </row>
    <row r="76" spans="1:12" ht="28.8" x14ac:dyDescent="0.3">
      <c r="A76" s="37" t="s">
        <v>1414</v>
      </c>
      <c r="B76" s="37" t="s">
        <v>1415</v>
      </c>
      <c r="C76" s="37" t="s">
        <v>2677</v>
      </c>
      <c r="D76" s="37">
        <v>76</v>
      </c>
      <c r="E76" s="37" t="s">
        <v>239</v>
      </c>
      <c r="F76" s="37" t="s">
        <v>286</v>
      </c>
      <c r="G76" s="40" t="s">
        <v>1417</v>
      </c>
      <c r="H76" s="40" t="s">
        <v>1418</v>
      </c>
      <c r="I76" s="37" t="s">
        <v>335</v>
      </c>
      <c r="J76" s="37" t="s">
        <v>2678</v>
      </c>
      <c r="K76" s="37" t="s">
        <v>255</v>
      </c>
      <c r="L76" s="41" t="s">
        <v>1044</v>
      </c>
    </row>
    <row r="77" spans="1:12" ht="28.8" x14ac:dyDescent="0.3">
      <c r="A77" s="38" t="s">
        <v>1419</v>
      </c>
      <c r="B77" s="38" t="s">
        <v>1420</v>
      </c>
      <c r="C77" s="38" t="s">
        <v>2677</v>
      </c>
      <c r="D77" s="38">
        <v>77</v>
      </c>
      <c r="E77" s="38" t="s">
        <v>239</v>
      </c>
      <c r="F77" s="38" t="s">
        <v>286</v>
      </c>
      <c r="G77" s="43" t="s">
        <v>1422</v>
      </c>
      <c r="H77" s="43" t="s">
        <v>1423</v>
      </c>
      <c r="I77" s="38" t="s">
        <v>335</v>
      </c>
      <c r="J77" s="38" t="s">
        <v>2678</v>
      </c>
      <c r="K77" s="38" t="s">
        <v>255</v>
      </c>
      <c r="L77" s="44" t="s">
        <v>1044</v>
      </c>
    </row>
    <row r="78" spans="1:12" ht="28.8" x14ac:dyDescent="0.3">
      <c r="A78" s="37" t="s">
        <v>1424</v>
      </c>
      <c r="B78" s="37" t="s">
        <v>1425</v>
      </c>
      <c r="C78" s="37" t="s">
        <v>2677</v>
      </c>
      <c r="D78" s="37">
        <v>78</v>
      </c>
      <c r="E78" s="37" t="s">
        <v>1086</v>
      </c>
      <c r="F78" s="37" t="s">
        <v>286</v>
      </c>
      <c r="G78" s="40" t="s">
        <v>1427</v>
      </c>
      <c r="H78" s="40" t="s">
        <v>1428</v>
      </c>
      <c r="I78" s="37" t="s">
        <v>335</v>
      </c>
      <c r="J78" s="37" t="s">
        <v>2678</v>
      </c>
      <c r="K78" s="37" t="s">
        <v>255</v>
      </c>
      <c r="L78" s="41" t="s">
        <v>1044</v>
      </c>
    </row>
    <row r="79" spans="1:12" ht="28.8" x14ac:dyDescent="0.3">
      <c r="A79" s="38" t="s">
        <v>1429</v>
      </c>
      <c r="B79" s="38" t="s">
        <v>1430</v>
      </c>
      <c r="C79" s="38" t="s">
        <v>2677</v>
      </c>
      <c r="D79" s="38">
        <v>79</v>
      </c>
      <c r="E79" s="38" t="s">
        <v>402</v>
      </c>
      <c r="F79" s="38" t="s">
        <v>246</v>
      </c>
      <c r="G79" s="43" t="s">
        <v>1432</v>
      </c>
      <c r="H79" s="43"/>
      <c r="I79" s="38" t="s">
        <v>335</v>
      </c>
      <c r="J79" s="38" t="s">
        <v>2678</v>
      </c>
      <c r="K79" s="38" t="s">
        <v>255</v>
      </c>
      <c r="L79" s="44" t="s">
        <v>1073</v>
      </c>
    </row>
    <row r="80" spans="1:12" ht="28.8" x14ac:dyDescent="0.3">
      <c r="A80" s="37" t="s">
        <v>1433</v>
      </c>
      <c r="B80" s="37" t="s">
        <v>1434</v>
      </c>
      <c r="C80" s="37" t="s">
        <v>2677</v>
      </c>
      <c r="D80" s="37">
        <v>80</v>
      </c>
      <c r="E80" s="37" t="s">
        <v>402</v>
      </c>
      <c r="F80" s="37" t="s">
        <v>246</v>
      </c>
      <c r="G80" s="40" t="s">
        <v>1437</v>
      </c>
      <c r="H80" s="40"/>
      <c r="I80" s="37" t="s">
        <v>335</v>
      </c>
      <c r="J80" s="37" t="s">
        <v>2678</v>
      </c>
      <c r="K80" s="37" t="s">
        <v>255</v>
      </c>
      <c r="L80" s="41" t="s">
        <v>1438</v>
      </c>
    </row>
    <row r="81" spans="1:12" ht="28.8" x14ac:dyDescent="0.3">
      <c r="A81" s="38" t="s">
        <v>1439</v>
      </c>
      <c r="B81" s="38" t="s">
        <v>1440</v>
      </c>
      <c r="C81" s="38" t="s">
        <v>2677</v>
      </c>
      <c r="D81" s="38">
        <v>81</v>
      </c>
      <c r="E81" s="38" t="s">
        <v>239</v>
      </c>
      <c r="F81" s="38" t="s">
        <v>286</v>
      </c>
      <c r="G81" s="43" t="s">
        <v>1442</v>
      </c>
      <c r="H81" s="43" t="s">
        <v>1443</v>
      </c>
      <c r="I81" s="38" t="s">
        <v>335</v>
      </c>
      <c r="J81" s="38" t="s">
        <v>2678</v>
      </c>
      <c r="K81" s="38" t="s">
        <v>255</v>
      </c>
      <c r="L81" s="44" t="s">
        <v>1044</v>
      </c>
    </row>
    <row r="82" spans="1:12" ht="28.8" x14ac:dyDescent="0.3">
      <c r="A82" s="37" t="s">
        <v>1444</v>
      </c>
      <c r="B82" s="37" t="s">
        <v>1445</v>
      </c>
      <c r="C82" s="37" t="s">
        <v>2677</v>
      </c>
      <c r="D82" s="37">
        <v>82</v>
      </c>
      <c r="E82" s="37" t="s">
        <v>402</v>
      </c>
      <c r="F82" s="37" t="s">
        <v>246</v>
      </c>
      <c r="G82" s="40" t="s">
        <v>1447</v>
      </c>
      <c r="H82" s="40"/>
      <c r="I82" s="37" t="s">
        <v>335</v>
      </c>
      <c r="J82" s="37" t="s">
        <v>2678</v>
      </c>
      <c r="K82" s="37" t="s">
        <v>255</v>
      </c>
      <c r="L82" s="41" t="s">
        <v>1073</v>
      </c>
    </row>
    <row r="83" spans="1:12" ht="28.8" x14ac:dyDescent="0.3">
      <c r="A83" s="38" t="s">
        <v>1448</v>
      </c>
      <c r="B83" s="38" t="s">
        <v>1449</v>
      </c>
      <c r="C83" s="38" t="s">
        <v>2677</v>
      </c>
      <c r="D83" s="38">
        <v>83</v>
      </c>
      <c r="E83" s="38" t="s">
        <v>239</v>
      </c>
      <c r="F83" s="38" t="s">
        <v>246</v>
      </c>
      <c r="G83" s="43" t="s">
        <v>1451</v>
      </c>
      <c r="H83" s="43"/>
      <c r="I83" s="38" t="s">
        <v>335</v>
      </c>
      <c r="J83" s="38" t="s">
        <v>2678</v>
      </c>
      <c r="K83" s="38" t="s">
        <v>255</v>
      </c>
      <c r="L83" s="44" t="s">
        <v>1044</v>
      </c>
    </row>
    <row r="84" spans="1:12" ht="28.8" x14ac:dyDescent="0.3">
      <c r="A84" s="37" t="s">
        <v>1452</v>
      </c>
      <c r="B84" s="37" t="s">
        <v>1449</v>
      </c>
      <c r="C84" s="37" t="s">
        <v>2677</v>
      </c>
      <c r="D84" s="37">
        <v>84</v>
      </c>
      <c r="E84" s="37" t="s">
        <v>1119</v>
      </c>
      <c r="F84" s="37" t="s">
        <v>246</v>
      </c>
      <c r="G84" s="40" t="s">
        <v>1454</v>
      </c>
      <c r="H84" s="40"/>
      <c r="I84" s="37" t="s">
        <v>335</v>
      </c>
      <c r="J84" s="37" t="s">
        <v>2678</v>
      </c>
      <c r="K84" s="37" t="s">
        <v>255</v>
      </c>
      <c r="L84" s="41" t="s">
        <v>1044</v>
      </c>
    </row>
    <row r="85" spans="1:12" ht="28.8" x14ac:dyDescent="0.3">
      <c r="A85" s="38" t="s">
        <v>1455</v>
      </c>
      <c r="B85" s="38" t="s">
        <v>1456</v>
      </c>
      <c r="C85" s="38" t="s">
        <v>2677</v>
      </c>
      <c r="D85" s="38">
        <v>85</v>
      </c>
      <c r="E85" s="38" t="s">
        <v>239</v>
      </c>
      <c r="F85" s="38" t="s">
        <v>286</v>
      </c>
      <c r="G85" s="43" t="s">
        <v>1458</v>
      </c>
      <c r="H85" s="43" t="s">
        <v>1459</v>
      </c>
      <c r="I85" s="38" t="s">
        <v>335</v>
      </c>
      <c r="J85" s="38" t="s">
        <v>2678</v>
      </c>
      <c r="K85" s="38" t="s">
        <v>255</v>
      </c>
      <c r="L85" s="44" t="s">
        <v>1044</v>
      </c>
    </row>
    <row r="86" spans="1:12" ht="28.8" x14ac:dyDescent="0.3">
      <c r="A86" s="37" t="s">
        <v>1460</v>
      </c>
      <c r="B86" s="37" t="s">
        <v>1461</v>
      </c>
      <c r="C86" s="37" t="s">
        <v>2677</v>
      </c>
      <c r="D86" s="37">
        <v>86</v>
      </c>
      <c r="E86" s="37" t="s">
        <v>239</v>
      </c>
      <c r="F86" s="37" t="s">
        <v>246</v>
      </c>
      <c r="G86" s="40" t="s">
        <v>1462</v>
      </c>
      <c r="H86" s="40"/>
      <c r="I86" s="37" t="s">
        <v>335</v>
      </c>
      <c r="J86" s="37" t="s">
        <v>2678</v>
      </c>
      <c r="K86" s="37" t="s">
        <v>255</v>
      </c>
      <c r="L86" s="41" t="s">
        <v>1044</v>
      </c>
    </row>
    <row r="87" spans="1:12" ht="28.8" x14ac:dyDescent="0.3">
      <c r="A87" s="38" t="s">
        <v>1463</v>
      </c>
      <c r="B87" s="38" t="s">
        <v>1464</v>
      </c>
      <c r="C87" s="38" t="s">
        <v>2677</v>
      </c>
      <c r="D87" s="38">
        <v>87</v>
      </c>
      <c r="E87" s="38" t="s">
        <v>239</v>
      </c>
      <c r="F87" s="38" t="s">
        <v>246</v>
      </c>
      <c r="G87" s="43" t="s">
        <v>1465</v>
      </c>
      <c r="H87" s="43"/>
      <c r="I87" s="38" t="s">
        <v>335</v>
      </c>
      <c r="J87" s="38" t="s">
        <v>2678</v>
      </c>
      <c r="K87" s="38" t="s">
        <v>255</v>
      </c>
      <c r="L87" s="44" t="s">
        <v>1044</v>
      </c>
    </row>
    <row r="88" spans="1:12" ht="28.8" x14ac:dyDescent="0.3">
      <c r="A88" s="37" t="s">
        <v>1466</v>
      </c>
      <c r="B88" s="37" t="s">
        <v>1467</v>
      </c>
      <c r="C88" s="37" t="s">
        <v>2677</v>
      </c>
      <c r="D88" s="37">
        <v>88</v>
      </c>
      <c r="E88" s="37" t="s">
        <v>386</v>
      </c>
      <c r="F88" s="37" t="s">
        <v>286</v>
      </c>
      <c r="G88" s="40" t="s">
        <v>1470</v>
      </c>
      <c r="H88" s="40" t="s">
        <v>1471</v>
      </c>
      <c r="I88" s="37" t="s">
        <v>335</v>
      </c>
      <c r="J88" s="37" t="s">
        <v>2678</v>
      </c>
      <c r="K88" s="37" t="s">
        <v>255</v>
      </c>
      <c r="L88" s="41" t="s">
        <v>1044</v>
      </c>
    </row>
    <row r="89" spans="1:12" ht="28.8" x14ac:dyDescent="0.3">
      <c r="A89" s="38" t="s">
        <v>1472</v>
      </c>
      <c r="B89" s="38" t="s">
        <v>1473</v>
      </c>
      <c r="C89" s="38" t="s">
        <v>2677</v>
      </c>
      <c r="D89" s="38">
        <v>89</v>
      </c>
      <c r="E89" s="38" t="s">
        <v>386</v>
      </c>
      <c r="F89" s="38" t="s">
        <v>286</v>
      </c>
      <c r="G89" s="43" t="s">
        <v>1475</v>
      </c>
      <c r="H89" s="43" t="s">
        <v>1476</v>
      </c>
      <c r="I89" s="38" t="s">
        <v>335</v>
      </c>
      <c r="J89" s="38" t="s">
        <v>2678</v>
      </c>
      <c r="K89" s="38" t="s">
        <v>255</v>
      </c>
      <c r="L89" s="44" t="s">
        <v>1044</v>
      </c>
    </row>
    <row r="90" spans="1:12" ht="28.8" x14ac:dyDescent="0.3">
      <c r="A90" s="37" t="s">
        <v>1477</v>
      </c>
      <c r="B90" s="37" t="s">
        <v>1478</v>
      </c>
      <c r="C90" s="37" t="s">
        <v>2677</v>
      </c>
      <c r="D90" s="37">
        <v>90</v>
      </c>
      <c r="E90" s="37" t="s">
        <v>239</v>
      </c>
      <c r="F90" s="37" t="s">
        <v>286</v>
      </c>
      <c r="G90" s="40" t="s">
        <v>1480</v>
      </c>
      <c r="H90" s="40" t="s">
        <v>1481</v>
      </c>
      <c r="I90" s="37" t="s">
        <v>335</v>
      </c>
      <c r="J90" s="37" t="s">
        <v>2678</v>
      </c>
      <c r="K90" s="37" t="s">
        <v>255</v>
      </c>
      <c r="L90" s="41" t="s">
        <v>1044</v>
      </c>
    </row>
    <row r="91" spans="1:12" ht="28.8" x14ac:dyDescent="0.3">
      <c r="A91" s="38" t="s">
        <v>1482</v>
      </c>
      <c r="B91" s="38" t="s">
        <v>1483</v>
      </c>
      <c r="C91" s="38" t="s">
        <v>2677</v>
      </c>
      <c r="D91" s="38">
        <v>91</v>
      </c>
      <c r="E91" s="38" t="s">
        <v>1086</v>
      </c>
      <c r="F91" s="38" t="s">
        <v>286</v>
      </c>
      <c r="G91" s="43" t="s">
        <v>1486</v>
      </c>
      <c r="H91" s="43" t="s">
        <v>1487</v>
      </c>
      <c r="I91" s="38" t="s">
        <v>335</v>
      </c>
      <c r="J91" s="38" t="s">
        <v>2678</v>
      </c>
      <c r="K91" s="38" t="s">
        <v>255</v>
      </c>
      <c r="L91" s="44" t="s">
        <v>1044</v>
      </c>
    </row>
    <row r="92" spans="1:12" ht="28.8" x14ac:dyDescent="0.3">
      <c r="A92" s="37" t="s">
        <v>1488</v>
      </c>
      <c r="B92" s="37" t="s">
        <v>1489</v>
      </c>
      <c r="C92" s="37" t="s">
        <v>2677</v>
      </c>
      <c r="D92" s="37">
        <v>92</v>
      </c>
      <c r="E92" s="37" t="s">
        <v>1086</v>
      </c>
      <c r="F92" s="37" t="s">
        <v>286</v>
      </c>
      <c r="G92" s="40" t="s">
        <v>1491</v>
      </c>
      <c r="H92" s="40" t="s">
        <v>1492</v>
      </c>
      <c r="I92" s="37" t="s">
        <v>335</v>
      </c>
      <c r="J92" s="37" t="s">
        <v>2678</v>
      </c>
      <c r="K92" s="37" t="s">
        <v>255</v>
      </c>
      <c r="L92" s="41" t="s">
        <v>1044</v>
      </c>
    </row>
    <row r="93" spans="1:12" ht="28.8" x14ac:dyDescent="0.3">
      <c r="A93" s="38" t="s">
        <v>1493</v>
      </c>
      <c r="B93" s="38" t="s">
        <v>1494</v>
      </c>
      <c r="C93" s="38" t="s">
        <v>2677</v>
      </c>
      <c r="D93" s="38">
        <v>93</v>
      </c>
      <c r="E93" s="38" t="s">
        <v>1086</v>
      </c>
      <c r="F93" s="38" t="s">
        <v>286</v>
      </c>
      <c r="G93" s="43" t="s">
        <v>1496</v>
      </c>
      <c r="H93" s="43" t="s">
        <v>1497</v>
      </c>
      <c r="I93" s="38" t="s">
        <v>335</v>
      </c>
      <c r="J93" s="38" t="s">
        <v>2678</v>
      </c>
      <c r="K93" s="38" t="s">
        <v>255</v>
      </c>
      <c r="L93" s="44" t="s">
        <v>1044</v>
      </c>
    </row>
    <row r="94" spans="1:12" ht="28.8" x14ac:dyDescent="0.3">
      <c r="A94" s="37" t="s">
        <v>1498</v>
      </c>
      <c r="B94" s="37" t="s">
        <v>1499</v>
      </c>
      <c r="C94" s="37" t="s">
        <v>2677</v>
      </c>
      <c r="D94" s="37">
        <v>94</v>
      </c>
      <c r="E94" s="37" t="s">
        <v>1369</v>
      </c>
      <c r="F94" s="37" t="s">
        <v>286</v>
      </c>
      <c r="G94" s="40" t="s">
        <v>1502</v>
      </c>
      <c r="H94" s="40" t="s">
        <v>1503</v>
      </c>
      <c r="I94" s="37" t="s">
        <v>335</v>
      </c>
      <c r="J94" s="37" t="s">
        <v>2678</v>
      </c>
      <c r="K94" s="37" t="s">
        <v>255</v>
      </c>
      <c r="L94" s="41" t="s">
        <v>1044</v>
      </c>
    </row>
    <row r="95" spans="1:12" ht="28.8" x14ac:dyDescent="0.3">
      <c r="A95" s="38" t="s">
        <v>1504</v>
      </c>
      <c r="B95" s="38" t="s">
        <v>1505</v>
      </c>
      <c r="C95" s="38" t="s">
        <v>2677</v>
      </c>
      <c r="D95" s="38">
        <v>95</v>
      </c>
      <c r="E95" s="38" t="s">
        <v>1369</v>
      </c>
      <c r="F95" s="38" t="s">
        <v>286</v>
      </c>
      <c r="G95" s="43" t="s">
        <v>1507</v>
      </c>
      <c r="H95" s="43" t="s">
        <v>1508</v>
      </c>
      <c r="I95" s="38" t="s">
        <v>335</v>
      </c>
      <c r="J95" s="38" t="s">
        <v>2678</v>
      </c>
      <c r="K95" s="38" t="s">
        <v>255</v>
      </c>
      <c r="L95" s="44" t="s">
        <v>1044</v>
      </c>
    </row>
    <row r="96" spans="1:12" ht="28.8" x14ac:dyDescent="0.3">
      <c r="A96" s="37" t="s">
        <v>1509</v>
      </c>
      <c r="B96" s="37" t="s">
        <v>1510</v>
      </c>
      <c r="C96" s="37" t="s">
        <v>2677</v>
      </c>
      <c r="D96" s="37">
        <v>96</v>
      </c>
      <c r="E96" s="37" t="s">
        <v>1369</v>
      </c>
      <c r="F96" s="37" t="s">
        <v>286</v>
      </c>
      <c r="G96" s="40" t="s">
        <v>1512</v>
      </c>
      <c r="H96" s="40" t="s">
        <v>1513</v>
      </c>
      <c r="I96" s="37" t="s">
        <v>335</v>
      </c>
      <c r="J96" s="37" t="s">
        <v>2678</v>
      </c>
      <c r="K96" s="37" t="s">
        <v>255</v>
      </c>
      <c r="L96" s="41" t="s">
        <v>1044</v>
      </c>
    </row>
    <row r="97" spans="1:12" ht="28.8" x14ac:dyDescent="0.3">
      <c r="A97" s="38" t="s">
        <v>1514</v>
      </c>
      <c r="B97" s="38" t="s">
        <v>1515</v>
      </c>
      <c r="C97" s="38" t="s">
        <v>2677</v>
      </c>
      <c r="D97" s="38">
        <v>97</v>
      </c>
      <c r="E97" s="38" t="s">
        <v>1086</v>
      </c>
      <c r="F97" s="38" t="s">
        <v>246</v>
      </c>
      <c r="G97" s="43" t="s">
        <v>1518</v>
      </c>
      <c r="H97" s="43"/>
      <c r="I97" s="38" t="s">
        <v>335</v>
      </c>
      <c r="J97" s="38" t="s">
        <v>2678</v>
      </c>
      <c r="K97" s="38" t="s">
        <v>255</v>
      </c>
      <c r="L97" s="44" t="s">
        <v>1044</v>
      </c>
    </row>
    <row r="98" spans="1:12" ht="28.8" x14ac:dyDescent="0.3">
      <c r="A98" s="37" t="s">
        <v>1519</v>
      </c>
      <c r="B98" s="37" t="s">
        <v>1520</v>
      </c>
      <c r="C98" s="37" t="s">
        <v>2677</v>
      </c>
      <c r="D98" s="37">
        <v>98</v>
      </c>
      <c r="E98" s="37" t="s">
        <v>1251</v>
      </c>
      <c r="F98" s="37" t="s">
        <v>246</v>
      </c>
      <c r="G98" s="40" t="s">
        <v>1523</v>
      </c>
      <c r="H98" s="40"/>
      <c r="I98" s="37" t="s">
        <v>335</v>
      </c>
      <c r="J98" s="37" t="s">
        <v>2678</v>
      </c>
      <c r="K98" s="37" t="s">
        <v>255</v>
      </c>
      <c r="L98" s="41" t="s">
        <v>1254</v>
      </c>
    </row>
    <row r="99" spans="1:12" ht="43.2" x14ac:dyDescent="0.3">
      <c r="A99" s="38" t="s">
        <v>1524</v>
      </c>
      <c r="B99" s="38" t="s">
        <v>1525</v>
      </c>
      <c r="C99" s="38" t="s">
        <v>2677</v>
      </c>
      <c r="D99" s="38">
        <v>99</v>
      </c>
      <c r="E99" s="38" t="s">
        <v>386</v>
      </c>
      <c r="F99" s="38" t="s">
        <v>286</v>
      </c>
      <c r="G99" s="43" t="s">
        <v>1527</v>
      </c>
      <c r="H99" s="43" t="s">
        <v>1528</v>
      </c>
      <c r="I99" s="38" t="s">
        <v>335</v>
      </c>
      <c r="J99" s="38" t="s">
        <v>2678</v>
      </c>
      <c r="K99" s="38" t="s">
        <v>255</v>
      </c>
      <c r="L99" s="44" t="s">
        <v>1044</v>
      </c>
    </row>
    <row r="100" spans="1:12" ht="28.8" x14ac:dyDescent="0.3">
      <c r="A100" s="37" t="s">
        <v>1529</v>
      </c>
      <c r="B100" s="37" t="s">
        <v>1530</v>
      </c>
      <c r="C100" s="37" t="s">
        <v>2677</v>
      </c>
      <c r="D100" s="37">
        <v>100</v>
      </c>
      <c r="E100" s="37" t="s">
        <v>1251</v>
      </c>
      <c r="F100" s="37" t="s">
        <v>246</v>
      </c>
      <c r="G100" s="40" t="s">
        <v>1533</v>
      </c>
      <c r="H100" s="40"/>
      <c r="I100" s="37" t="s">
        <v>335</v>
      </c>
      <c r="J100" s="37" t="s">
        <v>2678</v>
      </c>
      <c r="K100" s="37" t="s">
        <v>255</v>
      </c>
      <c r="L100" s="41" t="s">
        <v>1254</v>
      </c>
    </row>
    <row r="101" spans="1:12" ht="28.8" x14ac:dyDescent="0.3">
      <c r="A101" s="38" t="s">
        <v>1534</v>
      </c>
      <c r="B101" s="38" t="s">
        <v>1535</v>
      </c>
      <c r="C101" s="38" t="s">
        <v>2677</v>
      </c>
      <c r="D101" s="38">
        <v>101</v>
      </c>
      <c r="E101" s="38" t="s">
        <v>239</v>
      </c>
      <c r="F101" s="38" t="s">
        <v>286</v>
      </c>
      <c r="G101" s="43" t="s">
        <v>1537</v>
      </c>
      <c r="H101" s="43" t="s">
        <v>1538</v>
      </c>
      <c r="I101" s="38" t="s">
        <v>335</v>
      </c>
      <c r="J101" s="38" t="s">
        <v>2678</v>
      </c>
      <c r="K101" s="38" t="s">
        <v>255</v>
      </c>
      <c r="L101" s="44" t="s">
        <v>1044</v>
      </c>
    </row>
    <row r="102" spans="1:12" ht="28.8" x14ac:dyDescent="0.3">
      <c r="A102" s="37" t="s">
        <v>1539</v>
      </c>
      <c r="B102" s="37" t="s">
        <v>1540</v>
      </c>
      <c r="C102" s="37" t="s">
        <v>2677</v>
      </c>
      <c r="D102" s="37">
        <v>102</v>
      </c>
      <c r="E102" s="37" t="s">
        <v>1369</v>
      </c>
      <c r="F102" s="37" t="s">
        <v>286</v>
      </c>
      <c r="G102" s="40" t="s">
        <v>1542</v>
      </c>
      <c r="H102" s="40" t="s">
        <v>1543</v>
      </c>
      <c r="I102" s="37" t="s">
        <v>335</v>
      </c>
      <c r="J102" s="37" t="s">
        <v>2678</v>
      </c>
      <c r="K102" s="37" t="s">
        <v>255</v>
      </c>
      <c r="L102" s="41" t="s">
        <v>1044</v>
      </c>
    </row>
    <row r="103" spans="1:12" ht="28.8" x14ac:dyDescent="0.3">
      <c r="A103" s="38" t="s">
        <v>1544</v>
      </c>
      <c r="B103" s="38" t="s">
        <v>1545</v>
      </c>
      <c r="C103" s="38" t="s">
        <v>2677</v>
      </c>
      <c r="D103" s="38">
        <v>103</v>
      </c>
      <c r="E103" s="38" t="s">
        <v>386</v>
      </c>
      <c r="F103" s="38" t="s">
        <v>286</v>
      </c>
      <c r="G103" s="43" t="s">
        <v>1547</v>
      </c>
      <c r="H103" s="43" t="s">
        <v>1548</v>
      </c>
      <c r="I103" s="38" t="s">
        <v>335</v>
      </c>
      <c r="J103" s="38" t="s">
        <v>2678</v>
      </c>
      <c r="K103" s="38" t="s">
        <v>255</v>
      </c>
      <c r="L103" s="44" t="s">
        <v>1044</v>
      </c>
    </row>
    <row r="104" spans="1:12" ht="28.8" x14ac:dyDescent="0.3">
      <c r="A104" s="37" t="s">
        <v>1549</v>
      </c>
      <c r="B104" s="37" t="s">
        <v>1550</v>
      </c>
      <c r="C104" s="37" t="s">
        <v>2677</v>
      </c>
      <c r="D104" s="37">
        <v>104</v>
      </c>
      <c r="E104" s="37" t="s">
        <v>386</v>
      </c>
      <c r="F104" s="37" t="s">
        <v>286</v>
      </c>
      <c r="G104" s="40" t="s">
        <v>1551</v>
      </c>
      <c r="H104" s="40" t="s">
        <v>1552</v>
      </c>
      <c r="I104" s="37" t="s">
        <v>335</v>
      </c>
      <c r="J104" s="37" t="s">
        <v>2678</v>
      </c>
      <c r="K104" s="37" t="s">
        <v>255</v>
      </c>
      <c r="L104" s="41" t="s">
        <v>1044</v>
      </c>
    </row>
    <row r="105" spans="1:12" ht="28.8" x14ac:dyDescent="0.3">
      <c r="A105" s="38" t="s">
        <v>1553</v>
      </c>
      <c r="B105" s="38" t="s">
        <v>1554</v>
      </c>
      <c r="C105" s="38" t="s">
        <v>2677</v>
      </c>
      <c r="D105" s="38">
        <v>105</v>
      </c>
      <c r="E105" s="38" t="s">
        <v>239</v>
      </c>
      <c r="F105" s="38" t="s">
        <v>286</v>
      </c>
      <c r="G105" s="43" t="s">
        <v>1556</v>
      </c>
      <c r="H105" s="43" t="s">
        <v>1557</v>
      </c>
      <c r="I105" s="38" t="s">
        <v>335</v>
      </c>
      <c r="J105" s="38" t="s">
        <v>2678</v>
      </c>
      <c r="K105" s="38" t="s">
        <v>255</v>
      </c>
      <c r="L105" s="44" t="s">
        <v>1044</v>
      </c>
    </row>
    <row r="106" spans="1:12" ht="28.8" x14ac:dyDescent="0.3">
      <c r="A106" s="37" t="s">
        <v>1558</v>
      </c>
      <c r="B106" s="37" t="s">
        <v>1559</v>
      </c>
      <c r="C106" s="37" t="s">
        <v>2677</v>
      </c>
      <c r="D106" s="37">
        <v>106</v>
      </c>
      <c r="E106" s="37" t="s">
        <v>1369</v>
      </c>
      <c r="F106" s="37" t="s">
        <v>286</v>
      </c>
      <c r="G106" s="40" t="s">
        <v>1561</v>
      </c>
      <c r="H106" s="40" t="s">
        <v>1562</v>
      </c>
      <c r="I106" s="37" t="s">
        <v>335</v>
      </c>
      <c r="J106" s="37" t="s">
        <v>2678</v>
      </c>
      <c r="K106" s="37" t="s">
        <v>255</v>
      </c>
      <c r="L106" s="41" t="s">
        <v>1044</v>
      </c>
    </row>
    <row r="107" spans="1:12" ht="28.8" x14ac:dyDescent="0.3">
      <c r="A107" s="38" t="s">
        <v>1563</v>
      </c>
      <c r="B107" s="38" t="s">
        <v>1564</v>
      </c>
      <c r="C107" s="38" t="s">
        <v>2677</v>
      </c>
      <c r="D107" s="38">
        <v>107</v>
      </c>
      <c r="E107" s="38" t="s">
        <v>1369</v>
      </c>
      <c r="F107" s="38" t="s">
        <v>286</v>
      </c>
      <c r="G107" s="43" t="s">
        <v>1566</v>
      </c>
      <c r="H107" s="43" t="s">
        <v>1567</v>
      </c>
      <c r="I107" s="38" t="s">
        <v>335</v>
      </c>
      <c r="J107" s="38" t="s">
        <v>2678</v>
      </c>
      <c r="K107" s="38" t="s">
        <v>255</v>
      </c>
      <c r="L107" s="44" t="s">
        <v>1044</v>
      </c>
    </row>
    <row r="108" spans="1:12" ht="28.8" x14ac:dyDescent="0.3">
      <c r="A108" s="37" t="s">
        <v>1568</v>
      </c>
      <c r="B108" s="37" t="s">
        <v>1569</v>
      </c>
      <c r="C108" s="37" t="s">
        <v>2677</v>
      </c>
      <c r="D108" s="37">
        <v>108</v>
      </c>
      <c r="E108" s="37" t="s">
        <v>239</v>
      </c>
      <c r="F108" s="37" t="s">
        <v>286</v>
      </c>
      <c r="G108" s="40" t="s">
        <v>1570</v>
      </c>
      <c r="H108" s="40" t="s">
        <v>1571</v>
      </c>
      <c r="I108" s="37" t="s">
        <v>335</v>
      </c>
      <c r="J108" s="37" t="s">
        <v>2678</v>
      </c>
      <c r="K108" s="37" t="s">
        <v>255</v>
      </c>
      <c r="L108" s="41" t="s">
        <v>1044</v>
      </c>
    </row>
    <row r="109" spans="1:12" ht="28.8" x14ac:dyDescent="0.3">
      <c r="A109" s="38" t="s">
        <v>1572</v>
      </c>
      <c r="B109" s="38" t="s">
        <v>1573</v>
      </c>
      <c r="C109" s="38" t="s">
        <v>2677</v>
      </c>
      <c r="D109" s="38">
        <v>109</v>
      </c>
      <c r="E109" s="38" t="s">
        <v>1369</v>
      </c>
      <c r="F109" s="38" t="s">
        <v>286</v>
      </c>
      <c r="G109" s="43" t="s">
        <v>1575</v>
      </c>
      <c r="H109" s="43" t="s">
        <v>1576</v>
      </c>
      <c r="I109" s="38" t="s">
        <v>335</v>
      </c>
      <c r="J109" s="38" t="s">
        <v>2678</v>
      </c>
      <c r="K109" s="38" t="s">
        <v>255</v>
      </c>
      <c r="L109" s="44" t="s">
        <v>1044</v>
      </c>
    </row>
    <row r="110" spans="1:12" ht="28.8" x14ac:dyDescent="0.3">
      <c r="A110" s="45" t="s">
        <v>1577</v>
      </c>
      <c r="B110" s="45" t="s">
        <v>1578</v>
      </c>
      <c r="C110" s="45" t="s">
        <v>2677</v>
      </c>
      <c r="D110" s="45">
        <v>110</v>
      </c>
      <c r="E110" s="45" t="s">
        <v>1200</v>
      </c>
      <c r="F110" s="45" t="s">
        <v>286</v>
      </c>
      <c r="G110" s="47" t="s">
        <v>1580</v>
      </c>
      <c r="H110" s="47" t="s">
        <v>1581</v>
      </c>
      <c r="I110" s="45" t="s">
        <v>293</v>
      </c>
      <c r="J110" s="45" t="s">
        <v>2678</v>
      </c>
      <c r="K110" s="45" t="s">
        <v>245</v>
      </c>
      <c r="L110" s="48" t="s">
        <v>1044</v>
      </c>
    </row>
    <row r="111" spans="1:12" ht="28.8" x14ac:dyDescent="0.3">
      <c r="A111" s="38" t="s">
        <v>1582</v>
      </c>
      <c r="B111" s="38" t="s">
        <v>1583</v>
      </c>
      <c r="C111" s="38" t="s">
        <v>2677</v>
      </c>
      <c r="D111" s="38">
        <v>111</v>
      </c>
      <c r="E111" s="38" t="s">
        <v>239</v>
      </c>
      <c r="F111" s="38" t="s">
        <v>286</v>
      </c>
      <c r="G111" s="43" t="s">
        <v>1584</v>
      </c>
      <c r="H111" s="43" t="s">
        <v>1585</v>
      </c>
      <c r="I111" s="38" t="s">
        <v>335</v>
      </c>
      <c r="J111" s="38" t="s">
        <v>2678</v>
      </c>
      <c r="K111" s="38" t="s">
        <v>255</v>
      </c>
      <c r="L111" s="44" t="s">
        <v>1044</v>
      </c>
    </row>
    <row r="112" spans="1:12" ht="28.8" x14ac:dyDescent="0.3">
      <c r="A112" s="37" t="s">
        <v>1586</v>
      </c>
      <c r="B112" s="37" t="s">
        <v>1587</v>
      </c>
      <c r="C112" s="37" t="s">
        <v>2677</v>
      </c>
      <c r="D112" s="37">
        <v>112</v>
      </c>
      <c r="E112" s="37" t="s">
        <v>1195</v>
      </c>
      <c r="F112" s="37" t="s">
        <v>246</v>
      </c>
      <c r="G112" s="40" t="s">
        <v>1589</v>
      </c>
      <c r="H112" s="40"/>
      <c r="I112" s="37" t="s">
        <v>335</v>
      </c>
      <c r="J112" s="37" t="s">
        <v>2678</v>
      </c>
      <c r="K112" s="37" t="s">
        <v>255</v>
      </c>
      <c r="L112" s="41" t="s">
        <v>1044</v>
      </c>
    </row>
    <row r="113" spans="1:12" ht="28.8" x14ac:dyDescent="0.3">
      <c r="A113" s="38" t="s">
        <v>1590</v>
      </c>
      <c r="B113" s="38" t="s">
        <v>1591</v>
      </c>
      <c r="C113" s="38" t="s">
        <v>2677</v>
      </c>
      <c r="D113" s="38">
        <v>113</v>
      </c>
      <c r="E113" s="38" t="s">
        <v>1195</v>
      </c>
      <c r="F113" s="38" t="s">
        <v>246</v>
      </c>
      <c r="G113" s="43" t="s">
        <v>1592</v>
      </c>
      <c r="H113" s="43"/>
      <c r="I113" s="38" t="s">
        <v>335</v>
      </c>
      <c r="J113" s="38" t="s">
        <v>2678</v>
      </c>
      <c r="K113" s="38" t="s">
        <v>255</v>
      </c>
      <c r="L113" s="44" t="s">
        <v>1044</v>
      </c>
    </row>
    <row r="114" spans="1:12" ht="28.8" x14ac:dyDescent="0.3">
      <c r="A114" s="37" t="s">
        <v>1593</v>
      </c>
      <c r="B114" s="37" t="s">
        <v>1594</v>
      </c>
      <c r="C114" s="37" t="s">
        <v>2677</v>
      </c>
      <c r="D114" s="37">
        <v>114</v>
      </c>
      <c r="E114" s="37" t="s">
        <v>1195</v>
      </c>
      <c r="F114" s="37" t="s">
        <v>246</v>
      </c>
      <c r="G114" s="40" t="s">
        <v>1595</v>
      </c>
      <c r="H114" s="40"/>
      <c r="I114" s="37" t="s">
        <v>335</v>
      </c>
      <c r="J114" s="37" t="s">
        <v>2678</v>
      </c>
      <c r="K114" s="37" t="s">
        <v>255</v>
      </c>
      <c r="L114" s="41" t="s">
        <v>1044</v>
      </c>
    </row>
    <row r="115" spans="1:12" ht="28.8" x14ac:dyDescent="0.3">
      <c r="A115" s="38" t="s">
        <v>1596</v>
      </c>
      <c r="B115" s="38" t="s">
        <v>1597</v>
      </c>
      <c r="C115" s="38" t="s">
        <v>2677</v>
      </c>
      <c r="D115" s="38">
        <v>115</v>
      </c>
      <c r="E115" s="38" t="s">
        <v>239</v>
      </c>
      <c r="F115" s="38" t="s">
        <v>246</v>
      </c>
      <c r="G115" s="43" t="s">
        <v>1599</v>
      </c>
      <c r="H115" s="43"/>
      <c r="I115" s="38" t="s">
        <v>335</v>
      </c>
      <c r="J115" s="38" t="s">
        <v>2678</v>
      </c>
      <c r="K115" s="38" t="s">
        <v>255</v>
      </c>
      <c r="L115" s="44" t="s">
        <v>1044</v>
      </c>
    </row>
    <row r="116" spans="1:12" ht="28.8" x14ac:dyDescent="0.3">
      <c r="A116" s="37" t="s">
        <v>1600</v>
      </c>
      <c r="B116" s="37" t="s">
        <v>1601</v>
      </c>
      <c r="C116" s="37" t="s">
        <v>2677</v>
      </c>
      <c r="D116" s="37">
        <v>116</v>
      </c>
      <c r="E116" s="37" t="s">
        <v>386</v>
      </c>
      <c r="F116" s="37" t="s">
        <v>246</v>
      </c>
      <c r="G116" s="40" t="s">
        <v>1603</v>
      </c>
      <c r="H116" s="40"/>
      <c r="I116" s="37" t="s">
        <v>335</v>
      </c>
      <c r="J116" s="37" t="s">
        <v>2678</v>
      </c>
      <c r="K116" s="37" t="s">
        <v>255</v>
      </c>
      <c r="L116" s="41" t="s">
        <v>1044</v>
      </c>
    </row>
    <row r="117" spans="1:12" ht="28.8" x14ac:dyDescent="0.3">
      <c r="A117" s="38" t="s">
        <v>1604</v>
      </c>
      <c r="B117" s="38" t="s">
        <v>1605</v>
      </c>
      <c r="C117" s="38" t="s">
        <v>2677</v>
      </c>
      <c r="D117" s="38">
        <v>117</v>
      </c>
      <c r="E117" s="38" t="s">
        <v>1369</v>
      </c>
      <c r="F117" s="38" t="s">
        <v>246</v>
      </c>
      <c r="G117" s="43" t="s">
        <v>1606</v>
      </c>
      <c r="H117" s="43"/>
      <c r="I117" s="38" t="s">
        <v>335</v>
      </c>
      <c r="J117" s="38" t="s">
        <v>2678</v>
      </c>
      <c r="K117" s="38" t="s">
        <v>255</v>
      </c>
      <c r="L117" s="44" t="s">
        <v>1044</v>
      </c>
    </row>
    <row r="118" spans="1:12" ht="28.8" x14ac:dyDescent="0.3">
      <c r="A118" s="37" t="s">
        <v>1607</v>
      </c>
      <c r="B118" s="37" t="s">
        <v>1608</v>
      </c>
      <c r="C118" s="37" t="s">
        <v>2677</v>
      </c>
      <c r="D118" s="37">
        <v>118</v>
      </c>
      <c r="E118" s="37" t="s">
        <v>386</v>
      </c>
      <c r="F118" s="37" t="s">
        <v>246</v>
      </c>
      <c r="G118" s="40" t="s">
        <v>1609</v>
      </c>
      <c r="H118" s="40"/>
      <c r="I118" s="37" t="s">
        <v>335</v>
      </c>
      <c r="J118" s="37" t="s">
        <v>2678</v>
      </c>
      <c r="K118" s="37" t="s">
        <v>255</v>
      </c>
      <c r="L118" s="41" t="s">
        <v>1044</v>
      </c>
    </row>
    <row r="119" spans="1:12" ht="28.8" x14ac:dyDescent="0.3">
      <c r="A119" s="38" t="s">
        <v>1610</v>
      </c>
      <c r="B119" s="38" t="s">
        <v>1611</v>
      </c>
      <c r="C119" s="38" t="s">
        <v>2677</v>
      </c>
      <c r="D119" s="38">
        <v>119</v>
      </c>
      <c r="E119" s="38" t="s">
        <v>386</v>
      </c>
      <c r="F119" s="38" t="s">
        <v>246</v>
      </c>
      <c r="G119" s="43" t="s">
        <v>1612</v>
      </c>
      <c r="H119" s="43"/>
      <c r="I119" s="38" t="s">
        <v>335</v>
      </c>
      <c r="J119" s="38" t="s">
        <v>2678</v>
      </c>
      <c r="K119" s="38" t="s">
        <v>255</v>
      </c>
      <c r="L119" s="44" t="s">
        <v>1044</v>
      </c>
    </row>
    <row r="120" spans="1:12" ht="28.8" x14ac:dyDescent="0.3">
      <c r="A120" s="37" t="s">
        <v>1613</v>
      </c>
      <c r="B120" s="37" t="s">
        <v>1614</v>
      </c>
      <c r="C120" s="37" t="s">
        <v>2677</v>
      </c>
      <c r="D120" s="37">
        <v>120</v>
      </c>
      <c r="E120" s="37" t="s">
        <v>386</v>
      </c>
      <c r="F120" s="37" t="s">
        <v>246</v>
      </c>
      <c r="G120" s="40" t="s">
        <v>1616</v>
      </c>
      <c r="H120" s="40"/>
      <c r="I120" s="37" t="s">
        <v>335</v>
      </c>
      <c r="J120" s="37" t="s">
        <v>2678</v>
      </c>
      <c r="K120" s="37" t="s">
        <v>255</v>
      </c>
      <c r="L120" s="41" t="s">
        <v>1044</v>
      </c>
    </row>
    <row r="121" spans="1:12" ht="28.8" x14ac:dyDescent="0.3">
      <c r="A121" s="38" t="s">
        <v>1617</v>
      </c>
      <c r="B121" s="38" t="s">
        <v>1618</v>
      </c>
      <c r="C121" s="38" t="s">
        <v>2677</v>
      </c>
      <c r="D121" s="38">
        <v>121</v>
      </c>
      <c r="E121" s="38" t="s">
        <v>239</v>
      </c>
      <c r="F121" s="38" t="s">
        <v>246</v>
      </c>
      <c r="G121" s="43" t="s">
        <v>1619</v>
      </c>
      <c r="H121" s="43"/>
      <c r="I121" s="38" t="s">
        <v>335</v>
      </c>
      <c r="J121" s="38" t="s">
        <v>2678</v>
      </c>
      <c r="K121" s="38" t="s">
        <v>255</v>
      </c>
      <c r="L121" s="44" t="s">
        <v>1044</v>
      </c>
    </row>
    <row r="122" spans="1:12" ht="28.8" x14ac:dyDescent="0.3">
      <c r="A122" s="37" t="s">
        <v>1620</v>
      </c>
      <c r="B122" s="37" t="s">
        <v>1621</v>
      </c>
      <c r="C122" s="37" t="s">
        <v>2677</v>
      </c>
      <c r="D122" s="37">
        <v>122</v>
      </c>
      <c r="E122" s="37" t="s">
        <v>1369</v>
      </c>
      <c r="F122" s="37" t="s">
        <v>246</v>
      </c>
      <c r="G122" s="40" t="s">
        <v>1623</v>
      </c>
      <c r="H122" s="40"/>
      <c r="I122" s="37" t="s">
        <v>335</v>
      </c>
      <c r="J122" s="37" t="s">
        <v>2678</v>
      </c>
      <c r="K122" s="37" t="s">
        <v>255</v>
      </c>
      <c r="L122" s="41" t="s">
        <v>1044</v>
      </c>
    </row>
    <row r="123" spans="1:12" ht="28.8" x14ac:dyDescent="0.3">
      <c r="A123" s="38" t="s">
        <v>1624</v>
      </c>
      <c r="B123" s="38" t="s">
        <v>1625</v>
      </c>
      <c r="C123" s="38" t="s">
        <v>2677</v>
      </c>
      <c r="D123" s="38">
        <v>123</v>
      </c>
      <c r="E123" s="38" t="s">
        <v>239</v>
      </c>
      <c r="F123" s="38" t="s">
        <v>246</v>
      </c>
      <c r="G123" s="43" t="s">
        <v>1626</v>
      </c>
      <c r="H123" s="43"/>
      <c r="I123" s="38" t="s">
        <v>335</v>
      </c>
      <c r="J123" s="38" t="s">
        <v>2678</v>
      </c>
      <c r="K123" s="38" t="s">
        <v>255</v>
      </c>
      <c r="L123" s="44" t="s">
        <v>1044</v>
      </c>
    </row>
    <row r="124" spans="1:12" ht="28.8" x14ac:dyDescent="0.3">
      <c r="A124" s="37" t="s">
        <v>1627</v>
      </c>
      <c r="B124" s="37" t="s">
        <v>1628</v>
      </c>
      <c r="C124" s="37" t="s">
        <v>2677</v>
      </c>
      <c r="D124" s="37">
        <v>124</v>
      </c>
      <c r="E124" s="37" t="s">
        <v>1086</v>
      </c>
      <c r="F124" s="37" t="s">
        <v>246</v>
      </c>
      <c r="G124" s="40" t="s">
        <v>1630</v>
      </c>
      <c r="H124" s="40"/>
      <c r="I124" s="37" t="s">
        <v>335</v>
      </c>
      <c r="J124" s="37" t="s">
        <v>2678</v>
      </c>
      <c r="K124" s="37" t="s">
        <v>255</v>
      </c>
      <c r="L124" s="41" t="s">
        <v>1044</v>
      </c>
    </row>
    <row r="125" spans="1:12" ht="28.8" x14ac:dyDescent="0.3">
      <c r="A125" s="38" t="s">
        <v>1631</v>
      </c>
      <c r="B125" s="38" t="s">
        <v>1632</v>
      </c>
      <c r="C125" s="38" t="s">
        <v>2677</v>
      </c>
      <c r="D125" s="38">
        <v>125</v>
      </c>
      <c r="E125" s="38" t="s">
        <v>1086</v>
      </c>
      <c r="F125" s="38" t="s">
        <v>246</v>
      </c>
      <c r="G125" s="43" t="s">
        <v>1634</v>
      </c>
      <c r="H125" s="43"/>
      <c r="I125" s="38" t="s">
        <v>335</v>
      </c>
      <c r="J125" s="38" t="s">
        <v>2678</v>
      </c>
      <c r="K125" s="38" t="s">
        <v>255</v>
      </c>
      <c r="L125" s="44" t="s">
        <v>1044</v>
      </c>
    </row>
    <row r="126" spans="1:12" ht="28.8" x14ac:dyDescent="0.3">
      <c r="A126" s="37" t="s">
        <v>1635</v>
      </c>
      <c r="B126" s="37" t="s">
        <v>1636</v>
      </c>
      <c r="C126" s="37" t="s">
        <v>2677</v>
      </c>
      <c r="D126" s="37">
        <v>126</v>
      </c>
      <c r="E126" s="37" t="s">
        <v>386</v>
      </c>
      <c r="F126" s="37" t="s">
        <v>246</v>
      </c>
      <c r="G126" s="40" t="s">
        <v>1638</v>
      </c>
      <c r="H126" s="40"/>
      <c r="I126" s="37" t="s">
        <v>335</v>
      </c>
      <c r="J126" s="37" t="s">
        <v>2678</v>
      </c>
      <c r="K126" s="37" t="s">
        <v>255</v>
      </c>
      <c r="L126" s="41" t="s">
        <v>1044</v>
      </c>
    </row>
    <row r="127" spans="1:12" ht="28.8" x14ac:dyDescent="0.3">
      <c r="A127" s="38" t="s">
        <v>1639</v>
      </c>
      <c r="B127" s="38" t="s">
        <v>1640</v>
      </c>
      <c r="C127" s="38" t="s">
        <v>2677</v>
      </c>
      <c r="D127" s="38">
        <v>127</v>
      </c>
      <c r="E127" s="38" t="s">
        <v>239</v>
      </c>
      <c r="F127" s="38" t="s">
        <v>246</v>
      </c>
      <c r="G127" s="43" t="s">
        <v>1642</v>
      </c>
      <c r="H127" s="43"/>
      <c r="I127" s="38" t="s">
        <v>335</v>
      </c>
      <c r="J127" s="38" t="s">
        <v>2678</v>
      </c>
      <c r="K127" s="38" t="s">
        <v>255</v>
      </c>
      <c r="L127" s="44" t="s">
        <v>1044</v>
      </c>
    </row>
    <row r="128" spans="1:12" ht="28.8" x14ac:dyDescent="0.3">
      <c r="A128" s="37" t="s">
        <v>1643</v>
      </c>
      <c r="B128" s="37" t="s">
        <v>1644</v>
      </c>
      <c r="C128" s="37" t="s">
        <v>2677</v>
      </c>
      <c r="D128" s="37">
        <v>128</v>
      </c>
      <c r="E128" s="37" t="s">
        <v>1369</v>
      </c>
      <c r="F128" s="37" t="s">
        <v>246</v>
      </c>
      <c r="G128" s="40" t="s">
        <v>1645</v>
      </c>
      <c r="H128" s="40"/>
      <c r="I128" s="37" t="s">
        <v>335</v>
      </c>
      <c r="J128" s="37" t="s">
        <v>2678</v>
      </c>
      <c r="K128" s="37" t="s">
        <v>255</v>
      </c>
      <c r="L128" s="41" t="s">
        <v>1044</v>
      </c>
    </row>
    <row r="129" spans="1:12" ht="43.2" x14ac:dyDescent="0.3">
      <c r="A129" s="38" t="s">
        <v>1646</v>
      </c>
      <c r="B129" s="38" t="s">
        <v>1647</v>
      </c>
      <c r="C129" s="38" t="s">
        <v>2677</v>
      </c>
      <c r="D129" s="38">
        <v>129</v>
      </c>
      <c r="E129" s="38" t="s">
        <v>1369</v>
      </c>
      <c r="F129" s="38" t="s">
        <v>246</v>
      </c>
      <c r="G129" s="43" t="s">
        <v>1649</v>
      </c>
      <c r="H129" s="43"/>
      <c r="I129" s="38" t="s">
        <v>335</v>
      </c>
      <c r="J129" s="38" t="s">
        <v>2678</v>
      </c>
      <c r="K129" s="38" t="s">
        <v>255</v>
      </c>
      <c r="L129" s="44" t="s">
        <v>1044</v>
      </c>
    </row>
    <row r="130" spans="1:12" ht="28.8" x14ac:dyDescent="0.3">
      <c r="A130" s="37" t="s">
        <v>1650</v>
      </c>
      <c r="B130" s="37" t="s">
        <v>1651</v>
      </c>
      <c r="C130" s="37" t="s">
        <v>2677</v>
      </c>
      <c r="D130" s="37">
        <v>130</v>
      </c>
      <c r="E130" s="37" t="s">
        <v>1369</v>
      </c>
      <c r="F130" s="37" t="s">
        <v>246</v>
      </c>
      <c r="G130" s="40" t="s">
        <v>1652</v>
      </c>
      <c r="H130" s="40"/>
      <c r="I130" s="37" t="s">
        <v>335</v>
      </c>
      <c r="J130" s="37" t="s">
        <v>2678</v>
      </c>
      <c r="K130" s="37" t="s">
        <v>255</v>
      </c>
      <c r="L130" s="41" t="s">
        <v>1044</v>
      </c>
    </row>
    <row r="131" spans="1:12" ht="28.8" x14ac:dyDescent="0.3">
      <c r="A131" s="38" t="s">
        <v>1653</v>
      </c>
      <c r="B131" s="38" t="s">
        <v>1654</v>
      </c>
      <c r="C131" s="38" t="s">
        <v>2677</v>
      </c>
      <c r="D131" s="38">
        <v>131</v>
      </c>
      <c r="E131" s="38" t="s">
        <v>386</v>
      </c>
      <c r="F131" s="38" t="s">
        <v>246</v>
      </c>
      <c r="G131" s="43" t="s">
        <v>1655</v>
      </c>
      <c r="H131" s="43"/>
      <c r="I131" s="38" t="s">
        <v>335</v>
      </c>
      <c r="J131" s="38" t="s">
        <v>2678</v>
      </c>
      <c r="K131" s="38" t="s">
        <v>255</v>
      </c>
      <c r="L131" s="44" t="s">
        <v>1044</v>
      </c>
    </row>
    <row r="132" spans="1:12" ht="28.8" x14ac:dyDescent="0.3">
      <c r="A132" s="37" t="s">
        <v>1656</v>
      </c>
      <c r="B132" s="37" t="s">
        <v>1657</v>
      </c>
      <c r="C132" s="37" t="s">
        <v>2677</v>
      </c>
      <c r="D132" s="37">
        <v>132</v>
      </c>
      <c r="E132" s="37" t="s">
        <v>386</v>
      </c>
      <c r="F132" s="37" t="s">
        <v>246</v>
      </c>
      <c r="G132" s="40" t="s">
        <v>1658</v>
      </c>
      <c r="H132" s="40"/>
      <c r="I132" s="37" t="s">
        <v>335</v>
      </c>
      <c r="J132" s="37" t="s">
        <v>2678</v>
      </c>
      <c r="K132" s="37" t="s">
        <v>255</v>
      </c>
      <c r="L132" s="41" t="s">
        <v>1044</v>
      </c>
    </row>
    <row r="133" spans="1:12" ht="28.8" x14ac:dyDescent="0.3">
      <c r="A133" s="38" t="s">
        <v>1659</v>
      </c>
      <c r="B133" s="38" t="s">
        <v>1660</v>
      </c>
      <c r="C133" s="38" t="s">
        <v>2677</v>
      </c>
      <c r="D133" s="38">
        <v>133</v>
      </c>
      <c r="E133" s="38" t="s">
        <v>239</v>
      </c>
      <c r="F133" s="38" t="s">
        <v>246</v>
      </c>
      <c r="G133" s="43" t="s">
        <v>1661</v>
      </c>
      <c r="H133" s="43"/>
      <c r="I133" s="38" t="s">
        <v>335</v>
      </c>
      <c r="J133" s="38" t="s">
        <v>2678</v>
      </c>
      <c r="K133" s="38" t="s">
        <v>255</v>
      </c>
      <c r="L133" s="44" t="s">
        <v>1044</v>
      </c>
    </row>
    <row r="134" spans="1:12" ht="28.8" x14ac:dyDescent="0.3">
      <c r="A134" s="37" t="s">
        <v>1662</v>
      </c>
      <c r="B134" s="37" t="s">
        <v>1660</v>
      </c>
      <c r="C134" s="37" t="s">
        <v>2677</v>
      </c>
      <c r="D134" s="37">
        <v>134</v>
      </c>
      <c r="E134" s="37" t="s">
        <v>1119</v>
      </c>
      <c r="F134" s="37" t="s">
        <v>246</v>
      </c>
      <c r="G134" s="40" t="s">
        <v>1664</v>
      </c>
      <c r="H134" s="40"/>
      <c r="I134" s="37" t="s">
        <v>335</v>
      </c>
      <c r="J134" s="37" t="s">
        <v>2678</v>
      </c>
      <c r="K134" s="37" t="s">
        <v>255</v>
      </c>
      <c r="L134" s="41" t="s">
        <v>1044</v>
      </c>
    </row>
    <row r="135" spans="1:12" ht="28.8" x14ac:dyDescent="0.3">
      <c r="A135" s="38" t="s">
        <v>1665</v>
      </c>
      <c r="B135" s="38" t="s">
        <v>1666</v>
      </c>
      <c r="C135" s="38" t="s">
        <v>2677</v>
      </c>
      <c r="D135" s="38">
        <v>135</v>
      </c>
      <c r="E135" s="38" t="s">
        <v>239</v>
      </c>
      <c r="F135" s="38" t="s">
        <v>246</v>
      </c>
      <c r="G135" s="43" t="s">
        <v>1668</v>
      </c>
      <c r="H135" s="43"/>
      <c r="I135" s="38" t="s">
        <v>335</v>
      </c>
      <c r="J135" s="38" t="s">
        <v>2678</v>
      </c>
      <c r="K135" s="38" t="s">
        <v>255</v>
      </c>
      <c r="L135" s="44" t="s">
        <v>1044</v>
      </c>
    </row>
    <row r="136" spans="1:12" ht="28.8" x14ac:dyDescent="0.3">
      <c r="A136" s="37" t="s">
        <v>1669</v>
      </c>
      <c r="B136" s="37" t="s">
        <v>1670</v>
      </c>
      <c r="C136" s="37" t="s">
        <v>2677</v>
      </c>
      <c r="D136" s="37">
        <v>136</v>
      </c>
      <c r="E136" s="37" t="s">
        <v>239</v>
      </c>
      <c r="F136" s="37" t="s">
        <v>246</v>
      </c>
      <c r="G136" s="40" t="s">
        <v>1672</v>
      </c>
      <c r="H136" s="40"/>
      <c r="I136" s="37" t="s">
        <v>335</v>
      </c>
      <c r="J136" s="37" t="s">
        <v>2678</v>
      </c>
      <c r="K136" s="37" t="s">
        <v>255</v>
      </c>
      <c r="L136" s="41" t="s">
        <v>1044</v>
      </c>
    </row>
    <row r="137" spans="1:12" ht="28.8" x14ac:dyDescent="0.3">
      <c r="A137" s="38" t="s">
        <v>1673</v>
      </c>
      <c r="B137" s="38" t="s">
        <v>1674</v>
      </c>
      <c r="C137" s="38" t="s">
        <v>2677</v>
      </c>
      <c r="D137" s="38">
        <v>137</v>
      </c>
      <c r="E137" s="38" t="s">
        <v>239</v>
      </c>
      <c r="F137" s="38" t="s">
        <v>246</v>
      </c>
      <c r="G137" s="43" t="s">
        <v>1676</v>
      </c>
      <c r="H137" s="43"/>
      <c r="I137" s="38" t="s">
        <v>335</v>
      </c>
      <c r="J137" s="38" t="s">
        <v>2678</v>
      </c>
      <c r="K137" s="38" t="s">
        <v>255</v>
      </c>
      <c r="L137" s="44" t="s">
        <v>1044</v>
      </c>
    </row>
    <row r="138" spans="1:12" ht="28.8" x14ac:dyDescent="0.3">
      <c r="A138" s="37" t="s">
        <v>1677</v>
      </c>
      <c r="B138" s="37" t="s">
        <v>1678</v>
      </c>
      <c r="C138" s="37" t="s">
        <v>2677</v>
      </c>
      <c r="D138" s="37">
        <v>138</v>
      </c>
      <c r="E138" s="37" t="s">
        <v>239</v>
      </c>
      <c r="F138" s="37" t="s">
        <v>246</v>
      </c>
      <c r="G138" s="40" t="s">
        <v>1679</v>
      </c>
      <c r="H138" s="40"/>
      <c r="I138" s="37" t="s">
        <v>335</v>
      </c>
      <c r="J138" s="37" t="s">
        <v>2678</v>
      </c>
      <c r="K138" s="37" t="s">
        <v>255</v>
      </c>
      <c r="L138" s="41" t="s">
        <v>1044</v>
      </c>
    </row>
    <row r="139" spans="1:12" ht="28.8" x14ac:dyDescent="0.3">
      <c r="A139" s="38" t="s">
        <v>1680</v>
      </c>
      <c r="B139" s="38" t="s">
        <v>1681</v>
      </c>
      <c r="C139" s="38" t="s">
        <v>2677</v>
      </c>
      <c r="D139" s="38">
        <v>139</v>
      </c>
      <c r="E139" s="38" t="s">
        <v>239</v>
      </c>
      <c r="F139" s="38" t="s">
        <v>246</v>
      </c>
      <c r="G139" s="43" t="s">
        <v>1682</v>
      </c>
      <c r="H139" s="43"/>
      <c r="I139" s="38" t="s">
        <v>335</v>
      </c>
      <c r="J139" s="38" t="s">
        <v>2678</v>
      </c>
      <c r="K139" s="38" t="s">
        <v>255</v>
      </c>
      <c r="L139" s="44" t="s">
        <v>1044</v>
      </c>
    </row>
    <row r="140" spans="1:12" ht="28.8" x14ac:dyDescent="0.3">
      <c r="A140" s="37" t="s">
        <v>1683</v>
      </c>
      <c r="B140" s="37" t="s">
        <v>1684</v>
      </c>
      <c r="C140" s="37" t="s">
        <v>2677</v>
      </c>
      <c r="D140" s="37">
        <v>140</v>
      </c>
      <c r="E140" s="37" t="s">
        <v>239</v>
      </c>
      <c r="F140" s="37" t="s">
        <v>246</v>
      </c>
      <c r="G140" s="40" t="s">
        <v>1686</v>
      </c>
      <c r="H140" s="40"/>
      <c r="I140" s="37" t="s">
        <v>335</v>
      </c>
      <c r="J140" s="37" t="s">
        <v>2678</v>
      </c>
      <c r="K140" s="37" t="s">
        <v>255</v>
      </c>
      <c r="L140" s="41" t="s">
        <v>1044</v>
      </c>
    </row>
    <row r="141" spans="1:12" ht="28.8" x14ac:dyDescent="0.3">
      <c r="A141" s="38" t="s">
        <v>1687</v>
      </c>
      <c r="B141" s="38" t="s">
        <v>1688</v>
      </c>
      <c r="C141" s="38" t="s">
        <v>2677</v>
      </c>
      <c r="D141" s="38">
        <v>141</v>
      </c>
      <c r="E141" s="38" t="s">
        <v>239</v>
      </c>
      <c r="F141" s="38" t="s">
        <v>246</v>
      </c>
      <c r="G141" s="43" t="s">
        <v>1689</v>
      </c>
      <c r="H141" s="43"/>
      <c r="I141" s="38" t="s">
        <v>335</v>
      </c>
      <c r="J141" s="38" t="s">
        <v>2678</v>
      </c>
      <c r="K141" s="38" t="s">
        <v>255</v>
      </c>
      <c r="L141" s="44" t="s">
        <v>1044</v>
      </c>
    </row>
    <row r="142" spans="1:12" ht="28.8" x14ac:dyDescent="0.3">
      <c r="A142" s="37" t="s">
        <v>1690</v>
      </c>
      <c r="B142" s="37" t="s">
        <v>1691</v>
      </c>
      <c r="C142" s="37" t="s">
        <v>2677</v>
      </c>
      <c r="D142" s="37">
        <v>142</v>
      </c>
      <c r="E142" s="37" t="s">
        <v>239</v>
      </c>
      <c r="F142" s="37" t="s">
        <v>246</v>
      </c>
      <c r="G142" s="40" t="s">
        <v>1693</v>
      </c>
      <c r="H142" s="40"/>
      <c r="I142" s="37" t="s">
        <v>335</v>
      </c>
      <c r="J142" s="37" t="s">
        <v>2678</v>
      </c>
      <c r="K142" s="37" t="s">
        <v>255</v>
      </c>
      <c r="L142" s="41" t="s">
        <v>1044</v>
      </c>
    </row>
    <row r="143" spans="1:12" ht="28.8" x14ac:dyDescent="0.3">
      <c r="A143" s="38" t="s">
        <v>1694</v>
      </c>
      <c r="B143" s="38" t="s">
        <v>1695</v>
      </c>
      <c r="C143" s="38" t="s">
        <v>2677</v>
      </c>
      <c r="D143" s="38">
        <v>143</v>
      </c>
      <c r="E143" s="38" t="s">
        <v>239</v>
      </c>
      <c r="F143" s="38" t="s">
        <v>246</v>
      </c>
      <c r="G143" s="43" t="s">
        <v>1697</v>
      </c>
      <c r="H143" s="43"/>
      <c r="I143" s="38" t="s">
        <v>335</v>
      </c>
      <c r="J143" s="38" t="s">
        <v>2678</v>
      </c>
      <c r="K143" s="38" t="s">
        <v>255</v>
      </c>
      <c r="L143" s="44" t="s">
        <v>1044</v>
      </c>
    </row>
    <row r="144" spans="1:12" ht="28.8" x14ac:dyDescent="0.3">
      <c r="A144" s="37" t="s">
        <v>1698</v>
      </c>
      <c r="B144" s="37" t="s">
        <v>1695</v>
      </c>
      <c r="C144" s="37" t="s">
        <v>2677</v>
      </c>
      <c r="D144" s="37">
        <v>144</v>
      </c>
      <c r="E144" s="37" t="s">
        <v>239</v>
      </c>
      <c r="F144" s="37" t="s">
        <v>246</v>
      </c>
      <c r="G144" s="40" t="s">
        <v>1697</v>
      </c>
      <c r="H144" s="40"/>
      <c r="I144" s="37" t="s">
        <v>335</v>
      </c>
      <c r="J144" s="37" t="s">
        <v>2678</v>
      </c>
      <c r="K144" s="37" t="s">
        <v>255</v>
      </c>
      <c r="L144" s="41" t="s">
        <v>1044</v>
      </c>
    </row>
    <row r="145" spans="1:12" ht="28.8" x14ac:dyDescent="0.3">
      <c r="A145" s="38" t="s">
        <v>1699</v>
      </c>
      <c r="B145" s="38" t="s">
        <v>1700</v>
      </c>
      <c r="C145" s="38" t="s">
        <v>2677</v>
      </c>
      <c r="D145" s="38">
        <v>145</v>
      </c>
      <c r="E145" s="38" t="s">
        <v>239</v>
      </c>
      <c r="F145" s="38" t="s">
        <v>246</v>
      </c>
      <c r="G145" s="43" t="s">
        <v>1701</v>
      </c>
      <c r="H145" s="43"/>
      <c r="I145" s="38" t="s">
        <v>335</v>
      </c>
      <c r="J145" s="38" t="s">
        <v>2678</v>
      </c>
      <c r="K145" s="38" t="s">
        <v>255</v>
      </c>
      <c r="L145" s="44" t="s">
        <v>1044</v>
      </c>
    </row>
    <row r="146" spans="1:12" ht="28.8" x14ac:dyDescent="0.3">
      <c r="A146" s="37" t="s">
        <v>1702</v>
      </c>
      <c r="B146" s="37" t="s">
        <v>1703</v>
      </c>
      <c r="C146" s="37" t="s">
        <v>2677</v>
      </c>
      <c r="D146" s="37">
        <v>146</v>
      </c>
      <c r="E146" s="37" t="s">
        <v>239</v>
      </c>
      <c r="F146" s="37" t="s">
        <v>246</v>
      </c>
      <c r="G146" s="40" t="s">
        <v>1704</v>
      </c>
      <c r="H146" s="40"/>
      <c r="I146" s="37" t="s">
        <v>335</v>
      </c>
      <c r="J146" s="37" t="s">
        <v>2678</v>
      </c>
      <c r="K146" s="37" t="s">
        <v>255</v>
      </c>
      <c r="L146" s="41" t="s">
        <v>1044</v>
      </c>
    </row>
    <row r="147" spans="1:12" ht="28.8" x14ac:dyDescent="0.3">
      <c r="A147" s="38" t="s">
        <v>1705</v>
      </c>
      <c r="B147" s="38" t="s">
        <v>1706</v>
      </c>
      <c r="C147" s="38" t="s">
        <v>2677</v>
      </c>
      <c r="D147" s="38">
        <v>147</v>
      </c>
      <c r="E147" s="38" t="s">
        <v>1369</v>
      </c>
      <c r="F147" s="38" t="s">
        <v>286</v>
      </c>
      <c r="G147" s="43" t="s">
        <v>1708</v>
      </c>
      <c r="H147" s="43" t="s">
        <v>1709</v>
      </c>
      <c r="I147" s="38" t="s">
        <v>335</v>
      </c>
      <c r="J147" s="38" t="s">
        <v>2678</v>
      </c>
      <c r="K147" s="38" t="s">
        <v>255</v>
      </c>
      <c r="L147" s="44" t="s">
        <v>1044</v>
      </c>
    </row>
    <row r="148" spans="1:12" ht="28.8" x14ac:dyDescent="0.3">
      <c r="A148" s="37" t="s">
        <v>1710</v>
      </c>
      <c r="B148" s="37" t="s">
        <v>1711</v>
      </c>
      <c r="C148" s="37" t="s">
        <v>2677</v>
      </c>
      <c r="D148" s="37">
        <v>148</v>
      </c>
      <c r="E148" s="37" t="s">
        <v>1369</v>
      </c>
      <c r="F148" s="37" t="s">
        <v>286</v>
      </c>
      <c r="G148" s="40" t="s">
        <v>1712</v>
      </c>
      <c r="H148" s="40" t="s">
        <v>1713</v>
      </c>
      <c r="I148" s="37" t="s">
        <v>335</v>
      </c>
      <c r="J148" s="37" t="s">
        <v>2678</v>
      </c>
      <c r="K148" s="37" t="s">
        <v>255</v>
      </c>
      <c r="L148" s="41" t="s">
        <v>1044</v>
      </c>
    </row>
    <row r="149" spans="1:12" ht="43.2" x14ac:dyDescent="0.3">
      <c r="A149" s="45" t="s">
        <v>1714</v>
      </c>
      <c r="B149" s="45" t="s">
        <v>1715</v>
      </c>
      <c r="C149" s="45" t="s">
        <v>2677</v>
      </c>
      <c r="D149" s="45">
        <v>149</v>
      </c>
      <c r="E149" s="45" t="s">
        <v>402</v>
      </c>
      <c r="F149" s="45" t="s">
        <v>246</v>
      </c>
      <c r="G149" s="47" t="s">
        <v>1718</v>
      </c>
      <c r="H149" s="47"/>
      <c r="I149" s="45" t="s">
        <v>335</v>
      </c>
      <c r="J149" s="45" t="s">
        <v>2678</v>
      </c>
      <c r="K149" s="45" t="s">
        <v>245</v>
      </c>
      <c r="L149" s="48" t="s">
        <v>1719</v>
      </c>
    </row>
    <row r="150" spans="1:12" ht="28.8" x14ac:dyDescent="0.3">
      <c r="A150" s="37" t="s">
        <v>1720</v>
      </c>
      <c r="B150" s="37" t="s">
        <v>1721</v>
      </c>
      <c r="C150" s="37" t="s">
        <v>2677</v>
      </c>
      <c r="D150" s="37">
        <v>150</v>
      </c>
      <c r="E150" s="37" t="s">
        <v>1724</v>
      </c>
      <c r="F150" s="37" t="s">
        <v>246</v>
      </c>
      <c r="G150" s="40" t="s">
        <v>1726</v>
      </c>
      <c r="H150" s="40"/>
      <c r="I150" s="37" t="s">
        <v>335</v>
      </c>
      <c r="J150" s="37" t="s">
        <v>2678</v>
      </c>
      <c r="K150" s="37" t="s">
        <v>255</v>
      </c>
      <c r="L150" s="41" t="s">
        <v>1044</v>
      </c>
    </row>
    <row r="151" spans="1:12" ht="28.8" x14ac:dyDescent="0.3">
      <c r="A151" s="38" t="s">
        <v>1727</v>
      </c>
      <c r="B151" s="38" t="s">
        <v>1728</v>
      </c>
      <c r="C151" s="38" t="s">
        <v>2677</v>
      </c>
      <c r="D151" s="38">
        <v>151</v>
      </c>
      <c r="E151" s="38" t="s">
        <v>239</v>
      </c>
      <c r="F151" s="38" t="s">
        <v>246</v>
      </c>
      <c r="G151" s="43" t="s">
        <v>1729</v>
      </c>
      <c r="H151" s="43"/>
      <c r="I151" s="38" t="s">
        <v>335</v>
      </c>
      <c r="J151" s="38" t="s">
        <v>2678</v>
      </c>
      <c r="K151" s="38" t="s">
        <v>255</v>
      </c>
      <c r="L151" s="44" t="s">
        <v>1044</v>
      </c>
    </row>
    <row r="152" spans="1:12" ht="28.8" x14ac:dyDescent="0.3">
      <c r="A152" s="37" t="s">
        <v>1730</v>
      </c>
      <c r="B152" s="37" t="s">
        <v>1731</v>
      </c>
      <c r="C152" s="37" t="s">
        <v>2677</v>
      </c>
      <c r="D152" s="37">
        <v>152</v>
      </c>
      <c r="E152" s="37" t="s">
        <v>386</v>
      </c>
      <c r="F152" s="37" t="s">
        <v>246</v>
      </c>
      <c r="G152" s="40" t="s">
        <v>1732</v>
      </c>
      <c r="H152" s="40"/>
      <c r="I152" s="37" t="s">
        <v>335</v>
      </c>
      <c r="J152" s="37" t="s">
        <v>2678</v>
      </c>
      <c r="K152" s="37" t="s">
        <v>255</v>
      </c>
      <c r="L152" s="41" t="s">
        <v>1044</v>
      </c>
    </row>
    <row r="153" spans="1:12" ht="28.8" x14ac:dyDescent="0.3">
      <c r="A153" s="38" t="s">
        <v>1733</v>
      </c>
      <c r="B153" s="38" t="s">
        <v>1734</v>
      </c>
      <c r="C153" s="38" t="s">
        <v>2677</v>
      </c>
      <c r="D153" s="38">
        <v>153</v>
      </c>
      <c r="E153" s="38" t="s">
        <v>1048</v>
      </c>
      <c r="F153" s="38" t="s">
        <v>246</v>
      </c>
      <c r="G153" s="43" t="s">
        <v>1736</v>
      </c>
      <c r="H153" s="43"/>
      <c r="I153" s="38" t="s">
        <v>335</v>
      </c>
      <c r="J153" s="38" t="s">
        <v>2678</v>
      </c>
      <c r="K153" s="38" t="s">
        <v>255</v>
      </c>
      <c r="L153" s="44" t="s">
        <v>1044</v>
      </c>
    </row>
    <row r="154" spans="1:12" ht="28.8" x14ac:dyDescent="0.3">
      <c r="A154" s="37" t="s">
        <v>1737</v>
      </c>
      <c r="B154" s="37" t="s">
        <v>1738</v>
      </c>
      <c r="C154" s="37" t="s">
        <v>2677</v>
      </c>
      <c r="D154" s="37">
        <v>154</v>
      </c>
      <c r="E154" s="37" t="s">
        <v>1251</v>
      </c>
      <c r="F154" s="37" t="s">
        <v>246</v>
      </c>
      <c r="G154" s="40" t="s">
        <v>1740</v>
      </c>
      <c r="H154" s="40"/>
      <c r="I154" s="37" t="s">
        <v>335</v>
      </c>
      <c r="J154" s="37" t="s">
        <v>2678</v>
      </c>
      <c r="K154" s="37" t="s">
        <v>255</v>
      </c>
      <c r="L154" s="41" t="s">
        <v>1254</v>
      </c>
    </row>
    <row r="155" spans="1:12" ht="28.8" x14ac:dyDescent="0.3">
      <c r="A155" s="38" t="s">
        <v>1741</v>
      </c>
      <c r="B155" s="38" t="s">
        <v>1742</v>
      </c>
      <c r="C155" s="38" t="s">
        <v>2677</v>
      </c>
      <c r="D155" s="38">
        <v>155</v>
      </c>
      <c r="E155" s="38" t="s">
        <v>239</v>
      </c>
      <c r="F155" s="38" t="s">
        <v>246</v>
      </c>
      <c r="G155" s="43" t="s">
        <v>1744</v>
      </c>
      <c r="H155" s="43"/>
      <c r="I155" s="38" t="s">
        <v>335</v>
      </c>
      <c r="J155" s="38" t="s">
        <v>2678</v>
      </c>
      <c r="K155" s="38" t="s">
        <v>255</v>
      </c>
      <c r="L155" s="44" t="s">
        <v>1044</v>
      </c>
    </row>
    <row r="156" spans="1:12" ht="28.8" x14ac:dyDescent="0.3">
      <c r="A156" s="37" t="s">
        <v>1745</v>
      </c>
      <c r="B156" s="37" t="s">
        <v>1746</v>
      </c>
      <c r="C156" s="37" t="s">
        <v>2677</v>
      </c>
      <c r="D156" s="37">
        <v>156</v>
      </c>
      <c r="E156" s="37" t="s">
        <v>239</v>
      </c>
      <c r="F156" s="37" t="s">
        <v>246</v>
      </c>
      <c r="G156" s="40" t="s">
        <v>1747</v>
      </c>
      <c r="H156" s="40"/>
      <c r="I156" s="37" t="s">
        <v>335</v>
      </c>
      <c r="J156" s="37" t="s">
        <v>2678</v>
      </c>
      <c r="K156" s="37" t="s">
        <v>255</v>
      </c>
      <c r="L156" s="41" t="s">
        <v>1044</v>
      </c>
    </row>
    <row r="157" spans="1:12" ht="28.8" x14ac:dyDescent="0.3">
      <c r="A157" s="38" t="s">
        <v>1748</v>
      </c>
      <c r="B157" s="38" t="s">
        <v>1749</v>
      </c>
      <c r="C157" s="38" t="s">
        <v>2677</v>
      </c>
      <c r="D157" s="38">
        <v>157</v>
      </c>
      <c r="E157" s="38" t="s">
        <v>386</v>
      </c>
      <c r="F157" s="38" t="s">
        <v>286</v>
      </c>
      <c r="G157" s="43" t="s">
        <v>1751</v>
      </c>
      <c r="H157" s="43" t="s">
        <v>1752</v>
      </c>
      <c r="I157" s="38" t="s">
        <v>335</v>
      </c>
      <c r="J157" s="38" t="s">
        <v>2678</v>
      </c>
      <c r="K157" s="38" t="s">
        <v>255</v>
      </c>
      <c r="L157" s="44" t="s">
        <v>1044</v>
      </c>
    </row>
    <row r="158" spans="1:12" ht="28.8" x14ac:dyDescent="0.3">
      <c r="A158" s="37" t="s">
        <v>1753</v>
      </c>
      <c r="B158" s="37" t="s">
        <v>1754</v>
      </c>
      <c r="C158" s="37" t="s">
        <v>2677</v>
      </c>
      <c r="D158" s="37">
        <v>158</v>
      </c>
      <c r="E158" s="37" t="s">
        <v>239</v>
      </c>
      <c r="F158" s="37" t="s">
        <v>286</v>
      </c>
      <c r="G158" s="40" t="s">
        <v>1756</v>
      </c>
      <c r="H158" s="40" t="s">
        <v>1757</v>
      </c>
      <c r="I158" s="37" t="s">
        <v>335</v>
      </c>
      <c r="J158" s="37" t="s">
        <v>2678</v>
      </c>
      <c r="K158" s="37" t="s">
        <v>255</v>
      </c>
      <c r="L158" s="41" t="s">
        <v>1044</v>
      </c>
    </row>
    <row r="159" spans="1:12" ht="28.8" x14ac:dyDescent="0.3">
      <c r="A159" s="38" t="s">
        <v>1758</v>
      </c>
      <c r="B159" s="38" t="s">
        <v>1759</v>
      </c>
      <c r="C159" s="38" t="s">
        <v>2677</v>
      </c>
      <c r="D159" s="38">
        <v>159</v>
      </c>
      <c r="E159" s="38" t="s">
        <v>239</v>
      </c>
      <c r="F159" s="38" t="s">
        <v>286</v>
      </c>
      <c r="G159" s="43" t="s">
        <v>1760</v>
      </c>
      <c r="H159" s="43" t="s">
        <v>1761</v>
      </c>
      <c r="I159" s="38" t="s">
        <v>335</v>
      </c>
      <c r="J159" s="38" t="s">
        <v>2678</v>
      </c>
      <c r="K159" s="38" t="s">
        <v>255</v>
      </c>
      <c r="L159" s="44" t="s">
        <v>1044</v>
      </c>
    </row>
    <row r="160" spans="1:12" ht="28.8" x14ac:dyDescent="0.3">
      <c r="A160" s="37" t="s">
        <v>1762</v>
      </c>
      <c r="B160" s="37" t="s">
        <v>1763</v>
      </c>
      <c r="C160" s="37" t="s">
        <v>2677</v>
      </c>
      <c r="D160" s="37">
        <v>160</v>
      </c>
      <c r="E160" s="37" t="s">
        <v>1086</v>
      </c>
      <c r="F160" s="37" t="s">
        <v>286</v>
      </c>
      <c r="G160" s="40" t="s">
        <v>1764</v>
      </c>
      <c r="H160" s="40" t="s">
        <v>1765</v>
      </c>
      <c r="I160" s="37" t="s">
        <v>335</v>
      </c>
      <c r="J160" s="37" t="s">
        <v>2678</v>
      </c>
      <c r="K160" s="37" t="s">
        <v>255</v>
      </c>
      <c r="L160" s="41" t="s">
        <v>1044</v>
      </c>
    </row>
    <row r="161" spans="1:12" ht="43.2" x14ac:dyDescent="0.3">
      <c r="A161" s="38" t="s">
        <v>1766</v>
      </c>
      <c r="B161" s="38" t="s">
        <v>1767</v>
      </c>
      <c r="C161" s="38" t="s">
        <v>2677</v>
      </c>
      <c r="D161" s="38">
        <v>161</v>
      </c>
      <c r="E161" s="38" t="s">
        <v>1200</v>
      </c>
      <c r="F161" s="38" t="s">
        <v>246</v>
      </c>
      <c r="G161" s="43" t="s">
        <v>1768</v>
      </c>
      <c r="H161" s="43"/>
      <c r="I161" s="38" t="s">
        <v>335</v>
      </c>
      <c r="J161" s="38" t="s">
        <v>2678</v>
      </c>
      <c r="K161" s="38" t="s">
        <v>255</v>
      </c>
      <c r="L161" s="44" t="s">
        <v>1044</v>
      </c>
    </row>
    <row r="162" spans="1:12" ht="43.2" x14ac:dyDescent="0.3">
      <c r="A162" s="37" t="s">
        <v>1769</v>
      </c>
      <c r="B162" s="37" t="s">
        <v>1770</v>
      </c>
      <c r="C162" s="37" t="s">
        <v>2677</v>
      </c>
      <c r="D162" s="37">
        <v>162</v>
      </c>
      <c r="E162" s="37" t="s">
        <v>1048</v>
      </c>
      <c r="F162" s="37" t="s">
        <v>246</v>
      </c>
      <c r="G162" s="40" t="s">
        <v>1772</v>
      </c>
      <c r="H162" s="40"/>
      <c r="I162" s="37" t="s">
        <v>335</v>
      </c>
      <c r="J162" s="37" t="s">
        <v>2678</v>
      </c>
      <c r="K162" s="37" t="s">
        <v>255</v>
      </c>
      <c r="L162" s="41" t="s">
        <v>1044</v>
      </c>
    </row>
    <row r="163" spans="1:12" ht="28.8" x14ac:dyDescent="0.3">
      <c r="A163" s="38" t="s">
        <v>1773</v>
      </c>
      <c r="B163" s="38" t="s">
        <v>1774</v>
      </c>
      <c r="C163" s="38" t="s">
        <v>2677</v>
      </c>
      <c r="D163" s="38">
        <v>163</v>
      </c>
      <c r="E163" s="38" t="s">
        <v>239</v>
      </c>
      <c r="F163" s="38" t="s">
        <v>246</v>
      </c>
      <c r="G163" s="43" t="s">
        <v>1775</v>
      </c>
      <c r="H163" s="43"/>
      <c r="I163" s="38" t="s">
        <v>335</v>
      </c>
      <c r="J163" s="38" t="s">
        <v>2678</v>
      </c>
      <c r="K163" s="38" t="s">
        <v>255</v>
      </c>
      <c r="L163" s="44" t="s">
        <v>1044</v>
      </c>
    </row>
    <row r="164" spans="1:12" ht="28.8" x14ac:dyDescent="0.3">
      <c r="A164" s="37" t="s">
        <v>1776</v>
      </c>
      <c r="B164" s="37" t="s">
        <v>1777</v>
      </c>
      <c r="C164" s="37" t="s">
        <v>2677</v>
      </c>
      <c r="D164" s="37">
        <v>164</v>
      </c>
      <c r="E164" s="37" t="s">
        <v>239</v>
      </c>
      <c r="F164" s="37" t="s">
        <v>246</v>
      </c>
      <c r="G164" s="40" t="s">
        <v>1779</v>
      </c>
      <c r="H164" s="40"/>
      <c r="I164" s="37" t="s">
        <v>335</v>
      </c>
      <c r="J164" s="37" t="s">
        <v>2678</v>
      </c>
      <c r="K164" s="37" t="s">
        <v>255</v>
      </c>
      <c r="L164" s="41" t="s">
        <v>1044</v>
      </c>
    </row>
    <row r="165" spans="1:12" ht="28.8" x14ac:dyDescent="0.3">
      <c r="A165" s="38" t="s">
        <v>1780</v>
      </c>
      <c r="B165" s="38" t="s">
        <v>1781</v>
      </c>
      <c r="C165" s="38" t="s">
        <v>2677</v>
      </c>
      <c r="D165" s="38">
        <v>165</v>
      </c>
      <c r="E165" s="38" t="s">
        <v>239</v>
      </c>
      <c r="F165" s="38" t="s">
        <v>246</v>
      </c>
      <c r="G165" s="43" t="s">
        <v>1782</v>
      </c>
      <c r="H165" s="43"/>
      <c r="I165" s="38" t="s">
        <v>335</v>
      </c>
      <c r="J165" s="38" t="s">
        <v>2678</v>
      </c>
      <c r="K165" s="38" t="s">
        <v>255</v>
      </c>
      <c r="L165" s="44" t="s">
        <v>1044</v>
      </c>
    </row>
    <row r="166" spans="1:12" ht="43.2" x14ac:dyDescent="0.3">
      <c r="A166" s="37" t="s">
        <v>1783</v>
      </c>
      <c r="B166" s="37" t="s">
        <v>1784</v>
      </c>
      <c r="C166" s="37" t="s">
        <v>2677</v>
      </c>
      <c r="D166" s="37">
        <v>166</v>
      </c>
      <c r="E166" s="37" t="s">
        <v>1369</v>
      </c>
      <c r="F166" s="37" t="s">
        <v>286</v>
      </c>
      <c r="G166" s="40" t="s">
        <v>1785</v>
      </c>
      <c r="H166" s="40" t="s">
        <v>1786</v>
      </c>
      <c r="I166" s="37" t="s">
        <v>335</v>
      </c>
      <c r="J166" s="37" t="s">
        <v>2678</v>
      </c>
      <c r="K166" s="37" t="s">
        <v>255</v>
      </c>
      <c r="L166" s="41" t="s">
        <v>1044</v>
      </c>
    </row>
    <row r="167" spans="1:12" ht="28.8" x14ac:dyDescent="0.3">
      <c r="A167" s="38" t="s">
        <v>1787</v>
      </c>
      <c r="B167" s="38" t="s">
        <v>1788</v>
      </c>
      <c r="C167" s="38" t="s">
        <v>2677</v>
      </c>
      <c r="D167" s="38">
        <v>167</v>
      </c>
      <c r="E167" s="38" t="s">
        <v>1048</v>
      </c>
      <c r="F167" s="38" t="s">
        <v>286</v>
      </c>
      <c r="G167" s="43" t="s">
        <v>1790</v>
      </c>
      <c r="H167" s="43" t="s">
        <v>1791</v>
      </c>
      <c r="I167" s="38" t="s">
        <v>335</v>
      </c>
      <c r="J167" s="38" t="s">
        <v>2678</v>
      </c>
      <c r="K167" s="38" t="s">
        <v>255</v>
      </c>
      <c r="L167" s="44" t="s">
        <v>1044</v>
      </c>
    </row>
    <row r="168" spans="1:12" ht="28.8" x14ac:dyDescent="0.3">
      <c r="A168" s="37" t="s">
        <v>1792</v>
      </c>
      <c r="B168" s="37" t="s">
        <v>1793</v>
      </c>
      <c r="C168" s="37" t="s">
        <v>2677</v>
      </c>
      <c r="D168" s="37">
        <v>168</v>
      </c>
      <c r="E168" s="37" t="s">
        <v>239</v>
      </c>
      <c r="F168" s="37" t="s">
        <v>286</v>
      </c>
      <c r="G168" s="40" t="s">
        <v>1795</v>
      </c>
      <c r="H168" s="40" t="s">
        <v>1796</v>
      </c>
      <c r="I168" s="37" t="s">
        <v>335</v>
      </c>
      <c r="J168" s="37" t="s">
        <v>2678</v>
      </c>
      <c r="K168" s="37" t="s">
        <v>255</v>
      </c>
      <c r="L168" s="41" t="s">
        <v>1044</v>
      </c>
    </row>
    <row r="169" spans="1:12" ht="28.8" x14ac:dyDescent="0.3">
      <c r="A169" s="38" t="s">
        <v>1797</v>
      </c>
      <c r="B169" s="38" t="s">
        <v>1798</v>
      </c>
      <c r="C169" s="38" t="s">
        <v>2677</v>
      </c>
      <c r="D169" s="38">
        <v>169</v>
      </c>
      <c r="E169" s="38" t="s">
        <v>239</v>
      </c>
      <c r="F169" s="38" t="s">
        <v>286</v>
      </c>
      <c r="G169" s="43" t="s">
        <v>1799</v>
      </c>
      <c r="H169" s="43" t="s">
        <v>1800</v>
      </c>
      <c r="I169" s="38" t="s">
        <v>335</v>
      </c>
      <c r="J169" s="38" t="s">
        <v>2678</v>
      </c>
      <c r="K169" s="38" t="s">
        <v>255</v>
      </c>
      <c r="L169" s="44" t="s">
        <v>1044</v>
      </c>
    </row>
    <row r="170" spans="1:12" ht="28.8" x14ac:dyDescent="0.3">
      <c r="A170" s="37" t="s">
        <v>1801</v>
      </c>
      <c r="B170" s="37" t="s">
        <v>1802</v>
      </c>
      <c r="C170" s="37" t="s">
        <v>2677</v>
      </c>
      <c r="D170" s="37">
        <v>170</v>
      </c>
      <c r="E170" s="37" t="s">
        <v>239</v>
      </c>
      <c r="F170" s="37" t="s">
        <v>286</v>
      </c>
      <c r="G170" s="40" t="s">
        <v>1804</v>
      </c>
      <c r="H170" s="40" t="s">
        <v>1805</v>
      </c>
      <c r="I170" s="37" t="s">
        <v>335</v>
      </c>
      <c r="J170" s="37" t="s">
        <v>2678</v>
      </c>
      <c r="K170" s="37" t="s">
        <v>255</v>
      </c>
      <c r="L170" s="41" t="s">
        <v>1044</v>
      </c>
    </row>
    <row r="171" spans="1:12" ht="28.8" x14ac:dyDescent="0.3">
      <c r="A171" s="38" t="s">
        <v>1806</v>
      </c>
      <c r="B171" s="38" t="s">
        <v>1807</v>
      </c>
      <c r="C171" s="38" t="s">
        <v>2677</v>
      </c>
      <c r="D171" s="38">
        <v>171</v>
      </c>
      <c r="E171" s="38" t="s">
        <v>239</v>
      </c>
      <c r="F171" s="38" t="s">
        <v>286</v>
      </c>
      <c r="G171" s="43" t="s">
        <v>1808</v>
      </c>
      <c r="H171" s="43" t="s">
        <v>1809</v>
      </c>
      <c r="I171" s="38" t="s">
        <v>335</v>
      </c>
      <c r="J171" s="38" t="s">
        <v>2678</v>
      </c>
      <c r="K171" s="38" t="s">
        <v>255</v>
      </c>
      <c r="L171" s="44" t="s">
        <v>1044</v>
      </c>
    </row>
    <row r="172" spans="1:12" ht="28.8" x14ac:dyDescent="0.3">
      <c r="A172" s="37" t="s">
        <v>1810</v>
      </c>
      <c r="B172" s="37" t="s">
        <v>1811</v>
      </c>
      <c r="C172" s="37" t="s">
        <v>2677</v>
      </c>
      <c r="D172" s="37">
        <v>172</v>
      </c>
      <c r="E172" s="37" t="s">
        <v>239</v>
      </c>
      <c r="F172" s="37" t="s">
        <v>286</v>
      </c>
      <c r="G172" s="40" t="s">
        <v>1813</v>
      </c>
      <c r="H172" s="40" t="s">
        <v>1814</v>
      </c>
      <c r="I172" s="37" t="s">
        <v>335</v>
      </c>
      <c r="J172" s="37" t="s">
        <v>2678</v>
      </c>
      <c r="K172" s="37" t="s">
        <v>255</v>
      </c>
      <c r="L172" s="41" t="s">
        <v>1044</v>
      </c>
    </row>
    <row r="173" spans="1:12" ht="28.8" x14ac:dyDescent="0.3">
      <c r="A173" s="38" t="s">
        <v>1815</v>
      </c>
      <c r="B173" s="38" t="s">
        <v>1816</v>
      </c>
      <c r="C173" s="38" t="s">
        <v>2677</v>
      </c>
      <c r="D173" s="38">
        <v>173</v>
      </c>
      <c r="E173" s="38" t="s">
        <v>1228</v>
      </c>
      <c r="F173" s="38" t="s">
        <v>246</v>
      </c>
      <c r="G173" s="43" t="s">
        <v>1817</v>
      </c>
      <c r="H173" s="43"/>
      <c r="I173" s="38" t="s">
        <v>335</v>
      </c>
      <c r="J173" s="38" t="s">
        <v>2678</v>
      </c>
      <c r="K173" s="38" t="s">
        <v>255</v>
      </c>
      <c r="L173" s="44" t="s">
        <v>1231</v>
      </c>
    </row>
    <row r="174" spans="1:12" ht="28.8" x14ac:dyDescent="0.3">
      <c r="A174" s="37" t="s">
        <v>1818</v>
      </c>
      <c r="B174" s="37" t="s">
        <v>1819</v>
      </c>
      <c r="C174" s="37" t="s">
        <v>2677</v>
      </c>
      <c r="D174" s="37">
        <v>174</v>
      </c>
      <c r="E174" s="37" t="s">
        <v>1119</v>
      </c>
      <c r="F174" s="37" t="s">
        <v>246</v>
      </c>
      <c r="G174" s="40" t="s">
        <v>1820</v>
      </c>
      <c r="H174" s="40"/>
      <c r="I174" s="37" t="s">
        <v>335</v>
      </c>
      <c r="J174" s="37" t="s">
        <v>2678</v>
      </c>
      <c r="K174" s="37" t="s">
        <v>255</v>
      </c>
      <c r="L174" s="41" t="s">
        <v>1044</v>
      </c>
    </row>
    <row r="175" spans="1:12" ht="28.8" x14ac:dyDescent="0.3">
      <c r="A175" s="38" t="s">
        <v>1821</v>
      </c>
      <c r="B175" s="38" t="s">
        <v>1822</v>
      </c>
      <c r="C175" s="38" t="s">
        <v>2677</v>
      </c>
      <c r="D175" s="38">
        <v>175</v>
      </c>
      <c r="E175" s="38" t="s">
        <v>239</v>
      </c>
      <c r="F175" s="38" t="s">
        <v>246</v>
      </c>
      <c r="G175" s="43" t="s">
        <v>1823</v>
      </c>
      <c r="H175" s="43"/>
      <c r="I175" s="38" t="s">
        <v>335</v>
      </c>
      <c r="J175" s="38" t="s">
        <v>2678</v>
      </c>
      <c r="K175" s="38" t="s">
        <v>255</v>
      </c>
      <c r="L175" s="44" t="s">
        <v>1044</v>
      </c>
    </row>
    <row r="176" spans="1:12" ht="28.8" x14ac:dyDescent="0.3">
      <c r="A176" s="37" t="s">
        <v>1824</v>
      </c>
      <c r="B176" s="37" t="s">
        <v>1825</v>
      </c>
      <c r="C176" s="37" t="s">
        <v>2677</v>
      </c>
      <c r="D176" s="37">
        <v>176</v>
      </c>
      <c r="E176" s="37" t="s">
        <v>239</v>
      </c>
      <c r="F176" s="37" t="s">
        <v>246</v>
      </c>
      <c r="G176" s="40" t="s">
        <v>1827</v>
      </c>
      <c r="H176" s="40"/>
      <c r="I176" s="37" t="s">
        <v>335</v>
      </c>
      <c r="J176" s="37" t="s">
        <v>2678</v>
      </c>
      <c r="K176" s="37" t="s">
        <v>255</v>
      </c>
      <c r="L176" s="41" t="s">
        <v>1044</v>
      </c>
    </row>
    <row r="177" spans="1:12" ht="28.8" x14ac:dyDescent="0.3">
      <c r="A177" s="38" t="s">
        <v>1828</v>
      </c>
      <c r="B177" s="38" t="s">
        <v>1829</v>
      </c>
      <c r="C177" s="38" t="s">
        <v>2677</v>
      </c>
      <c r="D177" s="38">
        <v>177</v>
      </c>
      <c r="E177" s="38" t="s">
        <v>386</v>
      </c>
      <c r="F177" s="38" t="s">
        <v>246</v>
      </c>
      <c r="G177" s="43" t="s">
        <v>1830</v>
      </c>
      <c r="H177" s="43"/>
      <c r="I177" s="38" t="s">
        <v>335</v>
      </c>
      <c r="J177" s="38" t="s">
        <v>2678</v>
      </c>
      <c r="K177" s="38" t="s">
        <v>255</v>
      </c>
      <c r="L177" s="44" t="s">
        <v>1044</v>
      </c>
    </row>
    <row r="178" spans="1:12" ht="57.6" x14ac:dyDescent="0.3">
      <c r="A178" s="37" t="s">
        <v>1831</v>
      </c>
      <c r="B178" s="37" t="s">
        <v>1832</v>
      </c>
      <c r="C178" s="37" t="s">
        <v>2677</v>
      </c>
      <c r="D178" s="37">
        <v>178</v>
      </c>
      <c r="E178" s="37" t="s">
        <v>239</v>
      </c>
      <c r="F178" s="37" t="s">
        <v>286</v>
      </c>
      <c r="G178" s="40" t="s">
        <v>1833</v>
      </c>
      <c r="H178" s="40" t="s">
        <v>1834</v>
      </c>
      <c r="I178" s="37" t="s">
        <v>335</v>
      </c>
      <c r="J178" s="37" t="s">
        <v>2678</v>
      </c>
      <c r="K178" s="37" t="s">
        <v>255</v>
      </c>
      <c r="L178" s="41" t="s">
        <v>1044</v>
      </c>
    </row>
    <row r="179" spans="1:12" ht="28.8" x14ac:dyDescent="0.3">
      <c r="A179" s="38" t="s">
        <v>1835</v>
      </c>
      <c r="B179" s="38" t="s">
        <v>1836</v>
      </c>
      <c r="C179" s="38" t="s">
        <v>2677</v>
      </c>
      <c r="D179" s="38">
        <v>179</v>
      </c>
      <c r="E179" s="38" t="s">
        <v>239</v>
      </c>
      <c r="F179" s="38" t="s">
        <v>286</v>
      </c>
      <c r="G179" s="43" t="s">
        <v>1838</v>
      </c>
      <c r="H179" s="43" t="s">
        <v>1839</v>
      </c>
      <c r="I179" s="38" t="s">
        <v>335</v>
      </c>
      <c r="J179" s="38" t="s">
        <v>2678</v>
      </c>
      <c r="K179" s="38" t="s">
        <v>255</v>
      </c>
      <c r="L179" s="44" t="s">
        <v>1044</v>
      </c>
    </row>
    <row r="180" spans="1:12" ht="28.8" x14ac:dyDescent="0.3">
      <c r="A180" s="37" t="s">
        <v>1840</v>
      </c>
      <c r="B180" s="37" t="s">
        <v>1841</v>
      </c>
      <c r="C180" s="37" t="s">
        <v>2677</v>
      </c>
      <c r="D180" s="37">
        <v>180</v>
      </c>
      <c r="E180" s="37" t="s">
        <v>1251</v>
      </c>
      <c r="F180" s="37" t="s">
        <v>246</v>
      </c>
      <c r="G180" s="40" t="s">
        <v>1842</v>
      </c>
      <c r="H180" s="40"/>
      <c r="I180" s="37" t="s">
        <v>335</v>
      </c>
      <c r="J180" s="37" t="s">
        <v>2678</v>
      </c>
      <c r="K180" s="37" t="s">
        <v>255</v>
      </c>
      <c r="L180" s="41" t="s">
        <v>1254</v>
      </c>
    </row>
    <row r="181" spans="1:12" ht="28.8" x14ac:dyDescent="0.3">
      <c r="A181" s="38" t="s">
        <v>1843</v>
      </c>
      <c r="B181" s="38" t="s">
        <v>1844</v>
      </c>
      <c r="C181" s="38" t="s">
        <v>2677</v>
      </c>
      <c r="D181" s="38">
        <v>181</v>
      </c>
      <c r="E181" s="38" t="s">
        <v>1119</v>
      </c>
      <c r="F181" s="38" t="s">
        <v>286</v>
      </c>
      <c r="G181" s="43" t="s">
        <v>1845</v>
      </c>
      <c r="H181" s="43" t="s">
        <v>1846</v>
      </c>
      <c r="I181" s="38" t="s">
        <v>335</v>
      </c>
      <c r="J181" s="38" t="s">
        <v>2678</v>
      </c>
      <c r="K181" s="38" t="s">
        <v>255</v>
      </c>
      <c r="L181" s="44" t="s">
        <v>1044</v>
      </c>
    </row>
    <row r="182" spans="1:12" ht="28.8" x14ac:dyDescent="0.3">
      <c r="A182" s="37" t="s">
        <v>1847</v>
      </c>
      <c r="B182" s="37" t="s">
        <v>1848</v>
      </c>
      <c r="C182" s="37" t="s">
        <v>2677</v>
      </c>
      <c r="D182" s="37">
        <v>182</v>
      </c>
      <c r="E182" s="37" t="s">
        <v>239</v>
      </c>
      <c r="F182" s="37" t="s">
        <v>246</v>
      </c>
      <c r="G182" s="40" t="s">
        <v>1849</v>
      </c>
      <c r="H182" s="40"/>
      <c r="I182" s="37" t="s">
        <v>335</v>
      </c>
      <c r="J182" s="37" t="s">
        <v>2678</v>
      </c>
      <c r="K182" s="37" t="s">
        <v>255</v>
      </c>
      <c r="L182" s="41" t="s">
        <v>1044</v>
      </c>
    </row>
    <row r="183" spans="1:12" ht="28.8" x14ac:dyDescent="0.3">
      <c r="A183" s="38" t="s">
        <v>1850</v>
      </c>
      <c r="B183" s="38" t="s">
        <v>1851</v>
      </c>
      <c r="C183" s="38" t="s">
        <v>2677</v>
      </c>
      <c r="D183" s="38">
        <v>183</v>
      </c>
      <c r="E183" s="38" t="s">
        <v>1048</v>
      </c>
      <c r="F183" s="38" t="s">
        <v>286</v>
      </c>
      <c r="G183" s="43" t="s">
        <v>1853</v>
      </c>
      <c r="H183" s="43" t="s">
        <v>1854</v>
      </c>
      <c r="I183" s="38" t="s">
        <v>335</v>
      </c>
      <c r="J183" s="38" t="s">
        <v>2678</v>
      </c>
      <c r="K183" s="38" t="s">
        <v>255</v>
      </c>
      <c r="L183" s="44" t="s">
        <v>1044</v>
      </c>
    </row>
    <row r="184" spans="1:12" ht="28.8" x14ac:dyDescent="0.3">
      <c r="A184" s="37" t="s">
        <v>1855</v>
      </c>
      <c r="B184" s="37" t="s">
        <v>1856</v>
      </c>
      <c r="C184" s="37" t="s">
        <v>2677</v>
      </c>
      <c r="D184" s="37">
        <v>184</v>
      </c>
      <c r="E184" s="37" t="s">
        <v>239</v>
      </c>
      <c r="F184" s="37" t="s">
        <v>286</v>
      </c>
      <c r="G184" s="40" t="s">
        <v>1858</v>
      </c>
      <c r="H184" s="40" t="s">
        <v>1859</v>
      </c>
      <c r="I184" s="37" t="s">
        <v>335</v>
      </c>
      <c r="J184" s="37" t="s">
        <v>2678</v>
      </c>
      <c r="K184" s="37" t="s">
        <v>255</v>
      </c>
      <c r="L184" s="41" t="s">
        <v>1044</v>
      </c>
    </row>
    <row r="185" spans="1:12" ht="28.8" x14ac:dyDescent="0.3">
      <c r="A185" s="38" t="s">
        <v>1860</v>
      </c>
      <c r="B185" s="38" t="s">
        <v>1861</v>
      </c>
      <c r="C185" s="38" t="s">
        <v>2677</v>
      </c>
      <c r="D185" s="38">
        <v>185</v>
      </c>
      <c r="E185" s="38" t="s">
        <v>1086</v>
      </c>
      <c r="F185" s="38" t="s">
        <v>246</v>
      </c>
      <c r="G185" s="43" t="s">
        <v>1863</v>
      </c>
      <c r="H185" s="43"/>
      <c r="I185" s="38" t="s">
        <v>335</v>
      </c>
      <c r="J185" s="38" t="s">
        <v>2678</v>
      </c>
      <c r="K185" s="38" t="s">
        <v>255</v>
      </c>
      <c r="L185" s="44" t="s">
        <v>1044</v>
      </c>
    </row>
    <row r="186" spans="1:12" ht="43.2" x14ac:dyDescent="0.3">
      <c r="A186" s="37" t="s">
        <v>1864</v>
      </c>
      <c r="B186" s="37" t="s">
        <v>1865</v>
      </c>
      <c r="C186" s="37" t="s">
        <v>2677</v>
      </c>
      <c r="D186" s="37">
        <v>186</v>
      </c>
      <c r="E186" s="37" t="s">
        <v>386</v>
      </c>
      <c r="F186" s="37" t="s">
        <v>246</v>
      </c>
      <c r="G186" s="40" t="s">
        <v>1867</v>
      </c>
      <c r="H186" s="40"/>
      <c r="I186" s="37" t="s">
        <v>335</v>
      </c>
      <c r="J186" s="37" t="s">
        <v>2678</v>
      </c>
      <c r="K186" s="37" t="s">
        <v>255</v>
      </c>
      <c r="L186" s="41" t="s">
        <v>1044</v>
      </c>
    </row>
    <row r="187" spans="1:12" ht="28.8" x14ac:dyDescent="0.3">
      <c r="A187" s="38" t="s">
        <v>1868</v>
      </c>
      <c r="B187" s="38" t="s">
        <v>1869</v>
      </c>
      <c r="C187" s="38" t="s">
        <v>2677</v>
      </c>
      <c r="D187" s="38">
        <v>187</v>
      </c>
      <c r="E187" s="38" t="s">
        <v>1251</v>
      </c>
      <c r="F187" s="38" t="s">
        <v>246</v>
      </c>
      <c r="G187" s="43" t="s">
        <v>1870</v>
      </c>
      <c r="H187" s="43"/>
      <c r="I187" s="38" t="s">
        <v>335</v>
      </c>
      <c r="J187" s="38" t="s">
        <v>2678</v>
      </c>
      <c r="K187" s="38" t="s">
        <v>255</v>
      </c>
      <c r="L187" s="44" t="s">
        <v>1254</v>
      </c>
    </row>
    <row r="188" spans="1:12" ht="43.2" x14ac:dyDescent="0.3">
      <c r="A188" s="37" t="s">
        <v>1871</v>
      </c>
      <c r="B188" s="37" t="s">
        <v>1872</v>
      </c>
      <c r="C188" s="37" t="s">
        <v>2677</v>
      </c>
      <c r="D188" s="37">
        <v>188</v>
      </c>
      <c r="E188" s="37" t="s">
        <v>1195</v>
      </c>
      <c r="F188" s="37" t="s">
        <v>246</v>
      </c>
      <c r="G188" s="40" t="s">
        <v>1873</v>
      </c>
      <c r="H188" s="40"/>
      <c r="I188" s="37" t="s">
        <v>335</v>
      </c>
      <c r="J188" s="37" t="s">
        <v>2678</v>
      </c>
      <c r="K188" s="37" t="s">
        <v>255</v>
      </c>
      <c r="L188" s="41" t="s">
        <v>1044</v>
      </c>
    </row>
    <row r="189" spans="1:12" ht="28.8" x14ac:dyDescent="0.3">
      <c r="A189" s="45" t="s">
        <v>1874</v>
      </c>
      <c r="B189" s="45" t="s">
        <v>1875</v>
      </c>
      <c r="C189" s="45" t="s">
        <v>2677</v>
      </c>
      <c r="D189" s="45">
        <v>189</v>
      </c>
      <c r="E189" s="45" t="s">
        <v>1086</v>
      </c>
      <c r="F189" s="45" t="s">
        <v>286</v>
      </c>
      <c r="G189" s="47" t="s">
        <v>1876</v>
      </c>
      <c r="H189" s="47" t="s">
        <v>1877</v>
      </c>
      <c r="I189" s="45" t="s">
        <v>293</v>
      </c>
      <c r="J189" s="45" t="s">
        <v>2678</v>
      </c>
      <c r="K189" s="45" t="s">
        <v>245</v>
      </c>
      <c r="L189" s="48" t="s">
        <v>1878</v>
      </c>
    </row>
    <row r="190" spans="1:12" ht="28.8" x14ac:dyDescent="0.3">
      <c r="A190" s="37" t="s">
        <v>1879</v>
      </c>
      <c r="B190" s="37" t="s">
        <v>1880</v>
      </c>
      <c r="C190" s="37" t="s">
        <v>2677</v>
      </c>
      <c r="D190" s="37">
        <v>190</v>
      </c>
      <c r="E190" s="37" t="s">
        <v>239</v>
      </c>
      <c r="F190" s="37" t="s">
        <v>286</v>
      </c>
      <c r="G190" s="40" t="s">
        <v>1882</v>
      </c>
      <c r="H190" s="40" t="s">
        <v>1883</v>
      </c>
      <c r="I190" s="37" t="s">
        <v>335</v>
      </c>
      <c r="J190" s="37" t="s">
        <v>2678</v>
      </c>
      <c r="K190" s="37" t="s">
        <v>255</v>
      </c>
      <c r="L190" s="41" t="s">
        <v>1044</v>
      </c>
    </row>
    <row r="191" spans="1:12" ht="28.8" x14ac:dyDescent="0.3">
      <c r="A191" s="38" t="s">
        <v>1884</v>
      </c>
      <c r="B191" s="38" t="s">
        <v>1885</v>
      </c>
      <c r="C191" s="38" t="s">
        <v>2677</v>
      </c>
      <c r="D191" s="38">
        <v>191</v>
      </c>
      <c r="E191" s="38" t="s">
        <v>386</v>
      </c>
      <c r="F191" s="38" t="s">
        <v>286</v>
      </c>
      <c r="G191" s="43" t="s">
        <v>1886</v>
      </c>
      <c r="H191" s="43" t="s">
        <v>1887</v>
      </c>
      <c r="I191" s="38" t="s">
        <v>335</v>
      </c>
      <c r="J191" s="38" t="s">
        <v>2678</v>
      </c>
      <c r="K191" s="38" t="s">
        <v>255</v>
      </c>
      <c r="L191" s="44" t="s">
        <v>1044</v>
      </c>
    </row>
    <row r="192" spans="1:12" ht="28.8" x14ac:dyDescent="0.3">
      <c r="A192" s="37" t="s">
        <v>1888</v>
      </c>
      <c r="B192" s="37" t="s">
        <v>1889</v>
      </c>
      <c r="C192" s="37" t="s">
        <v>2677</v>
      </c>
      <c r="D192" s="37">
        <v>192</v>
      </c>
      <c r="E192" s="37" t="s">
        <v>386</v>
      </c>
      <c r="F192" s="37" t="s">
        <v>286</v>
      </c>
      <c r="G192" s="40" t="s">
        <v>1891</v>
      </c>
      <c r="H192" s="40" t="s">
        <v>1892</v>
      </c>
      <c r="I192" s="37" t="s">
        <v>335</v>
      </c>
      <c r="J192" s="37" t="s">
        <v>2678</v>
      </c>
      <c r="K192" s="37" t="s">
        <v>255</v>
      </c>
      <c r="L192" s="41" t="s">
        <v>1044</v>
      </c>
    </row>
    <row r="193" spans="1:12" ht="28.8" x14ac:dyDescent="0.3">
      <c r="A193" s="38" t="s">
        <v>1893</v>
      </c>
      <c r="B193" s="38" t="s">
        <v>1894</v>
      </c>
      <c r="C193" s="38" t="s">
        <v>2677</v>
      </c>
      <c r="D193" s="38">
        <v>193</v>
      </c>
      <c r="E193" s="38" t="s">
        <v>1251</v>
      </c>
      <c r="F193" s="38" t="s">
        <v>246</v>
      </c>
      <c r="G193" s="43" t="s">
        <v>1896</v>
      </c>
      <c r="H193" s="43"/>
      <c r="I193" s="38" t="s">
        <v>335</v>
      </c>
      <c r="J193" s="38" t="s">
        <v>2678</v>
      </c>
      <c r="K193" s="38" t="s">
        <v>255</v>
      </c>
      <c r="L193" s="44" t="s">
        <v>1254</v>
      </c>
    </row>
    <row r="194" spans="1:12" ht="28.8" x14ac:dyDescent="0.3">
      <c r="A194" s="37" t="s">
        <v>1897</v>
      </c>
      <c r="B194" s="37" t="s">
        <v>1898</v>
      </c>
      <c r="C194" s="37" t="s">
        <v>2677</v>
      </c>
      <c r="D194" s="37">
        <v>194</v>
      </c>
      <c r="E194" s="37" t="s">
        <v>239</v>
      </c>
      <c r="F194" s="37" t="s">
        <v>286</v>
      </c>
      <c r="G194" s="40" t="s">
        <v>1900</v>
      </c>
      <c r="H194" s="40" t="s">
        <v>1901</v>
      </c>
      <c r="I194" s="37" t="s">
        <v>335</v>
      </c>
      <c r="J194" s="37" t="s">
        <v>2678</v>
      </c>
      <c r="K194" s="37" t="s">
        <v>255</v>
      </c>
      <c r="L194" s="41" t="s">
        <v>1044</v>
      </c>
    </row>
    <row r="195" spans="1:12" ht="28.8" x14ac:dyDescent="0.3">
      <c r="A195" s="38" t="s">
        <v>1902</v>
      </c>
      <c r="B195" s="38" t="s">
        <v>1903</v>
      </c>
      <c r="C195" s="38" t="s">
        <v>2677</v>
      </c>
      <c r="D195" s="38">
        <v>195</v>
      </c>
      <c r="E195" s="38" t="s">
        <v>239</v>
      </c>
      <c r="F195" s="38" t="s">
        <v>286</v>
      </c>
      <c r="G195" s="43" t="s">
        <v>1905</v>
      </c>
      <c r="H195" s="43" t="s">
        <v>1906</v>
      </c>
      <c r="I195" s="38" t="s">
        <v>335</v>
      </c>
      <c r="J195" s="38" t="s">
        <v>2678</v>
      </c>
      <c r="K195" s="38" t="s">
        <v>255</v>
      </c>
      <c r="L195" s="44" t="s">
        <v>1044</v>
      </c>
    </row>
    <row r="196" spans="1:12" ht="28.8" x14ac:dyDescent="0.3">
      <c r="A196" s="37" t="s">
        <v>1907</v>
      </c>
      <c r="B196" s="37" t="s">
        <v>1908</v>
      </c>
      <c r="C196" s="37" t="s">
        <v>2677</v>
      </c>
      <c r="D196" s="37">
        <v>196</v>
      </c>
      <c r="E196" s="37" t="s">
        <v>239</v>
      </c>
      <c r="F196" s="37" t="s">
        <v>286</v>
      </c>
      <c r="G196" s="40" t="s">
        <v>1910</v>
      </c>
      <c r="H196" s="40" t="s">
        <v>1911</v>
      </c>
      <c r="I196" s="37" t="s">
        <v>335</v>
      </c>
      <c r="J196" s="37" t="s">
        <v>2678</v>
      </c>
      <c r="K196" s="37" t="s">
        <v>255</v>
      </c>
      <c r="L196" s="41" t="s">
        <v>1044</v>
      </c>
    </row>
    <row r="197" spans="1:12" ht="28.8" x14ac:dyDescent="0.3">
      <c r="A197" s="38" t="s">
        <v>1912</v>
      </c>
      <c r="B197" s="38" t="s">
        <v>1913</v>
      </c>
      <c r="C197" s="38" t="s">
        <v>2677</v>
      </c>
      <c r="D197" s="38">
        <v>197</v>
      </c>
      <c r="E197" s="38" t="s">
        <v>386</v>
      </c>
      <c r="F197" s="38" t="s">
        <v>286</v>
      </c>
      <c r="G197" s="43" t="s">
        <v>1915</v>
      </c>
      <c r="H197" s="43" t="s">
        <v>1916</v>
      </c>
      <c r="I197" s="38" t="s">
        <v>335</v>
      </c>
      <c r="J197" s="38" t="s">
        <v>2678</v>
      </c>
      <c r="K197" s="38" t="s">
        <v>255</v>
      </c>
      <c r="L197" s="44" t="s">
        <v>1044</v>
      </c>
    </row>
    <row r="198" spans="1:12" ht="28.8" x14ac:dyDescent="0.3">
      <c r="A198" s="37" t="s">
        <v>1917</v>
      </c>
      <c r="B198" s="37" t="s">
        <v>1918</v>
      </c>
      <c r="C198" s="37" t="s">
        <v>2677</v>
      </c>
      <c r="D198" s="37">
        <v>198</v>
      </c>
      <c r="E198" s="37" t="s">
        <v>386</v>
      </c>
      <c r="F198" s="37" t="s">
        <v>286</v>
      </c>
      <c r="G198" s="40" t="s">
        <v>1919</v>
      </c>
      <c r="H198" s="40" t="s">
        <v>1920</v>
      </c>
      <c r="I198" s="37" t="s">
        <v>335</v>
      </c>
      <c r="J198" s="37" t="s">
        <v>2678</v>
      </c>
      <c r="K198" s="37" t="s">
        <v>255</v>
      </c>
      <c r="L198" s="41" t="s">
        <v>1044</v>
      </c>
    </row>
    <row r="199" spans="1:12" ht="28.8" x14ac:dyDescent="0.3">
      <c r="A199" s="38" t="s">
        <v>1921</v>
      </c>
      <c r="B199" s="38" t="s">
        <v>1922</v>
      </c>
      <c r="C199" s="38" t="s">
        <v>2677</v>
      </c>
      <c r="D199" s="38">
        <v>199</v>
      </c>
      <c r="E199" s="38" t="s">
        <v>386</v>
      </c>
      <c r="F199" s="38" t="s">
        <v>286</v>
      </c>
      <c r="G199" s="43" t="s">
        <v>1924</v>
      </c>
      <c r="H199" s="43" t="s">
        <v>1925</v>
      </c>
      <c r="I199" s="38" t="s">
        <v>335</v>
      </c>
      <c r="J199" s="38" t="s">
        <v>2678</v>
      </c>
      <c r="K199" s="38" t="s">
        <v>255</v>
      </c>
      <c r="L199" s="44" t="s">
        <v>1044</v>
      </c>
    </row>
    <row r="200" spans="1:12" ht="28.8" x14ac:dyDescent="0.3">
      <c r="A200" s="37" t="s">
        <v>1926</v>
      </c>
      <c r="B200" s="37" t="s">
        <v>1927</v>
      </c>
      <c r="C200" s="37" t="s">
        <v>2677</v>
      </c>
      <c r="D200" s="37">
        <v>200</v>
      </c>
      <c r="E200" s="37" t="s">
        <v>239</v>
      </c>
      <c r="F200" s="37" t="s">
        <v>286</v>
      </c>
      <c r="G200" s="40" t="s">
        <v>1929</v>
      </c>
      <c r="H200" s="40" t="s">
        <v>1930</v>
      </c>
      <c r="I200" s="37" t="s">
        <v>335</v>
      </c>
      <c r="J200" s="37" t="s">
        <v>2678</v>
      </c>
      <c r="K200" s="37" t="s">
        <v>255</v>
      </c>
      <c r="L200" s="41" t="s">
        <v>1044</v>
      </c>
    </row>
    <row r="201" spans="1:12" ht="28.8" x14ac:dyDescent="0.3">
      <c r="A201" s="38" t="s">
        <v>1931</v>
      </c>
      <c r="B201" s="38" t="s">
        <v>1932</v>
      </c>
      <c r="C201" s="38" t="s">
        <v>2677</v>
      </c>
      <c r="D201" s="38">
        <v>201</v>
      </c>
      <c r="E201" s="38" t="s">
        <v>239</v>
      </c>
      <c r="F201" s="38" t="s">
        <v>286</v>
      </c>
      <c r="G201" s="43" t="s">
        <v>1933</v>
      </c>
      <c r="H201" s="43" t="s">
        <v>1934</v>
      </c>
      <c r="I201" s="38" t="s">
        <v>335</v>
      </c>
      <c r="J201" s="38" t="s">
        <v>2678</v>
      </c>
      <c r="K201" s="38" t="s">
        <v>255</v>
      </c>
      <c r="L201" s="44" t="s">
        <v>1044</v>
      </c>
    </row>
    <row r="202" spans="1:12" ht="28.8" x14ac:dyDescent="0.3">
      <c r="A202" s="37" t="s">
        <v>1935</v>
      </c>
      <c r="B202" s="37" t="s">
        <v>1936</v>
      </c>
      <c r="C202" s="37" t="s">
        <v>2677</v>
      </c>
      <c r="D202" s="37">
        <v>202</v>
      </c>
      <c r="E202" s="37" t="s">
        <v>1086</v>
      </c>
      <c r="F202" s="37" t="s">
        <v>246</v>
      </c>
      <c r="G202" s="40" t="s">
        <v>1937</v>
      </c>
      <c r="H202" s="40"/>
      <c r="I202" s="37" t="s">
        <v>335</v>
      </c>
      <c r="J202" s="37" t="s">
        <v>2678</v>
      </c>
      <c r="K202" s="37" t="s">
        <v>255</v>
      </c>
      <c r="L202" s="41" t="s">
        <v>1044</v>
      </c>
    </row>
    <row r="203" spans="1:12" ht="28.8" x14ac:dyDescent="0.3">
      <c r="A203" s="38" t="s">
        <v>1938</v>
      </c>
      <c r="B203" s="38" t="s">
        <v>1939</v>
      </c>
      <c r="C203" s="38" t="s">
        <v>2677</v>
      </c>
      <c r="D203" s="38">
        <v>203</v>
      </c>
      <c r="E203" s="38" t="s">
        <v>1251</v>
      </c>
      <c r="F203" s="38" t="s">
        <v>246</v>
      </c>
      <c r="G203" s="43" t="s">
        <v>1941</v>
      </c>
      <c r="H203" s="43"/>
      <c r="I203" s="38" t="s">
        <v>335</v>
      </c>
      <c r="J203" s="38" t="s">
        <v>2678</v>
      </c>
      <c r="K203" s="38" t="s">
        <v>255</v>
      </c>
      <c r="L203" s="44" t="s">
        <v>1254</v>
      </c>
    </row>
    <row r="204" spans="1:12" ht="28.8" x14ac:dyDescent="0.3">
      <c r="A204" s="37" t="s">
        <v>1942</v>
      </c>
      <c r="B204" s="37" t="s">
        <v>1943</v>
      </c>
      <c r="C204" s="37" t="s">
        <v>2677</v>
      </c>
      <c r="D204" s="37">
        <v>204</v>
      </c>
      <c r="E204" s="37" t="s">
        <v>386</v>
      </c>
      <c r="F204" s="37" t="s">
        <v>286</v>
      </c>
      <c r="G204" s="40" t="s">
        <v>1944</v>
      </c>
      <c r="H204" s="40" t="s">
        <v>1945</v>
      </c>
      <c r="I204" s="37" t="s">
        <v>335</v>
      </c>
      <c r="J204" s="37" t="s">
        <v>2678</v>
      </c>
      <c r="K204" s="37" t="s">
        <v>255</v>
      </c>
      <c r="L204" s="41" t="s">
        <v>1044</v>
      </c>
    </row>
    <row r="205" spans="1:12" ht="28.8" x14ac:dyDescent="0.3">
      <c r="A205" s="38" t="s">
        <v>1946</v>
      </c>
      <c r="B205" s="38" t="s">
        <v>1947</v>
      </c>
      <c r="C205" s="38" t="s">
        <v>2677</v>
      </c>
      <c r="D205" s="38">
        <v>205</v>
      </c>
      <c r="E205" s="38" t="s">
        <v>1251</v>
      </c>
      <c r="F205" s="38" t="s">
        <v>246</v>
      </c>
      <c r="G205" s="43" t="s">
        <v>1949</v>
      </c>
      <c r="H205" s="43"/>
      <c r="I205" s="38" t="s">
        <v>335</v>
      </c>
      <c r="J205" s="38" t="s">
        <v>2678</v>
      </c>
      <c r="K205" s="38" t="s">
        <v>255</v>
      </c>
      <c r="L205" s="44" t="s">
        <v>1254</v>
      </c>
    </row>
    <row r="206" spans="1:12" ht="28.8" x14ac:dyDescent="0.3">
      <c r="A206" s="45" t="s">
        <v>1950</v>
      </c>
      <c r="B206" s="45" t="s">
        <v>1951</v>
      </c>
      <c r="C206" s="45" t="s">
        <v>2677</v>
      </c>
      <c r="D206" s="45">
        <v>206</v>
      </c>
      <c r="E206" s="45" t="s">
        <v>1200</v>
      </c>
      <c r="F206" s="45" t="s">
        <v>286</v>
      </c>
      <c r="G206" s="47" t="s">
        <v>1953</v>
      </c>
      <c r="H206" s="47" t="s">
        <v>1954</v>
      </c>
      <c r="I206" s="45" t="s">
        <v>293</v>
      </c>
      <c r="J206" s="45" t="s">
        <v>2678</v>
      </c>
      <c r="K206" s="45" t="s">
        <v>245</v>
      </c>
      <c r="L206" s="48" t="s">
        <v>1044</v>
      </c>
    </row>
    <row r="207" spans="1:12" ht="28.8" x14ac:dyDescent="0.3">
      <c r="A207" s="38" t="s">
        <v>1955</v>
      </c>
      <c r="B207" s="38" t="s">
        <v>1956</v>
      </c>
      <c r="C207" s="38" t="s">
        <v>2677</v>
      </c>
      <c r="D207" s="38">
        <v>207</v>
      </c>
      <c r="E207" s="38" t="s">
        <v>1048</v>
      </c>
      <c r="F207" s="38" t="s">
        <v>286</v>
      </c>
      <c r="G207" s="43" t="s">
        <v>1957</v>
      </c>
      <c r="H207" s="43" t="s">
        <v>1958</v>
      </c>
      <c r="I207" s="38" t="s">
        <v>335</v>
      </c>
      <c r="J207" s="38" t="s">
        <v>2678</v>
      </c>
      <c r="K207" s="38" t="s">
        <v>255</v>
      </c>
      <c r="L207" s="44" t="s">
        <v>1044</v>
      </c>
    </row>
    <row r="208" spans="1:12" ht="28.8" x14ac:dyDescent="0.3">
      <c r="A208" s="45" t="s">
        <v>1959</v>
      </c>
      <c r="B208" s="45" t="s">
        <v>1960</v>
      </c>
      <c r="C208" s="45" t="s">
        <v>2677</v>
      </c>
      <c r="D208" s="45">
        <v>208</v>
      </c>
      <c r="E208" s="45" t="s">
        <v>402</v>
      </c>
      <c r="F208" s="45" t="s">
        <v>246</v>
      </c>
      <c r="G208" s="47" t="s">
        <v>1963</v>
      </c>
      <c r="H208" s="47"/>
      <c r="I208" s="45" t="s">
        <v>335</v>
      </c>
      <c r="J208" s="45" t="s">
        <v>2678</v>
      </c>
      <c r="K208" s="45" t="s">
        <v>245</v>
      </c>
      <c r="L208" s="48" t="s">
        <v>1964</v>
      </c>
    </row>
    <row r="209" spans="1:12" ht="28.8" x14ac:dyDescent="0.3">
      <c r="A209" s="38" t="s">
        <v>1965</v>
      </c>
      <c r="B209" s="38" t="s">
        <v>1966</v>
      </c>
      <c r="C209" s="38" t="s">
        <v>2677</v>
      </c>
      <c r="D209" s="38">
        <v>209</v>
      </c>
      <c r="E209" s="38" t="s">
        <v>1369</v>
      </c>
      <c r="F209" s="38" t="s">
        <v>286</v>
      </c>
      <c r="G209" s="43" t="s">
        <v>1969</v>
      </c>
      <c r="H209" s="43" t="s">
        <v>1970</v>
      </c>
      <c r="I209" s="38" t="s">
        <v>335</v>
      </c>
      <c r="J209" s="38" t="s">
        <v>2678</v>
      </c>
      <c r="K209" s="38" t="s">
        <v>255</v>
      </c>
      <c r="L209" s="44" t="s">
        <v>1044</v>
      </c>
    </row>
    <row r="210" spans="1:12" ht="28.8" x14ac:dyDescent="0.3">
      <c r="A210" s="37" t="s">
        <v>1971</v>
      </c>
      <c r="B210" s="37" t="s">
        <v>1972</v>
      </c>
      <c r="C210" s="37" t="s">
        <v>2677</v>
      </c>
      <c r="D210" s="37">
        <v>210</v>
      </c>
      <c r="E210" s="37" t="s">
        <v>1086</v>
      </c>
      <c r="F210" s="37" t="s">
        <v>286</v>
      </c>
      <c r="G210" s="40" t="s">
        <v>1975</v>
      </c>
      <c r="H210" s="40" t="s">
        <v>1976</v>
      </c>
      <c r="I210" s="37" t="s">
        <v>335</v>
      </c>
      <c r="J210" s="37" t="s">
        <v>2678</v>
      </c>
      <c r="K210" s="37" t="s">
        <v>255</v>
      </c>
      <c r="L210" s="41" t="s">
        <v>1044</v>
      </c>
    </row>
    <row r="211" spans="1:12" ht="28.8" x14ac:dyDescent="0.3">
      <c r="A211" s="38" t="s">
        <v>1977</v>
      </c>
      <c r="B211" s="38" t="s">
        <v>1978</v>
      </c>
      <c r="C211" s="38" t="s">
        <v>2677</v>
      </c>
      <c r="D211" s="38">
        <v>211</v>
      </c>
      <c r="E211" s="38" t="s">
        <v>239</v>
      </c>
      <c r="F211" s="38" t="s">
        <v>286</v>
      </c>
      <c r="G211" s="43" t="s">
        <v>1980</v>
      </c>
      <c r="H211" s="43" t="s">
        <v>1981</v>
      </c>
      <c r="I211" s="38" t="s">
        <v>335</v>
      </c>
      <c r="J211" s="38" t="s">
        <v>2678</v>
      </c>
      <c r="K211" s="38" t="s">
        <v>255</v>
      </c>
      <c r="L211" s="44" t="s">
        <v>1044</v>
      </c>
    </row>
    <row r="212" spans="1:12" ht="28.8" x14ac:dyDescent="0.3">
      <c r="A212" s="37" t="s">
        <v>1982</v>
      </c>
      <c r="B212" s="37" t="s">
        <v>1983</v>
      </c>
      <c r="C212" s="37" t="s">
        <v>2677</v>
      </c>
      <c r="D212" s="37">
        <v>212</v>
      </c>
      <c r="E212" s="37" t="s">
        <v>1369</v>
      </c>
      <c r="F212" s="37" t="s">
        <v>286</v>
      </c>
      <c r="G212" s="40" t="s">
        <v>1985</v>
      </c>
      <c r="H212" s="40" t="s">
        <v>1986</v>
      </c>
      <c r="I212" s="37" t="s">
        <v>335</v>
      </c>
      <c r="J212" s="37" t="s">
        <v>2678</v>
      </c>
      <c r="K212" s="37" t="s">
        <v>255</v>
      </c>
      <c r="L212" s="41" t="s">
        <v>1044</v>
      </c>
    </row>
    <row r="213" spans="1:12" ht="28.8" x14ac:dyDescent="0.3">
      <c r="A213" s="38" t="s">
        <v>1987</v>
      </c>
      <c r="B213" s="38" t="s">
        <v>1988</v>
      </c>
      <c r="C213" s="38" t="s">
        <v>2677</v>
      </c>
      <c r="D213" s="38">
        <v>213</v>
      </c>
      <c r="E213" s="38" t="s">
        <v>239</v>
      </c>
      <c r="F213" s="38" t="s">
        <v>286</v>
      </c>
      <c r="G213" s="43" t="s">
        <v>1990</v>
      </c>
      <c r="H213" s="43" t="s">
        <v>1991</v>
      </c>
      <c r="I213" s="38" t="s">
        <v>335</v>
      </c>
      <c r="J213" s="38" t="s">
        <v>2678</v>
      </c>
      <c r="K213" s="38" t="s">
        <v>255</v>
      </c>
      <c r="L213" s="44" t="s">
        <v>1044</v>
      </c>
    </row>
    <row r="214" spans="1:12" ht="28.8" x14ac:dyDescent="0.3">
      <c r="A214" s="37" t="s">
        <v>1992</v>
      </c>
      <c r="B214" s="37" t="s">
        <v>1993</v>
      </c>
      <c r="C214" s="37" t="s">
        <v>2677</v>
      </c>
      <c r="D214" s="37">
        <v>214</v>
      </c>
      <c r="E214" s="37" t="s">
        <v>239</v>
      </c>
      <c r="F214" s="37" t="s">
        <v>286</v>
      </c>
      <c r="G214" s="40" t="s">
        <v>1995</v>
      </c>
      <c r="H214" s="40" t="s">
        <v>1996</v>
      </c>
      <c r="I214" s="37" t="s">
        <v>335</v>
      </c>
      <c r="J214" s="37" t="s">
        <v>2678</v>
      </c>
      <c r="K214" s="37" t="s">
        <v>255</v>
      </c>
      <c r="L214" s="41" t="s">
        <v>1044</v>
      </c>
    </row>
    <row r="215" spans="1:12" ht="28.8" x14ac:dyDescent="0.3">
      <c r="A215" s="38" t="s">
        <v>1997</v>
      </c>
      <c r="B215" s="38" t="s">
        <v>1998</v>
      </c>
      <c r="C215" s="38" t="s">
        <v>2677</v>
      </c>
      <c r="D215" s="38">
        <v>215</v>
      </c>
      <c r="E215" s="38" t="s">
        <v>1048</v>
      </c>
      <c r="F215" s="38" t="s">
        <v>286</v>
      </c>
      <c r="G215" s="43" t="s">
        <v>1999</v>
      </c>
      <c r="H215" s="43" t="s">
        <v>2000</v>
      </c>
      <c r="I215" s="38" t="s">
        <v>335</v>
      </c>
      <c r="J215" s="38" t="s">
        <v>2678</v>
      </c>
      <c r="K215" s="38" t="s">
        <v>255</v>
      </c>
      <c r="L215" s="44" t="s">
        <v>1044</v>
      </c>
    </row>
    <row r="216" spans="1:12" ht="28.8" x14ac:dyDescent="0.3">
      <c r="A216" s="37" t="s">
        <v>2001</v>
      </c>
      <c r="B216" s="37" t="s">
        <v>2002</v>
      </c>
      <c r="C216" s="37" t="s">
        <v>2677</v>
      </c>
      <c r="D216" s="37">
        <v>216</v>
      </c>
      <c r="E216" s="37" t="s">
        <v>386</v>
      </c>
      <c r="F216" s="37" t="s">
        <v>246</v>
      </c>
      <c r="G216" s="40" t="s">
        <v>2003</v>
      </c>
      <c r="H216" s="40"/>
      <c r="I216" s="37" t="s">
        <v>335</v>
      </c>
      <c r="J216" s="37" t="s">
        <v>2678</v>
      </c>
      <c r="K216" s="37" t="s">
        <v>255</v>
      </c>
      <c r="L216" s="41" t="s">
        <v>1044</v>
      </c>
    </row>
    <row r="217" spans="1:12" ht="28.8" x14ac:dyDescent="0.3">
      <c r="A217" s="38" t="s">
        <v>2004</v>
      </c>
      <c r="B217" s="38" t="s">
        <v>2005</v>
      </c>
      <c r="C217" s="38" t="s">
        <v>2677</v>
      </c>
      <c r="D217" s="38">
        <v>217</v>
      </c>
      <c r="E217" s="38" t="s">
        <v>239</v>
      </c>
      <c r="F217" s="38" t="s">
        <v>246</v>
      </c>
      <c r="G217" s="43" t="s">
        <v>2006</v>
      </c>
      <c r="H217" s="43"/>
      <c r="I217" s="38" t="s">
        <v>335</v>
      </c>
      <c r="J217" s="38" t="s">
        <v>2678</v>
      </c>
      <c r="K217" s="38" t="s">
        <v>255</v>
      </c>
      <c r="L217" s="44" t="s">
        <v>1044</v>
      </c>
    </row>
    <row r="218" spans="1:12" ht="43.2" x14ac:dyDescent="0.3">
      <c r="A218" s="37" t="s">
        <v>2007</v>
      </c>
      <c r="B218" s="37" t="s">
        <v>2008</v>
      </c>
      <c r="C218" s="37" t="s">
        <v>2677</v>
      </c>
      <c r="D218" s="37">
        <v>218</v>
      </c>
      <c r="E218" s="37" t="s">
        <v>386</v>
      </c>
      <c r="F218" s="37" t="s">
        <v>246</v>
      </c>
      <c r="G218" s="40" t="s">
        <v>2010</v>
      </c>
      <c r="H218" s="40"/>
      <c r="I218" s="37" t="s">
        <v>335</v>
      </c>
      <c r="J218" s="37" t="s">
        <v>2678</v>
      </c>
      <c r="K218" s="37" t="s">
        <v>255</v>
      </c>
      <c r="L218" s="41" t="s">
        <v>1044</v>
      </c>
    </row>
    <row r="219" spans="1:12" ht="28.8" x14ac:dyDescent="0.3">
      <c r="A219" s="38" t="s">
        <v>2011</v>
      </c>
      <c r="B219" s="38" t="s">
        <v>2012</v>
      </c>
      <c r="C219" s="38" t="s">
        <v>2677</v>
      </c>
      <c r="D219" s="38">
        <v>219</v>
      </c>
      <c r="E219" s="38" t="s">
        <v>239</v>
      </c>
      <c r="F219" s="38" t="s">
        <v>246</v>
      </c>
      <c r="G219" s="43" t="s">
        <v>2013</v>
      </c>
      <c r="H219" s="43"/>
      <c r="I219" s="38" t="s">
        <v>335</v>
      </c>
      <c r="J219" s="38" t="s">
        <v>2678</v>
      </c>
      <c r="K219" s="38" t="s">
        <v>255</v>
      </c>
      <c r="L219" s="44" t="s">
        <v>1044</v>
      </c>
    </row>
    <row r="220" spans="1:12" ht="28.8" x14ac:dyDescent="0.3">
      <c r="A220" s="37" t="s">
        <v>2014</v>
      </c>
      <c r="B220" s="37" t="s">
        <v>2015</v>
      </c>
      <c r="C220" s="37" t="s">
        <v>2677</v>
      </c>
      <c r="D220" s="37">
        <v>220</v>
      </c>
      <c r="E220" s="37" t="s">
        <v>239</v>
      </c>
      <c r="F220" s="37" t="s">
        <v>246</v>
      </c>
      <c r="G220" s="40" t="s">
        <v>2017</v>
      </c>
      <c r="H220" s="40"/>
      <c r="I220" s="37" t="s">
        <v>335</v>
      </c>
      <c r="J220" s="37" t="s">
        <v>2678</v>
      </c>
      <c r="K220" s="37" t="s">
        <v>255</v>
      </c>
      <c r="L220" s="41" t="s">
        <v>1044</v>
      </c>
    </row>
    <row r="221" spans="1:12" ht="28.8" x14ac:dyDescent="0.3">
      <c r="A221" s="38" t="s">
        <v>2018</v>
      </c>
      <c r="B221" s="38" t="s">
        <v>2019</v>
      </c>
      <c r="C221" s="38" t="s">
        <v>2677</v>
      </c>
      <c r="D221" s="38">
        <v>221</v>
      </c>
      <c r="E221" s="38" t="s">
        <v>1048</v>
      </c>
      <c r="F221" s="38" t="s">
        <v>286</v>
      </c>
      <c r="G221" s="43" t="s">
        <v>2021</v>
      </c>
      <c r="H221" s="43" t="s">
        <v>2022</v>
      </c>
      <c r="I221" s="38" t="s">
        <v>335</v>
      </c>
      <c r="J221" s="38" t="s">
        <v>2678</v>
      </c>
      <c r="K221" s="38" t="s">
        <v>255</v>
      </c>
      <c r="L221" s="44" t="s">
        <v>1044</v>
      </c>
    </row>
    <row r="222" spans="1:12" ht="28.8" x14ac:dyDescent="0.3">
      <c r="A222" s="37" t="s">
        <v>2023</v>
      </c>
      <c r="B222" s="37" t="s">
        <v>2024</v>
      </c>
      <c r="C222" s="37" t="s">
        <v>2677</v>
      </c>
      <c r="D222" s="37">
        <v>222</v>
      </c>
      <c r="E222" s="37" t="s">
        <v>239</v>
      </c>
      <c r="F222" s="37" t="s">
        <v>286</v>
      </c>
      <c r="G222" s="40" t="s">
        <v>2025</v>
      </c>
      <c r="H222" s="40" t="s">
        <v>2026</v>
      </c>
      <c r="I222" s="37" t="s">
        <v>335</v>
      </c>
      <c r="J222" s="37" t="s">
        <v>2678</v>
      </c>
      <c r="K222" s="37" t="s">
        <v>255</v>
      </c>
      <c r="L222" s="41" t="s">
        <v>1044</v>
      </c>
    </row>
    <row r="223" spans="1:12" ht="28.8" x14ac:dyDescent="0.3">
      <c r="A223" s="38" t="s">
        <v>2027</v>
      </c>
      <c r="B223" s="38" t="s">
        <v>2028</v>
      </c>
      <c r="C223" s="38" t="s">
        <v>2677</v>
      </c>
      <c r="D223" s="38">
        <v>223</v>
      </c>
      <c r="E223" s="38" t="s">
        <v>1048</v>
      </c>
      <c r="F223" s="38" t="s">
        <v>286</v>
      </c>
      <c r="G223" s="43" t="s">
        <v>2029</v>
      </c>
      <c r="H223" s="43" t="s">
        <v>2030</v>
      </c>
      <c r="I223" s="38" t="s">
        <v>335</v>
      </c>
      <c r="J223" s="38" t="s">
        <v>2678</v>
      </c>
      <c r="K223" s="38" t="s">
        <v>255</v>
      </c>
      <c r="L223" s="44" t="s">
        <v>1044</v>
      </c>
    </row>
    <row r="224" spans="1:12" ht="28.8" x14ac:dyDescent="0.3">
      <c r="A224" s="37" t="s">
        <v>2031</v>
      </c>
      <c r="B224" s="37" t="s">
        <v>2032</v>
      </c>
      <c r="C224" s="37" t="s">
        <v>2677</v>
      </c>
      <c r="D224" s="37">
        <v>224</v>
      </c>
      <c r="E224" s="37" t="s">
        <v>239</v>
      </c>
      <c r="F224" s="37" t="s">
        <v>286</v>
      </c>
      <c r="G224" s="40" t="s">
        <v>2034</v>
      </c>
      <c r="H224" s="40" t="s">
        <v>2035</v>
      </c>
      <c r="I224" s="37" t="s">
        <v>335</v>
      </c>
      <c r="J224" s="37" t="s">
        <v>2678</v>
      </c>
      <c r="K224" s="37" t="s">
        <v>255</v>
      </c>
      <c r="L224" s="41" t="s">
        <v>1044</v>
      </c>
    </row>
    <row r="225" spans="1:12" ht="28.8" x14ac:dyDescent="0.3">
      <c r="A225" s="38" t="s">
        <v>2036</v>
      </c>
      <c r="B225" s="38" t="s">
        <v>2037</v>
      </c>
      <c r="C225" s="38" t="s">
        <v>2677</v>
      </c>
      <c r="D225" s="38">
        <v>225</v>
      </c>
      <c r="E225" s="38" t="s">
        <v>1119</v>
      </c>
      <c r="F225" s="38" t="s">
        <v>246</v>
      </c>
      <c r="G225" s="43" t="s">
        <v>2038</v>
      </c>
      <c r="H225" s="43"/>
      <c r="I225" s="38" t="s">
        <v>335</v>
      </c>
      <c r="J225" s="38" t="s">
        <v>2678</v>
      </c>
      <c r="K225" s="38" t="s">
        <v>255</v>
      </c>
      <c r="L225" s="44" t="s">
        <v>1044</v>
      </c>
    </row>
    <row r="226" spans="1:12" ht="43.2" x14ac:dyDescent="0.3">
      <c r="A226" s="37" t="s">
        <v>2039</v>
      </c>
      <c r="B226" s="37" t="s">
        <v>2040</v>
      </c>
      <c r="C226" s="37" t="s">
        <v>2677</v>
      </c>
      <c r="D226" s="37">
        <v>226</v>
      </c>
      <c r="E226" s="37" t="s">
        <v>239</v>
      </c>
      <c r="F226" s="37" t="s">
        <v>246</v>
      </c>
      <c r="G226" s="40" t="s">
        <v>2042</v>
      </c>
      <c r="H226" s="40"/>
      <c r="I226" s="37" t="s">
        <v>335</v>
      </c>
      <c r="J226" s="37" t="s">
        <v>2678</v>
      </c>
      <c r="K226" s="37" t="s">
        <v>255</v>
      </c>
      <c r="L226" s="41" t="s">
        <v>1044</v>
      </c>
    </row>
    <row r="227" spans="1:12" ht="28.8" x14ac:dyDescent="0.3">
      <c r="A227" s="38" t="s">
        <v>2043</v>
      </c>
      <c r="B227" s="38" t="s">
        <v>2044</v>
      </c>
      <c r="C227" s="38" t="s">
        <v>2677</v>
      </c>
      <c r="D227" s="38">
        <v>227</v>
      </c>
      <c r="E227" s="38" t="s">
        <v>239</v>
      </c>
      <c r="F227" s="38" t="s">
        <v>246</v>
      </c>
      <c r="G227" s="43" t="s">
        <v>2046</v>
      </c>
      <c r="H227" s="43"/>
      <c r="I227" s="38" t="s">
        <v>335</v>
      </c>
      <c r="J227" s="38" t="s">
        <v>2678</v>
      </c>
      <c r="K227" s="38" t="s">
        <v>255</v>
      </c>
      <c r="L227" s="44" t="s">
        <v>1044</v>
      </c>
    </row>
    <row r="228" spans="1:12" ht="28.8" x14ac:dyDescent="0.3">
      <c r="A228" s="37" t="s">
        <v>2047</v>
      </c>
      <c r="B228" s="37" t="s">
        <v>2048</v>
      </c>
      <c r="C228" s="37" t="s">
        <v>2677</v>
      </c>
      <c r="D228" s="37">
        <v>228</v>
      </c>
      <c r="E228" s="37" t="s">
        <v>239</v>
      </c>
      <c r="F228" s="37" t="s">
        <v>246</v>
      </c>
      <c r="G228" s="40" t="s">
        <v>2049</v>
      </c>
      <c r="H228" s="40"/>
      <c r="I228" s="37" t="s">
        <v>335</v>
      </c>
      <c r="J228" s="37" t="s">
        <v>2678</v>
      </c>
      <c r="K228" s="37" t="s">
        <v>255</v>
      </c>
      <c r="L228" s="41" t="s">
        <v>1044</v>
      </c>
    </row>
    <row r="229" spans="1:12" ht="28.8" x14ac:dyDescent="0.3">
      <c r="A229" s="38" t="s">
        <v>2050</v>
      </c>
      <c r="B229" s="38" t="s">
        <v>2051</v>
      </c>
      <c r="C229" s="38" t="s">
        <v>2677</v>
      </c>
      <c r="D229" s="38">
        <v>229</v>
      </c>
      <c r="E229" s="38" t="s">
        <v>1369</v>
      </c>
      <c r="F229" s="38" t="s">
        <v>246</v>
      </c>
      <c r="G229" s="43" t="s">
        <v>2052</v>
      </c>
      <c r="H229" s="43"/>
      <c r="I229" s="38" t="s">
        <v>335</v>
      </c>
      <c r="J229" s="38" t="s">
        <v>2678</v>
      </c>
      <c r="K229" s="38" t="s">
        <v>255</v>
      </c>
      <c r="L229" s="44" t="s">
        <v>1044</v>
      </c>
    </row>
    <row r="230" spans="1:12" ht="28.8" x14ac:dyDescent="0.3">
      <c r="A230" s="37" t="s">
        <v>2053</v>
      </c>
      <c r="B230" s="37" t="s">
        <v>2054</v>
      </c>
      <c r="C230" s="37" t="s">
        <v>2677</v>
      </c>
      <c r="D230" s="37">
        <v>230</v>
      </c>
      <c r="E230" s="37" t="s">
        <v>1369</v>
      </c>
      <c r="F230" s="37" t="s">
        <v>246</v>
      </c>
      <c r="G230" s="40" t="s">
        <v>2055</v>
      </c>
      <c r="H230" s="40"/>
      <c r="I230" s="37" t="s">
        <v>335</v>
      </c>
      <c r="J230" s="37" t="s">
        <v>2678</v>
      </c>
      <c r="K230" s="37" t="s">
        <v>255</v>
      </c>
      <c r="L230" s="41" t="s">
        <v>1044</v>
      </c>
    </row>
    <row r="231" spans="1:12" ht="28.8" x14ac:dyDescent="0.3">
      <c r="A231" s="38" t="s">
        <v>2056</v>
      </c>
      <c r="B231" s="38" t="s">
        <v>2057</v>
      </c>
      <c r="C231" s="38" t="s">
        <v>2677</v>
      </c>
      <c r="D231" s="38">
        <v>231</v>
      </c>
      <c r="E231" s="38" t="s">
        <v>1369</v>
      </c>
      <c r="F231" s="38" t="s">
        <v>246</v>
      </c>
      <c r="G231" s="43" t="s">
        <v>2058</v>
      </c>
      <c r="H231" s="43"/>
      <c r="I231" s="38" t="s">
        <v>335</v>
      </c>
      <c r="J231" s="38" t="s">
        <v>2678</v>
      </c>
      <c r="K231" s="38" t="s">
        <v>255</v>
      </c>
      <c r="L231" s="44" t="s">
        <v>1044</v>
      </c>
    </row>
    <row r="232" spans="1:12" ht="28.8" x14ac:dyDescent="0.3">
      <c r="A232" s="37" t="s">
        <v>2059</v>
      </c>
      <c r="B232" s="37" t="s">
        <v>2060</v>
      </c>
      <c r="C232" s="37" t="s">
        <v>2677</v>
      </c>
      <c r="D232" s="37">
        <v>232</v>
      </c>
      <c r="E232" s="37" t="s">
        <v>239</v>
      </c>
      <c r="F232" s="37" t="s">
        <v>246</v>
      </c>
      <c r="G232" s="40" t="s">
        <v>2062</v>
      </c>
      <c r="H232" s="40"/>
      <c r="I232" s="37" t="s">
        <v>335</v>
      </c>
      <c r="J232" s="37" t="s">
        <v>2678</v>
      </c>
      <c r="K232" s="37" t="s">
        <v>255</v>
      </c>
      <c r="L232" s="41" t="s">
        <v>1044</v>
      </c>
    </row>
    <row r="233" spans="1:12" ht="28.8" x14ac:dyDescent="0.3">
      <c r="A233" s="38" t="s">
        <v>2063</v>
      </c>
      <c r="B233" s="38" t="s">
        <v>2064</v>
      </c>
      <c r="C233" s="38" t="s">
        <v>2677</v>
      </c>
      <c r="D233" s="38">
        <v>233</v>
      </c>
      <c r="E233" s="38" t="s">
        <v>239</v>
      </c>
      <c r="F233" s="38" t="s">
        <v>246</v>
      </c>
      <c r="G233" s="43" t="s">
        <v>2065</v>
      </c>
      <c r="H233" s="43"/>
      <c r="I233" s="38" t="s">
        <v>335</v>
      </c>
      <c r="J233" s="38" t="s">
        <v>2678</v>
      </c>
      <c r="K233" s="38" t="s">
        <v>255</v>
      </c>
      <c r="L233" s="44" t="s">
        <v>1044</v>
      </c>
    </row>
    <row r="234" spans="1:12" ht="28.8" x14ac:dyDescent="0.3">
      <c r="A234" s="37" t="s">
        <v>2066</v>
      </c>
      <c r="B234" s="37" t="s">
        <v>452</v>
      </c>
      <c r="C234" s="37" t="s">
        <v>2677</v>
      </c>
      <c r="D234" s="37">
        <v>234</v>
      </c>
      <c r="E234" s="37" t="s">
        <v>1048</v>
      </c>
      <c r="F234" s="37" t="s">
        <v>246</v>
      </c>
      <c r="G234" s="40" t="s">
        <v>2067</v>
      </c>
      <c r="H234" s="40"/>
      <c r="I234" s="37" t="s">
        <v>335</v>
      </c>
      <c r="J234" s="37" t="s">
        <v>2678</v>
      </c>
      <c r="K234" s="37" t="s">
        <v>255</v>
      </c>
      <c r="L234" s="41" t="s">
        <v>1044</v>
      </c>
    </row>
    <row r="235" spans="1:12" ht="57.6" x14ac:dyDescent="0.3">
      <c r="A235" s="38" t="s">
        <v>2068</v>
      </c>
      <c r="B235" s="38" t="s">
        <v>2069</v>
      </c>
      <c r="C235" s="38" t="s">
        <v>2677</v>
      </c>
      <c r="D235" s="38">
        <v>235</v>
      </c>
      <c r="E235" s="38" t="s">
        <v>239</v>
      </c>
      <c r="F235" s="38" t="s">
        <v>246</v>
      </c>
      <c r="G235" s="43" t="s">
        <v>2071</v>
      </c>
      <c r="H235" s="43"/>
      <c r="I235" s="38" t="s">
        <v>335</v>
      </c>
      <c r="J235" s="38" t="s">
        <v>2678</v>
      </c>
      <c r="K235" s="38" t="s">
        <v>255</v>
      </c>
      <c r="L235" s="44" t="s">
        <v>1044</v>
      </c>
    </row>
    <row r="236" spans="1:12" ht="57.6" x14ac:dyDescent="0.3">
      <c r="A236" s="37" t="s">
        <v>2072</v>
      </c>
      <c r="B236" s="37" t="s">
        <v>2073</v>
      </c>
      <c r="C236" s="37" t="s">
        <v>2677</v>
      </c>
      <c r="D236" s="37">
        <v>236</v>
      </c>
      <c r="E236" s="37" t="s">
        <v>1048</v>
      </c>
      <c r="F236" s="37" t="s">
        <v>246</v>
      </c>
      <c r="G236" s="40" t="s">
        <v>2075</v>
      </c>
      <c r="H236" s="40"/>
      <c r="I236" s="37" t="s">
        <v>335</v>
      </c>
      <c r="J236" s="37" t="s">
        <v>2678</v>
      </c>
      <c r="K236" s="37" t="s">
        <v>255</v>
      </c>
      <c r="L236" s="41" t="s">
        <v>1044</v>
      </c>
    </row>
    <row r="237" spans="1:12" ht="28.8" x14ac:dyDescent="0.3">
      <c r="A237" s="38" t="s">
        <v>2076</v>
      </c>
      <c r="B237" s="38" t="s">
        <v>2077</v>
      </c>
      <c r="C237" s="38" t="s">
        <v>2677</v>
      </c>
      <c r="D237" s="38">
        <v>237</v>
      </c>
      <c r="E237" s="38" t="s">
        <v>239</v>
      </c>
      <c r="F237" s="38" t="s">
        <v>246</v>
      </c>
      <c r="G237" s="43" t="s">
        <v>2078</v>
      </c>
      <c r="H237" s="43"/>
      <c r="I237" s="38" t="s">
        <v>335</v>
      </c>
      <c r="J237" s="38" t="s">
        <v>2678</v>
      </c>
      <c r="K237" s="38" t="s">
        <v>255</v>
      </c>
      <c r="L237" s="44" t="s">
        <v>1044</v>
      </c>
    </row>
    <row r="238" spans="1:12" ht="28.8" x14ac:dyDescent="0.3">
      <c r="A238" s="37" t="s">
        <v>2079</v>
      </c>
      <c r="B238" s="37" t="s">
        <v>2080</v>
      </c>
      <c r="C238" s="37" t="s">
        <v>2677</v>
      </c>
      <c r="D238" s="37">
        <v>238</v>
      </c>
      <c r="E238" s="37" t="s">
        <v>239</v>
      </c>
      <c r="F238" s="37" t="s">
        <v>246</v>
      </c>
      <c r="G238" s="40" t="s">
        <v>2081</v>
      </c>
      <c r="H238" s="40"/>
      <c r="I238" s="37" t="s">
        <v>335</v>
      </c>
      <c r="J238" s="37" t="s">
        <v>2678</v>
      </c>
      <c r="K238" s="37" t="s">
        <v>255</v>
      </c>
      <c r="L238" s="41" t="s">
        <v>1044</v>
      </c>
    </row>
    <row r="239" spans="1:12" ht="28.8" x14ac:dyDescent="0.3">
      <c r="A239" s="38" t="s">
        <v>2082</v>
      </c>
      <c r="B239" s="38" t="s">
        <v>2083</v>
      </c>
      <c r="C239" s="38" t="s">
        <v>2677</v>
      </c>
      <c r="D239" s="38">
        <v>239</v>
      </c>
      <c r="E239" s="38" t="s">
        <v>1086</v>
      </c>
      <c r="F239" s="38" t="s">
        <v>246</v>
      </c>
      <c r="G239" s="43" t="s">
        <v>2085</v>
      </c>
      <c r="H239" s="43"/>
      <c r="I239" s="38" t="s">
        <v>335</v>
      </c>
      <c r="J239" s="38" t="s">
        <v>2678</v>
      </c>
      <c r="K239" s="38" t="s">
        <v>255</v>
      </c>
      <c r="L239" s="44" t="s">
        <v>1044</v>
      </c>
    </row>
    <row r="240" spans="1:12" ht="43.2" x14ac:dyDescent="0.3">
      <c r="A240" s="37" t="s">
        <v>2086</v>
      </c>
      <c r="B240" s="37" t="s">
        <v>2087</v>
      </c>
      <c r="C240" s="37" t="s">
        <v>2677</v>
      </c>
      <c r="D240" s="37">
        <v>240</v>
      </c>
      <c r="E240" s="37" t="s">
        <v>239</v>
      </c>
      <c r="F240" s="37" t="s">
        <v>246</v>
      </c>
      <c r="G240" s="40" t="s">
        <v>2089</v>
      </c>
      <c r="H240" s="40"/>
      <c r="I240" s="37" t="s">
        <v>335</v>
      </c>
      <c r="J240" s="37" t="s">
        <v>2678</v>
      </c>
      <c r="K240" s="37" t="s">
        <v>255</v>
      </c>
      <c r="L240" s="41" t="s">
        <v>1044</v>
      </c>
    </row>
    <row r="241" spans="1:12" ht="43.2" x14ac:dyDescent="0.3">
      <c r="A241" s="38" t="s">
        <v>2090</v>
      </c>
      <c r="B241" s="38" t="s">
        <v>2091</v>
      </c>
      <c r="C241" s="38" t="s">
        <v>2677</v>
      </c>
      <c r="D241" s="38">
        <v>241</v>
      </c>
      <c r="E241" s="38" t="s">
        <v>239</v>
      </c>
      <c r="F241" s="38" t="s">
        <v>246</v>
      </c>
      <c r="G241" s="43" t="s">
        <v>2093</v>
      </c>
      <c r="H241" s="43"/>
      <c r="I241" s="38" t="s">
        <v>335</v>
      </c>
      <c r="J241" s="38" t="s">
        <v>2678</v>
      </c>
      <c r="K241" s="38" t="s">
        <v>255</v>
      </c>
      <c r="L241" s="44" t="s">
        <v>1044</v>
      </c>
    </row>
    <row r="242" spans="1:12" ht="28.8" x14ac:dyDescent="0.3">
      <c r="A242" s="37" t="s">
        <v>2094</v>
      </c>
      <c r="B242" s="37" t="s">
        <v>2095</v>
      </c>
      <c r="C242" s="37" t="s">
        <v>2677</v>
      </c>
      <c r="D242" s="37">
        <v>242</v>
      </c>
      <c r="E242" s="37" t="s">
        <v>1086</v>
      </c>
      <c r="F242" s="37" t="s">
        <v>246</v>
      </c>
      <c r="G242" s="40" t="s">
        <v>2097</v>
      </c>
      <c r="H242" s="40"/>
      <c r="I242" s="37" t="s">
        <v>335</v>
      </c>
      <c r="J242" s="37" t="s">
        <v>2678</v>
      </c>
      <c r="K242" s="37" t="s">
        <v>255</v>
      </c>
      <c r="L242" s="41" t="s">
        <v>1044</v>
      </c>
    </row>
    <row r="243" spans="1:12" ht="28.8" x14ac:dyDescent="0.3">
      <c r="A243" s="38" t="s">
        <v>2098</v>
      </c>
      <c r="B243" s="38" t="s">
        <v>2099</v>
      </c>
      <c r="C243" s="38" t="s">
        <v>2677</v>
      </c>
      <c r="D243" s="38">
        <v>243</v>
      </c>
      <c r="E243" s="38" t="s">
        <v>1724</v>
      </c>
      <c r="F243" s="38" t="s">
        <v>246</v>
      </c>
      <c r="G243" s="43" t="s">
        <v>2101</v>
      </c>
      <c r="H243" s="43"/>
      <c r="I243" s="38" t="s">
        <v>335</v>
      </c>
      <c r="J243" s="38" t="s">
        <v>2678</v>
      </c>
      <c r="K243" s="38" t="s">
        <v>255</v>
      </c>
      <c r="L243" s="44" t="s">
        <v>1044</v>
      </c>
    </row>
    <row r="244" spans="1:12" ht="28.8" x14ac:dyDescent="0.3">
      <c r="A244" s="37" t="s">
        <v>2102</v>
      </c>
      <c r="B244" s="37" t="s">
        <v>2103</v>
      </c>
      <c r="C244" s="37" t="s">
        <v>2677</v>
      </c>
      <c r="D244" s="37">
        <v>244</v>
      </c>
      <c r="E244" s="37" t="s">
        <v>239</v>
      </c>
      <c r="F244" s="37" t="s">
        <v>246</v>
      </c>
      <c r="G244" s="40" t="s">
        <v>2104</v>
      </c>
      <c r="H244" s="40"/>
      <c r="I244" s="37" t="s">
        <v>335</v>
      </c>
      <c r="J244" s="37" t="s">
        <v>2678</v>
      </c>
      <c r="K244" s="37" t="s">
        <v>255</v>
      </c>
      <c r="L244" s="41" t="s">
        <v>1044</v>
      </c>
    </row>
    <row r="245" spans="1:12" ht="28.8" x14ac:dyDescent="0.3">
      <c r="A245" s="38" t="s">
        <v>2105</v>
      </c>
      <c r="B245" s="38" t="s">
        <v>2106</v>
      </c>
      <c r="C245" s="38" t="s">
        <v>2677</v>
      </c>
      <c r="D245" s="38">
        <v>245</v>
      </c>
      <c r="E245" s="38" t="s">
        <v>1724</v>
      </c>
      <c r="F245" s="38" t="s">
        <v>246</v>
      </c>
      <c r="G245" s="43" t="s">
        <v>2108</v>
      </c>
      <c r="H245" s="43"/>
      <c r="I245" s="38" t="s">
        <v>335</v>
      </c>
      <c r="J245" s="38" t="s">
        <v>2678</v>
      </c>
      <c r="K245" s="38" t="s">
        <v>255</v>
      </c>
      <c r="L245" s="44" t="s">
        <v>1044</v>
      </c>
    </row>
    <row r="246" spans="1:12" ht="43.2" x14ac:dyDescent="0.3">
      <c r="A246" s="37" t="s">
        <v>2109</v>
      </c>
      <c r="B246" s="37" t="s">
        <v>2110</v>
      </c>
      <c r="C246" s="37" t="s">
        <v>2677</v>
      </c>
      <c r="D246" s="37">
        <v>246</v>
      </c>
      <c r="E246" s="37" t="s">
        <v>1369</v>
      </c>
      <c r="F246" s="37" t="s">
        <v>246</v>
      </c>
      <c r="G246" s="40" t="s">
        <v>2111</v>
      </c>
      <c r="H246" s="40"/>
      <c r="I246" s="37" t="s">
        <v>335</v>
      </c>
      <c r="J246" s="37" t="s">
        <v>2678</v>
      </c>
      <c r="K246" s="37" t="s">
        <v>255</v>
      </c>
      <c r="L246" s="41" t="s">
        <v>1044</v>
      </c>
    </row>
    <row r="247" spans="1:12" ht="28.8" x14ac:dyDescent="0.3">
      <c r="A247" s="38" t="s">
        <v>2112</v>
      </c>
      <c r="B247" s="38" t="s">
        <v>2113</v>
      </c>
      <c r="C247" s="38" t="s">
        <v>2677</v>
      </c>
      <c r="D247" s="38">
        <v>247</v>
      </c>
      <c r="E247" s="38" t="s">
        <v>239</v>
      </c>
      <c r="F247" s="38" t="s">
        <v>246</v>
      </c>
      <c r="G247" s="43" t="s">
        <v>2114</v>
      </c>
      <c r="H247" s="43"/>
      <c r="I247" s="38" t="s">
        <v>335</v>
      </c>
      <c r="J247" s="38" t="s">
        <v>2678</v>
      </c>
      <c r="K247" s="38" t="s">
        <v>255</v>
      </c>
      <c r="L247" s="44" t="s">
        <v>1044</v>
      </c>
    </row>
    <row r="248" spans="1:12" ht="28.8" x14ac:dyDescent="0.3">
      <c r="A248" s="37" t="s">
        <v>2115</v>
      </c>
      <c r="B248" s="37" t="s">
        <v>2116</v>
      </c>
      <c r="C248" s="37" t="s">
        <v>2677</v>
      </c>
      <c r="D248" s="37">
        <v>248</v>
      </c>
      <c r="E248" s="37" t="s">
        <v>239</v>
      </c>
      <c r="F248" s="37" t="s">
        <v>246</v>
      </c>
      <c r="G248" s="40" t="s">
        <v>2117</v>
      </c>
      <c r="H248" s="40"/>
      <c r="I248" s="37" t="s">
        <v>335</v>
      </c>
      <c r="J248" s="37" t="s">
        <v>2678</v>
      </c>
      <c r="K248" s="37" t="s">
        <v>255</v>
      </c>
      <c r="L248" s="41" t="s">
        <v>1044</v>
      </c>
    </row>
    <row r="249" spans="1:12" ht="28.8" x14ac:dyDescent="0.3">
      <c r="A249" s="38" t="s">
        <v>2118</v>
      </c>
      <c r="B249" s="38" t="s">
        <v>2119</v>
      </c>
      <c r="C249" s="38" t="s">
        <v>2677</v>
      </c>
      <c r="D249" s="38">
        <v>249</v>
      </c>
      <c r="E249" s="38" t="s">
        <v>239</v>
      </c>
      <c r="F249" s="38" t="s">
        <v>246</v>
      </c>
      <c r="G249" s="43" t="s">
        <v>2121</v>
      </c>
      <c r="H249" s="43"/>
      <c r="I249" s="38" t="s">
        <v>335</v>
      </c>
      <c r="J249" s="38" t="s">
        <v>2678</v>
      </c>
      <c r="K249" s="38" t="s">
        <v>255</v>
      </c>
      <c r="L249" s="44" t="s">
        <v>1044</v>
      </c>
    </row>
    <row r="250" spans="1:12" ht="28.8" x14ac:dyDescent="0.3">
      <c r="A250" s="37" t="s">
        <v>2122</v>
      </c>
      <c r="B250" s="37" t="s">
        <v>2123</v>
      </c>
      <c r="C250" s="37" t="s">
        <v>2677</v>
      </c>
      <c r="D250" s="37">
        <v>250</v>
      </c>
      <c r="E250" s="37" t="s">
        <v>239</v>
      </c>
      <c r="F250" s="37" t="s">
        <v>246</v>
      </c>
      <c r="G250" s="40" t="s">
        <v>2124</v>
      </c>
      <c r="H250" s="40"/>
      <c r="I250" s="37" t="s">
        <v>335</v>
      </c>
      <c r="J250" s="37" t="s">
        <v>2678</v>
      </c>
      <c r="K250" s="37" t="s">
        <v>255</v>
      </c>
      <c r="L250" s="41" t="s">
        <v>1044</v>
      </c>
    </row>
    <row r="251" spans="1:12" ht="28.8" x14ac:dyDescent="0.3">
      <c r="A251" s="38" t="s">
        <v>2125</v>
      </c>
      <c r="B251" s="38" t="s">
        <v>2126</v>
      </c>
      <c r="C251" s="38" t="s">
        <v>2677</v>
      </c>
      <c r="D251" s="38">
        <v>251</v>
      </c>
      <c r="E251" s="38" t="s">
        <v>239</v>
      </c>
      <c r="F251" s="38" t="s">
        <v>246</v>
      </c>
      <c r="G251" s="43" t="s">
        <v>2128</v>
      </c>
      <c r="H251" s="43"/>
      <c r="I251" s="38" t="s">
        <v>335</v>
      </c>
      <c r="J251" s="38" t="s">
        <v>2678</v>
      </c>
      <c r="K251" s="38" t="s">
        <v>255</v>
      </c>
      <c r="L251" s="44" t="s">
        <v>1044</v>
      </c>
    </row>
    <row r="252" spans="1:12" ht="28.8" x14ac:dyDescent="0.3">
      <c r="A252" s="37" t="s">
        <v>2129</v>
      </c>
      <c r="B252" s="37" t="s">
        <v>2130</v>
      </c>
      <c r="C252" s="37" t="s">
        <v>2677</v>
      </c>
      <c r="D252" s="37">
        <v>252</v>
      </c>
      <c r="E252" s="37" t="s">
        <v>239</v>
      </c>
      <c r="F252" s="37" t="s">
        <v>246</v>
      </c>
      <c r="G252" s="40" t="s">
        <v>2132</v>
      </c>
      <c r="H252" s="40"/>
      <c r="I252" s="37" t="s">
        <v>335</v>
      </c>
      <c r="J252" s="37" t="s">
        <v>2678</v>
      </c>
      <c r="K252" s="37" t="s">
        <v>255</v>
      </c>
      <c r="L252" s="41" t="s">
        <v>1044</v>
      </c>
    </row>
    <row r="253" spans="1:12" ht="57.6" x14ac:dyDescent="0.3">
      <c r="A253" s="38" t="s">
        <v>2133</v>
      </c>
      <c r="B253" s="38" t="s">
        <v>2134</v>
      </c>
      <c r="C253" s="38" t="s">
        <v>2677</v>
      </c>
      <c r="D253" s="38">
        <v>253</v>
      </c>
      <c r="E253" s="38" t="s">
        <v>239</v>
      </c>
      <c r="F253" s="38" t="s">
        <v>246</v>
      </c>
      <c r="G253" s="43" t="s">
        <v>2136</v>
      </c>
      <c r="H253" s="43"/>
      <c r="I253" s="38" t="s">
        <v>335</v>
      </c>
      <c r="J253" s="38" t="s">
        <v>2678</v>
      </c>
      <c r="K253" s="38" t="s">
        <v>255</v>
      </c>
      <c r="L253" s="44" t="s">
        <v>1044</v>
      </c>
    </row>
    <row r="254" spans="1:12" ht="57.6" x14ac:dyDescent="0.3">
      <c r="A254" s="37" t="s">
        <v>2137</v>
      </c>
      <c r="B254" s="37" t="s">
        <v>2138</v>
      </c>
      <c r="C254" s="37" t="s">
        <v>2677</v>
      </c>
      <c r="D254" s="37">
        <v>254</v>
      </c>
      <c r="E254" s="37" t="s">
        <v>239</v>
      </c>
      <c r="F254" s="37" t="s">
        <v>246</v>
      </c>
      <c r="G254" s="40" t="s">
        <v>2139</v>
      </c>
      <c r="H254" s="40"/>
      <c r="I254" s="37" t="s">
        <v>335</v>
      </c>
      <c r="J254" s="37" t="s">
        <v>2678</v>
      </c>
      <c r="K254" s="37" t="s">
        <v>255</v>
      </c>
      <c r="L254" s="41" t="s">
        <v>1044</v>
      </c>
    </row>
    <row r="255" spans="1:12" ht="57.6" x14ac:dyDescent="0.3">
      <c r="A255" s="38" t="s">
        <v>2140</v>
      </c>
      <c r="B255" s="38" t="s">
        <v>2141</v>
      </c>
      <c r="C255" s="38" t="s">
        <v>2677</v>
      </c>
      <c r="D255" s="38">
        <v>255</v>
      </c>
      <c r="E255" s="38" t="s">
        <v>239</v>
      </c>
      <c r="F255" s="38" t="s">
        <v>246</v>
      </c>
      <c r="G255" s="43" t="s">
        <v>2142</v>
      </c>
      <c r="H255" s="43"/>
      <c r="I255" s="38" t="s">
        <v>335</v>
      </c>
      <c r="J255" s="38" t="s">
        <v>2678</v>
      </c>
      <c r="K255" s="38" t="s">
        <v>255</v>
      </c>
      <c r="L255" s="44" t="s">
        <v>1044</v>
      </c>
    </row>
    <row r="256" spans="1:12" ht="72" x14ac:dyDescent="0.3">
      <c r="A256" s="37" t="s">
        <v>2143</v>
      </c>
      <c r="B256" s="37" t="s">
        <v>2144</v>
      </c>
      <c r="C256" s="37" t="s">
        <v>2677</v>
      </c>
      <c r="D256" s="37">
        <v>256</v>
      </c>
      <c r="E256" s="37" t="s">
        <v>239</v>
      </c>
      <c r="F256" s="37" t="s">
        <v>246</v>
      </c>
      <c r="G256" s="40" t="s">
        <v>2146</v>
      </c>
      <c r="H256" s="40"/>
      <c r="I256" s="37" t="s">
        <v>335</v>
      </c>
      <c r="J256" s="37" t="s">
        <v>2678</v>
      </c>
      <c r="K256" s="37" t="s">
        <v>255</v>
      </c>
      <c r="L256" s="41" t="s">
        <v>1044</v>
      </c>
    </row>
    <row r="257" spans="1:12" ht="28.8" x14ac:dyDescent="0.3">
      <c r="A257" s="38" t="s">
        <v>2147</v>
      </c>
      <c r="B257" s="38" t="s">
        <v>2148</v>
      </c>
      <c r="C257" s="38" t="s">
        <v>2677</v>
      </c>
      <c r="D257" s="38">
        <v>257</v>
      </c>
      <c r="E257" s="38" t="s">
        <v>239</v>
      </c>
      <c r="F257" s="38" t="s">
        <v>246</v>
      </c>
      <c r="G257" s="43" t="s">
        <v>2149</v>
      </c>
      <c r="H257" s="43"/>
      <c r="I257" s="38" t="s">
        <v>335</v>
      </c>
      <c r="J257" s="38" t="s">
        <v>2678</v>
      </c>
      <c r="K257" s="38" t="s">
        <v>255</v>
      </c>
      <c r="L257" s="44" t="s">
        <v>1044</v>
      </c>
    </row>
    <row r="258" spans="1:12" ht="28.8" x14ac:dyDescent="0.3">
      <c r="A258" s="37" t="s">
        <v>2150</v>
      </c>
      <c r="B258" s="37" t="s">
        <v>2151</v>
      </c>
      <c r="C258" s="37" t="s">
        <v>2677</v>
      </c>
      <c r="D258" s="37">
        <v>258</v>
      </c>
      <c r="E258" s="37" t="s">
        <v>239</v>
      </c>
      <c r="F258" s="37" t="s">
        <v>246</v>
      </c>
      <c r="G258" s="40" t="s">
        <v>2152</v>
      </c>
      <c r="H258" s="40"/>
      <c r="I258" s="37" t="s">
        <v>335</v>
      </c>
      <c r="J258" s="37" t="s">
        <v>2678</v>
      </c>
      <c r="K258" s="37" t="s">
        <v>255</v>
      </c>
      <c r="L258" s="41" t="s">
        <v>1044</v>
      </c>
    </row>
    <row r="259" spans="1:12" ht="28.8" x14ac:dyDescent="0.3">
      <c r="A259" s="38" t="s">
        <v>2153</v>
      </c>
      <c r="B259" s="38" t="s">
        <v>2154</v>
      </c>
      <c r="C259" s="38" t="s">
        <v>2677</v>
      </c>
      <c r="D259" s="38">
        <v>259</v>
      </c>
      <c r="E259" s="38" t="s">
        <v>239</v>
      </c>
      <c r="F259" s="38" t="s">
        <v>246</v>
      </c>
      <c r="G259" s="43" t="s">
        <v>2156</v>
      </c>
      <c r="H259" s="43"/>
      <c r="I259" s="38" t="s">
        <v>335</v>
      </c>
      <c r="J259" s="38" t="s">
        <v>2678</v>
      </c>
      <c r="K259" s="38" t="s">
        <v>255</v>
      </c>
      <c r="L259" s="44" t="s">
        <v>1044</v>
      </c>
    </row>
    <row r="260" spans="1:12" ht="28.8" x14ac:dyDescent="0.3">
      <c r="A260" s="37" t="s">
        <v>2157</v>
      </c>
      <c r="B260" s="37" t="s">
        <v>2158</v>
      </c>
      <c r="C260" s="37" t="s">
        <v>2677</v>
      </c>
      <c r="D260" s="37">
        <v>260</v>
      </c>
      <c r="E260" s="37" t="s">
        <v>239</v>
      </c>
      <c r="F260" s="37" t="s">
        <v>246</v>
      </c>
      <c r="G260" s="40" t="s">
        <v>2160</v>
      </c>
      <c r="H260" s="40"/>
      <c r="I260" s="37" t="s">
        <v>335</v>
      </c>
      <c r="J260" s="37" t="s">
        <v>2678</v>
      </c>
      <c r="K260" s="37" t="s">
        <v>255</v>
      </c>
      <c r="L260" s="41" t="s">
        <v>1044</v>
      </c>
    </row>
    <row r="261" spans="1:12" ht="28.8" x14ac:dyDescent="0.3">
      <c r="A261" s="38" t="s">
        <v>2161</v>
      </c>
      <c r="B261" s="38" t="s">
        <v>2162</v>
      </c>
      <c r="C261" s="38" t="s">
        <v>2677</v>
      </c>
      <c r="D261" s="38">
        <v>261</v>
      </c>
      <c r="E261" s="38" t="s">
        <v>239</v>
      </c>
      <c r="F261" s="38" t="s">
        <v>246</v>
      </c>
      <c r="G261" s="43" t="s">
        <v>2164</v>
      </c>
      <c r="H261" s="43"/>
      <c r="I261" s="38" t="s">
        <v>335</v>
      </c>
      <c r="J261" s="38" t="s">
        <v>2678</v>
      </c>
      <c r="K261" s="38" t="s">
        <v>255</v>
      </c>
      <c r="L261" s="44" t="s">
        <v>1044</v>
      </c>
    </row>
    <row r="262" spans="1:12" ht="28.8" x14ac:dyDescent="0.3">
      <c r="A262" s="37" t="s">
        <v>2165</v>
      </c>
      <c r="B262" s="37" t="s">
        <v>2166</v>
      </c>
      <c r="C262" s="37" t="s">
        <v>2677</v>
      </c>
      <c r="D262" s="37">
        <v>262</v>
      </c>
      <c r="E262" s="37" t="s">
        <v>239</v>
      </c>
      <c r="F262" s="37" t="s">
        <v>246</v>
      </c>
      <c r="G262" s="40" t="s">
        <v>2168</v>
      </c>
      <c r="H262" s="40"/>
      <c r="I262" s="37" t="s">
        <v>335</v>
      </c>
      <c r="J262" s="37" t="s">
        <v>2678</v>
      </c>
      <c r="K262" s="37" t="s">
        <v>255</v>
      </c>
      <c r="L262" s="41" t="s">
        <v>1044</v>
      </c>
    </row>
    <row r="263" spans="1:12" ht="28.8" x14ac:dyDescent="0.3">
      <c r="A263" s="38" t="s">
        <v>2169</v>
      </c>
      <c r="B263" s="38" t="s">
        <v>2170</v>
      </c>
      <c r="C263" s="38" t="s">
        <v>2677</v>
      </c>
      <c r="D263" s="38">
        <v>263</v>
      </c>
      <c r="E263" s="38" t="s">
        <v>239</v>
      </c>
      <c r="F263" s="38" t="s">
        <v>246</v>
      </c>
      <c r="G263" s="43" t="s">
        <v>2171</v>
      </c>
      <c r="H263" s="43"/>
      <c r="I263" s="38" t="s">
        <v>335</v>
      </c>
      <c r="J263" s="38" t="s">
        <v>2678</v>
      </c>
      <c r="K263" s="38" t="s">
        <v>255</v>
      </c>
      <c r="L263" s="44" t="s">
        <v>1044</v>
      </c>
    </row>
    <row r="264" spans="1:12" ht="28.8" x14ac:dyDescent="0.3">
      <c r="A264" s="37" t="s">
        <v>2172</v>
      </c>
      <c r="B264" s="37" t="s">
        <v>2173</v>
      </c>
      <c r="C264" s="37" t="s">
        <v>2677</v>
      </c>
      <c r="D264" s="37">
        <v>264</v>
      </c>
      <c r="E264" s="37" t="s">
        <v>239</v>
      </c>
      <c r="F264" s="37" t="s">
        <v>246</v>
      </c>
      <c r="G264" s="40" t="s">
        <v>2175</v>
      </c>
      <c r="H264" s="40"/>
      <c r="I264" s="37" t="s">
        <v>335</v>
      </c>
      <c r="J264" s="37" t="s">
        <v>2678</v>
      </c>
      <c r="K264" s="37" t="s">
        <v>255</v>
      </c>
      <c r="L264" s="41" t="s">
        <v>1044</v>
      </c>
    </row>
    <row r="265" spans="1:12" ht="28.8" x14ac:dyDescent="0.3">
      <c r="A265" s="38" t="s">
        <v>2176</v>
      </c>
      <c r="B265" s="38" t="s">
        <v>2177</v>
      </c>
      <c r="C265" s="38" t="s">
        <v>2677</v>
      </c>
      <c r="D265" s="38">
        <v>265</v>
      </c>
      <c r="E265" s="38" t="s">
        <v>1048</v>
      </c>
      <c r="F265" s="38" t="s">
        <v>246</v>
      </c>
      <c r="G265" s="43" t="s">
        <v>2178</v>
      </c>
      <c r="H265" s="43"/>
      <c r="I265" s="38" t="s">
        <v>335</v>
      </c>
      <c r="J265" s="38" t="s">
        <v>2678</v>
      </c>
      <c r="K265" s="38" t="s">
        <v>255</v>
      </c>
      <c r="L265" s="44" t="s">
        <v>1044</v>
      </c>
    </row>
    <row r="266" spans="1:12" ht="28.8" x14ac:dyDescent="0.3">
      <c r="A266" s="37" t="s">
        <v>2179</v>
      </c>
      <c r="B266" s="37" t="s">
        <v>2180</v>
      </c>
      <c r="C266" s="37" t="s">
        <v>2677</v>
      </c>
      <c r="D266" s="37">
        <v>266</v>
      </c>
      <c r="E266" s="37" t="s">
        <v>1048</v>
      </c>
      <c r="F266" s="37" t="s">
        <v>246</v>
      </c>
      <c r="G266" s="40" t="s">
        <v>2181</v>
      </c>
      <c r="H266" s="40"/>
      <c r="I266" s="37" t="s">
        <v>335</v>
      </c>
      <c r="J266" s="37" t="s">
        <v>2678</v>
      </c>
      <c r="K266" s="37" t="s">
        <v>255</v>
      </c>
      <c r="L266" s="41" t="s">
        <v>1044</v>
      </c>
    </row>
    <row r="267" spans="1:12" ht="43.2" x14ac:dyDescent="0.3">
      <c r="A267" s="38" t="s">
        <v>2182</v>
      </c>
      <c r="B267" s="38" t="s">
        <v>2183</v>
      </c>
      <c r="C267" s="38" t="s">
        <v>2677</v>
      </c>
      <c r="D267" s="38">
        <v>267</v>
      </c>
      <c r="E267" s="38" t="s">
        <v>239</v>
      </c>
      <c r="F267" s="38" t="s">
        <v>246</v>
      </c>
      <c r="G267" s="43" t="s">
        <v>2185</v>
      </c>
      <c r="H267" s="43"/>
      <c r="I267" s="38" t="s">
        <v>335</v>
      </c>
      <c r="J267" s="38" t="s">
        <v>2678</v>
      </c>
      <c r="K267" s="38" t="s">
        <v>255</v>
      </c>
      <c r="L267" s="44" t="s">
        <v>1044</v>
      </c>
    </row>
    <row r="268" spans="1:12" ht="28.8" x14ac:dyDescent="0.3">
      <c r="A268" s="37" t="s">
        <v>2186</v>
      </c>
      <c r="B268" s="37" t="s">
        <v>2187</v>
      </c>
      <c r="C268" s="37" t="s">
        <v>2677</v>
      </c>
      <c r="D268" s="37">
        <v>268</v>
      </c>
      <c r="E268" s="37" t="s">
        <v>386</v>
      </c>
      <c r="F268" s="37" t="s">
        <v>246</v>
      </c>
      <c r="G268" s="40" t="s">
        <v>2188</v>
      </c>
      <c r="H268" s="40"/>
      <c r="I268" s="37" t="s">
        <v>335</v>
      </c>
      <c r="J268" s="37" t="s">
        <v>2678</v>
      </c>
      <c r="K268" s="37" t="s">
        <v>255</v>
      </c>
      <c r="L268" s="41" t="s">
        <v>1044</v>
      </c>
    </row>
    <row r="269" spans="1:12" ht="28.8" x14ac:dyDescent="0.3">
      <c r="A269" s="38" t="s">
        <v>2189</v>
      </c>
      <c r="B269" s="38" t="s">
        <v>2190</v>
      </c>
      <c r="C269" s="38" t="s">
        <v>2677</v>
      </c>
      <c r="D269" s="38">
        <v>269</v>
      </c>
      <c r="E269" s="38" t="s">
        <v>386</v>
      </c>
      <c r="F269" s="38" t="s">
        <v>246</v>
      </c>
      <c r="G269" s="43" t="s">
        <v>2191</v>
      </c>
      <c r="H269" s="43"/>
      <c r="I269" s="38" t="s">
        <v>335</v>
      </c>
      <c r="J269" s="38" t="s">
        <v>2678</v>
      </c>
      <c r="K269" s="38" t="s">
        <v>255</v>
      </c>
      <c r="L269" s="44" t="s">
        <v>1044</v>
      </c>
    </row>
    <row r="270" spans="1:12" ht="28.8" x14ac:dyDescent="0.3">
      <c r="A270" s="37" t="s">
        <v>2192</v>
      </c>
      <c r="B270" s="37" t="s">
        <v>2193</v>
      </c>
      <c r="C270" s="37" t="s">
        <v>2677</v>
      </c>
      <c r="D270" s="37">
        <v>270</v>
      </c>
      <c r="E270" s="37" t="s">
        <v>239</v>
      </c>
      <c r="F270" s="37" t="s">
        <v>286</v>
      </c>
      <c r="G270" s="40" t="s">
        <v>2195</v>
      </c>
      <c r="H270" s="40" t="s">
        <v>2196</v>
      </c>
      <c r="I270" s="37" t="s">
        <v>335</v>
      </c>
      <c r="J270" s="37" t="s">
        <v>2678</v>
      </c>
      <c r="K270" s="37" t="s">
        <v>255</v>
      </c>
      <c r="L270" s="41" t="s">
        <v>1044</v>
      </c>
    </row>
    <row r="271" spans="1:12" ht="28.8" x14ac:dyDescent="0.3">
      <c r="A271" s="38" t="s">
        <v>2197</v>
      </c>
      <c r="B271" s="38" t="s">
        <v>2198</v>
      </c>
      <c r="C271" s="38" t="s">
        <v>2677</v>
      </c>
      <c r="D271" s="38">
        <v>271</v>
      </c>
      <c r="E271" s="38" t="s">
        <v>1369</v>
      </c>
      <c r="F271" s="38" t="s">
        <v>286</v>
      </c>
      <c r="G271" s="43" t="s">
        <v>2199</v>
      </c>
      <c r="H271" s="43" t="s">
        <v>2200</v>
      </c>
      <c r="I271" s="38" t="s">
        <v>335</v>
      </c>
      <c r="J271" s="38" t="s">
        <v>2678</v>
      </c>
      <c r="K271" s="38" t="s">
        <v>255</v>
      </c>
      <c r="L271" s="44" t="s">
        <v>1044</v>
      </c>
    </row>
    <row r="272" spans="1:12" ht="28.8" x14ac:dyDescent="0.3">
      <c r="A272" s="37" t="s">
        <v>2201</v>
      </c>
      <c r="B272" s="37" t="s">
        <v>2202</v>
      </c>
      <c r="C272" s="37" t="s">
        <v>2677</v>
      </c>
      <c r="D272" s="37">
        <v>272</v>
      </c>
      <c r="E272" s="37" t="s">
        <v>1369</v>
      </c>
      <c r="F272" s="37" t="s">
        <v>286</v>
      </c>
      <c r="G272" s="40" t="s">
        <v>2203</v>
      </c>
      <c r="H272" s="40" t="s">
        <v>2204</v>
      </c>
      <c r="I272" s="37" t="s">
        <v>335</v>
      </c>
      <c r="J272" s="37" t="s">
        <v>2678</v>
      </c>
      <c r="K272" s="37" t="s">
        <v>255</v>
      </c>
      <c r="L272" s="41" t="s">
        <v>1044</v>
      </c>
    </row>
    <row r="273" spans="1:12" ht="28.8" x14ac:dyDescent="0.3">
      <c r="A273" s="38" t="s">
        <v>2205</v>
      </c>
      <c r="B273" s="38" t="s">
        <v>2206</v>
      </c>
      <c r="C273" s="38" t="s">
        <v>2677</v>
      </c>
      <c r="D273" s="38">
        <v>273</v>
      </c>
      <c r="E273" s="38" t="s">
        <v>386</v>
      </c>
      <c r="F273" s="38" t="s">
        <v>286</v>
      </c>
      <c r="G273" s="43" t="s">
        <v>2209</v>
      </c>
      <c r="H273" s="43" t="s">
        <v>2210</v>
      </c>
      <c r="I273" s="38" t="s">
        <v>335</v>
      </c>
      <c r="J273" s="38" t="s">
        <v>2678</v>
      </c>
      <c r="K273" s="38" t="s">
        <v>255</v>
      </c>
      <c r="L273" s="44" t="s">
        <v>1044</v>
      </c>
    </row>
    <row r="274" spans="1:12" ht="28.8" x14ac:dyDescent="0.3">
      <c r="A274" s="37" t="s">
        <v>2211</v>
      </c>
      <c r="B274" s="37" t="s">
        <v>2212</v>
      </c>
      <c r="C274" s="37" t="s">
        <v>2677</v>
      </c>
      <c r="D274" s="37">
        <v>274</v>
      </c>
      <c r="E274" s="37" t="s">
        <v>239</v>
      </c>
      <c r="F274" s="37" t="s">
        <v>246</v>
      </c>
      <c r="G274" s="40" t="s">
        <v>2213</v>
      </c>
      <c r="H274" s="40"/>
      <c r="I274" s="37" t="s">
        <v>335</v>
      </c>
      <c r="J274" s="37" t="s">
        <v>2678</v>
      </c>
      <c r="K274" s="37" t="s">
        <v>255</v>
      </c>
      <c r="L274" s="41" t="s">
        <v>1044</v>
      </c>
    </row>
    <row r="275" spans="1:12" ht="28.8" x14ac:dyDescent="0.3">
      <c r="A275" s="38" t="s">
        <v>2214</v>
      </c>
      <c r="B275" s="38" t="s">
        <v>2215</v>
      </c>
      <c r="C275" s="38" t="s">
        <v>2677</v>
      </c>
      <c r="D275" s="38">
        <v>275</v>
      </c>
      <c r="E275" s="38" t="s">
        <v>239</v>
      </c>
      <c r="F275" s="38" t="s">
        <v>246</v>
      </c>
      <c r="G275" s="43" t="s">
        <v>2216</v>
      </c>
      <c r="H275" s="43"/>
      <c r="I275" s="38" t="s">
        <v>335</v>
      </c>
      <c r="J275" s="38" t="s">
        <v>2678</v>
      </c>
      <c r="K275" s="38" t="s">
        <v>255</v>
      </c>
      <c r="L275" s="44" t="s">
        <v>1044</v>
      </c>
    </row>
    <row r="276" spans="1:12" ht="28.8" x14ac:dyDescent="0.3">
      <c r="A276" s="37" t="s">
        <v>2217</v>
      </c>
      <c r="B276" s="37" t="s">
        <v>2218</v>
      </c>
      <c r="C276" s="37" t="s">
        <v>2677</v>
      </c>
      <c r="D276" s="37">
        <v>276</v>
      </c>
      <c r="E276" s="37" t="s">
        <v>1086</v>
      </c>
      <c r="F276" s="37" t="s">
        <v>286</v>
      </c>
      <c r="G276" s="40" t="s">
        <v>2220</v>
      </c>
      <c r="H276" s="40" t="s">
        <v>2221</v>
      </c>
      <c r="I276" s="37" t="s">
        <v>335</v>
      </c>
      <c r="J276" s="37" t="s">
        <v>2678</v>
      </c>
      <c r="K276" s="37" t="s">
        <v>255</v>
      </c>
      <c r="L276" s="41" t="s">
        <v>1044</v>
      </c>
    </row>
    <row r="277" spans="1:12" ht="28.8" x14ac:dyDescent="0.3">
      <c r="A277" s="38" t="s">
        <v>2222</v>
      </c>
      <c r="B277" s="38" t="s">
        <v>2223</v>
      </c>
      <c r="C277" s="38" t="s">
        <v>2677</v>
      </c>
      <c r="D277" s="38">
        <v>277</v>
      </c>
      <c r="E277" s="38" t="s">
        <v>1086</v>
      </c>
      <c r="F277" s="38" t="s">
        <v>286</v>
      </c>
      <c r="G277" s="43" t="s">
        <v>2225</v>
      </c>
      <c r="H277" s="43" t="s">
        <v>2226</v>
      </c>
      <c r="I277" s="38" t="s">
        <v>335</v>
      </c>
      <c r="J277" s="38" t="s">
        <v>2678</v>
      </c>
      <c r="K277" s="38" t="s">
        <v>255</v>
      </c>
      <c r="L277" s="44" t="s">
        <v>1044</v>
      </c>
    </row>
    <row r="278" spans="1:12" ht="28.8" x14ac:dyDescent="0.3">
      <c r="A278" s="37" t="s">
        <v>2227</v>
      </c>
      <c r="B278" s="37" t="s">
        <v>2228</v>
      </c>
      <c r="C278" s="37" t="s">
        <v>2677</v>
      </c>
      <c r="D278" s="37">
        <v>278</v>
      </c>
      <c r="E278" s="37" t="s">
        <v>386</v>
      </c>
      <c r="F278" s="37" t="s">
        <v>286</v>
      </c>
      <c r="G278" s="40" t="s">
        <v>2229</v>
      </c>
      <c r="H278" s="40" t="s">
        <v>2230</v>
      </c>
      <c r="I278" s="37" t="s">
        <v>335</v>
      </c>
      <c r="J278" s="37" t="s">
        <v>2678</v>
      </c>
      <c r="K278" s="37" t="s">
        <v>255</v>
      </c>
      <c r="L278" s="41" t="s">
        <v>1044</v>
      </c>
    </row>
    <row r="279" spans="1:12" ht="57.6" x14ac:dyDescent="0.3">
      <c r="A279" s="38" t="s">
        <v>2231</v>
      </c>
      <c r="B279" s="38" t="s">
        <v>2232</v>
      </c>
      <c r="C279" s="38" t="s">
        <v>2677</v>
      </c>
      <c r="D279" s="38">
        <v>279</v>
      </c>
      <c r="E279" s="38" t="s">
        <v>386</v>
      </c>
      <c r="F279" s="38" t="s">
        <v>286</v>
      </c>
      <c r="G279" s="43" t="s">
        <v>2234</v>
      </c>
      <c r="H279" s="43" t="s">
        <v>2235</v>
      </c>
      <c r="I279" s="38" t="s">
        <v>335</v>
      </c>
      <c r="J279" s="38" t="s">
        <v>2678</v>
      </c>
      <c r="K279" s="38" t="s">
        <v>255</v>
      </c>
      <c r="L279" s="44" t="s">
        <v>1044</v>
      </c>
    </row>
    <row r="280" spans="1:12" ht="28.8" x14ac:dyDescent="0.3">
      <c r="A280" s="37" t="s">
        <v>2236</v>
      </c>
      <c r="B280" s="37" t="s">
        <v>2237</v>
      </c>
      <c r="C280" s="37" t="s">
        <v>2677</v>
      </c>
      <c r="D280" s="37">
        <v>280</v>
      </c>
      <c r="E280" s="37" t="s">
        <v>239</v>
      </c>
      <c r="F280" s="37" t="s">
        <v>286</v>
      </c>
      <c r="G280" s="40" t="s">
        <v>2239</v>
      </c>
      <c r="H280" s="40" t="s">
        <v>2240</v>
      </c>
      <c r="I280" s="37" t="s">
        <v>335</v>
      </c>
      <c r="J280" s="37" t="s">
        <v>2678</v>
      </c>
      <c r="K280" s="37" t="s">
        <v>255</v>
      </c>
      <c r="L280" s="41" t="s">
        <v>1044</v>
      </c>
    </row>
  </sheetData>
  <autoFilter ref="A1:L280" xr:uid="{00000000-0009-0000-0000-000025000000}"/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J472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40" customWidth="1"/>
    <col min="3" max="3" width="10" customWidth="1"/>
    <col min="4" max="4" width="12" customWidth="1"/>
    <col min="5" max="5" width="26" customWidth="1"/>
    <col min="6" max="6" width="23" customWidth="1"/>
    <col min="7" max="7" width="40" customWidth="1"/>
    <col min="8" max="8" width="29" customWidth="1"/>
    <col min="9" max="9" width="12" customWidth="1"/>
    <col min="10" max="10" width="40" customWidth="1"/>
  </cols>
  <sheetData>
    <row r="1" spans="1:10" x14ac:dyDescent="0.3">
      <c r="A1" s="36" t="s">
        <v>424</v>
      </c>
      <c r="B1" s="36" t="s">
        <v>425</v>
      </c>
      <c r="C1" s="36" t="s">
        <v>883</v>
      </c>
      <c r="D1" s="36" t="s">
        <v>914</v>
      </c>
      <c r="E1" s="36" t="s">
        <v>915</v>
      </c>
      <c r="F1" s="36" t="s">
        <v>916</v>
      </c>
      <c r="G1" s="36" t="s">
        <v>917</v>
      </c>
      <c r="H1" s="36" t="s">
        <v>918</v>
      </c>
      <c r="I1" s="36" t="s">
        <v>919</v>
      </c>
      <c r="J1" s="36" t="s">
        <v>116</v>
      </c>
    </row>
    <row r="2" spans="1:10" ht="28.8" x14ac:dyDescent="0.3">
      <c r="A2" s="37" t="s">
        <v>1038</v>
      </c>
      <c r="B2" s="37" t="s">
        <v>1035</v>
      </c>
      <c r="C2" s="37" t="s">
        <v>267</v>
      </c>
      <c r="D2" s="37" t="s">
        <v>245</v>
      </c>
      <c r="E2" s="37" t="s">
        <v>243</v>
      </c>
      <c r="F2" s="37"/>
      <c r="G2" s="37" t="s">
        <v>1035</v>
      </c>
      <c r="H2" s="37" t="s">
        <v>268</v>
      </c>
      <c r="I2" s="37" t="s">
        <v>277</v>
      </c>
      <c r="J2" s="37" t="s">
        <v>2679</v>
      </c>
    </row>
    <row r="3" spans="1:10" ht="28.8" x14ac:dyDescent="0.3">
      <c r="A3" s="38" t="s">
        <v>1038</v>
      </c>
      <c r="B3" s="38" t="s">
        <v>1035</v>
      </c>
      <c r="C3" s="38" t="s">
        <v>243</v>
      </c>
      <c r="D3" s="38" t="s">
        <v>245</v>
      </c>
      <c r="E3" s="38" t="s">
        <v>243</v>
      </c>
      <c r="F3" s="38"/>
      <c r="G3" s="38" t="s">
        <v>1035</v>
      </c>
      <c r="H3" s="38" t="s">
        <v>242</v>
      </c>
      <c r="I3" s="38" t="s">
        <v>316</v>
      </c>
      <c r="J3" s="38" t="s">
        <v>2679</v>
      </c>
    </row>
    <row r="4" spans="1:10" ht="28.8" x14ac:dyDescent="0.3">
      <c r="A4" s="37" t="s">
        <v>1038</v>
      </c>
      <c r="B4" s="37" t="s">
        <v>1035</v>
      </c>
      <c r="C4" s="37" t="s">
        <v>346</v>
      </c>
      <c r="D4" s="37" t="s">
        <v>245</v>
      </c>
      <c r="E4" s="37" t="s">
        <v>243</v>
      </c>
      <c r="F4" s="37"/>
      <c r="G4" s="37" t="s">
        <v>1035</v>
      </c>
      <c r="H4" s="37" t="s">
        <v>242</v>
      </c>
      <c r="I4" s="37" t="s">
        <v>356</v>
      </c>
      <c r="J4" s="37" t="s">
        <v>2679</v>
      </c>
    </row>
    <row r="5" spans="1:10" ht="28.8" x14ac:dyDescent="0.3">
      <c r="A5" s="38" t="s">
        <v>1064</v>
      </c>
      <c r="B5" s="38" t="s">
        <v>1059</v>
      </c>
      <c r="C5" s="38" t="s">
        <v>267</v>
      </c>
      <c r="D5" s="38" t="s">
        <v>245</v>
      </c>
      <c r="E5" s="38" t="s">
        <v>243</v>
      </c>
      <c r="F5" s="38"/>
      <c r="G5" s="38" t="s">
        <v>1059</v>
      </c>
      <c r="H5" s="38" t="s">
        <v>268</v>
      </c>
      <c r="I5" s="38" t="s">
        <v>277</v>
      </c>
      <c r="J5" s="38" t="s">
        <v>2679</v>
      </c>
    </row>
    <row r="6" spans="1:10" ht="28.8" x14ac:dyDescent="0.3">
      <c r="A6" s="37" t="s">
        <v>1064</v>
      </c>
      <c r="B6" s="37" t="s">
        <v>1059</v>
      </c>
      <c r="C6" s="37" t="s">
        <v>243</v>
      </c>
      <c r="D6" s="37" t="s">
        <v>245</v>
      </c>
      <c r="E6" s="37" t="s">
        <v>243</v>
      </c>
      <c r="F6" s="37"/>
      <c r="G6" s="37" t="s">
        <v>1059</v>
      </c>
      <c r="H6" s="37" t="s">
        <v>242</v>
      </c>
      <c r="I6" s="37" t="s">
        <v>316</v>
      </c>
      <c r="J6" s="37" t="s">
        <v>2679</v>
      </c>
    </row>
    <row r="7" spans="1:10" ht="28.8" x14ac:dyDescent="0.3">
      <c r="A7" s="38" t="s">
        <v>1064</v>
      </c>
      <c r="B7" s="38" t="s">
        <v>1059</v>
      </c>
      <c r="C7" s="38" t="s">
        <v>346</v>
      </c>
      <c r="D7" s="38" t="s">
        <v>245</v>
      </c>
      <c r="E7" s="38" t="s">
        <v>243</v>
      </c>
      <c r="F7" s="38"/>
      <c r="G7" s="38" t="s">
        <v>1059</v>
      </c>
      <c r="H7" s="38" t="s">
        <v>242</v>
      </c>
      <c r="I7" s="38" t="s">
        <v>356</v>
      </c>
      <c r="J7" s="38" t="s">
        <v>2679</v>
      </c>
    </row>
    <row r="8" spans="1:10" ht="28.8" x14ac:dyDescent="0.3">
      <c r="A8" s="37" t="s">
        <v>1072</v>
      </c>
      <c r="B8" s="37" t="s">
        <v>1066</v>
      </c>
      <c r="C8" s="37" t="s">
        <v>267</v>
      </c>
      <c r="D8" s="37" t="s">
        <v>245</v>
      </c>
      <c r="E8" s="37" t="s">
        <v>243</v>
      </c>
      <c r="F8" s="37"/>
      <c r="G8" s="37" t="s">
        <v>1066</v>
      </c>
      <c r="H8" s="37" t="s">
        <v>268</v>
      </c>
      <c r="I8" s="37" t="s">
        <v>277</v>
      </c>
      <c r="J8" s="37" t="s">
        <v>2679</v>
      </c>
    </row>
    <row r="9" spans="1:10" ht="28.8" x14ac:dyDescent="0.3">
      <c r="A9" s="38" t="s">
        <v>1072</v>
      </c>
      <c r="B9" s="38" t="s">
        <v>1066</v>
      </c>
      <c r="C9" s="38" t="s">
        <v>243</v>
      </c>
      <c r="D9" s="38" t="s">
        <v>245</v>
      </c>
      <c r="E9" s="38" t="s">
        <v>243</v>
      </c>
      <c r="F9" s="38"/>
      <c r="G9" s="38" t="s">
        <v>1066</v>
      </c>
      <c r="H9" s="38" t="s">
        <v>268</v>
      </c>
      <c r="I9" s="38" t="s">
        <v>316</v>
      </c>
      <c r="J9" s="38" t="s">
        <v>2679</v>
      </c>
    </row>
    <row r="10" spans="1:10" ht="28.8" x14ac:dyDescent="0.3">
      <c r="A10" s="37" t="s">
        <v>1072</v>
      </c>
      <c r="B10" s="37" t="s">
        <v>1066</v>
      </c>
      <c r="C10" s="37" t="s">
        <v>346</v>
      </c>
      <c r="D10" s="37" t="s">
        <v>245</v>
      </c>
      <c r="E10" s="37" t="s">
        <v>243</v>
      </c>
      <c r="F10" s="37"/>
      <c r="G10" s="37" t="s">
        <v>1066</v>
      </c>
      <c r="H10" s="37" t="s">
        <v>268</v>
      </c>
      <c r="I10" s="37" t="s">
        <v>356</v>
      </c>
      <c r="J10" s="37" t="s">
        <v>2679</v>
      </c>
    </row>
    <row r="11" spans="1:10" ht="28.8" x14ac:dyDescent="0.3">
      <c r="A11" s="38" t="s">
        <v>1081</v>
      </c>
      <c r="B11" s="38" t="s">
        <v>1075</v>
      </c>
      <c r="C11" s="38" t="s">
        <v>267</v>
      </c>
      <c r="D11" s="38" t="s">
        <v>245</v>
      </c>
      <c r="E11" s="38" t="s">
        <v>323</v>
      </c>
      <c r="F11" s="38"/>
      <c r="G11" s="38" t="s">
        <v>1075</v>
      </c>
      <c r="H11" s="38" t="s">
        <v>268</v>
      </c>
      <c r="I11" s="38" t="s">
        <v>277</v>
      </c>
      <c r="J11" s="38" t="s">
        <v>2679</v>
      </c>
    </row>
    <row r="12" spans="1:10" ht="28.8" x14ac:dyDescent="0.3">
      <c r="A12" s="37" t="s">
        <v>1081</v>
      </c>
      <c r="B12" s="37" t="s">
        <v>1075</v>
      </c>
      <c r="C12" s="37" t="s">
        <v>243</v>
      </c>
      <c r="D12" s="37" t="s">
        <v>245</v>
      </c>
      <c r="E12" s="37" t="s">
        <v>323</v>
      </c>
      <c r="F12" s="37"/>
      <c r="G12" s="37" t="s">
        <v>1075</v>
      </c>
      <c r="H12" s="37" t="s">
        <v>268</v>
      </c>
      <c r="I12" s="37" t="s">
        <v>316</v>
      </c>
      <c r="J12" s="37" t="s">
        <v>2679</v>
      </c>
    </row>
    <row r="13" spans="1:10" ht="28.8" x14ac:dyDescent="0.3">
      <c r="A13" s="38" t="s">
        <v>1081</v>
      </c>
      <c r="B13" s="38" t="s">
        <v>1075</v>
      </c>
      <c r="C13" s="38" t="s">
        <v>346</v>
      </c>
      <c r="D13" s="38" t="s">
        <v>245</v>
      </c>
      <c r="E13" s="38" t="s">
        <v>323</v>
      </c>
      <c r="F13" s="38"/>
      <c r="G13" s="38" t="s">
        <v>1075</v>
      </c>
      <c r="H13" s="38" t="s">
        <v>268</v>
      </c>
      <c r="I13" s="38" t="s">
        <v>356</v>
      </c>
      <c r="J13" s="38" t="s">
        <v>2679</v>
      </c>
    </row>
    <row r="14" spans="1:10" ht="28.8" x14ac:dyDescent="0.3">
      <c r="A14" s="37" t="s">
        <v>1087</v>
      </c>
      <c r="B14" s="37" t="s">
        <v>1084</v>
      </c>
      <c r="C14" s="37" t="s">
        <v>267</v>
      </c>
      <c r="D14" s="37" t="s">
        <v>245</v>
      </c>
      <c r="E14" s="37" t="s">
        <v>323</v>
      </c>
      <c r="F14" s="37"/>
      <c r="G14" s="37" t="s">
        <v>1084</v>
      </c>
      <c r="H14" s="37" t="s">
        <v>268</v>
      </c>
      <c r="I14" s="37" t="s">
        <v>277</v>
      </c>
      <c r="J14" s="37" t="s">
        <v>2679</v>
      </c>
    </row>
    <row r="15" spans="1:10" ht="28.8" x14ac:dyDescent="0.3">
      <c r="A15" s="38" t="s">
        <v>1087</v>
      </c>
      <c r="B15" s="38" t="s">
        <v>1084</v>
      </c>
      <c r="C15" s="38" t="s">
        <v>243</v>
      </c>
      <c r="D15" s="38" t="s">
        <v>245</v>
      </c>
      <c r="E15" s="38" t="s">
        <v>323</v>
      </c>
      <c r="F15" s="38"/>
      <c r="G15" s="38" t="s">
        <v>1084</v>
      </c>
      <c r="H15" s="38" t="s">
        <v>268</v>
      </c>
      <c r="I15" s="38" t="s">
        <v>316</v>
      </c>
      <c r="J15" s="38" t="s">
        <v>2679</v>
      </c>
    </row>
    <row r="16" spans="1:10" ht="28.8" x14ac:dyDescent="0.3">
      <c r="A16" s="37" t="s">
        <v>1087</v>
      </c>
      <c r="B16" s="37" t="s">
        <v>1084</v>
      </c>
      <c r="C16" s="37" t="s">
        <v>346</v>
      </c>
      <c r="D16" s="37" t="s">
        <v>245</v>
      </c>
      <c r="E16" s="37" t="s">
        <v>323</v>
      </c>
      <c r="F16" s="37"/>
      <c r="G16" s="37" t="s">
        <v>1084</v>
      </c>
      <c r="H16" s="37" t="s">
        <v>268</v>
      </c>
      <c r="I16" s="37" t="s">
        <v>356</v>
      </c>
      <c r="J16" s="37" t="s">
        <v>2679</v>
      </c>
    </row>
    <row r="17" spans="1:10" ht="28.8" x14ac:dyDescent="0.3">
      <c r="A17" s="38" t="s">
        <v>1091</v>
      </c>
      <c r="B17" s="38" t="s">
        <v>1089</v>
      </c>
      <c r="C17" s="38" t="s">
        <v>267</v>
      </c>
      <c r="D17" s="38" t="s">
        <v>245</v>
      </c>
      <c r="E17" s="38" t="s">
        <v>323</v>
      </c>
      <c r="F17" s="38"/>
      <c r="G17" s="38" t="s">
        <v>1089</v>
      </c>
      <c r="H17" s="38" t="s">
        <v>268</v>
      </c>
      <c r="I17" s="38" t="s">
        <v>277</v>
      </c>
      <c r="J17" s="38" t="s">
        <v>2679</v>
      </c>
    </row>
    <row r="18" spans="1:10" ht="28.8" x14ac:dyDescent="0.3">
      <c r="A18" s="37" t="s">
        <v>1091</v>
      </c>
      <c r="B18" s="37" t="s">
        <v>1089</v>
      </c>
      <c r="C18" s="37" t="s">
        <v>243</v>
      </c>
      <c r="D18" s="37" t="s">
        <v>245</v>
      </c>
      <c r="E18" s="37" t="s">
        <v>323</v>
      </c>
      <c r="F18" s="37"/>
      <c r="G18" s="37" t="s">
        <v>1089</v>
      </c>
      <c r="H18" s="37" t="s">
        <v>268</v>
      </c>
      <c r="I18" s="37" t="s">
        <v>316</v>
      </c>
      <c r="J18" s="37" t="s">
        <v>2679</v>
      </c>
    </row>
    <row r="19" spans="1:10" ht="28.8" x14ac:dyDescent="0.3">
      <c r="A19" s="38" t="s">
        <v>1091</v>
      </c>
      <c r="B19" s="38" t="s">
        <v>1089</v>
      </c>
      <c r="C19" s="38" t="s">
        <v>346</v>
      </c>
      <c r="D19" s="38" t="s">
        <v>245</v>
      </c>
      <c r="E19" s="38" t="s">
        <v>323</v>
      </c>
      <c r="F19" s="38"/>
      <c r="G19" s="38" t="s">
        <v>1089</v>
      </c>
      <c r="H19" s="38" t="s">
        <v>268</v>
      </c>
      <c r="I19" s="38" t="s">
        <v>356</v>
      </c>
      <c r="J19" s="38" t="s">
        <v>2679</v>
      </c>
    </row>
    <row r="20" spans="1:10" ht="28.8" x14ac:dyDescent="0.3">
      <c r="A20" s="37" t="s">
        <v>1096</v>
      </c>
      <c r="B20" s="37" t="s">
        <v>1093</v>
      </c>
      <c r="C20" s="37" t="s">
        <v>267</v>
      </c>
      <c r="D20" s="37" t="s">
        <v>245</v>
      </c>
      <c r="E20" s="37" t="s">
        <v>243</v>
      </c>
      <c r="F20" s="37"/>
      <c r="G20" s="37" t="s">
        <v>1093</v>
      </c>
      <c r="H20" s="37" t="s">
        <v>268</v>
      </c>
      <c r="I20" s="37" t="s">
        <v>277</v>
      </c>
      <c r="J20" s="37" t="s">
        <v>2679</v>
      </c>
    </row>
    <row r="21" spans="1:10" ht="28.8" x14ac:dyDescent="0.3">
      <c r="A21" s="38" t="s">
        <v>1096</v>
      </c>
      <c r="B21" s="38" t="s">
        <v>1093</v>
      </c>
      <c r="C21" s="38" t="s">
        <v>243</v>
      </c>
      <c r="D21" s="38" t="s">
        <v>245</v>
      </c>
      <c r="E21" s="38" t="s">
        <v>243</v>
      </c>
      <c r="F21" s="38"/>
      <c r="G21" s="38" t="s">
        <v>1093</v>
      </c>
      <c r="H21" s="38" t="s">
        <v>268</v>
      </c>
      <c r="I21" s="38" t="s">
        <v>316</v>
      </c>
      <c r="J21" s="38" t="s">
        <v>2679</v>
      </c>
    </row>
    <row r="22" spans="1:10" ht="28.8" x14ac:dyDescent="0.3">
      <c r="A22" s="37" t="s">
        <v>1096</v>
      </c>
      <c r="B22" s="37" t="s">
        <v>1093</v>
      </c>
      <c r="C22" s="37" t="s">
        <v>346</v>
      </c>
      <c r="D22" s="37" t="s">
        <v>245</v>
      </c>
      <c r="E22" s="37" t="s">
        <v>243</v>
      </c>
      <c r="F22" s="37"/>
      <c r="G22" s="37" t="s">
        <v>1093</v>
      </c>
      <c r="H22" s="37" t="s">
        <v>268</v>
      </c>
      <c r="I22" s="37" t="s">
        <v>356</v>
      </c>
      <c r="J22" s="37" t="s">
        <v>2679</v>
      </c>
    </row>
    <row r="23" spans="1:10" ht="28.8" x14ac:dyDescent="0.3">
      <c r="A23" s="38" t="s">
        <v>1100</v>
      </c>
      <c r="B23" s="38" t="s">
        <v>1098</v>
      </c>
      <c r="C23" s="38" t="s">
        <v>267</v>
      </c>
      <c r="D23" s="38" t="s">
        <v>245</v>
      </c>
      <c r="E23" s="38" t="s">
        <v>323</v>
      </c>
      <c r="F23" s="38"/>
      <c r="G23" s="38" t="s">
        <v>1098</v>
      </c>
      <c r="H23" s="38" t="s">
        <v>268</v>
      </c>
      <c r="I23" s="38" t="s">
        <v>277</v>
      </c>
      <c r="J23" s="38" t="s">
        <v>2679</v>
      </c>
    </row>
    <row r="24" spans="1:10" ht="28.8" x14ac:dyDescent="0.3">
      <c r="A24" s="37" t="s">
        <v>1100</v>
      </c>
      <c r="B24" s="37" t="s">
        <v>1098</v>
      </c>
      <c r="C24" s="37" t="s">
        <v>243</v>
      </c>
      <c r="D24" s="37" t="s">
        <v>245</v>
      </c>
      <c r="E24" s="37" t="s">
        <v>323</v>
      </c>
      <c r="F24" s="37"/>
      <c r="G24" s="37" t="s">
        <v>1098</v>
      </c>
      <c r="H24" s="37" t="s">
        <v>268</v>
      </c>
      <c r="I24" s="37" t="s">
        <v>316</v>
      </c>
      <c r="J24" s="37" t="s">
        <v>2679</v>
      </c>
    </row>
    <row r="25" spans="1:10" ht="28.8" x14ac:dyDescent="0.3">
      <c r="A25" s="38" t="s">
        <v>1100</v>
      </c>
      <c r="B25" s="38" t="s">
        <v>1098</v>
      </c>
      <c r="C25" s="38" t="s">
        <v>346</v>
      </c>
      <c r="D25" s="38" t="s">
        <v>245</v>
      </c>
      <c r="E25" s="38" t="s">
        <v>323</v>
      </c>
      <c r="F25" s="38"/>
      <c r="G25" s="38" t="s">
        <v>1098</v>
      </c>
      <c r="H25" s="38" t="s">
        <v>268</v>
      </c>
      <c r="I25" s="38" t="s">
        <v>356</v>
      </c>
      <c r="J25" s="38" t="s">
        <v>2679</v>
      </c>
    </row>
    <row r="26" spans="1:10" ht="28.8" x14ac:dyDescent="0.3">
      <c r="A26" s="37" t="s">
        <v>1114</v>
      </c>
      <c r="B26" s="37" t="s">
        <v>1111</v>
      </c>
      <c r="C26" s="37" t="s">
        <v>267</v>
      </c>
      <c r="D26" s="37" t="s">
        <v>245</v>
      </c>
      <c r="E26" s="37" t="s">
        <v>243</v>
      </c>
      <c r="F26" s="37"/>
      <c r="G26" s="37" t="s">
        <v>1111</v>
      </c>
      <c r="H26" s="37" t="s">
        <v>268</v>
      </c>
      <c r="I26" s="37" t="s">
        <v>277</v>
      </c>
      <c r="J26" s="37" t="s">
        <v>2679</v>
      </c>
    </row>
    <row r="27" spans="1:10" ht="28.8" x14ac:dyDescent="0.3">
      <c r="A27" s="38" t="s">
        <v>1114</v>
      </c>
      <c r="B27" s="38" t="s">
        <v>1111</v>
      </c>
      <c r="C27" s="38" t="s">
        <v>243</v>
      </c>
      <c r="D27" s="38" t="s">
        <v>245</v>
      </c>
      <c r="E27" s="38" t="s">
        <v>243</v>
      </c>
      <c r="F27" s="38"/>
      <c r="G27" s="38" t="s">
        <v>1111</v>
      </c>
      <c r="H27" s="38" t="s">
        <v>242</v>
      </c>
      <c r="I27" s="38" t="s">
        <v>316</v>
      </c>
      <c r="J27" s="38" t="s">
        <v>2679</v>
      </c>
    </row>
    <row r="28" spans="1:10" ht="28.8" x14ac:dyDescent="0.3">
      <c r="A28" s="37" t="s">
        <v>1114</v>
      </c>
      <c r="B28" s="37" t="s">
        <v>1111</v>
      </c>
      <c r="C28" s="37" t="s">
        <v>346</v>
      </c>
      <c r="D28" s="37" t="s">
        <v>245</v>
      </c>
      <c r="E28" s="37" t="s">
        <v>243</v>
      </c>
      <c r="F28" s="37"/>
      <c r="G28" s="37" t="s">
        <v>1111</v>
      </c>
      <c r="H28" s="37" t="s">
        <v>242</v>
      </c>
      <c r="I28" s="37" t="s">
        <v>356</v>
      </c>
      <c r="J28" s="37" t="s">
        <v>2679</v>
      </c>
    </row>
    <row r="29" spans="1:10" ht="28.8" x14ac:dyDescent="0.3">
      <c r="A29" s="38" t="s">
        <v>1126</v>
      </c>
      <c r="B29" s="38" t="s">
        <v>1123</v>
      </c>
      <c r="C29" s="38" t="s">
        <v>267</v>
      </c>
      <c r="D29" s="38" t="s">
        <v>245</v>
      </c>
      <c r="E29" s="38" t="s">
        <v>323</v>
      </c>
      <c r="F29" s="38"/>
      <c r="G29" s="38" t="s">
        <v>1123</v>
      </c>
      <c r="H29" s="38" t="s">
        <v>268</v>
      </c>
      <c r="I29" s="38" t="s">
        <v>277</v>
      </c>
      <c r="J29" s="38" t="s">
        <v>2679</v>
      </c>
    </row>
    <row r="30" spans="1:10" ht="28.8" x14ac:dyDescent="0.3">
      <c r="A30" s="37" t="s">
        <v>1126</v>
      </c>
      <c r="B30" s="37" t="s">
        <v>1123</v>
      </c>
      <c r="C30" s="37" t="s">
        <v>243</v>
      </c>
      <c r="D30" s="37" t="s">
        <v>245</v>
      </c>
      <c r="E30" s="37" t="s">
        <v>323</v>
      </c>
      <c r="F30" s="37"/>
      <c r="G30" s="37" t="s">
        <v>1123</v>
      </c>
      <c r="H30" s="37" t="s">
        <v>268</v>
      </c>
      <c r="I30" s="37" t="s">
        <v>316</v>
      </c>
      <c r="J30" s="37" t="s">
        <v>2679</v>
      </c>
    </row>
    <row r="31" spans="1:10" ht="28.8" x14ac:dyDescent="0.3">
      <c r="A31" s="38" t="s">
        <v>1126</v>
      </c>
      <c r="B31" s="38" t="s">
        <v>1123</v>
      </c>
      <c r="C31" s="38" t="s">
        <v>346</v>
      </c>
      <c r="D31" s="38" t="s">
        <v>245</v>
      </c>
      <c r="E31" s="38" t="s">
        <v>323</v>
      </c>
      <c r="F31" s="38"/>
      <c r="G31" s="38" t="s">
        <v>1123</v>
      </c>
      <c r="H31" s="38" t="s">
        <v>268</v>
      </c>
      <c r="I31" s="38" t="s">
        <v>356</v>
      </c>
      <c r="J31" s="38" t="s">
        <v>2679</v>
      </c>
    </row>
    <row r="32" spans="1:10" ht="28.8" x14ac:dyDescent="0.3">
      <c r="A32" s="37" t="s">
        <v>1197</v>
      </c>
      <c r="B32" s="37" t="s">
        <v>1193</v>
      </c>
      <c r="C32" s="37" t="s">
        <v>267</v>
      </c>
      <c r="D32" s="37" t="s">
        <v>245</v>
      </c>
      <c r="E32" s="37" t="s">
        <v>243</v>
      </c>
      <c r="F32" s="37"/>
      <c r="G32" s="37" t="s">
        <v>1193</v>
      </c>
      <c r="H32" s="37" t="s">
        <v>268</v>
      </c>
      <c r="I32" s="37" t="s">
        <v>277</v>
      </c>
      <c r="J32" s="37" t="s">
        <v>2679</v>
      </c>
    </row>
    <row r="33" spans="1:10" ht="28.8" x14ac:dyDescent="0.3">
      <c r="A33" s="38" t="s">
        <v>1197</v>
      </c>
      <c r="B33" s="38" t="s">
        <v>1193</v>
      </c>
      <c r="C33" s="38" t="s">
        <v>243</v>
      </c>
      <c r="D33" s="38" t="s">
        <v>245</v>
      </c>
      <c r="E33" s="38" t="s">
        <v>243</v>
      </c>
      <c r="F33" s="38"/>
      <c r="G33" s="38" t="s">
        <v>1193</v>
      </c>
      <c r="H33" s="38" t="s">
        <v>242</v>
      </c>
      <c r="I33" s="38" t="s">
        <v>316</v>
      </c>
      <c r="J33" s="38" t="s">
        <v>2679</v>
      </c>
    </row>
    <row r="34" spans="1:10" ht="28.8" x14ac:dyDescent="0.3">
      <c r="A34" s="37" t="s">
        <v>1197</v>
      </c>
      <c r="B34" s="37" t="s">
        <v>1193</v>
      </c>
      <c r="C34" s="37" t="s">
        <v>346</v>
      </c>
      <c r="D34" s="37" t="s">
        <v>245</v>
      </c>
      <c r="E34" s="37" t="s">
        <v>243</v>
      </c>
      <c r="F34" s="37"/>
      <c r="G34" s="37" t="s">
        <v>1193</v>
      </c>
      <c r="H34" s="37" t="s">
        <v>242</v>
      </c>
      <c r="I34" s="37" t="s">
        <v>356</v>
      </c>
      <c r="J34" s="37" t="s">
        <v>2679</v>
      </c>
    </row>
    <row r="35" spans="1:10" ht="28.8" x14ac:dyDescent="0.3">
      <c r="A35" s="38" t="s">
        <v>1201</v>
      </c>
      <c r="B35" s="38" t="s">
        <v>1199</v>
      </c>
      <c r="C35" s="38" t="s">
        <v>267</v>
      </c>
      <c r="D35" s="38" t="s">
        <v>245</v>
      </c>
      <c r="E35" s="38" t="s">
        <v>243</v>
      </c>
      <c r="F35" s="38"/>
      <c r="G35" s="38" t="s">
        <v>1199</v>
      </c>
      <c r="H35" s="38" t="s">
        <v>268</v>
      </c>
      <c r="I35" s="38" t="s">
        <v>277</v>
      </c>
      <c r="J35" s="38" t="s">
        <v>2679</v>
      </c>
    </row>
    <row r="36" spans="1:10" ht="28.8" x14ac:dyDescent="0.3">
      <c r="A36" s="37" t="s">
        <v>1201</v>
      </c>
      <c r="B36" s="37" t="s">
        <v>1199</v>
      </c>
      <c r="C36" s="37" t="s">
        <v>243</v>
      </c>
      <c r="D36" s="37" t="s">
        <v>245</v>
      </c>
      <c r="E36" s="37" t="s">
        <v>243</v>
      </c>
      <c r="F36" s="37"/>
      <c r="G36" s="37" t="s">
        <v>1199</v>
      </c>
      <c r="H36" s="37" t="s">
        <v>242</v>
      </c>
      <c r="I36" s="37" t="s">
        <v>316</v>
      </c>
      <c r="J36" s="37" t="s">
        <v>2679</v>
      </c>
    </row>
    <row r="37" spans="1:10" ht="28.8" x14ac:dyDescent="0.3">
      <c r="A37" s="38" t="s">
        <v>1201</v>
      </c>
      <c r="B37" s="38" t="s">
        <v>1199</v>
      </c>
      <c r="C37" s="38" t="s">
        <v>346</v>
      </c>
      <c r="D37" s="38" t="s">
        <v>245</v>
      </c>
      <c r="E37" s="38" t="s">
        <v>243</v>
      </c>
      <c r="F37" s="38"/>
      <c r="G37" s="38" t="s">
        <v>1199</v>
      </c>
      <c r="H37" s="38" t="s">
        <v>242</v>
      </c>
      <c r="I37" s="38" t="s">
        <v>356</v>
      </c>
      <c r="J37" s="38" t="s">
        <v>2679</v>
      </c>
    </row>
    <row r="38" spans="1:10" ht="28.8" x14ac:dyDescent="0.3">
      <c r="A38" s="37" t="s">
        <v>1205</v>
      </c>
      <c r="B38" s="37" t="s">
        <v>1203</v>
      </c>
      <c r="C38" s="37" t="s">
        <v>267</v>
      </c>
      <c r="D38" s="37" t="s">
        <v>245</v>
      </c>
      <c r="E38" s="37" t="s">
        <v>243</v>
      </c>
      <c r="F38" s="37"/>
      <c r="G38" s="37" t="s">
        <v>1203</v>
      </c>
      <c r="H38" s="37" t="s">
        <v>268</v>
      </c>
      <c r="I38" s="37" t="s">
        <v>277</v>
      </c>
      <c r="J38" s="37" t="s">
        <v>2679</v>
      </c>
    </row>
    <row r="39" spans="1:10" ht="28.8" x14ac:dyDescent="0.3">
      <c r="A39" s="38" t="s">
        <v>1205</v>
      </c>
      <c r="B39" s="38" t="s">
        <v>1203</v>
      </c>
      <c r="C39" s="38" t="s">
        <v>243</v>
      </c>
      <c r="D39" s="38" t="s">
        <v>245</v>
      </c>
      <c r="E39" s="38" t="s">
        <v>243</v>
      </c>
      <c r="F39" s="38"/>
      <c r="G39" s="38" t="s">
        <v>1203</v>
      </c>
      <c r="H39" s="38" t="s">
        <v>242</v>
      </c>
      <c r="I39" s="38" t="s">
        <v>316</v>
      </c>
      <c r="J39" s="38" t="s">
        <v>2679</v>
      </c>
    </row>
    <row r="40" spans="1:10" ht="28.8" x14ac:dyDescent="0.3">
      <c r="A40" s="37" t="s">
        <v>1205</v>
      </c>
      <c r="B40" s="37" t="s">
        <v>1203</v>
      </c>
      <c r="C40" s="37" t="s">
        <v>346</v>
      </c>
      <c r="D40" s="37" t="s">
        <v>245</v>
      </c>
      <c r="E40" s="37" t="s">
        <v>243</v>
      </c>
      <c r="F40" s="37"/>
      <c r="G40" s="37" t="s">
        <v>1203</v>
      </c>
      <c r="H40" s="37" t="s">
        <v>242</v>
      </c>
      <c r="I40" s="37" t="s">
        <v>356</v>
      </c>
      <c r="J40" s="37" t="s">
        <v>2679</v>
      </c>
    </row>
    <row r="41" spans="1:10" ht="28.8" x14ac:dyDescent="0.3">
      <c r="A41" s="38" t="s">
        <v>1210</v>
      </c>
      <c r="B41" s="38" t="s">
        <v>1207</v>
      </c>
      <c r="C41" s="38" t="s">
        <v>267</v>
      </c>
      <c r="D41" s="38" t="s">
        <v>245</v>
      </c>
      <c r="E41" s="38" t="s">
        <v>243</v>
      </c>
      <c r="F41" s="38"/>
      <c r="G41" s="38" t="s">
        <v>1207</v>
      </c>
      <c r="H41" s="38" t="s">
        <v>268</v>
      </c>
      <c r="I41" s="38" t="s">
        <v>277</v>
      </c>
      <c r="J41" s="38" t="s">
        <v>2679</v>
      </c>
    </row>
    <row r="42" spans="1:10" ht="28.8" x14ac:dyDescent="0.3">
      <c r="A42" s="37" t="s">
        <v>1210</v>
      </c>
      <c r="B42" s="37" t="s">
        <v>1207</v>
      </c>
      <c r="C42" s="37" t="s">
        <v>243</v>
      </c>
      <c r="D42" s="37" t="s">
        <v>245</v>
      </c>
      <c r="E42" s="37" t="s">
        <v>243</v>
      </c>
      <c r="F42" s="37"/>
      <c r="G42" s="37" t="s">
        <v>1207</v>
      </c>
      <c r="H42" s="37" t="s">
        <v>242</v>
      </c>
      <c r="I42" s="37" t="s">
        <v>316</v>
      </c>
      <c r="J42" s="37" t="s">
        <v>2679</v>
      </c>
    </row>
    <row r="43" spans="1:10" ht="28.8" x14ac:dyDescent="0.3">
      <c r="A43" s="38" t="s">
        <v>1210</v>
      </c>
      <c r="B43" s="38" t="s">
        <v>1207</v>
      </c>
      <c r="C43" s="38" t="s">
        <v>346</v>
      </c>
      <c r="D43" s="38" t="s">
        <v>245</v>
      </c>
      <c r="E43" s="38" t="s">
        <v>243</v>
      </c>
      <c r="F43" s="38"/>
      <c r="G43" s="38" t="s">
        <v>1207</v>
      </c>
      <c r="H43" s="38" t="s">
        <v>242</v>
      </c>
      <c r="I43" s="38" t="s">
        <v>356</v>
      </c>
      <c r="J43" s="38" t="s">
        <v>2679</v>
      </c>
    </row>
    <row r="44" spans="1:10" ht="28.8" x14ac:dyDescent="0.3">
      <c r="A44" s="37" t="s">
        <v>1215</v>
      </c>
      <c r="B44" s="37" t="s">
        <v>1212</v>
      </c>
      <c r="C44" s="37" t="s">
        <v>267</v>
      </c>
      <c r="D44" s="37" t="s">
        <v>245</v>
      </c>
      <c r="E44" s="37" t="s">
        <v>243</v>
      </c>
      <c r="F44" s="37"/>
      <c r="G44" s="37" t="s">
        <v>1212</v>
      </c>
      <c r="H44" s="37" t="s">
        <v>322</v>
      </c>
      <c r="I44" s="37" t="s">
        <v>277</v>
      </c>
      <c r="J44" s="37" t="s">
        <v>2679</v>
      </c>
    </row>
    <row r="45" spans="1:10" ht="28.8" x14ac:dyDescent="0.3">
      <c r="A45" s="38" t="s">
        <v>1215</v>
      </c>
      <c r="B45" s="38" t="s">
        <v>1212</v>
      </c>
      <c r="C45" s="38" t="s">
        <v>243</v>
      </c>
      <c r="D45" s="38" t="s">
        <v>245</v>
      </c>
      <c r="E45" s="38" t="s">
        <v>243</v>
      </c>
      <c r="F45" s="38"/>
      <c r="G45" s="38" t="s">
        <v>1212</v>
      </c>
      <c r="H45" s="38" t="s">
        <v>322</v>
      </c>
      <c r="I45" s="38" t="s">
        <v>316</v>
      </c>
      <c r="J45" s="38" t="s">
        <v>2679</v>
      </c>
    </row>
    <row r="46" spans="1:10" ht="28.8" x14ac:dyDescent="0.3">
      <c r="A46" s="37" t="s">
        <v>1215</v>
      </c>
      <c r="B46" s="37" t="s">
        <v>1212</v>
      </c>
      <c r="C46" s="37" t="s">
        <v>346</v>
      </c>
      <c r="D46" s="37" t="s">
        <v>245</v>
      </c>
      <c r="E46" s="37" t="s">
        <v>243</v>
      </c>
      <c r="F46" s="37"/>
      <c r="G46" s="37" t="s">
        <v>1212</v>
      </c>
      <c r="H46" s="37" t="s">
        <v>322</v>
      </c>
      <c r="I46" s="37" t="s">
        <v>356</v>
      </c>
      <c r="J46" s="37" t="s">
        <v>2679</v>
      </c>
    </row>
    <row r="47" spans="1:10" ht="28.8" x14ac:dyDescent="0.3">
      <c r="A47" s="38" t="s">
        <v>1220</v>
      </c>
      <c r="B47" s="38" t="s">
        <v>1218</v>
      </c>
      <c r="C47" s="38" t="s">
        <v>267</v>
      </c>
      <c r="D47" s="38" t="s">
        <v>245</v>
      </c>
      <c r="E47" s="38" t="s">
        <v>284</v>
      </c>
      <c r="F47" s="38"/>
      <c r="G47" s="38" t="s">
        <v>1218</v>
      </c>
      <c r="H47" s="38" t="s">
        <v>268</v>
      </c>
      <c r="I47" s="38" t="s">
        <v>277</v>
      </c>
      <c r="J47" s="38" t="s">
        <v>2679</v>
      </c>
    </row>
    <row r="48" spans="1:10" ht="28.8" x14ac:dyDescent="0.3">
      <c r="A48" s="37" t="s">
        <v>1220</v>
      </c>
      <c r="B48" s="37" t="s">
        <v>1218</v>
      </c>
      <c r="C48" s="37" t="s">
        <v>243</v>
      </c>
      <c r="D48" s="37" t="s">
        <v>245</v>
      </c>
      <c r="E48" s="37" t="s">
        <v>284</v>
      </c>
      <c r="F48" s="37"/>
      <c r="G48" s="37" t="s">
        <v>1218</v>
      </c>
      <c r="H48" s="37" t="s">
        <v>242</v>
      </c>
      <c r="I48" s="37" t="s">
        <v>316</v>
      </c>
      <c r="J48" s="37" t="s">
        <v>2679</v>
      </c>
    </row>
    <row r="49" spans="1:10" ht="28.8" x14ac:dyDescent="0.3">
      <c r="A49" s="38" t="s">
        <v>1220</v>
      </c>
      <c r="B49" s="38" t="s">
        <v>1218</v>
      </c>
      <c r="C49" s="38" t="s">
        <v>346</v>
      </c>
      <c r="D49" s="38" t="s">
        <v>245</v>
      </c>
      <c r="E49" s="38" t="s">
        <v>284</v>
      </c>
      <c r="F49" s="38"/>
      <c r="G49" s="38" t="s">
        <v>1218</v>
      </c>
      <c r="H49" s="38" t="s">
        <v>242</v>
      </c>
      <c r="I49" s="38" t="s">
        <v>356</v>
      </c>
      <c r="J49" s="38" t="s">
        <v>2679</v>
      </c>
    </row>
    <row r="50" spans="1:10" ht="28.8" x14ac:dyDescent="0.3">
      <c r="A50" s="37" t="s">
        <v>1224</v>
      </c>
      <c r="B50" s="37" t="s">
        <v>1222</v>
      </c>
      <c r="C50" s="37" t="s">
        <v>267</v>
      </c>
      <c r="D50" s="37" t="s">
        <v>245</v>
      </c>
      <c r="E50" s="37" t="s">
        <v>243</v>
      </c>
      <c r="F50" s="37"/>
      <c r="G50" s="37" t="s">
        <v>1222</v>
      </c>
      <c r="H50" s="37" t="s">
        <v>268</v>
      </c>
      <c r="I50" s="37" t="s">
        <v>277</v>
      </c>
      <c r="J50" s="37" t="s">
        <v>2679</v>
      </c>
    </row>
    <row r="51" spans="1:10" ht="28.8" x14ac:dyDescent="0.3">
      <c r="A51" s="38" t="s">
        <v>1224</v>
      </c>
      <c r="B51" s="38" t="s">
        <v>1222</v>
      </c>
      <c r="C51" s="38" t="s">
        <v>243</v>
      </c>
      <c r="D51" s="38" t="s">
        <v>245</v>
      </c>
      <c r="E51" s="38" t="s">
        <v>243</v>
      </c>
      <c r="F51" s="38"/>
      <c r="G51" s="38" t="s">
        <v>1222</v>
      </c>
      <c r="H51" s="38" t="s">
        <v>242</v>
      </c>
      <c r="I51" s="38" t="s">
        <v>316</v>
      </c>
      <c r="J51" s="38" t="s">
        <v>2679</v>
      </c>
    </row>
    <row r="52" spans="1:10" ht="28.8" x14ac:dyDescent="0.3">
      <c r="A52" s="37" t="s">
        <v>1224</v>
      </c>
      <c r="B52" s="37" t="s">
        <v>1222</v>
      </c>
      <c r="C52" s="37" t="s">
        <v>346</v>
      </c>
      <c r="D52" s="37" t="s">
        <v>245</v>
      </c>
      <c r="E52" s="37" t="s">
        <v>243</v>
      </c>
      <c r="F52" s="37"/>
      <c r="G52" s="37" t="s">
        <v>1222</v>
      </c>
      <c r="H52" s="37" t="s">
        <v>242</v>
      </c>
      <c r="I52" s="37" t="s">
        <v>356</v>
      </c>
      <c r="J52" s="37" t="s">
        <v>2679</v>
      </c>
    </row>
    <row r="53" spans="1:10" ht="28.8" x14ac:dyDescent="0.3">
      <c r="A53" s="38" t="s">
        <v>1230</v>
      </c>
      <c r="B53" s="38" t="s">
        <v>1226</v>
      </c>
      <c r="C53" s="38" t="s">
        <v>267</v>
      </c>
      <c r="D53" s="38" t="s">
        <v>245</v>
      </c>
      <c r="E53" s="38" t="s">
        <v>243</v>
      </c>
      <c r="F53" s="38"/>
      <c r="G53" s="38" t="s">
        <v>1226</v>
      </c>
      <c r="H53" s="38" t="s">
        <v>268</v>
      </c>
      <c r="I53" s="38" t="s">
        <v>277</v>
      </c>
      <c r="J53" s="38" t="s">
        <v>2679</v>
      </c>
    </row>
    <row r="54" spans="1:10" ht="28.8" x14ac:dyDescent="0.3">
      <c r="A54" s="37" t="s">
        <v>1230</v>
      </c>
      <c r="B54" s="37" t="s">
        <v>1226</v>
      </c>
      <c r="C54" s="37" t="s">
        <v>243</v>
      </c>
      <c r="D54" s="37" t="s">
        <v>245</v>
      </c>
      <c r="E54" s="37" t="s">
        <v>243</v>
      </c>
      <c r="F54" s="37"/>
      <c r="G54" s="37" t="s">
        <v>1226</v>
      </c>
      <c r="H54" s="37" t="s">
        <v>268</v>
      </c>
      <c r="I54" s="37" t="s">
        <v>316</v>
      </c>
      <c r="J54" s="37" t="s">
        <v>2679</v>
      </c>
    </row>
    <row r="55" spans="1:10" ht="28.8" x14ac:dyDescent="0.3">
      <c r="A55" s="38" t="s">
        <v>1230</v>
      </c>
      <c r="B55" s="38" t="s">
        <v>1226</v>
      </c>
      <c r="C55" s="38" t="s">
        <v>346</v>
      </c>
      <c r="D55" s="38" t="s">
        <v>245</v>
      </c>
      <c r="E55" s="38" t="s">
        <v>243</v>
      </c>
      <c r="F55" s="38"/>
      <c r="G55" s="38" t="s">
        <v>1226</v>
      </c>
      <c r="H55" s="38" t="s">
        <v>268</v>
      </c>
      <c r="I55" s="38" t="s">
        <v>356</v>
      </c>
      <c r="J55" s="38" t="s">
        <v>2679</v>
      </c>
    </row>
    <row r="56" spans="1:10" ht="28.8" x14ac:dyDescent="0.3">
      <c r="A56" s="37" t="s">
        <v>1237</v>
      </c>
      <c r="B56" s="37" t="s">
        <v>1233</v>
      </c>
      <c r="C56" s="37" t="s">
        <v>267</v>
      </c>
      <c r="D56" s="37" t="s">
        <v>245</v>
      </c>
      <c r="E56" s="37" t="s">
        <v>243</v>
      </c>
      <c r="F56" s="37"/>
      <c r="G56" s="37" t="s">
        <v>1233</v>
      </c>
      <c r="H56" s="37" t="s">
        <v>268</v>
      </c>
      <c r="I56" s="37" t="s">
        <v>277</v>
      </c>
      <c r="J56" s="37" t="s">
        <v>2679</v>
      </c>
    </row>
    <row r="57" spans="1:10" ht="28.8" x14ac:dyDescent="0.3">
      <c r="A57" s="38" t="s">
        <v>1237</v>
      </c>
      <c r="B57" s="38" t="s">
        <v>1233</v>
      </c>
      <c r="C57" s="38" t="s">
        <v>243</v>
      </c>
      <c r="D57" s="38" t="s">
        <v>245</v>
      </c>
      <c r="E57" s="38" t="s">
        <v>243</v>
      </c>
      <c r="F57" s="38"/>
      <c r="G57" s="38" t="s">
        <v>1233</v>
      </c>
      <c r="H57" s="38" t="s">
        <v>268</v>
      </c>
      <c r="I57" s="38" t="s">
        <v>316</v>
      </c>
      <c r="J57" s="38" t="s">
        <v>2679</v>
      </c>
    </row>
    <row r="58" spans="1:10" ht="28.8" x14ac:dyDescent="0.3">
      <c r="A58" s="37" t="s">
        <v>1237</v>
      </c>
      <c r="B58" s="37" t="s">
        <v>1233</v>
      </c>
      <c r="C58" s="37" t="s">
        <v>346</v>
      </c>
      <c r="D58" s="37" t="s">
        <v>245</v>
      </c>
      <c r="E58" s="37" t="s">
        <v>243</v>
      </c>
      <c r="F58" s="37"/>
      <c r="G58" s="37" t="s">
        <v>1233</v>
      </c>
      <c r="H58" s="37" t="s">
        <v>268</v>
      </c>
      <c r="I58" s="37" t="s">
        <v>356</v>
      </c>
      <c r="J58" s="37" t="s">
        <v>2679</v>
      </c>
    </row>
    <row r="59" spans="1:10" ht="28.8" x14ac:dyDescent="0.3">
      <c r="A59" s="38" t="s">
        <v>1241</v>
      </c>
      <c r="B59" s="38" t="s">
        <v>1239</v>
      </c>
      <c r="C59" s="38" t="s">
        <v>267</v>
      </c>
      <c r="D59" s="38" t="s">
        <v>245</v>
      </c>
      <c r="E59" s="38" t="s">
        <v>243</v>
      </c>
      <c r="F59" s="38"/>
      <c r="G59" s="38" t="s">
        <v>1239</v>
      </c>
      <c r="H59" s="38" t="s">
        <v>268</v>
      </c>
      <c r="I59" s="38" t="s">
        <v>277</v>
      </c>
      <c r="J59" s="38" t="s">
        <v>2679</v>
      </c>
    </row>
    <row r="60" spans="1:10" ht="28.8" x14ac:dyDescent="0.3">
      <c r="A60" s="37" t="s">
        <v>1241</v>
      </c>
      <c r="B60" s="37" t="s">
        <v>1239</v>
      </c>
      <c r="C60" s="37" t="s">
        <v>243</v>
      </c>
      <c r="D60" s="37" t="s">
        <v>245</v>
      </c>
      <c r="E60" s="37" t="s">
        <v>243</v>
      </c>
      <c r="F60" s="37"/>
      <c r="G60" s="37" t="s">
        <v>1239</v>
      </c>
      <c r="H60" s="37" t="s">
        <v>268</v>
      </c>
      <c r="I60" s="37" t="s">
        <v>316</v>
      </c>
      <c r="J60" s="37" t="s">
        <v>2679</v>
      </c>
    </row>
    <row r="61" spans="1:10" ht="28.8" x14ac:dyDescent="0.3">
      <c r="A61" s="38" t="s">
        <v>1241</v>
      </c>
      <c r="B61" s="38" t="s">
        <v>1239</v>
      </c>
      <c r="C61" s="38" t="s">
        <v>346</v>
      </c>
      <c r="D61" s="38" t="s">
        <v>245</v>
      </c>
      <c r="E61" s="38" t="s">
        <v>243</v>
      </c>
      <c r="F61" s="38"/>
      <c r="G61" s="38" t="s">
        <v>1239</v>
      </c>
      <c r="H61" s="38" t="s">
        <v>268</v>
      </c>
      <c r="I61" s="38" t="s">
        <v>356</v>
      </c>
      <c r="J61" s="38" t="s">
        <v>2679</v>
      </c>
    </row>
    <row r="62" spans="1:10" ht="28.8" x14ac:dyDescent="0.3">
      <c r="A62" s="37" t="s">
        <v>1245</v>
      </c>
      <c r="B62" s="37" t="s">
        <v>1243</v>
      </c>
      <c r="C62" s="37" t="s">
        <v>267</v>
      </c>
      <c r="D62" s="37" t="s">
        <v>245</v>
      </c>
      <c r="E62" s="37" t="s">
        <v>284</v>
      </c>
      <c r="F62" s="37"/>
      <c r="G62" s="37" t="s">
        <v>1243</v>
      </c>
      <c r="H62" s="37" t="s">
        <v>268</v>
      </c>
      <c r="I62" s="37" t="s">
        <v>277</v>
      </c>
      <c r="J62" s="37" t="s">
        <v>2679</v>
      </c>
    </row>
    <row r="63" spans="1:10" ht="28.8" x14ac:dyDescent="0.3">
      <c r="A63" s="38" t="s">
        <v>1245</v>
      </c>
      <c r="B63" s="38" t="s">
        <v>1243</v>
      </c>
      <c r="C63" s="38" t="s">
        <v>243</v>
      </c>
      <c r="D63" s="38" t="s">
        <v>245</v>
      </c>
      <c r="E63" s="38" t="s">
        <v>284</v>
      </c>
      <c r="F63" s="38"/>
      <c r="G63" s="38" t="s">
        <v>1243</v>
      </c>
      <c r="H63" s="38" t="s">
        <v>242</v>
      </c>
      <c r="I63" s="38" t="s">
        <v>316</v>
      </c>
      <c r="J63" s="38" t="s">
        <v>2679</v>
      </c>
    </row>
    <row r="64" spans="1:10" ht="28.8" x14ac:dyDescent="0.3">
      <c r="A64" s="37" t="s">
        <v>1245</v>
      </c>
      <c r="B64" s="37" t="s">
        <v>1243</v>
      </c>
      <c r="C64" s="37" t="s">
        <v>346</v>
      </c>
      <c r="D64" s="37" t="s">
        <v>245</v>
      </c>
      <c r="E64" s="37" t="s">
        <v>284</v>
      </c>
      <c r="F64" s="37"/>
      <c r="G64" s="37" t="s">
        <v>1243</v>
      </c>
      <c r="H64" s="37" t="s">
        <v>242</v>
      </c>
      <c r="I64" s="37" t="s">
        <v>356</v>
      </c>
      <c r="J64" s="37" t="s">
        <v>2679</v>
      </c>
    </row>
    <row r="65" spans="1:10" ht="28.8" x14ac:dyDescent="0.3">
      <c r="A65" s="38" t="s">
        <v>1248</v>
      </c>
      <c r="B65" s="38" t="s">
        <v>1247</v>
      </c>
      <c r="C65" s="38" t="s">
        <v>267</v>
      </c>
      <c r="D65" s="38" t="s">
        <v>245</v>
      </c>
      <c r="E65" s="38" t="s">
        <v>243</v>
      </c>
      <c r="F65" s="38"/>
      <c r="G65" s="38" t="s">
        <v>1247</v>
      </c>
      <c r="H65" s="38" t="s">
        <v>268</v>
      </c>
      <c r="I65" s="38" t="s">
        <v>277</v>
      </c>
      <c r="J65" s="38" t="s">
        <v>2679</v>
      </c>
    </row>
    <row r="66" spans="1:10" ht="28.8" x14ac:dyDescent="0.3">
      <c r="A66" s="37" t="s">
        <v>1248</v>
      </c>
      <c r="B66" s="37" t="s">
        <v>1247</v>
      </c>
      <c r="C66" s="37" t="s">
        <v>243</v>
      </c>
      <c r="D66" s="37" t="s">
        <v>245</v>
      </c>
      <c r="E66" s="37" t="s">
        <v>243</v>
      </c>
      <c r="F66" s="37"/>
      <c r="G66" s="37" t="s">
        <v>1247</v>
      </c>
      <c r="H66" s="37" t="s">
        <v>242</v>
      </c>
      <c r="I66" s="37" t="s">
        <v>316</v>
      </c>
      <c r="J66" s="37" t="s">
        <v>2679</v>
      </c>
    </row>
    <row r="67" spans="1:10" ht="28.8" x14ac:dyDescent="0.3">
      <c r="A67" s="38" t="s">
        <v>1248</v>
      </c>
      <c r="B67" s="38" t="s">
        <v>1247</v>
      </c>
      <c r="C67" s="38" t="s">
        <v>346</v>
      </c>
      <c r="D67" s="38" t="s">
        <v>245</v>
      </c>
      <c r="E67" s="38" t="s">
        <v>243</v>
      </c>
      <c r="F67" s="38"/>
      <c r="G67" s="38" t="s">
        <v>1247</v>
      </c>
      <c r="H67" s="38" t="s">
        <v>242</v>
      </c>
      <c r="I67" s="38" t="s">
        <v>356</v>
      </c>
      <c r="J67" s="38" t="s">
        <v>2679</v>
      </c>
    </row>
    <row r="68" spans="1:10" ht="28.8" x14ac:dyDescent="0.3">
      <c r="A68" s="37" t="s">
        <v>1253</v>
      </c>
      <c r="B68" s="37" t="s">
        <v>1250</v>
      </c>
      <c r="C68" s="37" t="s">
        <v>267</v>
      </c>
      <c r="D68" s="37" t="s">
        <v>245</v>
      </c>
      <c r="E68" s="37" t="s">
        <v>243</v>
      </c>
      <c r="F68" s="37"/>
      <c r="G68" s="37" t="s">
        <v>1250</v>
      </c>
      <c r="H68" s="37" t="s">
        <v>268</v>
      </c>
      <c r="I68" s="37" t="s">
        <v>277</v>
      </c>
      <c r="J68" s="37" t="s">
        <v>2679</v>
      </c>
    </row>
    <row r="69" spans="1:10" ht="28.8" x14ac:dyDescent="0.3">
      <c r="A69" s="38" t="s">
        <v>1253</v>
      </c>
      <c r="B69" s="38" t="s">
        <v>1250</v>
      </c>
      <c r="C69" s="38" t="s">
        <v>243</v>
      </c>
      <c r="D69" s="38" t="s">
        <v>245</v>
      </c>
      <c r="E69" s="38" t="s">
        <v>243</v>
      </c>
      <c r="F69" s="38"/>
      <c r="G69" s="38" t="s">
        <v>1250</v>
      </c>
      <c r="H69" s="38" t="s">
        <v>242</v>
      </c>
      <c r="I69" s="38" t="s">
        <v>316</v>
      </c>
      <c r="J69" s="38" t="s">
        <v>2679</v>
      </c>
    </row>
    <row r="70" spans="1:10" ht="28.8" x14ac:dyDescent="0.3">
      <c r="A70" s="37" t="s">
        <v>1253</v>
      </c>
      <c r="B70" s="37" t="s">
        <v>1250</v>
      </c>
      <c r="C70" s="37" t="s">
        <v>346</v>
      </c>
      <c r="D70" s="37" t="s">
        <v>245</v>
      </c>
      <c r="E70" s="37" t="s">
        <v>243</v>
      </c>
      <c r="F70" s="37"/>
      <c r="G70" s="37" t="s">
        <v>1250</v>
      </c>
      <c r="H70" s="37" t="s">
        <v>242</v>
      </c>
      <c r="I70" s="37" t="s">
        <v>356</v>
      </c>
      <c r="J70" s="37" t="s">
        <v>2679</v>
      </c>
    </row>
    <row r="71" spans="1:10" ht="28.8" x14ac:dyDescent="0.3">
      <c r="A71" s="38" t="s">
        <v>1258</v>
      </c>
      <c r="B71" s="38" t="s">
        <v>1256</v>
      </c>
      <c r="C71" s="38" t="s">
        <v>267</v>
      </c>
      <c r="D71" s="38" t="s">
        <v>245</v>
      </c>
      <c r="E71" s="38" t="s">
        <v>243</v>
      </c>
      <c r="F71" s="38"/>
      <c r="G71" s="38" t="s">
        <v>1256</v>
      </c>
      <c r="H71" s="38" t="s">
        <v>268</v>
      </c>
      <c r="I71" s="38" t="s">
        <v>277</v>
      </c>
      <c r="J71" s="38" t="s">
        <v>2679</v>
      </c>
    </row>
    <row r="72" spans="1:10" ht="28.8" x14ac:dyDescent="0.3">
      <c r="A72" s="37" t="s">
        <v>1258</v>
      </c>
      <c r="B72" s="37" t="s">
        <v>1256</v>
      </c>
      <c r="C72" s="37" t="s">
        <v>243</v>
      </c>
      <c r="D72" s="37" t="s">
        <v>245</v>
      </c>
      <c r="E72" s="37" t="s">
        <v>243</v>
      </c>
      <c r="F72" s="37"/>
      <c r="G72" s="37" t="s">
        <v>1256</v>
      </c>
      <c r="H72" s="37" t="s">
        <v>242</v>
      </c>
      <c r="I72" s="37" t="s">
        <v>316</v>
      </c>
      <c r="J72" s="37" t="s">
        <v>2679</v>
      </c>
    </row>
    <row r="73" spans="1:10" ht="28.8" x14ac:dyDescent="0.3">
      <c r="A73" s="38" t="s">
        <v>1258</v>
      </c>
      <c r="B73" s="38" t="s">
        <v>1256</v>
      </c>
      <c r="C73" s="38" t="s">
        <v>346</v>
      </c>
      <c r="D73" s="38" t="s">
        <v>245</v>
      </c>
      <c r="E73" s="38" t="s">
        <v>243</v>
      </c>
      <c r="F73" s="38"/>
      <c r="G73" s="38" t="s">
        <v>1256</v>
      </c>
      <c r="H73" s="38" t="s">
        <v>242</v>
      </c>
      <c r="I73" s="38" t="s">
        <v>356</v>
      </c>
      <c r="J73" s="38" t="s">
        <v>2679</v>
      </c>
    </row>
    <row r="74" spans="1:10" ht="28.8" x14ac:dyDescent="0.3">
      <c r="A74" s="37" t="s">
        <v>1263</v>
      </c>
      <c r="B74" s="37" t="s">
        <v>1260</v>
      </c>
      <c r="C74" s="37" t="s">
        <v>267</v>
      </c>
      <c r="D74" s="37" t="s">
        <v>245</v>
      </c>
      <c r="E74" s="37" t="s">
        <v>243</v>
      </c>
      <c r="F74" s="37"/>
      <c r="G74" s="37" t="s">
        <v>1260</v>
      </c>
      <c r="H74" s="37" t="s">
        <v>268</v>
      </c>
      <c r="I74" s="37" t="s">
        <v>277</v>
      </c>
      <c r="J74" s="37" t="s">
        <v>2679</v>
      </c>
    </row>
    <row r="75" spans="1:10" ht="28.8" x14ac:dyDescent="0.3">
      <c r="A75" s="38" t="s">
        <v>1263</v>
      </c>
      <c r="B75" s="38" t="s">
        <v>1260</v>
      </c>
      <c r="C75" s="38" t="s">
        <v>243</v>
      </c>
      <c r="D75" s="38" t="s">
        <v>245</v>
      </c>
      <c r="E75" s="38" t="s">
        <v>243</v>
      </c>
      <c r="F75" s="38"/>
      <c r="G75" s="38" t="s">
        <v>1260</v>
      </c>
      <c r="H75" s="38" t="s">
        <v>242</v>
      </c>
      <c r="I75" s="38" t="s">
        <v>316</v>
      </c>
      <c r="J75" s="38" t="s">
        <v>2679</v>
      </c>
    </row>
    <row r="76" spans="1:10" ht="28.8" x14ac:dyDescent="0.3">
      <c r="A76" s="37" t="s">
        <v>1263</v>
      </c>
      <c r="B76" s="37" t="s">
        <v>1260</v>
      </c>
      <c r="C76" s="37" t="s">
        <v>346</v>
      </c>
      <c r="D76" s="37" t="s">
        <v>245</v>
      </c>
      <c r="E76" s="37" t="s">
        <v>243</v>
      </c>
      <c r="F76" s="37"/>
      <c r="G76" s="37" t="s">
        <v>1260</v>
      </c>
      <c r="H76" s="37" t="s">
        <v>242</v>
      </c>
      <c r="I76" s="37" t="s">
        <v>356</v>
      </c>
      <c r="J76" s="37" t="s">
        <v>2679</v>
      </c>
    </row>
    <row r="77" spans="1:10" ht="28.8" x14ac:dyDescent="0.3">
      <c r="A77" s="38" t="s">
        <v>1269</v>
      </c>
      <c r="B77" s="38" t="s">
        <v>1266</v>
      </c>
      <c r="C77" s="38" t="s">
        <v>267</v>
      </c>
      <c r="D77" s="38" t="s">
        <v>245</v>
      </c>
      <c r="E77" s="38" t="s">
        <v>243</v>
      </c>
      <c r="F77" s="38"/>
      <c r="G77" s="38" t="s">
        <v>1266</v>
      </c>
      <c r="H77" s="38" t="s">
        <v>268</v>
      </c>
      <c r="I77" s="38" t="s">
        <v>277</v>
      </c>
      <c r="J77" s="38" t="s">
        <v>2679</v>
      </c>
    </row>
    <row r="78" spans="1:10" ht="28.8" x14ac:dyDescent="0.3">
      <c r="A78" s="37" t="s">
        <v>1269</v>
      </c>
      <c r="B78" s="37" t="s">
        <v>1266</v>
      </c>
      <c r="C78" s="37" t="s">
        <v>243</v>
      </c>
      <c r="D78" s="37" t="s">
        <v>245</v>
      </c>
      <c r="E78" s="37" t="s">
        <v>243</v>
      </c>
      <c r="F78" s="37"/>
      <c r="G78" s="37" t="s">
        <v>1266</v>
      </c>
      <c r="H78" s="37" t="s">
        <v>242</v>
      </c>
      <c r="I78" s="37" t="s">
        <v>316</v>
      </c>
      <c r="J78" s="37" t="s">
        <v>2679</v>
      </c>
    </row>
    <row r="79" spans="1:10" ht="28.8" x14ac:dyDescent="0.3">
      <c r="A79" s="38" t="s">
        <v>1269</v>
      </c>
      <c r="B79" s="38" t="s">
        <v>1266</v>
      </c>
      <c r="C79" s="38" t="s">
        <v>346</v>
      </c>
      <c r="D79" s="38" t="s">
        <v>245</v>
      </c>
      <c r="E79" s="38" t="s">
        <v>243</v>
      </c>
      <c r="F79" s="38"/>
      <c r="G79" s="38" t="s">
        <v>1266</v>
      </c>
      <c r="H79" s="38" t="s">
        <v>242</v>
      </c>
      <c r="I79" s="38" t="s">
        <v>356</v>
      </c>
      <c r="J79" s="38" t="s">
        <v>2679</v>
      </c>
    </row>
    <row r="80" spans="1:10" ht="28.8" x14ac:dyDescent="0.3">
      <c r="A80" s="37" t="s">
        <v>1275</v>
      </c>
      <c r="B80" s="37" t="s">
        <v>1272</v>
      </c>
      <c r="C80" s="37" t="s">
        <v>267</v>
      </c>
      <c r="D80" s="37" t="s">
        <v>245</v>
      </c>
      <c r="E80" s="37" t="s">
        <v>243</v>
      </c>
      <c r="F80" s="37"/>
      <c r="G80" s="37" t="s">
        <v>1272</v>
      </c>
      <c r="H80" s="37" t="s">
        <v>268</v>
      </c>
      <c r="I80" s="37" t="s">
        <v>277</v>
      </c>
      <c r="J80" s="37" t="s">
        <v>2679</v>
      </c>
    </row>
    <row r="81" spans="1:10" ht="28.8" x14ac:dyDescent="0.3">
      <c r="A81" s="38" t="s">
        <v>1275</v>
      </c>
      <c r="B81" s="38" t="s">
        <v>1272</v>
      </c>
      <c r="C81" s="38" t="s">
        <v>243</v>
      </c>
      <c r="D81" s="38" t="s">
        <v>245</v>
      </c>
      <c r="E81" s="38" t="s">
        <v>243</v>
      </c>
      <c r="F81" s="38"/>
      <c r="G81" s="38" t="s">
        <v>1272</v>
      </c>
      <c r="H81" s="38" t="s">
        <v>242</v>
      </c>
      <c r="I81" s="38" t="s">
        <v>316</v>
      </c>
      <c r="J81" s="38" t="s">
        <v>2679</v>
      </c>
    </row>
    <row r="82" spans="1:10" ht="28.8" x14ac:dyDescent="0.3">
      <c r="A82" s="37" t="s">
        <v>1275</v>
      </c>
      <c r="B82" s="37" t="s">
        <v>1272</v>
      </c>
      <c r="C82" s="37" t="s">
        <v>346</v>
      </c>
      <c r="D82" s="37" t="s">
        <v>245</v>
      </c>
      <c r="E82" s="37" t="s">
        <v>243</v>
      </c>
      <c r="F82" s="37"/>
      <c r="G82" s="37" t="s">
        <v>1272</v>
      </c>
      <c r="H82" s="37" t="s">
        <v>242</v>
      </c>
      <c r="I82" s="37" t="s">
        <v>356</v>
      </c>
      <c r="J82" s="37" t="s">
        <v>2679</v>
      </c>
    </row>
    <row r="83" spans="1:10" ht="28.8" x14ac:dyDescent="0.3">
      <c r="A83" s="38" t="s">
        <v>1349</v>
      </c>
      <c r="B83" s="38" t="s">
        <v>1347</v>
      </c>
      <c r="C83" s="38" t="s">
        <v>267</v>
      </c>
      <c r="D83" s="38" t="s">
        <v>245</v>
      </c>
      <c r="E83" s="38" t="s">
        <v>243</v>
      </c>
      <c r="F83" s="38"/>
      <c r="G83" s="38" t="s">
        <v>1347</v>
      </c>
      <c r="H83" s="38" t="s">
        <v>268</v>
      </c>
      <c r="I83" s="38" t="s">
        <v>277</v>
      </c>
      <c r="J83" s="38" t="s">
        <v>2679</v>
      </c>
    </row>
    <row r="84" spans="1:10" ht="28.8" x14ac:dyDescent="0.3">
      <c r="A84" s="37" t="s">
        <v>1349</v>
      </c>
      <c r="B84" s="37" t="s">
        <v>1347</v>
      </c>
      <c r="C84" s="37" t="s">
        <v>243</v>
      </c>
      <c r="D84" s="37" t="s">
        <v>245</v>
      </c>
      <c r="E84" s="37" t="s">
        <v>243</v>
      </c>
      <c r="F84" s="37"/>
      <c r="G84" s="37" t="s">
        <v>1347</v>
      </c>
      <c r="H84" s="37" t="s">
        <v>242</v>
      </c>
      <c r="I84" s="37" t="s">
        <v>316</v>
      </c>
      <c r="J84" s="37" t="s">
        <v>2679</v>
      </c>
    </row>
    <row r="85" spans="1:10" ht="28.8" x14ac:dyDescent="0.3">
      <c r="A85" s="38" t="s">
        <v>1349</v>
      </c>
      <c r="B85" s="38" t="s">
        <v>1347</v>
      </c>
      <c r="C85" s="38" t="s">
        <v>346</v>
      </c>
      <c r="D85" s="38" t="s">
        <v>245</v>
      </c>
      <c r="E85" s="38" t="s">
        <v>243</v>
      </c>
      <c r="F85" s="38"/>
      <c r="G85" s="38" t="s">
        <v>1347</v>
      </c>
      <c r="H85" s="38" t="s">
        <v>242</v>
      </c>
      <c r="I85" s="38" t="s">
        <v>356</v>
      </c>
      <c r="J85" s="38" t="s">
        <v>2679</v>
      </c>
    </row>
    <row r="86" spans="1:10" ht="28.8" x14ac:dyDescent="0.3">
      <c r="A86" s="37" t="s">
        <v>1358</v>
      </c>
      <c r="B86" s="37" t="s">
        <v>1356</v>
      </c>
      <c r="C86" s="37" t="s">
        <v>267</v>
      </c>
      <c r="D86" s="37" t="s">
        <v>245</v>
      </c>
      <c r="E86" s="37" t="s">
        <v>243</v>
      </c>
      <c r="F86" s="37"/>
      <c r="G86" s="37" t="s">
        <v>1356</v>
      </c>
      <c r="H86" s="37" t="s">
        <v>268</v>
      </c>
      <c r="I86" s="37" t="s">
        <v>277</v>
      </c>
      <c r="J86" s="37" t="s">
        <v>2679</v>
      </c>
    </row>
    <row r="87" spans="1:10" ht="28.8" x14ac:dyDescent="0.3">
      <c r="A87" s="38" t="s">
        <v>1358</v>
      </c>
      <c r="B87" s="38" t="s">
        <v>1356</v>
      </c>
      <c r="C87" s="38" t="s">
        <v>243</v>
      </c>
      <c r="D87" s="38" t="s">
        <v>245</v>
      </c>
      <c r="E87" s="38" t="s">
        <v>243</v>
      </c>
      <c r="F87" s="38"/>
      <c r="G87" s="38" t="s">
        <v>1356</v>
      </c>
      <c r="H87" s="38" t="s">
        <v>242</v>
      </c>
      <c r="I87" s="38" t="s">
        <v>316</v>
      </c>
      <c r="J87" s="38" t="s">
        <v>2679</v>
      </c>
    </row>
    <row r="88" spans="1:10" ht="28.8" x14ac:dyDescent="0.3">
      <c r="A88" s="37" t="s">
        <v>1358</v>
      </c>
      <c r="B88" s="37" t="s">
        <v>1356</v>
      </c>
      <c r="C88" s="37" t="s">
        <v>346</v>
      </c>
      <c r="D88" s="37" t="s">
        <v>245</v>
      </c>
      <c r="E88" s="37" t="s">
        <v>243</v>
      </c>
      <c r="F88" s="37"/>
      <c r="G88" s="37" t="s">
        <v>1356</v>
      </c>
      <c r="H88" s="37" t="s">
        <v>242</v>
      </c>
      <c r="I88" s="37" t="s">
        <v>356</v>
      </c>
      <c r="J88" s="37" t="s">
        <v>2679</v>
      </c>
    </row>
    <row r="89" spans="1:10" ht="28.8" x14ac:dyDescent="0.3">
      <c r="A89" s="38" t="s">
        <v>1361</v>
      </c>
      <c r="B89" s="38" t="s">
        <v>1360</v>
      </c>
      <c r="C89" s="38" t="s">
        <v>267</v>
      </c>
      <c r="D89" s="38" t="s">
        <v>245</v>
      </c>
      <c r="E89" s="38" t="s">
        <v>243</v>
      </c>
      <c r="F89" s="38"/>
      <c r="G89" s="38" t="s">
        <v>1360</v>
      </c>
      <c r="H89" s="38" t="s">
        <v>268</v>
      </c>
      <c r="I89" s="38" t="s">
        <v>277</v>
      </c>
      <c r="J89" s="38" t="s">
        <v>2679</v>
      </c>
    </row>
    <row r="90" spans="1:10" ht="28.8" x14ac:dyDescent="0.3">
      <c r="A90" s="37" t="s">
        <v>1361</v>
      </c>
      <c r="B90" s="37" t="s">
        <v>1360</v>
      </c>
      <c r="C90" s="37" t="s">
        <v>243</v>
      </c>
      <c r="D90" s="37" t="s">
        <v>245</v>
      </c>
      <c r="E90" s="37" t="s">
        <v>243</v>
      </c>
      <c r="F90" s="37"/>
      <c r="G90" s="37" t="s">
        <v>1360</v>
      </c>
      <c r="H90" s="37" t="s">
        <v>242</v>
      </c>
      <c r="I90" s="37" t="s">
        <v>316</v>
      </c>
      <c r="J90" s="37" t="s">
        <v>2679</v>
      </c>
    </row>
    <row r="91" spans="1:10" ht="28.8" x14ac:dyDescent="0.3">
      <c r="A91" s="38" t="s">
        <v>1361</v>
      </c>
      <c r="B91" s="38" t="s">
        <v>1360</v>
      </c>
      <c r="C91" s="38" t="s">
        <v>346</v>
      </c>
      <c r="D91" s="38" t="s">
        <v>245</v>
      </c>
      <c r="E91" s="38" t="s">
        <v>243</v>
      </c>
      <c r="F91" s="38"/>
      <c r="G91" s="38" t="s">
        <v>1360</v>
      </c>
      <c r="H91" s="38" t="s">
        <v>242</v>
      </c>
      <c r="I91" s="38" t="s">
        <v>356</v>
      </c>
      <c r="J91" s="38" t="s">
        <v>2679</v>
      </c>
    </row>
    <row r="92" spans="1:10" ht="28.8" x14ac:dyDescent="0.3">
      <c r="A92" s="37" t="s">
        <v>1364</v>
      </c>
      <c r="B92" s="37" t="s">
        <v>1363</v>
      </c>
      <c r="C92" s="37" t="s">
        <v>267</v>
      </c>
      <c r="D92" s="37" t="s">
        <v>245</v>
      </c>
      <c r="E92" s="37" t="s">
        <v>243</v>
      </c>
      <c r="F92" s="37"/>
      <c r="G92" s="37" t="s">
        <v>1363</v>
      </c>
      <c r="H92" s="37" t="s">
        <v>268</v>
      </c>
      <c r="I92" s="37" t="s">
        <v>277</v>
      </c>
      <c r="J92" s="37" t="s">
        <v>2679</v>
      </c>
    </row>
    <row r="93" spans="1:10" ht="28.8" x14ac:dyDescent="0.3">
      <c r="A93" s="38" t="s">
        <v>1364</v>
      </c>
      <c r="B93" s="38" t="s">
        <v>1363</v>
      </c>
      <c r="C93" s="38" t="s">
        <v>243</v>
      </c>
      <c r="D93" s="38" t="s">
        <v>245</v>
      </c>
      <c r="E93" s="38" t="s">
        <v>243</v>
      </c>
      <c r="F93" s="38"/>
      <c r="G93" s="38" t="s">
        <v>1363</v>
      </c>
      <c r="H93" s="38" t="s">
        <v>242</v>
      </c>
      <c r="I93" s="38" t="s">
        <v>316</v>
      </c>
      <c r="J93" s="38" t="s">
        <v>2679</v>
      </c>
    </row>
    <row r="94" spans="1:10" ht="28.8" x14ac:dyDescent="0.3">
      <c r="A94" s="37" t="s">
        <v>1364</v>
      </c>
      <c r="B94" s="37" t="s">
        <v>1363</v>
      </c>
      <c r="C94" s="37" t="s">
        <v>346</v>
      </c>
      <c r="D94" s="37" t="s">
        <v>245</v>
      </c>
      <c r="E94" s="37" t="s">
        <v>243</v>
      </c>
      <c r="F94" s="37"/>
      <c r="G94" s="37" t="s">
        <v>1363</v>
      </c>
      <c r="H94" s="37" t="s">
        <v>242</v>
      </c>
      <c r="I94" s="37" t="s">
        <v>356</v>
      </c>
      <c r="J94" s="37" t="s">
        <v>2679</v>
      </c>
    </row>
    <row r="95" spans="1:10" ht="28.8" x14ac:dyDescent="0.3">
      <c r="A95" s="38" t="s">
        <v>1370</v>
      </c>
      <c r="B95" s="38" t="s">
        <v>1366</v>
      </c>
      <c r="C95" s="38" t="s">
        <v>267</v>
      </c>
      <c r="D95" s="38" t="s">
        <v>245</v>
      </c>
      <c r="E95" s="38" t="s">
        <v>243</v>
      </c>
      <c r="F95" s="38"/>
      <c r="G95" s="38" t="s">
        <v>1366</v>
      </c>
      <c r="H95" s="38" t="s">
        <v>268</v>
      </c>
      <c r="I95" s="38" t="s">
        <v>277</v>
      </c>
      <c r="J95" s="38" t="s">
        <v>2679</v>
      </c>
    </row>
    <row r="96" spans="1:10" ht="28.8" x14ac:dyDescent="0.3">
      <c r="A96" s="37" t="s">
        <v>1370</v>
      </c>
      <c r="B96" s="37" t="s">
        <v>1366</v>
      </c>
      <c r="C96" s="37" t="s">
        <v>243</v>
      </c>
      <c r="D96" s="37" t="s">
        <v>245</v>
      </c>
      <c r="E96" s="37" t="s">
        <v>243</v>
      </c>
      <c r="F96" s="37"/>
      <c r="G96" s="37" t="s">
        <v>1366</v>
      </c>
      <c r="H96" s="37" t="s">
        <v>242</v>
      </c>
      <c r="I96" s="37" t="s">
        <v>316</v>
      </c>
      <c r="J96" s="37" t="s">
        <v>2679</v>
      </c>
    </row>
    <row r="97" spans="1:10" ht="28.8" x14ac:dyDescent="0.3">
      <c r="A97" s="38" t="s">
        <v>1370</v>
      </c>
      <c r="B97" s="38" t="s">
        <v>1366</v>
      </c>
      <c r="C97" s="38" t="s">
        <v>346</v>
      </c>
      <c r="D97" s="38" t="s">
        <v>245</v>
      </c>
      <c r="E97" s="38" t="s">
        <v>243</v>
      </c>
      <c r="F97" s="38"/>
      <c r="G97" s="38" t="s">
        <v>1366</v>
      </c>
      <c r="H97" s="38" t="s">
        <v>242</v>
      </c>
      <c r="I97" s="38" t="s">
        <v>356</v>
      </c>
      <c r="J97" s="38" t="s">
        <v>2679</v>
      </c>
    </row>
    <row r="98" spans="1:10" ht="28.8" x14ac:dyDescent="0.3">
      <c r="A98" s="37" t="s">
        <v>1432</v>
      </c>
      <c r="B98" s="37" t="s">
        <v>1430</v>
      </c>
      <c r="C98" s="37" t="s">
        <v>267</v>
      </c>
      <c r="D98" s="37" t="s">
        <v>245</v>
      </c>
      <c r="E98" s="37" t="s">
        <v>243</v>
      </c>
      <c r="F98" s="37"/>
      <c r="G98" s="37" t="s">
        <v>1430</v>
      </c>
      <c r="H98" s="37" t="s">
        <v>268</v>
      </c>
      <c r="I98" s="37" t="s">
        <v>277</v>
      </c>
      <c r="J98" s="37" t="s">
        <v>2679</v>
      </c>
    </row>
    <row r="99" spans="1:10" ht="28.8" x14ac:dyDescent="0.3">
      <c r="A99" s="38" t="s">
        <v>1432</v>
      </c>
      <c r="B99" s="38" t="s">
        <v>1430</v>
      </c>
      <c r="C99" s="38" t="s">
        <v>243</v>
      </c>
      <c r="D99" s="38" t="s">
        <v>245</v>
      </c>
      <c r="E99" s="38" t="s">
        <v>243</v>
      </c>
      <c r="F99" s="38"/>
      <c r="G99" s="38" t="s">
        <v>1430</v>
      </c>
      <c r="H99" s="38" t="s">
        <v>268</v>
      </c>
      <c r="I99" s="38" t="s">
        <v>316</v>
      </c>
      <c r="J99" s="38" t="s">
        <v>2679</v>
      </c>
    </row>
    <row r="100" spans="1:10" ht="28.8" x14ac:dyDescent="0.3">
      <c r="A100" s="37" t="s">
        <v>1432</v>
      </c>
      <c r="B100" s="37" t="s">
        <v>1430</v>
      </c>
      <c r="C100" s="37" t="s">
        <v>346</v>
      </c>
      <c r="D100" s="37" t="s">
        <v>245</v>
      </c>
      <c r="E100" s="37" t="s">
        <v>243</v>
      </c>
      <c r="F100" s="37"/>
      <c r="G100" s="37" t="s">
        <v>1430</v>
      </c>
      <c r="H100" s="37" t="s">
        <v>268</v>
      </c>
      <c r="I100" s="37" t="s">
        <v>356</v>
      </c>
      <c r="J100" s="37" t="s">
        <v>2679</v>
      </c>
    </row>
    <row r="101" spans="1:10" ht="28.8" x14ac:dyDescent="0.3">
      <c r="A101" s="38" t="s">
        <v>1437</v>
      </c>
      <c r="B101" s="38" t="s">
        <v>1434</v>
      </c>
      <c r="C101" s="38" t="s">
        <v>267</v>
      </c>
      <c r="D101" s="38" t="s">
        <v>245</v>
      </c>
      <c r="E101" s="38" t="s">
        <v>243</v>
      </c>
      <c r="F101" s="38"/>
      <c r="G101" s="38" t="s">
        <v>1434</v>
      </c>
      <c r="H101" s="38" t="s">
        <v>268</v>
      </c>
      <c r="I101" s="38" t="s">
        <v>277</v>
      </c>
      <c r="J101" s="38" t="s">
        <v>2679</v>
      </c>
    </row>
    <row r="102" spans="1:10" ht="28.8" x14ac:dyDescent="0.3">
      <c r="A102" s="37" t="s">
        <v>1437</v>
      </c>
      <c r="B102" s="37" t="s">
        <v>1434</v>
      </c>
      <c r="C102" s="37" t="s">
        <v>243</v>
      </c>
      <c r="D102" s="37" t="s">
        <v>245</v>
      </c>
      <c r="E102" s="37" t="s">
        <v>243</v>
      </c>
      <c r="F102" s="37"/>
      <c r="G102" s="37" t="s">
        <v>1434</v>
      </c>
      <c r="H102" s="37" t="s">
        <v>268</v>
      </c>
      <c r="I102" s="37" t="s">
        <v>316</v>
      </c>
      <c r="J102" s="37" t="s">
        <v>2679</v>
      </c>
    </row>
    <row r="103" spans="1:10" ht="28.8" x14ac:dyDescent="0.3">
      <c r="A103" s="38" t="s">
        <v>1437</v>
      </c>
      <c r="B103" s="38" t="s">
        <v>1434</v>
      </c>
      <c r="C103" s="38" t="s">
        <v>346</v>
      </c>
      <c r="D103" s="38" t="s">
        <v>245</v>
      </c>
      <c r="E103" s="38" t="s">
        <v>243</v>
      </c>
      <c r="F103" s="38"/>
      <c r="G103" s="38" t="s">
        <v>1434</v>
      </c>
      <c r="H103" s="38" t="s">
        <v>268</v>
      </c>
      <c r="I103" s="38" t="s">
        <v>356</v>
      </c>
      <c r="J103" s="38" t="s">
        <v>2679</v>
      </c>
    </row>
    <row r="104" spans="1:10" ht="28.8" x14ac:dyDescent="0.3">
      <c r="A104" s="37" t="s">
        <v>1447</v>
      </c>
      <c r="B104" s="37" t="s">
        <v>1445</v>
      </c>
      <c r="C104" s="37" t="s">
        <v>267</v>
      </c>
      <c r="D104" s="37" t="s">
        <v>245</v>
      </c>
      <c r="E104" s="37" t="s">
        <v>243</v>
      </c>
      <c r="F104" s="37"/>
      <c r="G104" s="37" t="s">
        <v>1445</v>
      </c>
      <c r="H104" s="37" t="s">
        <v>268</v>
      </c>
      <c r="I104" s="37" t="s">
        <v>277</v>
      </c>
      <c r="J104" s="37" t="s">
        <v>2679</v>
      </c>
    </row>
    <row r="105" spans="1:10" ht="28.8" x14ac:dyDescent="0.3">
      <c r="A105" s="38" t="s">
        <v>1447</v>
      </c>
      <c r="B105" s="38" t="s">
        <v>1445</v>
      </c>
      <c r="C105" s="38" t="s">
        <v>243</v>
      </c>
      <c r="D105" s="38" t="s">
        <v>245</v>
      </c>
      <c r="E105" s="38" t="s">
        <v>243</v>
      </c>
      <c r="F105" s="38"/>
      <c r="G105" s="38" t="s">
        <v>1445</v>
      </c>
      <c r="H105" s="38" t="s">
        <v>268</v>
      </c>
      <c r="I105" s="38" t="s">
        <v>316</v>
      </c>
      <c r="J105" s="38" t="s">
        <v>2679</v>
      </c>
    </row>
    <row r="106" spans="1:10" ht="28.8" x14ac:dyDescent="0.3">
      <c r="A106" s="37" t="s">
        <v>1447</v>
      </c>
      <c r="B106" s="37" t="s">
        <v>1445</v>
      </c>
      <c r="C106" s="37" t="s">
        <v>346</v>
      </c>
      <c r="D106" s="37" t="s">
        <v>245</v>
      </c>
      <c r="E106" s="37" t="s">
        <v>243</v>
      </c>
      <c r="F106" s="37"/>
      <c r="G106" s="37" t="s">
        <v>1445</v>
      </c>
      <c r="H106" s="37" t="s">
        <v>268</v>
      </c>
      <c r="I106" s="37" t="s">
        <v>356</v>
      </c>
      <c r="J106" s="37" t="s">
        <v>2679</v>
      </c>
    </row>
    <row r="107" spans="1:10" ht="28.8" x14ac:dyDescent="0.3">
      <c r="A107" s="38" t="s">
        <v>1451</v>
      </c>
      <c r="B107" s="38" t="s">
        <v>1449</v>
      </c>
      <c r="C107" s="38" t="s">
        <v>267</v>
      </c>
      <c r="D107" s="38" t="s">
        <v>245</v>
      </c>
      <c r="E107" s="38" t="s">
        <v>243</v>
      </c>
      <c r="F107" s="38"/>
      <c r="G107" s="38" t="s">
        <v>1449</v>
      </c>
      <c r="H107" s="38" t="s">
        <v>268</v>
      </c>
      <c r="I107" s="38" t="s">
        <v>277</v>
      </c>
      <c r="J107" s="38" t="s">
        <v>2679</v>
      </c>
    </row>
    <row r="108" spans="1:10" ht="28.8" x14ac:dyDescent="0.3">
      <c r="A108" s="37" t="s">
        <v>1451</v>
      </c>
      <c r="B108" s="37" t="s">
        <v>1449</v>
      </c>
      <c r="C108" s="37" t="s">
        <v>243</v>
      </c>
      <c r="D108" s="37" t="s">
        <v>245</v>
      </c>
      <c r="E108" s="37" t="s">
        <v>243</v>
      </c>
      <c r="F108" s="37"/>
      <c r="G108" s="37" t="s">
        <v>1449</v>
      </c>
      <c r="H108" s="37" t="s">
        <v>242</v>
      </c>
      <c r="I108" s="37" t="s">
        <v>316</v>
      </c>
      <c r="J108" s="37" t="s">
        <v>2679</v>
      </c>
    </row>
    <row r="109" spans="1:10" ht="28.8" x14ac:dyDescent="0.3">
      <c r="A109" s="38" t="s">
        <v>1451</v>
      </c>
      <c r="B109" s="38" t="s">
        <v>1449</v>
      </c>
      <c r="C109" s="38" t="s">
        <v>346</v>
      </c>
      <c r="D109" s="38" t="s">
        <v>245</v>
      </c>
      <c r="E109" s="38" t="s">
        <v>243</v>
      </c>
      <c r="F109" s="38"/>
      <c r="G109" s="38" t="s">
        <v>1449</v>
      </c>
      <c r="H109" s="38" t="s">
        <v>242</v>
      </c>
      <c r="I109" s="38" t="s">
        <v>356</v>
      </c>
      <c r="J109" s="38" t="s">
        <v>2679</v>
      </c>
    </row>
    <row r="110" spans="1:10" ht="28.8" x14ac:dyDescent="0.3">
      <c r="A110" s="37" t="s">
        <v>1454</v>
      </c>
      <c r="B110" s="37" t="s">
        <v>1449</v>
      </c>
      <c r="C110" s="37" t="s">
        <v>267</v>
      </c>
      <c r="D110" s="37" t="s">
        <v>245</v>
      </c>
      <c r="E110" s="37" t="s">
        <v>243</v>
      </c>
      <c r="F110" s="37"/>
      <c r="G110" s="37" t="s">
        <v>1449</v>
      </c>
      <c r="H110" s="37" t="s">
        <v>268</v>
      </c>
      <c r="I110" s="37" t="s">
        <v>277</v>
      </c>
      <c r="J110" s="37" t="s">
        <v>2679</v>
      </c>
    </row>
    <row r="111" spans="1:10" ht="28.8" x14ac:dyDescent="0.3">
      <c r="A111" s="38" t="s">
        <v>1454</v>
      </c>
      <c r="B111" s="38" t="s">
        <v>1449</v>
      </c>
      <c r="C111" s="38" t="s">
        <v>243</v>
      </c>
      <c r="D111" s="38" t="s">
        <v>245</v>
      </c>
      <c r="E111" s="38" t="s">
        <v>243</v>
      </c>
      <c r="F111" s="38"/>
      <c r="G111" s="38" t="s">
        <v>1449</v>
      </c>
      <c r="H111" s="38" t="s">
        <v>242</v>
      </c>
      <c r="I111" s="38" t="s">
        <v>316</v>
      </c>
      <c r="J111" s="38" t="s">
        <v>2679</v>
      </c>
    </row>
    <row r="112" spans="1:10" ht="28.8" x14ac:dyDescent="0.3">
      <c r="A112" s="37" t="s">
        <v>1454</v>
      </c>
      <c r="B112" s="37" t="s">
        <v>1449</v>
      </c>
      <c r="C112" s="37" t="s">
        <v>346</v>
      </c>
      <c r="D112" s="37" t="s">
        <v>245</v>
      </c>
      <c r="E112" s="37" t="s">
        <v>243</v>
      </c>
      <c r="F112" s="37"/>
      <c r="G112" s="37" t="s">
        <v>1449</v>
      </c>
      <c r="H112" s="37" t="s">
        <v>242</v>
      </c>
      <c r="I112" s="37" t="s">
        <v>356</v>
      </c>
      <c r="J112" s="37" t="s">
        <v>2679</v>
      </c>
    </row>
    <row r="113" spans="1:10" ht="28.8" x14ac:dyDescent="0.3">
      <c r="A113" s="38" t="s">
        <v>1462</v>
      </c>
      <c r="B113" s="38" t="s">
        <v>1461</v>
      </c>
      <c r="C113" s="38" t="s">
        <v>267</v>
      </c>
      <c r="D113" s="38" t="s">
        <v>245</v>
      </c>
      <c r="E113" s="38" t="s">
        <v>243</v>
      </c>
      <c r="F113" s="38"/>
      <c r="G113" s="38" t="s">
        <v>1461</v>
      </c>
      <c r="H113" s="38" t="s">
        <v>268</v>
      </c>
      <c r="I113" s="38" t="s">
        <v>277</v>
      </c>
      <c r="J113" s="38" t="s">
        <v>2679</v>
      </c>
    </row>
    <row r="114" spans="1:10" ht="28.8" x14ac:dyDescent="0.3">
      <c r="A114" s="37" t="s">
        <v>1462</v>
      </c>
      <c r="B114" s="37" t="s">
        <v>1461</v>
      </c>
      <c r="C114" s="37" t="s">
        <v>243</v>
      </c>
      <c r="D114" s="37" t="s">
        <v>245</v>
      </c>
      <c r="E114" s="37" t="s">
        <v>243</v>
      </c>
      <c r="F114" s="37"/>
      <c r="G114" s="37" t="s">
        <v>1461</v>
      </c>
      <c r="H114" s="37" t="s">
        <v>242</v>
      </c>
      <c r="I114" s="37" t="s">
        <v>316</v>
      </c>
      <c r="J114" s="37" t="s">
        <v>2679</v>
      </c>
    </row>
    <row r="115" spans="1:10" ht="28.8" x14ac:dyDescent="0.3">
      <c r="A115" s="38" t="s">
        <v>1462</v>
      </c>
      <c r="B115" s="38" t="s">
        <v>1461</v>
      </c>
      <c r="C115" s="38" t="s">
        <v>346</v>
      </c>
      <c r="D115" s="38" t="s">
        <v>245</v>
      </c>
      <c r="E115" s="38" t="s">
        <v>243</v>
      </c>
      <c r="F115" s="38"/>
      <c r="G115" s="38" t="s">
        <v>1461</v>
      </c>
      <c r="H115" s="38" t="s">
        <v>242</v>
      </c>
      <c r="I115" s="38" t="s">
        <v>356</v>
      </c>
      <c r="J115" s="38" t="s">
        <v>2679</v>
      </c>
    </row>
    <row r="116" spans="1:10" ht="28.8" x14ac:dyDescent="0.3">
      <c r="A116" s="37" t="s">
        <v>1465</v>
      </c>
      <c r="B116" s="37" t="s">
        <v>1464</v>
      </c>
      <c r="C116" s="37" t="s">
        <v>267</v>
      </c>
      <c r="D116" s="37" t="s">
        <v>245</v>
      </c>
      <c r="E116" s="37" t="s">
        <v>243</v>
      </c>
      <c r="F116" s="37"/>
      <c r="G116" s="37" t="s">
        <v>1464</v>
      </c>
      <c r="H116" s="37" t="s">
        <v>268</v>
      </c>
      <c r="I116" s="37" t="s">
        <v>277</v>
      </c>
      <c r="J116" s="37" t="s">
        <v>2679</v>
      </c>
    </row>
    <row r="117" spans="1:10" ht="28.8" x14ac:dyDescent="0.3">
      <c r="A117" s="38" t="s">
        <v>1465</v>
      </c>
      <c r="B117" s="38" t="s">
        <v>1464</v>
      </c>
      <c r="C117" s="38" t="s">
        <v>243</v>
      </c>
      <c r="D117" s="38" t="s">
        <v>245</v>
      </c>
      <c r="E117" s="38" t="s">
        <v>243</v>
      </c>
      <c r="F117" s="38"/>
      <c r="G117" s="38" t="s">
        <v>1464</v>
      </c>
      <c r="H117" s="38" t="s">
        <v>242</v>
      </c>
      <c r="I117" s="38" t="s">
        <v>316</v>
      </c>
      <c r="J117" s="38" t="s">
        <v>2679</v>
      </c>
    </row>
    <row r="118" spans="1:10" ht="28.8" x14ac:dyDescent="0.3">
      <c r="A118" s="37" t="s">
        <v>1465</v>
      </c>
      <c r="B118" s="37" t="s">
        <v>1464</v>
      </c>
      <c r="C118" s="37" t="s">
        <v>346</v>
      </c>
      <c r="D118" s="37" t="s">
        <v>245</v>
      </c>
      <c r="E118" s="37" t="s">
        <v>243</v>
      </c>
      <c r="F118" s="37"/>
      <c r="G118" s="37" t="s">
        <v>1464</v>
      </c>
      <c r="H118" s="37" t="s">
        <v>242</v>
      </c>
      <c r="I118" s="37" t="s">
        <v>356</v>
      </c>
      <c r="J118" s="37" t="s">
        <v>2679</v>
      </c>
    </row>
    <row r="119" spans="1:10" ht="28.8" x14ac:dyDescent="0.3">
      <c r="A119" s="38" t="s">
        <v>1518</v>
      </c>
      <c r="B119" s="38" t="s">
        <v>1515</v>
      </c>
      <c r="C119" s="38" t="s">
        <v>267</v>
      </c>
      <c r="D119" s="38" t="s">
        <v>245</v>
      </c>
      <c r="E119" s="38" t="s">
        <v>243</v>
      </c>
      <c r="F119" s="38"/>
      <c r="G119" s="38" t="s">
        <v>1515</v>
      </c>
      <c r="H119" s="38" t="s">
        <v>268</v>
      </c>
      <c r="I119" s="38" t="s">
        <v>277</v>
      </c>
      <c r="J119" s="38" t="s">
        <v>2679</v>
      </c>
    </row>
    <row r="120" spans="1:10" ht="28.8" x14ac:dyDescent="0.3">
      <c r="A120" s="37" t="s">
        <v>1518</v>
      </c>
      <c r="B120" s="37" t="s">
        <v>1515</v>
      </c>
      <c r="C120" s="37" t="s">
        <v>243</v>
      </c>
      <c r="D120" s="37" t="s">
        <v>245</v>
      </c>
      <c r="E120" s="37" t="s">
        <v>243</v>
      </c>
      <c r="F120" s="37"/>
      <c r="G120" s="37" t="s">
        <v>1515</v>
      </c>
      <c r="H120" s="37" t="s">
        <v>242</v>
      </c>
      <c r="I120" s="37" t="s">
        <v>316</v>
      </c>
      <c r="J120" s="37" t="s">
        <v>2679</v>
      </c>
    </row>
    <row r="121" spans="1:10" ht="28.8" x14ac:dyDescent="0.3">
      <c r="A121" s="38" t="s">
        <v>1518</v>
      </c>
      <c r="B121" s="38" t="s">
        <v>1515</v>
      </c>
      <c r="C121" s="38" t="s">
        <v>346</v>
      </c>
      <c r="D121" s="38" t="s">
        <v>245</v>
      </c>
      <c r="E121" s="38" t="s">
        <v>243</v>
      </c>
      <c r="F121" s="38"/>
      <c r="G121" s="38" t="s">
        <v>1515</v>
      </c>
      <c r="H121" s="38" t="s">
        <v>242</v>
      </c>
      <c r="I121" s="38" t="s">
        <v>356</v>
      </c>
      <c r="J121" s="38" t="s">
        <v>2679</v>
      </c>
    </row>
    <row r="122" spans="1:10" ht="28.8" x14ac:dyDescent="0.3">
      <c r="A122" s="37" t="s">
        <v>1523</v>
      </c>
      <c r="B122" s="37" t="s">
        <v>1520</v>
      </c>
      <c r="C122" s="37" t="s">
        <v>267</v>
      </c>
      <c r="D122" s="37" t="s">
        <v>245</v>
      </c>
      <c r="E122" s="37" t="s">
        <v>243</v>
      </c>
      <c r="F122" s="37"/>
      <c r="G122" s="37" t="s">
        <v>1520</v>
      </c>
      <c r="H122" s="37" t="s">
        <v>268</v>
      </c>
      <c r="I122" s="37" t="s">
        <v>277</v>
      </c>
      <c r="J122" s="37" t="s">
        <v>2679</v>
      </c>
    </row>
    <row r="123" spans="1:10" ht="28.8" x14ac:dyDescent="0.3">
      <c r="A123" s="38" t="s">
        <v>1523</v>
      </c>
      <c r="B123" s="38" t="s">
        <v>1520</v>
      </c>
      <c r="C123" s="38" t="s">
        <v>243</v>
      </c>
      <c r="D123" s="38" t="s">
        <v>245</v>
      </c>
      <c r="E123" s="38" t="s">
        <v>243</v>
      </c>
      <c r="F123" s="38"/>
      <c r="G123" s="38" t="s">
        <v>1520</v>
      </c>
      <c r="H123" s="38" t="s">
        <v>242</v>
      </c>
      <c r="I123" s="38" t="s">
        <v>316</v>
      </c>
      <c r="J123" s="38" t="s">
        <v>2679</v>
      </c>
    </row>
    <row r="124" spans="1:10" ht="28.8" x14ac:dyDescent="0.3">
      <c r="A124" s="37" t="s">
        <v>1523</v>
      </c>
      <c r="B124" s="37" t="s">
        <v>1520</v>
      </c>
      <c r="C124" s="37" t="s">
        <v>346</v>
      </c>
      <c r="D124" s="37" t="s">
        <v>245</v>
      </c>
      <c r="E124" s="37" t="s">
        <v>243</v>
      </c>
      <c r="F124" s="37"/>
      <c r="G124" s="37" t="s">
        <v>1520</v>
      </c>
      <c r="H124" s="37" t="s">
        <v>242</v>
      </c>
      <c r="I124" s="37" t="s">
        <v>356</v>
      </c>
      <c r="J124" s="37" t="s">
        <v>2679</v>
      </c>
    </row>
    <row r="125" spans="1:10" ht="28.8" x14ac:dyDescent="0.3">
      <c r="A125" s="38" t="s">
        <v>1533</v>
      </c>
      <c r="B125" s="38" t="s">
        <v>1530</v>
      </c>
      <c r="C125" s="38" t="s">
        <v>267</v>
      </c>
      <c r="D125" s="38" t="s">
        <v>245</v>
      </c>
      <c r="E125" s="38" t="s">
        <v>284</v>
      </c>
      <c r="F125" s="38"/>
      <c r="G125" s="38" t="s">
        <v>1530</v>
      </c>
      <c r="H125" s="38" t="s">
        <v>268</v>
      </c>
      <c r="I125" s="38" t="s">
        <v>277</v>
      </c>
      <c r="J125" s="38" t="s">
        <v>2679</v>
      </c>
    </row>
    <row r="126" spans="1:10" ht="28.8" x14ac:dyDescent="0.3">
      <c r="A126" s="37" t="s">
        <v>1533</v>
      </c>
      <c r="B126" s="37" t="s">
        <v>1530</v>
      </c>
      <c r="C126" s="37" t="s">
        <v>243</v>
      </c>
      <c r="D126" s="37" t="s">
        <v>245</v>
      </c>
      <c r="E126" s="37" t="s">
        <v>284</v>
      </c>
      <c r="F126" s="37"/>
      <c r="G126" s="37" t="s">
        <v>1530</v>
      </c>
      <c r="H126" s="37" t="s">
        <v>242</v>
      </c>
      <c r="I126" s="37" t="s">
        <v>316</v>
      </c>
      <c r="J126" s="37" t="s">
        <v>2679</v>
      </c>
    </row>
    <row r="127" spans="1:10" ht="28.8" x14ac:dyDescent="0.3">
      <c r="A127" s="38" t="s">
        <v>1533</v>
      </c>
      <c r="B127" s="38" t="s">
        <v>1530</v>
      </c>
      <c r="C127" s="38" t="s">
        <v>346</v>
      </c>
      <c r="D127" s="38" t="s">
        <v>245</v>
      </c>
      <c r="E127" s="38" t="s">
        <v>284</v>
      </c>
      <c r="F127" s="38"/>
      <c r="G127" s="38" t="s">
        <v>1530</v>
      </c>
      <c r="H127" s="38" t="s">
        <v>242</v>
      </c>
      <c r="I127" s="38" t="s">
        <v>356</v>
      </c>
      <c r="J127" s="38" t="s">
        <v>2679</v>
      </c>
    </row>
    <row r="128" spans="1:10" ht="28.8" x14ac:dyDescent="0.3">
      <c r="A128" s="37" t="s">
        <v>1589</v>
      </c>
      <c r="B128" s="37" t="s">
        <v>1587</v>
      </c>
      <c r="C128" s="37" t="s">
        <v>267</v>
      </c>
      <c r="D128" s="37" t="s">
        <v>245</v>
      </c>
      <c r="E128" s="37" t="s">
        <v>243</v>
      </c>
      <c r="F128" s="37"/>
      <c r="G128" s="37" t="s">
        <v>1587</v>
      </c>
      <c r="H128" s="37" t="s">
        <v>268</v>
      </c>
      <c r="I128" s="37" t="s">
        <v>277</v>
      </c>
      <c r="J128" s="37" t="s">
        <v>2679</v>
      </c>
    </row>
    <row r="129" spans="1:10" ht="28.8" x14ac:dyDescent="0.3">
      <c r="A129" s="38" t="s">
        <v>1589</v>
      </c>
      <c r="B129" s="38" t="s">
        <v>1587</v>
      </c>
      <c r="C129" s="38" t="s">
        <v>243</v>
      </c>
      <c r="D129" s="38" t="s">
        <v>245</v>
      </c>
      <c r="E129" s="38" t="s">
        <v>243</v>
      </c>
      <c r="F129" s="38"/>
      <c r="G129" s="38" t="s">
        <v>1587</v>
      </c>
      <c r="H129" s="38" t="s">
        <v>242</v>
      </c>
      <c r="I129" s="38" t="s">
        <v>316</v>
      </c>
      <c r="J129" s="38" t="s">
        <v>2679</v>
      </c>
    </row>
    <row r="130" spans="1:10" ht="28.8" x14ac:dyDescent="0.3">
      <c r="A130" s="37" t="s">
        <v>1589</v>
      </c>
      <c r="B130" s="37" t="s">
        <v>1587</v>
      </c>
      <c r="C130" s="37" t="s">
        <v>346</v>
      </c>
      <c r="D130" s="37" t="s">
        <v>245</v>
      </c>
      <c r="E130" s="37" t="s">
        <v>243</v>
      </c>
      <c r="F130" s="37"/>
      <c r="G130" s="37" t="s">
        <v>1587</v>
      </c>
      <c r="H130" s="37" t="s">
        <v>242</v>
      </c>
      <c r="I130" s="37" t="s">
        <v>356</v>
      </c>
      <c r="J130" s="37" t="s">
        <v>2679</v>
      </c>
    </row>
    <row r="131" spans="1:10" ht="28.8" x14ac:dyDescent="0.3">
      <c r="A131" s="38" t="s">
        <v>1592</v>
      </c>
      <c r="B131" s="38" t="s">
        <v>1591</v>
      </c>
      <c r="C131" s="38" t="s">
        <v>267</v>
      </c>
      <c r="D131" s="38" t="s">
        <v>245</v>
      </c>
      <c r="E131" s="38" t="s">
        <v>243</v>
      </c>
      <c r="F131" s="38"/>
      <c r="G131" s="38" t="s">
        <v>1591</v>
      </c>
      <c r="H131" s="38" t="s">
        <v>268</v>
      </c>
      <c r="I131" s="38" t="s">
        <v>277</v>
      </c>
      <c r="J131" s="38" t="s">
        <v>2679</v>
      </c>
    </row>
    <row r="132" spans="1:10" ht="28.8" x14ac:dyDescent="0.3">
      <c r="A132" s="37" t="s">
        <v>1592</v>
      </c>
      <c r="B132" s="37" t="s">
        <v>1591</v>
      </c>
      <c r="C132" s="37" t="s">
        <v>243</v>
      </c>
      <c r="D132" s="37" t="s">
        <v>245</v>
      </c>
      <c r="E132" s="37" t="s">
        <v>243</v>
      </c>
      <c r="F132" s="37"/>
      <c r="G132" s="37" t="s">
        <v>1591</v>
      </c>
      <c r="H132" s="37" t="s">
        <v>242</v>
      </c>
      <c r="I132" s="37" t="s">
        <v>316</v>
      </c>
      <c r="J132" s="37" t="s">
        <v>2679</v>
      </c>
    </row>
    <row r="133" spans="1:10" ht="28.8" x14ac:dyDescent="0.3">
      <c r="A133" s="38" t="s">
        <v>1592</v>
      </c>
      <c r="B133" s="38" t="s">
        <v>1591</v>
      </c>
      <c r="C133" s="38" t="s">
        <v>346</v>
      </c>
      <c r="D133" s="38" t="s">
        <v>245</v>
      </c>
      <c r="E133" s="38" t="s">
        <v>243</v>
      </c>
      <c r="F133" s="38"/>
      <c r="G133" s="38" t="s">
        <v>1591</v>
      </c>
      <c r="H133" s="38" t="s">
        <v>242</v>
      </c>
      <c r="I133" s="38" t="s">
        <v>356</v>
      </c>
      <c r="J133" s="38" t="s">
        <v>2679</v>
      </c>
    </row>
    <row r="134" spans="1:10" ht="28.8" x14ac:dyDescent="0.3">
      <c r="A134" s="37" t="s">
        <v>1595</v>
      </c>
      <c r="B134" s="37" t="s">
        <v>1594</v>
      </c>
      <c r="C134" s="37" t="s">
        <v>267</v>
      </c>
      <c r="D134" s="37" t="s">
        <v>245</v>
      </c>
      <c r="E134" s="37" t="s">
        <v>243</v>
      </c>
      <c r="F134" s="37"/>
      <c r="G134" s="37" t="s">
        <v>1594</v>
      </c>
      <c r="H134" s="37" t="s">
        <v>268</v>
      </c>
      <c r="I134" s="37" t="s">
        <v>277</v>
      </c>
      <c r="J134" s="37" t="s">
        <v>2679</v>
      </c>
    </row>
    <row r="135" spans="1:10" ht="28.8" x14ac:dyDescent="0.3">
      <c r="A135" s="38" t="s">
        <v>1595</v>
      </c>
      <c r="B135" s="38" t="s">
        <v>1594</v>
      </c>
      <c r="C135" s="38" t="s">
        <v>243</v>
      </c>
      <c r="D135" s="38" t="s">
        <v>245</v>
      </c>
      <c r="E135" s="38" t="s">
        <v>243</v>
      </c>
      <c r="F135" s="38"/>
      <c r="G135" s="38" t="s">
        <v>1594</v>
      </c>
      <c r="H135" s="38" t="s">
        <v>242</v>
      </c>
      <c r="I135" s="38" t="s">
        <v>316</v>
      </c>
      <c r="J135" s="38" t="s">
        <v>2679</v>
      </c>
    </row>
    <row r="136" spans="1:10" ht="28.8" x14ac:dyDescent="0.3">
      <c r="A136" s="37" t="s">
        <v>1595</v>
      </c>
      <c r="B136" s="37" t="s">
        <v>1594</v>
      </c>
      <c r="C136" s="37" t="s">
        <v>346</v>
      </c>
      <c r="D136" s="37" t="s">
        <v>245</v>
      </c>
      <c r="E136" s="37" t="s">
        <v>243</v>
      </c>
      <c r="F136" s="37"/>
      <c r="G136" s="37" t="s">
        <v>1594</v>
      </c>
      <c r="H136" s="37" t="s">
        <v>242</v>
      </c>
      <c r="I136" s="37" t="s">
        <v>356</v>
      </c>
      <c r="J136" s="37" t="s">
        <v>2679</v>
      </c>
    </row>
    <row r="137" spans="1:10" ht="28.8" x14ac:dyDescent="0.3">
      <c r="A137" s="38" t="s">
        <v>1599</v>
      </c>
      <c r="B137" s="38" t="s">
        <v>1597</v>
      </c>
      <c r="C137" s="38" t="s">
        <v>267</v>
      </c>
      <c r="D137" s="38" t="s">
        <v>245</v>
      </c>
      <c r="E137" s="38" t="s">
        <v>243</v>
      </c>
      <c r="F137" s="38"/>
      <c r="G137" s="38" t="s">
        <v>1597</v>
      </c>
      <c r="H137" s="38" t="s">
        <v>268</v>
      </c>
      <c r="I137" s="38" t="s">
        <v>277</v>
      </c>
      <c r="J137" s="38" t="s">
        <v>2679</v>
      </c>
    </row>
    <row r="138" spans="1:10" ht="28.8" x14ac:dyDescent="0.3">
      <c r="A138" s="37" t="s">
        <v>1599</v>
      </c>
      <c r="B138" s="37" t="s">
        <v>1597</v>
      </c>
      <c r="C138" s="37" t="s">
        <v>243</v>
      </c>
      <c r="D138" s="37" t="s">
        <v>245</v>
      </c>
      <c r="E138" s="37" t="s">
        <v>243</v>
      </c>
      <c r="F138" s="37"/>
      <c r="G138" s="37" t="s">
        <v>1597</v>
      </c>
      <c r="H138" s="37" t="s">
        <v>242</v>
      </c>
      <c r="I138" s="37" t="s">
        <v>316</v>
      </c>
      <c r="J138" s="37" t="s">
        <v>2679</v>
      </c>
    </row>
    <row r="139" spans="1:10" ht="28.8" x14ac:dyDescent="0.3">
      <c r="A139" s="38" t="s">
        <v>1599</v>
      </c>
      <c r="B139" s="38" t="s">
        <v>1597</v>
      </c>
      <c r="C139" s="38" t="s">
        <v>346</v>
      </c>
      <c r="D139" s="38" t="s">
        <v>245</v>
      </c>
      <c r="E139" s="38" t="s">
        <v>243</v>
      </c>
      <c r="F139" s="38"/>
      <c r="G139" s="38" t="s">
        <v>1597</v>
      </c>
      <c r="H139" s="38" t="s">
        <v>242</v>
      </c>
      <c r="I139" s="38" t="s">
        <v>356</v>
      </c>
      <c r="J139" s="38" t="s">
        <v>2679</v>
      </c>
    </row>
    <row r="140" spans="1:10" ht="28.8" x14ac:dyDescent="0.3">
      <c r="A140" s="37" t="s">
        <v>1603</v>
      </c>
      <c r="B140" s="37" t="s">
        <v>1601</v>
      </c>
      <c r="C140" s="37" t="s">
        <v>267</v>
      </c>
      <c r="D140" s="37" t="s">
        <v>245</v>
      </c>
      <c r="E140" s="37" t="s">
        <v>243</v>
      </c>
      <c r="F140" s="37"/>
      <c r="G140" s="37" t="s">
        <v>1601</v>
      </c>
      <c r="H140" s="37" t="s">
        <v>268</v>
      </c>
      <c r="I140" s="37" t="s">
        <v>277</v>
      </c>
      <c r="J140" s="37" t="s">
        <v>2679</v>
      </c>
    </row>
    <row r="141" spans="1:10" ht="28.8" x14ac:dyDescent="0.3">
      <c r="A141" s="38" t="s">
        <v>1603</v>
      </c>
      <c r="B141" s="38" t="s">
        <v>1601</v>
      </c>
      <c r="C141" s="38" t="s">
        <v>243</v>
      </c>
      <c r="D141" s="38" t="s">
        <v>245</v>
      </c>
      <c r="E141" s="38" t="s">
        <v>243</v>
      </c>
      <c r="F141" s="38"/>
      <c r="G141" s="38" t="s">
        <v>1601</v>
      </c>
      <c r="H141" s="38" t="s">
        <v>242</v>
      </c>
      <c r="I141" s="38" t="s">
        <v>316</v>
      </c>
      <c r="J141" s="38" t="s">
        <v>2679</v>
      </c>
    </row>
    <row r="142" spans="1:10" ht="28.8" x14ac:dyDescent="0.3">
      <c r="A142" s="37" t="s">
        <v>1603</v>
      </c>
      <c r="B142" s="37" t="s">
        <v>1601</v>
      </c>
      <c r="C142" s="37" t="s">
        <v>346</v>
      </c>
      <c r="D142" s="37" t="s">
        <v>245</v>
      </c>
      <c r="E142" s="37" t="s">
        <v>243</v>
      </c>
      <c r="F142" s="37"/>
      <c r="G142" s="37" t="s">
        <v>1601</v>
      </c>
      <c r="H142" s="37" t="s">
        <v>242</v>
      </c>
      <c r="I142" s="37" t="s">
        <v>356</v>
      </c>
      <c r="J142" s="37" t="s">
        <v>2679</v>
      </c>
    </row>
    <row r="143" spans="1:10" ht="28.8" x14ac:dyDescent="0.3">
      <c r="A143" s="38" t="s">
        <v>1606</v>
      </c>
      <c r="B143" s="38" t="s">
        <v>1605</v>
      </c>
      <c r="C143" s="38" t="s">
        <v>267</v>
      </c>
      <c r="D143" s="38" t="s">
        <v>245</v>
      </c>
      <c r="E143" s="38" t="s">
        <v>243</v>
      </c>
      <c r="F143" s="38"/>
      <c r="G143" s="38" t="s">
        <v>1605</v>
      </c>
      <c r="H143" s="38" t="s">
        <v>268</v>
      </c>
      <c r="I143" s="38" t="s">
        <v>277</v>
      </c>
      <c r="J143" s="38" t="s">
        <v>2679</v>
      </c>
    </row>
    <row r="144" spans="1:10" ht="28.8" x14ac:dyDescent="0.3">
      <c r="A144" s="37" t="s">
        <v>1606</v>
      </c>
      <c r="B144" s="37" t="s">
        <v>1605</v>
      </c>
      <c r="C144" s="37" t="s">
        <v>243</v>
      </c>
      <c r="D144" s="37" t="s">
        <v>245</v>
      </c>
      <c r="E144" s="37" t="s">
        <v>243</v>
      </c>
      <c r="F144" s="37"/>
      <c r="G144" s="37" t="s">
        <v>1605</v>
      </c>
      <c r="H144" s="37" t="s">
        <v>242</v>
      </c>
      <c r="I144" s="37" t="s">
        <v>316</v>
      </c>
      <c r="J144" s="37" t="s">
        <v>2679</v>
      </c>
    </row>
    <row r="145" spans="1:10" ht="28.8" x14ac:dyDescent="0.3">
      <c r="A145" s="38" t="s">
        <v>1606</v>
      </c>
      <c r="B145" s="38" t="s">
        <v>1605</v>
      </c>
      <c r="C145" s="38" t="s">
        <v>346</v>
      </c>
      <c r="D145" s="38" t="s">
        <v>245</v>
      </c>
      <c r="E145" s="38" t="s">
        <v>243</v>
      </c>
      <c r="F145" s="38"/>
      <c r="G145" s="38" t="s">
        <v>1605</v>
      </c>
      <c r="H145" s="38" t="s">
        <v>242</v>
      </c>
      <c r="I145" s="38" t="s">
        <v>356</v>
      </c>
      <c r="J145" s="38" t="s">
        <v>2679</v>
      </c>
    </row>
    <row r="146" spans="1:10" ht="28.8" x14ac:dyDescent="0.3">
      <c r="A146" s="37" t="s">
        <v>1609</v>
      </c>
      <c r="B146" s="37" t="s">
        <v>1608</v>
      </c>
      <c r="C146" s="37" t="s">
        <v>267</v>
      </c>
      <c r="D146" s="37" t="s">
        <v>245</v>
      </c>
      <c r="E146" s="37" t="s">
        <v>243</v>
      </c>
      <c r="F146" s="37"/>
      <c r="G146" s="37" t="s">
        <v>1608</v>
      </c>
      <c r="H146" s="37" t="s">
        <v>268</v>
      </c>
      <c r="I146" s="37" t="s">
        <v>277</v>
      </c>
      <c r="J146" s="37" t="s">
        <v>2679</v>
      </c>
    </row>
    <row r="147" spans="1:10" ht="28.8" x14ac:dyDescent="0.3">
      <c r="A147" s="38" t="s">
        <v>1609</v>
      </c>
      <c r="B147" s="38" t="s">
        <v>1608</v>
      </c>
      <c r="C147" s="38" t="s">
        <v>243</v>
      </c>
      <c r="D147" s="38" t="s">
        <v>245</v>
      </c>
      <c r="E147" s="38" t="s">
        <v>243</v>
      </c>
      <c r="F147" s="38"/>
      <c r="G147" s="38" t="s">
        <v>1608</v>
      </c>
      <c r="H147" s="38" t="s">
        <v>242</v>
      </c>
      <c r="I147" s="38" t="s">
        <v>316</v>
      </c>
      <c r="J147" s="38" t="s">
        <v>2679</v>
      </c>
    </row>
    <row r="148" spans="1:10" ht="28.8" x14ac:dyDescent="0.3">
      <c r="A148" s="37" t="s">
        <v>1609</v>
      </c>
      <c r="B148" s="37" t="s">
        <v>1608</v>
      </c>
      <c r="C148" s="37" t="s">
        <v>346</v>
      </c>
      <c r="D148" s="37" t="s">
        <v>245</v>
      </c>
      <c r="E148" s="37" t="s">
        <v>243</v>
      </c>
      <c r="F148" s="37"/>
      <c r="G148" s="37" t="s">
        <v>1608</v>
      </c>
      <c r="H148" s="37" t="s">
        <v>242</v>
      </c>
      <c r="I148" s="37" t="s">
        <v>356</v>
      </c>
      <c r="J148" s="37" t="s">
        <v>2679</v>
      </c>
    </row>
    <row r="149" spans="1:10" ht="28.8" x14ac:dyDescent="0.3">
      <c r="A149" s="38" t="s">
        <v>1612</v>
      </c>
      <c r="B149" s="38" t="s">
        <v>1611</v>
      </c>
      <c r="C149" s="38" t="s">
        <v>267</v>
      </c>
      <c r="D149" s="38" t="s">
        <v>245</v>
      </c>
      <c r="E149" s="38" t="s">
        <v>243</v>
      </c>
      <c r="F149" s="38"/>
      <c r="G149" s="38" t="s">
        <v>1611</v>
      </c>
      <c r="H149" s="38" t="s">
        <v>268</v>
      </c>
      <c r="I149" s="38" t="s">
        <v>277</v>
      </c>
      <c r="J149" s="38" t="s">
        <v>2679</v>
      </c>
    </row>
    <row r="150" spans="1:10" ht="28.8" x14ac:dyDescent="0.3">
      <c r="A150" s="37" t="s">
        <v>1612</v>
      </c>
      <c r="B150" s="37" t="s">
        <v>1611</v>
      </c>
      <c r="C150" s="37" t="s">
        <v>243</v>
      </c>
      <c r="D150" s="37" t="s">
        <v>245</v>
      </c>
      <c r="E150" s="37" t="s">
        <v>243</v>
      </c>
      <c r="F150" s="37"/>
      <c r="G150" s="37" t="s">
        <v>1611</v>
      </c>
      <c r="H150" s="37" t="s">
        <v>242</v>
      </c>
      <c r="I150" s="37" t="s">
        <v>316</v>
      </c>
      <c r="J150" s="37" t="s">
        <v>2679</v>
      </c>
    </row>
    <row r="151" spans="1:10" ht="28.8" x14ac:dyDescent="0.3">
      <c r="A151" s="38" t="s">
        <v>1612</v>
      </c>
      <c r="B151" s="38" t="s">
        <v>1611</v>
      </c>
      <c r="C151" s="38" t="s">
        <v>346</v>
      </c>
      <c r="D151" s="38" t="s">
        <v>245</v>
      </c>
      <c r="E151" s="38" t="s">
        <v>243</v>
      </c>
      <c r="F151" s="38"/>
      <c r="G151" s="38" t="s">
        <v>1611</v>
      </c>
      <c r="H151" s="38" t="s">
        <v>242</v>
      </c>
      <c r="I151" s="38" t="s">
        <v>356</v>
      </c>
      <c r="J151" s="38" t="s">
        <v>2679</v>
      </c>
    </row>
    <row r="152" spans="1:10" ht="28.8" x14ac:dyDescent="0.3">
      <c r="A152" s="37" t="s">
        <v>1616</v>
      </c>
      <c r="B152" s="37" t="s">
        <v>1614</v>
      </c>
      <c r="C152" s="37" t="s">
        <v>267</v>
      </c>
      <c r="D152" s="37" t="s">
        <v>245</v>
      </c>
      <c r="E152" s="37" t="s">
        <v>243</v>
      </c>
      <c r="F152" s="37"/>
      <c r="G152" s="37" t="s">
        <v>1614</v>
      </c>
      <c r="H152" s="37" t="s">
        <v>268</v>
      </c>
      <c r="I152" s="37" t="s">
        <v>277</v>
      </c>
      <c r="J152" s="37" t="s">
        <v>2679</v>
      </c>
    </row>
    <row r="153" spans="1:10" ht="28.8" x14ac:dyDescent="0.3">
      <c r="A153" s="38" t="s">
        <v>1616</v>
      </c>
      <c r="B153" s="38" t="s">
        <v>1614</v>
      </c>
      <c r="C153" s="38" t="s">
        <v>243</v>
      </c>
      <c r="D153" s="38" t="s">
        <v>245</v>
      </c>
      <c r="E153" s="38" t="s">
        <v>243</v>
      </c>
      <c r="F153" s="38"/>
      <c r="G153" s="38" t="s">
        <v>1614</v>
      </c>
      <c r="H153" s="38" t="s">
        <v>242</v>
      </c>
      <c r="I153" s="38" t="s">
        <v>316</v>
      </c>
      <c r="J153" s="38" t="s">
        <v>2679</v>
      </c>
    </row>
    <row r="154" spans="1:10" ht="28.8" x14ac:dyDescent="0.3">
      <c r="A154" s="37" t="s">
        <v>1616</v>
      </c>
      <c r="B154" s="37" t="s">
        <v>1614</v>
      </c>
      <c r="C154" s="37" t="s">
        <v>346</v>
      </c>
      <c r="D154" s="37" t="s">
        <v>245</v>
      </c>
      <c r="E154" s="37" t="s">
        <v>243</v>
      </c>
      <c r="F154" s="37"/>
      <c r="G154" s="37" t="s">
        <v>1614</v>
      </c>
      <c r="H154" s="37" t="s">
        <v>242</v>
      </c>
      <c r="I154" s="37" t="s">
        <v>356</v>
      </c>
      <c r="J154" s="37" t="s">
        <v>2679</v>
      </c>
    </row>
    <row r="155" spans="1:10" ht="28.8" x14ac:dyDescent="0.3">
      <c r="A155" s="38" t="s">
        <v>1619</v>
      </c>
      <c r="B155" s="38" t="s">
        <v>1618</v>
      </c>
      <c r="C155" s="38" t="s">
        <v>267</v>
      </c>
      <c r="D155" s="38" t="s">
        <v>245</v>
      </c>
      <c r="E155" s="38" t="s">
        <v>243</v>
      </c>
      <c r="F155" s="38"/>
      <c r="G155" s="38" t="s">
        <v>1618</v>
      </c>
      <c r="H155" s="38" t="s">
        <v>268</v>
      </c>
      <c r="I155" s="38" t="s">
        <v>277</v>
      </c>
      <c r="J155" s="38" t="s">
        <v>2679</v>
      </c>
    </row>
    <row r="156" spans="1:10" ht="28.8" x14ac:dyDescent="0.3">
      <c r="A156" s="37" t="s">
        <v>1619</v>
      </c>
      <c r="B156" s="37" t="s">
        <v>1618</v>
      </c>
      <c r="C156" s="37" t="s">
        <v>243</v>
      </c>
      <c r="D156" s="37" t="s">
        <v>245</v>
      </c>
      <c r="E156" s="37" t="s">
        <v>243</v>
      </c>
      <c r="F156" s="37"/>
      <c r="G156" s="37" t="s">
        <v>1618</v>
      </c>
      <c r="H156" s="37" t="s">
        <v>242</v>
      </c>
      <c r="I156" s="37" t="s">
        <v>316</v>
      </c>
      <c r="J156" s="37" t="s">
        <v>2679</v>
      </c>
    </row>
    <row r="157" spans="1:10" ht="28.8" x14ac:dyDescent="0.3">
      <c r="A157" s="38" t="s">
        <v>1619</v>
      </c>
      <c r="B157" s="38" t="s">
        <v>1618</v>
      </c>
      <c r="C157" s="38" t="s">
        <v>346</v>
      </c>
      <c r="D157" s="38" t="s">
        <v>245</v>
      </c>
      <c r="E157" s="38" t="s">
        <v>243</v>
      </c>
      <c r="F157" s="38"/>
      <c r="G157" s="38" t="s">
        <v>1618</v>
      </c>
      <c r="H157" s="38" t="s">
        <v>242</v>
      </c>
      <c r="I157" s="38" t="s">
        <v>356</v>
      </c>
      <c r="J157" s="38" t="s">
        <v>2679</v>
      </c>
    </row>
    <row r="158" spans="1:10" ht="28.8" x14ac:dyDescent="0.3">
      <c r="A158" s="37" t="s">
        <v>1623</v>
      </c>
      <c r="B158" s="37" t="s">
        <v>1621</v>
      </c>
      <c r="C158" s="37" t="s">
        <v>267</v>
      </c>
      <c r="D158" s="37" t="s">
        <v>245</v>
      </c>
      <c r="E158" s="37" t="s">
        <v>243</v>
      </c>
      <c r="F158" s="37"/>
      <c r="G158" s="37" t="s">
        <v>1621</v>
      </c>
      <c r="H158" s="37" t="s">
        <v>268</v>
      </c>
      <c r="I158" s="37" t="s">
        <v>277</v>
      </c>
      <c r="J158" s="37" t="s">
        <v>2679</v>
      </c>
    </row>
    <row r="159" spans="1:10" ht="28.8" x14ac:dyDescent="0.3">
      <c r="A159" s="38" t="s">
        <v>1623</v>
      </c>
      <c r="B159" s="38" t="s">
        <v>1621</v>
      </c>
      <c r="C159" s="38" t="s">
        <v>243</v>
      </c>
      <c r="D159" s="38" t="s">
        <v>245</v>
      </c>
      <c r="E159" s="38" t="s">
        <v>243</v>
      </c>
      <c r="F159" s="38"/>
      <c r="G159" s="38" t="s">
        <v>1621</v>
      </c>
      <c r="H159" s="38" t="s">
        <v>242</v>
      </c>
      <c r="I159" s="38" t="s">
        <v>316</v>
      </c>
      <c r="J159" s="38" t="s">
        <v>2679</v>
      </c>
    </row>
    <row r="160" spans="1:10" ht="28.8" x14ac:dyDescent="0.3">
      <c r="A160" s="37" t="s">
        <v>1623</v>
      </c>
      <c r="B160" s="37" t="s">
        <v>1621</v>
      </c>
      <c r="C160" s="37" t="s">
        <v>346</v>
      </c>
      <c r="D160" s="37" t="s">
        <v>245</v>
      </c>
      <c r="E160" s="37" t="s">
        <v>243</v>
      </c>
      <c r="F160" s="37"/>
      <c r="G160" s="37" t="s">
        <v>1621</v>
      </c>
      <c r="H160" s="37" t="s">
        <v>242</v>
      </c>
      <c r="I160" s="37" t="s">
        <v>356</v>
      </c>
      <c r="J160" s="37" t="s">
        <v>2679</v>
      </c>
    </row>
    <row r="161" spans="1:10" ht="28.8" x14ac:dyDescent="0.3">
      <c r="A161" s="38" t="s">
        <v>1626</v>
      </c>
      <c r="B161" s="38" t="s">
        <v>1625</v>
      </c>
      <c r="C161" s="38" t="s">
        <v>267</v>
      </c>
      <c r="D161" s="38" t="s">
        <v>245</v>
      </c>
      <c r="E161" s="38" t="s">
        <v>243</v>
      </c>
      <c r="F161" s="38"/>
      <c r="G161" s="38" t="s">
        <v>1625</v>
      </c>
      <c r="H161" s="38" t="s">
        <v>268</v>
      </c>
      <c r="I161" s="38" t="s">
        <v>277</v>
      </c>
      <c r="J161" s="38" t="s">
        <v>2679</v>
      </c>
    </row>
    <row r="162" spans="1:10" ht="28.8" x14ac:dyDescent="0.3">
      <c r="A162" s="37" t="s">
        <v>1626</v>
      </c>
      <c r="B162" s="37" t="s">
        <v>1625</v>
      </c>
      <c r="C162" s="37" t="s">
        <v>243</v>
      </c>
      <c r="D162" s="37" t="s">
        <v>245</v>
      </c>
      <c r="E162" s="37" t="s">
        <v>243</v>
      </c>
      <c r="F162" s="37"/>
      <c r="G162" s="37" t="s">
        <v>1625</v>
      </c>
      <c r="H162" s="37" t="s">
        <v>242</v>
      </c>
      <c r="I162" s="37" t="s">
        <v>316</v>
      </c>
      <c r="J162" s="37" t="s">
        <v>2679</v>
      </c>
    </row>
    <row r="163" spans="1:10" ht="28.8" x14ac:dyDescent="0.3">
      <c r="A163" s="38" t="s">
        <v>1626</v>
      </c>
      <c r="B163" s="38" t="s">
        <v>1625</v>
      </c>
      <c r="C163" s="38" t="s">
        <v>346</v>
      </c>
      <c r="D163" s="38" t="s">
        <v>245</v>
      </c>
      <c r="E163" s="38" t="s">
        <v>243</v>
      </c>
      <c r="F163" s="38"/>
      <c r="G163" s="38" t="s">
        <v>1625</v>
      </c>
      <c r="H163" s="38" t="s">
        <v>242</v>
      </c>
      <c r="I163" s="38" t="s">
        <v>356</v>
      </c>
      <c r="J163" s="38" t="s">
        <v>2679</v>
      </c>
    </row>
    <row r="164" spans="1:10" ht="28.8" x14ac:dyDescent="0.3">
      <c r="A164" s="37" t="s">
        <v>1630</v>
      </c>
      <c r="B164" s="37" t="s">
        <v>1628</v>
      </c>
      <c r="C164" s="37" t="s">
        <v>267</v>
      </c>
      <c r="D164" s="37" t="s">
        <v>245</v>
      </c>
      <c r="E164" s="37" t="s">
        <v>243</v>
      </c>
      <c r="F164" s="37"/>
      <c r="G164" s="37" t="s">
        <v>1628</v>
      </c>
      <c r="H164" s="37" t="s">
        <v>268</v>
      </c>
      <c r="I164" s="37" t="s">
        <v>277</v>
      </c>
      <c r="J164" s="37" t="s">
        <v>2679</v>
      </c>
    </row>
    <row r="165" spans="1:10" ht="28.8" x14ac:dyDescent="0.3">
      <c r="A165" s="38" t="s">
        <v>1630</v>
      </c>
      <c r="B165" s="38" t="s">
        <v>1628</v>
      </c>
      <c r="C165" s="38" t="s">
        <v>243</v>
      </c>
      <c r="D165" s="38" t="s">
        <v>245</v>
      </c>
      <c r="E165" s="38" t="s">
        <v>243</v>
      </c>
      <c r="F165" s="38"/>
      <c r="G165" s="38" t="s">
        <v>1628</v>
      </c>
      <c r="H165" s="38" t="s">
        <v>242</v>
      </c>
      <c r="I165" s="38" t="s">
        <v>316</v>
      </c>
      <c r="J165" s="38" t="s">
        <v>2679</v>
      </c>
    </row>
    <row r="166" spans="1:10" ht="28.8" x14ac:dyDescent="0.3">
      <c r="A166" s="37" t="s">
        <v>1630</v>
      </c>
      <c r="B166" s="37" t="s">
        <v>1628</v>
      </c>
      <c r="C166" s="37" t="s">
        <v>346</v>
      </c>
      <c r="D166" s="37" t="s">
        <v>245</v>
      </c>
      <c r="E166" s="37" t="s">
        <v>243</v>
      </c>
      <c r="F166" s="37"/>
      <c r="G166" s="37" t="s">
        <v>1628</v>
      </c>
      <c r="H166" s="37" t="s">
        <v>242</v>
      </c>
      <c r="I166" s="37" t="s">
        <v>356</v>
      </c>
      <c r="J166" s="37" t="s">
        <v>2679</v>
      </c>
    </row>
    <row r="167" spans="1:10" ht="28.8" x14ac:dyDescent="0.3">
      <c r="A167" s="38" t="s">
        <v>1634</v>
      </c>
      <c r="B167" s="38" t="s">
        <v>1632</v>
      </c>
      <c r="C167" s="38" t="s">
        <v>267</v>
      </c>
      <c r="D167" s="38" t="s">
        <v>245</v>
      </c>
      <c r="E167" s="38" t="s">
        <v>243</v>
      </c>
      <c r="F167" s="38"/>
      <c r="G167" s="38" t="s">
        <v>1632</v>
      </c>
      <c r="H167" s="38" t="s">
        <v>268</v>
      </c>
      <c r="I167" s="38" t="s">
        <v>277</v>
      </c>
      <c r="J167" s="38" t="s">
        <v>2679</v>
      </c>
    </row>
    <row r="168" spans="1:10" ht="28.8" x14ac:dyDescent="0.3">
      <c r="A168" s="37" t="s">
        <v>1634</v>
      </c>
      <c r="B168" s="37" t="s">
        <v>1632</v>
      </c>
      <c r="C168" s="37" t="s">
        <v>243</v>
      </c>
      <c r="D168" s="37" t="s">
        <v>245</v>
      </c>
      <c r="E168" s="37" t="s">
        <v>243</v>
      </c>
      <c r="F168" s="37"/>
      <c r="G168" s="37" t="s">
        <v>1632</v>
      </c>
      <c r="H168" s="37" t="s">
        <v>242</v>
      </c>
      <c r="I168" s="37" t="s">
        <v>316</v>
      </c>
      <c r="J168" s="37" t="s">
        <v>2679</v>
      </c>
    </row>
    <row r="169" spans="1:10" ht="28.8" x14ac:dyDescent="0.3">
      <c r="A169" s="38" t="s">
        <v>1634</v>
      </c>
      <c r="B169" s="38" t="s">
        <v>1632</v>
      </c>
      <c r="C169" s="38" t="s">
        <v>346</v>
      </c>
      <c r="D169" s="38" t="s">
        <v>245</v>
      </c>
      <c r="E169" s="38" t="s">
        <v>243</v>
      </c>
      <c r="F169" s="38"/>
      <c r="G169" s="38" t="s">
        <v>1632</v>
      </c>
      <c r="H169" s="38" t="s">
        <v>242</v>
      </c>
      <c r="I169" s="38" t="s">
        <v>356</v>
      </c>
      <c r="J169" s="38" t="s">
        <v>2679</v>
      </c>
    </row>
    <row r="170" spans="1:10" ht="28.8" x14ac:dyDescent="0.3">
      <c r="A170" s="37" t="s">
        <v>1638</v>
      </c>
      <c r="B170" s="37" t="s">
        <v>1636</v>
      </c>
      <c r="C170" s="37" t="s">
        <v>267</v>
      </c>
      <c r="D170" s="37" t="s">
        <v>245</v>
      </c>
      <c r="E170" s="37" t="s">
        <v>243</v>
      </c>
      <c r="F170" s="37"/>
      <c r="G170" s="37" t="s">
        <v>1636</v>
      </c>
      <c r="H170" s="37" t="s">
        <v>268</v>
      </c>
      <c r="I170" s="37" t="s">
        <v>277</v>
      </c>
      <c r="J170" s="37" t="s">
        <v>2679</v>
      </c>
    </row>
    <row r="171" spans="1:10" ht="28.8" x14ac:dyDescent="0.3">
      <c r="A171" s="38" t="s">
        <v>1638</v>
      </c>
      <c r="B171" s="38" t="s">
        <v>1636</v>
      </c>
      <c r="C171" s="38" t="s">
        <v>243</v>
      </c>
      <c r="D171" s="38" t="s">
        <v>245</v>
      </c>
      <c r="E171" s="38" t="s">
        <v>243</v>
      </c>
      <c r="F171" s="38"/>
      <c r="G171" s="38" t="s">
        <v>1636</v>
      </c>
      <c r="H171" s="38" t="s">
        <v>242</v>
      </c>
      <c r="I171" s="38" t="s">
        <v>316</v>
      </c>
      <c r="J171" s="38" t="s">
        <v>2679</v>
      </c>
    </row>
    <row r="172" spans="1:10" ht="28.8" x14ac:dyDescent="0.3">
      <c r="A172" s="37" t="s">
        <v>1638</v>
      </c>
      <c r="B172" s="37" t="s">
        <v>1636</v>
      </c>
      <c r="C172" s="37" t="s">
        <v>346</v>
      </c>
      <c r="D172" s="37" t="s">
        <v>245</v>
      </c>
      <c r="E172" s="37" t="s">
        <v>243</v>
      </c>
      <c r="F172" s="37"/>
      <c r="G172" s="37" t="s">
        <v>1636</v>
      </c>
      <c r="H172" s="37" t="s">
        <v>242</v>
      </c>
      <c r="I172" s="37" t="s">
        <v>356</v>
      </c>
      <c r="J172" s="37" t="s">
        <v>2679</v>
      </c>
    </row>
    <row r="173" spans="1:10" ht="28.8" x14ac:dyDescent="0.3">
      <c r="A173" s="38" t="s">
        <v>1642</v>
      </c>
      <c r="B173" s="38" t="s">
        <v>1640</v>
      </c>
      <c r="C173" s="38" t="s">
        <v>267</v>
      </c>
      <c r="D173" s="38" t="s">
        <v>245</v>
      </c>
      <c r="E173" s="38" t="s">
        <v>243</v>
      </c>
      <c r="F173" s="38"/>
      <c r="G173" s="38" t="s">
        <v>1640</v>
      </c>
      <c r="H173" s="38" t="s">
        <v>268</v>
      </c>
      <c r="I173" s="38" t="s">
        <v>277</v>
      </c>
      <c r="J173" s="38" t="s">
        <v>2679</v>
      </c>
    </row>
    <row r="174" spans="1:10" ht="28.8" x14ac:dyDescent="0.3">
      <c r="A174" s="37" t="s">
        <v>1642</v>
      </c>
      <c r="B174" s="37" t="s">
        <v>1640</v>
      </c>
      <c r="C174" s="37" t="s">
        <v>243</v>
      </c>
      <c r="D174" s="37" t="s">
        <v>245</v>
      </c>
      <c r="E174" s="37" t="s">
        <v>243</v>
      </c>
      <c r="F174" s="37"/>
      <c r="G174" s="37" t="s">
        <v>1640</v>
      </c>
      <c r="H174" s="37" t="s">
        <v>242</v>
      </c>
      <c r="I174" s="37" t="s">
        <v>316</v>
      </c>
      <c r="J174" s="37" t="s">
        <v>2679</v>
      </c>
    </row>
    <row r="175" spans="1:10" ht="28.8" x14ac:dyDescent="0.3">
      <c r="A175" s="38" t="s">
        <v>1642</v>
      </c>
      <c r="B175" s="38" t="s">
        <v>1640</v>
      </c>
      <c r="C175" s="38" t="s">
        <v>346</v>
      </c>
      <c r="D175" s="38" t="s">
        <v>245</v>
      </c>
      <c r="E175" s="38" t="s">
        <v>243</v>
      </c>
      <c r="F175" s="38"/>
      <c r="G175" s="38" t="s">
        <v>1640</v>
      </c>
      <c r="H175" s="38" t="s">
        <v>242</v>
      </c>
      <c r="I175" s="38" t="s">
        <v>356</v>
      </c>
      <c r="J175" s="38" t="s">
        <v>2679</v>
      </c>
    </row>
    <row r="176" spans="1:10" ht="28.8" x14ac:dyDescent="0.3">
      <c r="A176" s="37" t="s">
        <v>1645</v>
      </c>
      <c r="B176" s="37" t="s">
        <v>1644</v>
      </c>
      <c r="C176" s="37" t="s">
        <v>267</v>
      </c>
      <c r="D176" s="37" t="s">
        <v>245</v>
      </c>
      <c r="E176" s="37" t="s">
        <v>243</v>
      </c>
      <c r="F176" s="37"/>
      <c r="G176" s="37" t="s">
        <v>1644</v>
      </c>
      <c r="H176" s="37" t="s">
        <v>268</v>
      </c>
      <c r="I176" s="37" t="s">
        <v>277</v>
      </c>
      <c r="J176" s="37" t="s">
        <v>2679</v>
      </c>
    </row>
    <row r="177" spans="1:10" ht="28.8" x14ac:dyDescent="0.3">
      <c r="A177" s="38" t="s">
        <v>1645</v>
      </c>
      <c r="B177" s="38" t="s">
        <v>1644</v>
      </c>
      <c r="C177" s="38" t="s">
        <v>243</v>
      </c>
      <c r="D177" s="38" t="s">
        <v>245</v>
      </c>
      <c r="E177" s="38" t="s">
        <v>243</v>
      </c>
      <c r="F177" s="38"/>
      <c r="G177" s="38" t="s">
        <v>1644</v>
      </c>
      <c r="H177" s="38" t="s">
        <v>242</v>
      </c>
      <c r="I177" s="38" t="s">
        <v>316</v>
      </c>
      <c r="J177" s="38" t="s">
        <v>2679</v>
      </c>
    </row>
    <row r="178" spans="1:10" ht="28.8" x14ac:dyDescent="0.3">
      <c r="A178" s="37" t="s">
        <v>1645</v>
      </c>
      <c r="B178" s="37" t="s">
        <v>1644</v>
      </c>
      <c r="C178" s="37" t="s">
        <v>346</v>
      </c>
      <c r="D178" s="37" t="s">
        <v>245</v>
      </c>
      <c r="E178" s="37" t="s">
        <v>243</v>
      </c>
      <c r="F178" s="37"/>
      <c r="G178" s="37" t="s">
        <v>1644</v>
      </c>
      <c r="H178" s="37" t="s">
        <v>242</v>
      </c>
      <c r="I178" s="37" t="s">
        <v>356</v>
      </c>
      <c r="J178" s="37" t="s">
        <v>2679</v>
      </c>
    </row>
    <row r="179" spans="1:10" ht="43.2" x14ac:dyDescent="0.3">
      <c r="A179" s="38" t="s">
        <v>1649</v>
      </c>
      <c r="B179" s="38" t="s">
        <v>1647</v>
      </c>
      <c r="C179" s="38" t="s">
        <v>267</v>
      </c>
      <c r="D179" s="38" t="s">
        <v>245</v>
      </c>
      <c r="E179" s="38" t="s">
        <v>243</v>
      </c>
      <c r="F179" s="38"/>
      <c r="G179" s="38" t="s">
        <v>1647</v>
      </c>
      <c r="H179" s="38" t="s">
        <v>268</v>
      </c>
      <c r="I179" s="38" t="s">
        <v>277</v>
      </c>
      <c r="J179" s="38" t="s">
        <v>2679</v>
      </c>
    </row>
    <row r="180" spans="1:10" ht="43.2" x14ac:dyDescent="0.3">
      <c r="A180" s="37" t="s">
        <v>1649</v>
      </c>
      <c r="B180" s="37" t="s">
        <v>1647</v>
      </c>
      <c r="C180" s="37" t="s">
        <v>243</v>
      </c>
      <c r="D180" s="37" t="s">
        <v>245</v>
      </c>
      <c r="E180" s="37" t="s">
        <v>243</v>
      </c>
      <c r="F180" s="37"/>
      <c r="G180" s="37" t="s">
        <v>1647</v>
      </c>
      <c r="H180" s="37" t="s">
        <v>242</v>
      </c>
      <c r="I180" s="37" t="s">
        <v>316</v>
      </c>
      <c r="J180" s="37" t="s">
        <v>2679</v>
      </c>
    </row>
    <row r="181" spans="1:10" ht="43.2" x14ac:dyDescent="0.3">
      <c r="A181" s="38" t="s">
        <v>1649</v>
      </c>
      <c r="B181" s="38" t="s">
        <v>1647</v>
      </c>
      <c r="C181" s="38" t="s">
        <v>346</v>
      </c>
      <c r="D181" s="38" t="s">
        <v>245</v>
      </c>
      <c r="E181" s="38" t="s">
        <v>243</v>
      </c>
      <c r="F181" s="38"/>
      <c r="G181" s="38" t="s">
        <v>1647</v>
      </c>
      <c r="H181" s="38" t="s">
        <v>242</v>
      </c>
      <c r="I181" s="38" t="s">
        <v>356</v>
      </c>
      <c r="J181" s="38" t="s">
        <v>2679</v>
      </c>
    </row>
    <row r="182" spans="1:10" ht="28.8" x14ac:dyDescent="0.3">
      <c r="A182" s="37" t="s">
        <v>1652</v>
      </c>
      <c r="B182" s="37" t="s">
        <v>1651</v>
      </c>
      <c r="C182" s="37" t="s">
        <v>267</v>
      </c>
      <c r="D182" s="37" t="s">
        <v>245</v>
      </c>
      <c r="E182" s="37" t="s">
        <v>243</v>
      </c>
      <c r="F182" s="37"/>
      <c r="G182" s="37" t="s">
        <v>1651</v>
      </c>
      <c r="H182" s="37" t="s">
        <v>268</v>
      </c>
      <c r="I182" s="37" t="s">
        <v>277</v>
      </c>
      <c r="J182" s="37" t="s">
        <v>2679</v>
      </c>
    </row>
    <row r="183" spans="1:10" ht="28.8" x14ac:dyDescent="0.3">
      <c r="A183" s="38" t="s">
        <v>1652</v>
      </c>
      <c r="B183" s="38" t="s">
        <v>1651</v>
      </c>
      <c r="C183" s="38" t="s">
        <v>243</v>
      </c>
      <c r="D183" s="38" t="s">
        <v>245</v>
      </c>
      <c r="E183" s="38" t="s">
        <v>243</v>
      </c>
      <c r="F183" s="38"/>
      <c r="G183" s="38" t="s">
        <v>1651</v>
      </c>
      <c r="H183" s="38" t="s">
        <v>242</v>
      </c>
      <c r="I183" s="38" t="s">
        <v>316</v>
      </c>
      <c r="J183" s="38" t="s">
        <v>2679</v>
      </c>
    </row>
    <row r="184" spans="1:10" ht="28.8" x14ac:dyDescent="0.3">
      <c r="A184" s="37" t="s">
        <v>1652</v>
      </c>
      <c r="B184" s="37" t="s">
        <v>1651</v>
      </c>
      <c r="C184" s="37" t="s">
        <v>346</v>
      </c>
      <c r="D184" s="37" t="s">
        <v>245</v>
      </c>
      <c r="E184" s="37" t="s">
        <v>243</v>
      </c>
      <c r="F184" s="37"/>
      <c r="G184" s="37" t="s">
        <v>1651</v>
      </c>
      <c r="H184" s="37" t="s">
        <v>242</v>
      </c>
      <c r="I184" s="37" t="s">
        <v>356</v>
      </c>
      <c r="J184" s="37" t="s">
        <v>2679</v>
      </c>
    </row>
    <row r="185" spans="1:10" ht="28.8" x14ac:dyDescent="0.3">
      <c r="A185" s="38" t="s">
        <v>1655</v>
      </c>
      <c r="B185" s="38" t="s">
        <v>1654</v>
      </c>
      <c r="C185" s="38" t="s">
        <v>267</v>
      </c>
      <c r="D185" s="38" t="s">
        <v>245</v>
      </c>
      <c r="E185" s="38" t="s">
        <v>243</v>
      </c>
      <c r="F185" s="38"/>
      <c r="G185" s="38" t="s">
        <v>1654</v>
      </c>
      <c r="H185" s="38" t="s">
        <v>268</v>
      </c>
      <c r="I185" s="38" t="s">
        <v>277</v>
      </c>
      <c r="J185" s="38" t="s">
        <v>2679</v>
      </c>
    </row>
    <row r="186" spans="1:10" ht="28.8" x14ac:dyDescent="0.3">
      <c r="A186" s="37" t="s">
        <v>1655</v>
      </c>
      <c r="B186" s="37" t="s">
        <v>1654</v>
      </c>
      <c r="C186" s="37" t="s">
        <v>243</v>
      </c>
      <c r="D186" s="37" t="s">
        <v>245</v>
      </c>
      <c r="E186" s="37" t="s">
        <v>243</v>
      </c>
      <c r="F186" s="37"/>
      <c r="G186" s="37" t="s">
        <v>1654</v>
      </c>
      <c r="H186" s="37" t="s">
        <v>242</v>
      </c>
      <c r="I186" s="37" t="s">
        <v>316</v>
      </c>
      <c r="J186" s="37" t="s">
        <v>2679</v>
      </c>
    </row>
    <row r="187" spans="1:10" ht="28.8" x14ac:dyDescent="0.3">
      <c r="A187" s="38" t="s">
        <v>1655</v>
      </c>
      <c r="B187" s="38" t="s">
        <v>1654</v>
      </c>
      <c r="C187" s="38" t="s">
        <v>346</v>
      </c>
      <c r="D187" s="38" t="s">
        <v>245</v>
      </c>
      <c r="E187" s="38" t="s">
        <v>243</v>
      </c>
      <c r="F187" s="38"/>
      <c r="G187" s="38" t="s">
        <v>1654</v>
      </c>
      <c r="H187" s="38" t="s">
        <v>242</v>
      </c>
      <c r="I187" s="38" t="s">
        <v>356</v>
      </c>
      <c r="J187" s="38" t="s">
        <v>2679</v>
      </c>
    </row>
    <row r="188" spans="1:10" ht="28.8" x14ac:dyDescent="0.3">
      <c r="A188" s="37" t="s">
        <v>1658</v>
      </c>
      <c r="B188" s="37" t="s">
        <v>1657</v>
      </c>
      <c r="C188" s="37" t="s">
        <v>267</v>
      </c>
      <c r="D188" s="37" t="s">
        <v>245</v>
      </c>
      <c r="E188" s="37" t="s">
        <v>243</v>
      </c>
      <c r="F188" s="37"/>
      <c r="G188" s="37" t="s">
        <v>1657</v>
      </c>
      <c r="H188" s="37" t="s">
        <v>268</v>
      </c>
      <c r="I188" s="37" t="s">
        <v>277</v>
      </c>
      <c r="J188" s="37" t="s">
        <v>2679</v>
      </c>
    </row>
    <row r="189" spans="1:10" ht="28.8" x14ac:dyDescent="0.3">
      <c r="A189" s="38" t="s">
        <v>1658</v>
      </c>
      <c r="B189" s="38" t="s">
        <v>1657</v>
      </c>
      <c r="C189" s="38" t="s">
        <v>243</v>
      </c>
      <c r="D189" s="38" t="s">
        <v>245</v>
      </c>
      <c r="E189" s="38" t="s">
        <v>243</v>
      </c>
      <c r="F189" s="38"/>
      <c r="G189" s="38" t="s">
        <v>1657</v>
      </c>
      <c r="H189" s="38" t="s">
        <v>242</v>
      </c>
      <c r="I189" s="38" t="s">
        <v>316</v>
      </c>
      <c r="J189" s="38" t="s">
        <v>2679</v>
      </c>
    </row>
    <row r="190" spans="1:10" ht="28.8" x14ac:dyDescent="0.3">
      <c r="A190" s="37" t="s">
        <v>1658</v>
      </c>
      <c r="B190" s="37" t="s">
        <v>1657</v>
      </c>
      <c r="C190" s="37" t="s">
        <v>346</v>
      </c>
      <c r="D190" s="37" t="s">
        <v>245</v>
      </c>
      <c r="E190" s="37" t="s">
        <v>243</v>
      </c>
      <c r="F190" s="37"/>
      <c r="G190" s="37" t="s">
        <v>1657</v>
      </c>
      <c r="H190" s="37" t="s">
        <v>242</v>
      </c>
      <c r="I190" s="37" t="s">
        <v>356</v>
      </c>
      <c r="J190" s="37" t="s">
        <v>2679</v>
      </c>
    </row>
    <row r="191" spans="1:10" ht="28.8" x14ac:dyDescent="0.3">
      <c r="A191" s="38" t="s">
        <v>1661</v>
      </c>
      <c r="B191" s="38" t="s">
        <v>1660</v>
      </c>
      <c r="C191" s="38" t="s">
        <v>267</v>
      </c>
      <c r="D191" s="38" t="s">
        <v>245</v>
      </c>
      <c r="E191" s="38" t="s">
        <v>243</v>
      </c>
      <c r="F191" s="38"/>
      <c r="G191" s="38" t="s">
        <v>1660</v>
      </c>
      <c r="H191" s="38" t="s">
        <v>268</v>
      </c>
      <c r="I191" s="38" t="s">
        <v>277</v>
      </c>
      <c r="J191" s="38" t="s">
        <v>2679</v>
      </c>
    </row>
    <row r="192" spans="1:10" ht="28.8" x14ac:dyDescent="0.3">
      <c r="A192" s="37" t="s">
        <v>1661</v>
      </c>
      <c r="B192" s="37" t="s">
        <v>1660</v>
      </c>
      <c r="C192" s="37" t="s">
        <v>243</v>
      </c>
      <c r="D192" s="37" t="s">
        <v>245</v>
      </c>
      <c r="E192" s="37" t="s">
        <v>243</v>
      </c>
      <c r="F192" s="37"/>
      <c r="G192" s="37" t="s">
        <v>1660</v>
      </c>
      <c r="H192" s="37" t="s">
        <v>242</v>
      </c>
      <c r="I192" s="37" t="s">
        <v>316</v>
      </c>
      <c r="J192" s="37" t="s">
        <v>2679</v>
      </c>
    </row>
    <row r="193" spans="1:10" ht="28.8" x14ac:dyDescent="0.3">
      <c r="A193" s="38" t="s">
        <v>1661</v>
      </c>
      <c r="B193" s="38" t="s">
        <v>1660</v>
      </c>
      <c r="C193" s="38" t="s">
        <v>346</v>
      </c>
      <c r="D193" s="38" t="s">
        <v>245</v>
      </c>
      <c r="E193" s="38" t="s">
        <v>243</v>
      </c>
      <c r="F193" s="38"/>
      <c r="G193" s="38" t="s">
        <v>1660</v>
      </c>
      <c r="H193" s="38" t="s">
        <v>242</v>
      </c>
      <c r="I193" s="38" t="s">
        <v>356</v>
      </c>
      <c r="J193" s="38" t="s">
        <v>2679</v>
      </c>
    </row>
    <row r="194" spans="1:10" ht="28.8" x14ac:dyDescent="0.3">
      <c r="A194" s="37" t="s">
        <v>1664</v>
      </c>
      <c r="B194" s="37" t="s">
        <v>1660</v>
      </c>
      <c r="C194" s="37" t="s">
        <v>267</v>
      </c>
      <c r="D194" s="37" t="s">
        <v>245</v>
      </c>
      <c r="E194" s="37" t="s">
        <v>243</v>
      </c>
      <c r="F194" s="37"/>
      <c r="G194" s="37" t="s">
        <v>1660</v>
      </c>
      <c r="H194" s="37" t="s">
        <v>268</v>
      </c>
      <c r="I194" s="37" t="s">
        <v>277</v>
      </c>
      <c r="J194" s="37" t="s">
        <v>2679</v>
      </c>
    </row>
    <row r="195" spans="1:10" ht="28.8" x14ac:dyDescent="0.3">
      <c r="A195" s="38" t="s">
        <v>1664</v>
      </c>
      <c r="B195" s="38" t="s">
        <v>1660</v>
      </c>
      <c r="C195" s="38" t="s">
        <v>243</v>
      </c>
      <c r="D195" s="38" t="s">
        <v>245</v>
      </c>
      <c r="E195" s="38" t="s">
        <v>243</v>
      </c>
      <c r="F195" s="38"/>
      <c r="G195" s="38" t="s">
        <v>1660</v>
      </c>
      <c r="H195" s="38" t="s">
        <v>242</v>
      </c>
      <c r="I195" s="38" t="s">
        <v>316</v>
      </c>
      <c r="J195" s="38" t="s">
        <v>2679</v>
      </c>
    </row>
    <row r="196" spans="1:10" ht="28.8" x14ac:dyDescent="0.3">
      <c r="A196" s="37" t="s">
        <v>1664</v>
      </c>
      <c r="B196" s="37" t="s">
        <v>1660</v>
      </c>
      <c r="C196" s="37" t="s">
        <v>346</v>
      </c>
      <c r="D196" s="37" t="s">
        <v>245</v>
      </c>
      <c r="E196" s="37" t="s">
        <v>243</v>
      </c>
      <c r="F196" s="37"/>
      <c r="G196" s="37" t="s">
        <v>1660</v>
      </c>
      <c r="H196" s="37" t="s">
        <v>242</v>
      </c>
      <c r="I196" s="37" t="s">
        <v>356</v>
      </c>
      <c r="J196" s="37" t="s">
        <v>2679</v>
      </c>
    </row>
    <row r="197" spans="1:10" ht="28.8" x14ac:dyDescent="0.3">
      <c r="A197" s="38" t="s">
        <v>1668</v>
      </c>
      <c r="B197" s="38" t="s">
        <v>1666</v>
      </c>
      <c r="C197" s="38" t="s">
        <v>267</v>
      </c>
      <c r="D197" s="38" t="s">
        <v>245</v>
      </c>
      <c r="E197" s="38" t="s">
        <v>243</v>
      </c>
      <c r="F197" s="38"/>
      <c r="G197" s="38" t="s">
        <v>1666</v>
      </c>
      <c r="H197" s="38" t="s">
        <v>268</v>
      </c>
      <c r="I197" s="38" t="s">
        <v>277</v>
      </c>
      <c r="J197" s="38" t="s">
        <v>2679</v>
      </c>
    </row>
    <row r="198" spans="1:10" ht="28.8" x14ac:dyDescent="0.3">
      <c r="A198" s="37" t="s">
        <v>1668</v>
      </c>
      <c r="B198" s="37" t="s">
        <v>1666</v>
      </c>
      <c r="C198" s="37" t="s">
        <v>243</v>
      </c>
      <c r="D198" s="37" t="s">
        <v>245</v>
      </c>
      <c r="E198" s="37" t="s">
        <v>243</v>
      </c>
      <c r="F198" s="37"/>
      <c r="G198" s="37" t="s">
        <v>1666</v>
      </c>
      <c r="H198" s="37" t="s">
        <v>242</v>
      </c>
      <c r="I198" s="37" t="s">
        <v>316</v>
      </c>
      <c r="J198" s="37" t="s">
        <v>2679</v>
      </c>
    </row>
    <row r="199" spans="1:10" ht="28.8" x14ac:dyDescent="0.3">
      <c r="A199" s="38" t="s">
        <v>1668</v>
      </c>
      <c r="B199" s="38" t="s">
        <v>1666</v>
      </c>
      <c r="C199" s="38" t="s">
        <v>346</v>
      </c>
      <c r="D199" s="38" t="s">
        <v>245</v>
      </c>
      <c r="E199" s="38" t="s">
        <v>243</v>
      </c>
      <c r="F199" s="38"/>
      <c r="G199" s="38" t="s">
        <v>1666</v>
      </c>
      <c r="H199" s="38" t="s">
        <v>242</v>
      </c>
      <c r="I199" s="38" t="s">
        <v>356</v>
      </c>
      <c r="J199" s="38" t="s">
        <v>2679</v>
      </c>
    </row>
    <row r="200" spans="1:10" ht="28.8" x14ac:dyDescent="0.3">
      <c r="A200" s="37" t="s">
        <v>1672</v>
      </c>
      <c r="B200" s="37" t="s">
        <v>1670</v>
      </c>
      <c r="C200" s="37" t="s">
        <v>267</v>
      </c>
      <c r="D200" s="37" t="s">
        <v>245</v>
      </c>
      <c r="E200" s="37" t="s">
        <v>243</v>
      </c>
      <c r="F200" s="37"/>
      <c r="G200" s="37" t="s">
        <v>1670</v>
      </c>
      <c r="H200" s="37" t="s">
        <v>268</v>
      </c>
      <c r="I200" s="37" t="s">
        <v>277</v>
      </c>
      <c r="J200" s="37" t="s">
        <v>2679</v>
      </c>
    </row>
    <row r="201" spans="1:10" ht="28.8" x14ac:dyDescent="0.3">
      <c r="A201" s="38" t="s">
        <v>1672</v>
      </c>
      <c r="B201" s="38" t="s">
        <v>1670</v>
      </c>
      <c r="C201" s="38" t="s">
        <v>243</v>
      </c>
      <c r="D201" s="38" t="s">
        <v>245</v>
      </c>
      <c r="E201" s="38" t="s">
        <v>243</v>
      </c>
      <c r="F201" s="38"/>
      <c r="G201" s="38" t="s">
        <v>1670</v>
      </c>
      <c r="H201" s="38" t="s">
        <v>242</v>
      </c>
      <c r="I201" s="38" t="s">
        <v>316</v>
      </c>
      <c r="J201" s="38" t="s">
        <v>2679</v>
      </c>
    </row>
    <row r="202" spans="1:10" ht="28.8" x14ac:dyDescent="0.3">
      <c r="A202" s="37" t="s">
        <v>1672</v>
      </c>
      <c r="B202" s="37" t="s">
        <v>1670</v>
      </c>
      <c r="C202" s="37" t="s">
        <v>346</v>
      </c>
      <c r="D202" s="37" t="s">
        <v>245</v>
      </c>
      <c r="E202" s="37" t="s">
        <v>243</v>
      </c>
      <c r="F202" s="37"/>
      <c r="G202" s="37" t="s">
        <v>1670</v>
      </c>
      <c r="H202" s="37" t="s">
        <v>242</v>
      </c>
      <c r="I202" s="37" t="s">
        <v>356</v>
      </c>
      <c r="J202" s="37" t="s">
        <v>2679</v>
      </c>
    </row>
    <row r="203" spans="1:10" ht="28.8" x14ac:dyDescent="0.3">
      <c r="A203" s="38" t="s">
        <v>1676</v>
      </c>
      <c r="B203" s="38" t="s">
        <v>1674</v>
      </c>
      <c r="C203" s="38" t="s">
        <v>267</v>
      </c>
      <c r="D203" s="38" t="s">
        <v>245</v>
      </c>
      <c r="E203" s="38" t="s">
        <v>243</v>
      </c>
      <c r="F203" s="38"/>
      <c r="G203" s="38" t="s">
        <v>1674</v>
      </c>
      <c r="H203" s="38" t="s">
        <v>268</v>
      </c>
      <c r="I203" s="38" t="s">
        <v>277</v>
      </c>
      <c r="J203" s="38" t="s">
        <v>2679</v>
      </c>
    </row>
    <row r="204" spans="1:10" ht="28.8" x14ac:dyDescent="0.3">
      <c r="A204" s="37" t="s">
        <v>1676</v>
      </c>
      <c r="B204" s="37" t="s">
        <v>1674</v>
      </c>
      <c r="C204" s="37" t="s">
        <v>243</v>
      </c>
      <c r="D204" s="37" t="s">
        <v>245</v>
      </c>
      <c r="E204" s="37" t="s">
        <v>243</v>
      </c>
      <c r="F204" s="37"/>
      <c r="G204" s="37" t="s">
        <v>1674</v>
      </c>
      <c r="H204" s="37" t="s">
        <v>242</v>
      </c>
      <c r="I204" s="37" t="s">
        <v>316</v>
      </c>
      <c r="J204" s="37" t="s">
        <v>2679</v>
      </c>
    </row>
    <row r="205" spans="1:10" ht="28.8" x14ac:dyDescent="0.3">
      <c r="A205" s="38" t="s">
        <v>1676</v>
      </c>
      <c r="B205" s="38" t="s">
        <v>1674</v>
      </c>
      <c r="C205" s="38" t="s">
        <v>346</v>
      </c>
      <c r="D205" s="38" t="s">
        <v>245</v>
      </c>
      <c r="E205" s="38" t="s">
        <v>243</v>
      </c>
      <c r="F205" s="38"/>
      <c r="G205" s="38" t="s">
        <v>1674</v>
      </c>
      <c r="H205" s="38" t="s">
        <v>242</v>
      </c>
      <c r="I205" s="38" t="s">
        <v>356</v>
      </c>
      <c r="J205" s="38" t="s">
        <v>2679</v>
      </c>
    </row>
    <row r="206" spans="1:10" ht="28.8" x14ac:dyDescent="0.3">
      <c r="A206" s="37" t="s">
        <v>1679</v>
      </c>
      <c r="B206" s="37" t="s">
        <v>1678</v>
      </c>
      <c r="C206" s="37" t="s">
        <v>267</v>
      </c>
      <c r="D206" s="37" t="s">
        <v>245</v>
      </c>
      <c r="E206" s="37" t="s">
        <v>243</v>
      </c>
      <c r="F206" s="37"/>
      <c r="G206" s="37" t="s">
        <v>1678</v>
      </c>
      <c r="H206" s="37" t="s">
        <v>268</v>
      </c>
      <c r="I206" s="37" t="s">
        <v>277</v>
      </c>
      <c r="J206" s="37" t="s">
        <v>2679</v>
      </c>
    </row>
    <row r="207" spans="1:10" ht="28.8" x14ac:dyDescent="0.3">
      <c r="A207" s="38" t="s">
        <v>1679</v>
      </c>
      <c r="B207" s="38" t="s">
        <v>1678</v>
      </c>
      <c r="C207" s="38" t="s">
        <v>243</v>
      </c>
      <c r="D207" s="38" t="s">
        <v>245</v>
      </c>
      <c r="E207" s="38" t="s">
        <v>243</v>
      </c>
      <c r="F207" s="38"/>
      <c r="G207" s="38" t="s">
        <v>1678</v>
      </c>
      <c r="H207" s="38" t="s">
        <v>242</v>
      </c>
      <c r="I207" s="38" t="s">
        <v>316</v>
      </c>
      <c r="J207" s="38" t="s">
        <v>2679</v>
      </c>
    </row>
    <row r="208" spans="1:10" ht="28.8" x14ac:dyDescent="0.3">
      <c r="A208" s="37" t="s">
        <v>1679</v>
      </c>
      <c r="B208" s="37" t="s">
        <v>1678</v>
      </c>
      <c r="C208" s="37" t="s">
        <v>346</v>
      </c>
      <c r="D208" s="37" t="s">
        <v>245</v>
      </c>
      <c r="E208" s="37" t="s">
        <v>243</v>
      </c>
      <c r="F208" s="37"/>
      <c r="G208" s="37" t="s">
        <v>1678</v>
      </c>
      <c r="H208" s="37" t="s">
        <v>242</v>
      </c>
      <c r="I208" s="37" t="s">
        <v>356</v>
      </c>
      <c r="J208" s="37" t="s">
        <v>2679</v>
      </c>
    </row>
    <row r="209" spans="1:10" ht="28.8" x14ac:dyDescent="0.3">
      <c r="A209" s="38" t="s">
        <v>1682</v>
      </c>
      <c r="B209" s="38" t="s">
        <v>1681</v>
      </c>
      <c r="C209" s="38" t="s">
        <v>267</v>
      </c>
      <c r="D209" s="38" t="s">
        <v>245</v>
      </c>
      <c r="E209" s="38" t="s">
        <v>243</v>
      </c>
      <c r="F209" s="38"/>
      <c r="G209" s="38" t="s">
        <v>1681</v>
      </c>
      <c r="H209" s="38" t="s">
        <v>268</v>
      </c>
      <c r="I209" s="38" t="s">
        <v>277</v>
      </c>
      <c r="J209" s="38" t="s">
        <v>2679</v>
      </c>
    </row>
    <row r="210" spans="1:10" ht="28.8" x14ac:dyDescent="0.3">
      <c r="A210" s="37" t="s">
        <v>1682</v>
      </c>
      <c r="B210" s="37" t="s">
        <v>1681</v>
      </c>
      <c r="C210" s="37" t="s">
        <v>243</v>
      </c>
      <c r="D210" s="37" t="s">
        <v>245</v>
      </c>
      <c r="E210" s="37" t="s">
        <v>243</v>
      </c>
      <c r="F210" s="37"/>
      <c r="G210" s="37" t="s">
        <v>1681</v>
      </c>
      <c r="H210" s="37" t="s">
        <v>242</v>
      </c>
      <c r="I210" s="37" t="s">
        <v>316</v>
      </c>
      <c r="J210" s="37" t="s">
        <v>2679</v>
      </c>
    </row>
    <row r="211" spans="1:10" ht="28.8" x14ac:dyDescent="0.3">
      <c r="A211" s="38" t="s">
        <v>1682</v>
      </c>
      <c r="B211" s="38" t="s">
        <v>1681</v>
      </c>
      <c r="C211" s="38" t="s">
        <v>346</v>
      </c>
      <c r="D211" s="38" t="s">
        <v>245</v>
      </c>
      <c r="E211" s="38" t="s">
        <v>243</v>
      </c>
      <c r="F211" s="38"/>
      <c r="G211" s="38" t="s">
        <v>1681</v>
      </c>
      <c r="H211" s="38" t="s">
        <v>242</v>
      </c>
      <c r="I211" s="38" t="s">
        <v>356</v>
      </c>
      <c r="J211" s="38" t="s">
        <v>2679</v>
      </c>
    </row>
    <row r="212" spans="1:10" ht="28.8" x14ac:dyDescent="0.3">
      <c r="A212" s="37" t="s">
        <v>1686</v>
      </c>
      <c r="B212" s="37" t="s">
        <v>1684</v>
      </c>
      <c r="C212" s="37" t="s">
        <v>267</v>
      </c>
      <c r="D212" s="37" t="s">
        <v>245</v>
      </c>
      <c r="E212" s="37" t="s">
        <v>243</v>
      </c>
      <c r="F212" s="37"/>
      <c r="G212" s="37" t="s">
        <v>1684</v>
      </c>
      <c r="H212" s="37" t="s">
        <v>268</v>
      </c>
      <c r="I212" s="37" t="s">
        <v>277</v>
      </c>
      <c r="J212" s="37" t="s">
        <v>2679</v>
      </c>
    </row>
    <row r="213" spans="1:10" ht="28.8" x14ac:dyDescent="0.3">
      <c r="A213" s="38" t="s">
        <v>1686</v>
      </c>
      <c r="B213" s="38" t="s">
        <v>1684</v>
      </c>
      <c r="C213" s="38" t="s">
        <v>243</v>
      </c>
      <c r="D213" s="38" t="s">
        <v>245</v>
      </c>
      <c r="E213" s="38" t="s">
        <v>243</v>
      </c>
      <c r="F213" s="38"/>
      <c r="G213" s="38" t="s">
        <v>1684</v>
      </c>
      <c r="H213" s="38" t="s">
        <v>242</v>
      </c>
      <c r="I213" s="38" t="s">
        <v>316</v>
      </c>
      <c r="J213" s="38" t="s">
        <v>2679</v>
      </c>
    </row>
    <row r="214" spans="1:10" ht="28.8" x14ac:dyDescent="0.3">
      <c r="A214" s="37" t="s">
        <v>1686</v>
      </c>
      <c r="B214" s="37" t="s">
        <v>1684</v>
      </c>
      <c r="C214" s="37" t="s">
        <v>346</v>
      </c>
      <c r="D214" s="37" t="s">
        <v>245</v>
      </c>
      <c r="E214" s="37" t="s">
        <v>243</v>
      </c>
      <c r="F214" s="37"/>
      <c r="G214" s="37" t="s">
        <v>1684</v>
      </c>
      <c r="H214" s="37" t="s">
        <v>242</v>
      </c>
      <c r="I214" s="37" t="s">
        <v>356</v>
      </c>
      <c r="J214" s="37" t="s">
        <v>2679</v>
      </c>
    </row>
    <row r="215" spans="1:10" ht="28.8" x14ac:dyDescent="0.3">
      <c r="A215" s="38" t="s">
        <v>1689</v>
      </c>
      <c r="B215" s="38" t="s">
        <v>1688</v>
      </c>
      <c r="C215" s="38" t="s">
        <v>267</v>
      </c>
      <c r="D215" s="38" t="s">
        <v>245</v>
      </c>
      <c r="E215" s="38" t="s">
        <v>243</v>
      </c>
      <c r="F215" s="38"/>
      <c r="G215" s="38" t="s">
        <v>1688</v>
      </c>
      <c r="H215" s="38" t="s">
        <v>268</v>
      </c>
      <c r="I215" s="38" t="s">
        <v>277</v>
      </c>
      <c r="J215" s="38" t="s">
        <v>2679</v>
      </c>
    </row>
    <row r="216" spans="1:10" ht="28.8" x14ac:dyDescent="0.3">
      <c r="A216" s="37" t="s">
        <v>1689</v>
      </c>
      <c r="B216" s="37" t="s">
        <v>1688</v>
      </c>
      <c r="C216" s="37" t="s">
        <v>243</v>
      </c>
      <c r="D216" s="37" t="s">
        <v>245</v>
      </c>
      <c r="E216" s="37" t="s">
        <v>243</v>
      </c>
      <c r="F216" s="37"/>
      <c r="G216" s="37" t="s">
        <v>1688</v>
      </c>
      <c r="H216" s="37" t="s">
        <v>242</v>
      </c>
      <c r="I216" s="37" t="s">
        <v>316</v>
      </c>
      <c r="J216" s="37" t="s">
        <v>2679</v>
      </c>
    </row>
    <row r="217" spans="1:10" ht="28.8" x14ac:dyDescent="0.3">
      <c r="A217" s="38" t="s">
        <v>1689</v>
      </c>
      <c r="B217" s="38" t="s">
        <v>1688</v>
      </c>
      <c r="C217" s="38" t="s">
        <v>346</v>
      </c>
      <c r="D217" s="38" t="s">
        <v>245</v>
      </c>
      <c r="E217" s="38" t="s">
        <v>243</v>
      </c>
      <c r="F217" s="38"/>
      <c r="G217" s="38" t="s">
        <v>1688</v>
      </c>
      <c r="H217" s="38" t="s">
        <v>242</v>
      </c>
      <c r="I217" s="38" t="s">
        <v>356</v>
      </c>
      <c r="J217" s="38" t="s">
        <v>2679</v>
      </c>
    </row>
    <row r="218" spans="1:10" ht="28.8" x14ac:dyDescent="0.3">
      <c r="A218" s="37" t="s">
        <v>1693</v>
      </c>
      <c r="B218" s="37" t="s">
        <v>1691</v>
      </c>
      <c r="C218" s="37" t="s">
        <v>267</v>
      </c>
      <c r="D218" s="37" t="s">
        <v>245</v>
      </c>
      <c r="E218" s="37" t="s">
        <v>243</v>
      </c>
      <c r="F218" s="37"/>
      <c r="G218" s="37" t="s">
        <v>1691</v>
      </c>
      <c r="H218" s="37" t="s">
        <v>268</v>
      </c>
      <c r="I218" s="37" t="s">
        <v>277</v>
      </c>
      <c r="J218" s="37" t="s">
        <v>2679</v>
      </c>
    </row>
    <row r="219" spans="1:10" ht="28.8" x14ac:dyDescent="0.3">
      <c r="A219" s="38" t="s">
        <v>1693</v>
      </c>
      <c r="B219" s="38" t="s">
        <v>1691</v>
      </c>
      <c r="C219" s="38" t="s">
        <v>243</v>
      </c>
      <c r="D219" s="38" t="s">
        <v>245</v>
      </c>
      <c r="E219" s="38" t="s">
        <v>243</v>
      </c>
      <c r="F219" s="38"/>
      <c r="G219" s="38" t="s">
        <v>1691</v>
      </c>
      <c r="H219" s="38" t="s">
        <v>242</v>
      </c>
      <c r="I219" s="38" t="s">
        <v>316</v>
      </c>
      <c r="J219" s="38" t="s">
        <v>2679</v>
      </c>
    </row>
    <row r="220" spans="1:10" ht="28.8" x14ac:dyDescent="0.3">
      <c r="A220" s="37" t="s">
        <v>1693</v>
      </c>
      <c r="B220" s="37" t="s">
        <v>1691</v>
      </c>
      <c r="C220" s="37" t="s">
        <v>346</v>
      </c>
      <c r="D220" s="37" t="s">
        <v>245</v>
      </c>
      <c r="E220" s="37" t="s">
        <v>243</v>
      </c>
      <c r="F220" s="37"/>
      <c r="G220" s="37" t="s">
        <v>1691</v>
      </c>
      <c r="H220" s="37" t="s">
        <v>242</v>
      </c>
      <c r="I220" s="37" t="s">
        <v>356</v>
      </c>
      <c r="J220" s="37" t="s">
        <v>2679</v>
      </c>
    </row>
    <row r="221" spans="1:10" ht="28.8" x14ac:dyDescent="0.3">
      <c r="A221" s="38" t="s">
        <v>1697</v>
      </c>
      <c r="B221" s="38" t="s">
        <v>1695</v>
      </c>
      <c r="C221" s="38" t="s">
        <v>267</v>
      </c>
      <c r="D221" s="38" t="s">
        <v>245</v>
      </c>
      <c r="E221" s="38" t="s">
        <v>243</v>
      </c>
      <c r="F221" s="38"/>
      <c r="G221" s="38" t="s">
        <v>1695</v>
      </c>
      <c r="H221" s="38" t="s">
        <v>268</v>
      </c>
      <c r="I221" s="38" t="s">
        <v>277</v>
      </c>
      <c r="J221" s="38" t="s">
        <v>2679</v>
      </c>
    </row>
    <row r="222" spans="1:10" ht="28.8" x14ac:dyDescent="0.3">
      <c r="A222" s="37" t="s">
        <v>1697</v>
      </c>
      <c r="B222" s="37" t="s">
        <v>1695</v>
      </c>
      <c r="C222" s="37" t="s">
        <v>243</v>
      </c>
      <c r="D222" s="37" t="s">
        <v>245</v>
      </c>
      <c r="E222" s="37" t="s">
        <v>243</v>
      </c>
      <c r="F222" s="37"/>
      <c r="G222" s="37" t="s">
        <v>1695</v>
      </c>
      <c r="H222" s="37" t="s">
        <v>242</v>
      </c>
      <c r="I222" s="37" t="s">
        <v>316</v>
      </c>
      <c r="J222" s="37" t="s">
        <v>2679</v>
      </c>
    </row>
    <row r="223" spans="1:10" ht="28.8" x14ac:dyDescent="0.3">
      <c r="A223" s="38" t="s">
        <v>1697</v>
      </c>
      <c r="B223" s="38" t="s">
        <v>1695</v>
      </c>
      <c r="C223" s="38" t="s">
        <v>346</v>
      </c>
      <c r="D223" s="38" t="s">
        <v>245</v>
      </c>
      <c r="E223" s="38" t="s">
        <v>243</v>
      </c>
      <c r="F223" s="38"/>
      <c r="G223" s="38" t="s">
        <v>1695</v>
      </c>
      <c r="H223" s="38" t="s">
        <v>242</v>
      </c>
      <c r="I223" s="38" t="s">
        <v>356</v>
      </c>
      <c r="J223" s="38" t="s">
        <v>2679</v>
      </c>
    </row>
    <row r="224" spans="1:10" ht="28.8" x14ac:dyDescent="0.3">
      <c r="A224" s="37" t="s">
        <v>1701</v>
      </c>
      <c r="B224" s="37" t="s">
        <v>1700</v>
      </c>
      <c r="C224" s="37" t="s">
        <v>267</v>
      </c>
      <c r="D224" s="37" t="s">
        <v>245</v>
      </c>
      <c r="E224" s="37" t="s">
        <v>243</v>
      </c>
      <c r="F224" s="37"/>
      <c r="G224" s="37" t="s">
        <v>1700</v>
      </c>
      <c r="H224" s="37" t="s">
        <v>268</v>
      </c>
      <c r="I224" s="37" t="s">
        <v>277</v>
      </c>
      <c r="J224" s="37" t="s">
        <v>2679</v>
      </c>
    </row>
    <row r="225" spans="1:10" ht="28.8" x14ac:dyDescent="0.3">
      <c r="A225" s="38" t="s">
        <v>1701</v>
      </c>
      <c r="B225" s="38" t="s">
        <v>1700</v>
      </c>
      <c r="C225" s="38" t="s">
        <v>243</v>
      </c>
      <c r="D225" s="38" t="s">
        <v>245</v>
      </c>
      <c r="E225" s="38" t="s">
        <v>243</v>
      </c>
      <c r="F225" s="38"/>
      <c r="G225" s="38" t="s">
        <v>1700</v>
      </c>
      <c r="H225" s="38" t="s">
        <v>242</v>
      </c>
      <c r="I225" s="38" t="s">
        <v>316</v>
      </c>
      <c r="J225" s="38" t="s">
        <v>2679</v>
      </c>
    </row>
    <row r="226" spans="1:10" ht="28.8" x14ac:dyDescent="0.3">
      <c r="A226" s="37" t="s">
        <v>1701</v>
      </c>
      <c r="B226" s="37" t="s">
        <v>1700</v>
      </c>
      <c r="C226" s="37" t="s">
        <v>346</v>
      </c>
      <c r="D226" s="37" t="s">
        <v>245</v>
      </c>
      <c r="E226" s="37" t="s">
        <v>243</v>
      </c>
      <c r="F226" s="37"/>
      <c r="G226" s="37" t="s">
        <v>1700</v>
      </c>
      <c r="H226" s="37" t="s">
        <v>242</v>
      </c>
      <c r="I226" s="37" t="s">
        <v>356</v>
      </c>
      <c r="J226" s="37" t="s">
        <v>2679</v>
      </c>
    </row>
    <row r="227" spans="1:10" ht="28.8" x14ac:dyDescent="0.3">
      <c r="A227" s="38" t="s">
        <v>1704</v>
      </c>
      <c r="B227" s="38" t="s">
        <v>1703</v>
      </c>
      <c r="C227" s="38" t="s">
        <v>267</v>
      </c>
      <c r="D227" s="38" t="s">
        <v>245</v>
      </c>
      <c r="E227" s="38" t="s">
        <v>243</v>
      </c>
      <c r="F227" s="38"/>
      <c r="G227" s="38" t="s">
        <v>1703</v>
      </c>
      <c r="H227" s="38" t="s">
        <v>268</v>
      </c>
      <c r="I227" s="38" t="s">
        <v>277</v>
      </c>
      <c r="J227" s="38" t="s">
        <v>2679</v>
      </c>
    </row>
    <row r="228" spans="1:10" ht="28.8" x14ac:dyDescent="0.3">
      <c r="A228" s="37" t="s">
        <v>1704</v>
      </c>
      <c r="B228" s="37" t="s">
        <v>1703</v>
      </c>
      <c r="C228" s="37" t="s">
        <v>243</v>
      </c>
      <c r="D228" s="37" t="s">
        <v>245</v>
      </c>
      <c r="E228" s="37" t="s">
        <v>243</v>
      </c>
      <c r="F228" s="37"/>
      <c r="G228" s="37" t="s">
        <v>1703</v>
      </c>
      <c r="H228" s="37" t="s">
        <v>242</v>
      </c>
      <c r="I228" s="37" t="s">
        <v>316</v>
      </c>
      <c r="J228" s="37" t="s">
        <v>2679</v>
      </c>
    </row>
    <row r="229" spans="1:10" ht="28.8" x14ac:dyDescent="0.3">
      <c r="A229" s="38" t="s">
        <v>1704</v>
      </c>
      <c r="B229" s="38" t="s">
        <v>1703</v>
      </c>
      <c r="C229" s="38" t="s">
        <v>346</v>
      </c>
      <c r="D229" s="38" t="s">
        <v>245</v>
      </c>
      <c r="E229" s="38" t="s">
        <v>243</v>
      </c>
      <c r="F229" s="38"/>
      <c r="G229" s="38" t="s">
        <v>1703</v>
      </c>
      <c r="H229" s="38" t="s">
        <v>242</v>
      </c>
      <c r="I229" s="38" t="s">
        <v>356</v>
      </c>
      <c r="J229" s="38" t="s">
        <v>2679</v>
      </c>
    </row>
    <row r="230" spans="1:10" ht="43.2" x14ac:dyDescent="0.3">
      <c r="A230" s="37" t="s">
        <v>1718</v>
      </c>
      <c r="B230" s="37" t="s">
        <v>1715</v>
      </c>
      <c r="C230" s="37" t="s">
        <v>267</v>
      </c>
      <c r="D230" s="37" t="s">
        <v>245</v>
      </c>
      <c r="E230" s="37" t="s">
        <v>243</v>
      </c>
      <c r="F230" s="37"/>
      <c r="G230" s="37" t="s">
        <v>1715</v>
      </c>
      <c r="H230" s="37" t="s">
        <v>322</v>
      </c>
      <c r="I230" s="37" t="s">
        <v>277</v>
      </c>
      <c r="J230" s="37" t="s">
        <v>2679</v>
      </c>
    </row>
    <row r="231" spans="1:10" ht="43.2" x14ac:dyDescent="0.3">
      <c r="A231" s="38" t="s">
        <v>1718</v>
      </c>
      <c r="B231" s="38" t="s">
        <v>1715</v>
      </c>
      <c r="C231" s="38" t="s">
        <v>243</v>
      </c>
      <c r="D231" s="38" t="s">
        <v>245</v>
      </c>
      <c r="E231" s="38" t="s">
        <v>243</v>
      </c>
      <c r="F231" s="38"/>
      <c r="G231" s="38" t="s">
        <v>1715</v>
      </c>
      <c r="H231" s="38" t="s">
        <v>322</v>
      </c>
      <c r="I231" s="38" t="s">
        <v>316</v>
      </c>
      <c r="J231" s="38" t="s">
        <v>2679</v>
      </c>
    </row>
    <row r="232" spans="1:10" ht="43.2" x14ac:dyDescent="0.3">
      <c r="A232" s="37" t="s">
        <v>1718</v>
      </c>
      <c r="B232" s="37" t="s">
        <v>1715</v>
      </c>
      <c r="C232" s="37" t="s">
        <v>346</v>
      </c>
      <c r="D232" s="37" t="s">
        <v>245</v>
      </c>
      <c r="E232" s="37" t="s">
        <v>243</v>
      </c>
      <c r="F232" s="37"/>
      <c r="G232" s="37" t="s">
        <v>1715</v>
      </c>
      <c r="H232" s="37" t="s">
        <v>322</v>
      </c>
      <c r="I232" s="37" t="s">
        <v>356</v>
      </c>
      <c r="J232" s="37" t="s">
        <v>2679</v>
      </c>
    </row>
    <row r="233" spans="1:10" ht="28.8" x14ac:dyDescent="0.3">
      <c r="A233" s="38" t="s">
        <v>1726</v>
      </c>
      <c r="B233" s="38" t="s">
        <v>1721</v>
      </c>
      <c r="C233" s="38" t="s">
        <v>267</v>
      </c>
      <c r="D233" s="38" t="s">
        <v>245</v>
      </c>
      <c r="E233" s="38" t="s">
        <v>243</v>
      </c>
      <c r="F233" s="38"/>
      <c r="G233" s="38" t="s">
        <v>1721</v>
      </c>
      <c r="H233" s="38" t="s">
        <v>268</v>
      </c>
      <c r="I233" s="38" t="s">
        <v>277</v>
      </c>
      <c r="J233" s="38" t="s">
        <v>2679</v>
      </c>
    </row>
    <row r="234" spans="1:10" ht="28.8" x14ac:dyDescent="0.3">
      <c r="A234" s="37" t="s">
        <v>1726</v>
      </c>
      <c r="B234" s="37" t="s">
        <v>1721</v>
      </c>
      <c r="C234" s="37" t="s">
        <v>243</v>
      </c>
      <c r="D234" s="37" t="s">
        <v>245</v>
      </c>
      <c r="E234" s="37" t="s">
        <v>243</v>
      </c>
      <c r="F234" s="37"/>
      <c r="G234" s="37" t="s">
        <v>1721</v>
      </c>
      <c r="H234" s="37" t="s">
        <v>242</v>
      </c>
      <c r="I234" s="37" t="s">
        <v>316</v>
      </c>
      <c r="J234" s="37" t="s">
        <v>2679</v>
      </c>
    </row>
    <row r="235" spans="1:10" ht="28.8" x14ac:dyDescent="0.3">
      <c r="A235" s="38" t="s">
        <v>1726</v>
      </c>
      <c r="B235" s="38" t="s">
        <v>1721</v>
      </c>
      <c r="C235" s="38" t="s">
        <v>346</v>
      </c>
      <c r="D235" s="38" t="s">
        <v>245</v>
      </c>
      <c r="E235" s="38" t="s">
        <v>243</v>
      </c>
      <c r="F235" s="38"/>
      <c r="G235" s="38" t="s">
        <v>1721</v>
      </c>
      <c r="H235" s="38" t="s">
        <v>242</v>
      </c>
      <c r="I235" s="38" t="s">
        <v>356</v>
      </c>
      <c r="J235" s="38" t="s">
        <v>2679</v>
      </c>
    </row>
    <row r="236" spans="1:10" ht="28.8" x14ac:dyDescent="0.3">
      <c r="A236" s="37" t="s">
        <v>1729</v>
      </c>
      <c r="B236" s="37" t="s">
        <v>1728</v>
      </c>
      <c r="C236" s="37" t="s">
        <v>267</v>
      </c>
      <c r="D236" s="37" t="s">
        <v>245</v>
      </c>
      <c r="E236" s="37" t="s">
        <v>284</v>
      </c>
      <c r="F236" s="37"/>
      <c r="G236" s="37" t="s">
        <v>1728</v>
      </c>
      <c r="H236" s="37" t="s">
        <v>268</v>
      </c>
      <c r="I236" s="37" t="s">
        <v>277</v>
      </c>
      <c r="J236" s="37" t="s">
        <v>2679</v>
      </c>
    </row>
    <row r="237" spans="1:10" ht="28.8" x14ac:dyDescent="0.3">
      <c r="A237" s="38" t="s">
        <v>1729</v>
      </c>
      <c r="B237" s="38" t="s">
        <v>1728</v>
      </c>
      <c r="C237" s="38" t="s">
        <v>243</v>
      </c>
      <c r="D237" s="38" t="s">
        <v>245</v>
      </c>
      <c r="E237" s="38" t="s">
        <v>284</v>
      </c>
      <c r="F237" s="38"/>
      <c r="G237" s="38" t="s">
        <v>1728</v>
      </c>
      <c r="H237" s="38" t="s">
        <v>242</v>
      </c>
      <c r="I237" s="38" t="s">
        <v>316</v>
      </c>
      <c r="J237" s="38" t="s">
        <v>2679</v>
      </c>
    </row>
    <row r="238" spans="1:10" ht="28.8" x14ac:dyDescent="0.3">
      <c r="A238" s="37" t="s">
        <v>1729</v>
      </c>
      <c r="B238" s="37" t="s">
        <v>1728</v>
      </c>
      <c r="C238" s="37" t="s">
        <v>346</v>
      </c>
      <c r="D238" s="37" t="s">
        <v>245</v>
      </c>
      <c r="E238" s="37" t="s">
        <v>284</v>
      </c>
      <c r="F238" s="37"/>
      <c r="G238" s="37" t="s">
        <v>1728</v>
      </c>
      <c r="H238" s="37" t="s">
        <v>242</v>
      </c>
      <c r="I238" s="37" t="s">
        <v>356</v>
      </c>
      <c r="J238" s="37" t="s">
        <v>2679</v>
      </c>
    </row>
    <row r="239" spans="1:10" ht="28.8" x14ac:dyDescent="0.3">
      <c r="A239" s="38" t="s">
        <v>1732</v>
      </c>
      <c r="B239" s="38" t="s">
        <v>1731</v>
      </c>
      <c r="C239" s="38" t="s">
        <v>267</v>
      </c>
      <c r="D239" s="38" t="s">
        <v>245</v>
      </c>
      <c r="E239" s="38" t="s">
        <v>243</v>
      </c>
      <c r="F239" s="38"/>
      <c r="G239" s="38" t="s">
        <v>1731</v>
      </c>
      <c r="H239" s="38" t="s">
        <v>268</v>
      </c>
      <c r="I239" s="38" t="s">
        <v>277</v>
      </c>
      <c r="J239" s="38" t="s">
        <v>2679</v>
      </c>
    </row>
    <row r="240" spans="1:10" ht="28.8" x14ac:dyDescent="0.3">
      <c r="A240" s="37" t="s">
        <v>1732</v>
      </c>
      <c r="B240" s="37" t="s">
        <v>1731</v>
      </c>
      <c r="C240" s="37" t="s">
        <v>243</v>
      </c>
      <c r="D240" s="37" t="s">
        <v>245</v>
      </c>
      <c r="E240" s="37" t="s">
        <v>243</v>
      </c>
      <c r="F240" s="37"/>
      <c r="G240" s="37" t="s">
        <v>1731</v>
      </c>
      <c r="H240" s="37" t="s">
        <v>242</v>
      </c>
      <c r="I240" s="37" t="s">
        <v>316</v>
      </c>
      <c r="J240" s="37" t="s">
        <v>2679</v>
      </c>
    </row>
    <row r="241" spans="1:10" ht="28.8" x14ac:dyDescent="0.3">
      <c r="A241" s="38" t="s">
        <v>1732</v>
      </c>
      <c r="B241" s="38" t="s">
        <v>1731</v>
      </c>
      <c r="C241" s="38" t="s">
        <v>346</v>
      </c>
      <c r="D241" s="38" t="s">
        <v>245</v>
      </c>
      <c r="E241" s="38" t="s">
        <v>243</v>
      </c>
      <c r="F241" s="38"/>
      <c r="G241" s="38" t="s">
        <v>1731</v>
      </c>
      <c r="H241" s="38" t="s">
        <v>242</v>
      </c>
      <c r="I241" s="38" t="s">
        <v>356</v>
      </c>
      <c r="J241" s="38" t="s">
        <v>2679</v>
      </c>
    </row>
    <row r="242" spans="1:10" ht="28.8" x14ac:dyDescent="0.3">
      <c r="A242" s="37" t="s">
        <v>1736</v>
      </c>
      <c r="B242" s="37" t="s">
        <v>1734</v>
      </c>
      <c r="C242" s="37" t="s">
        <v>267</v>
      </c>
      <c r="D242" s="37" t="s">
        <v>245</v>
      </c>
      <c r="E242" s="37" t="s">
        <v>243</v>
      </c>
      <c r="F242" s="37"/>
      <c r="G242" s="37" t="s">
        <v>1734</v>
      </c>
      <c r="H242" s="37" t="s">
        <v>268</v>
      </c>
      <c r="I242" s="37" t="s">
        <v>277</v>
      </c>
      <c r="J242" s="37" t="s">
        <v>2679</v>
      </c>
    </row>
    <row r="243" spans="1:10" ht="28.8" x14ac:dyDescent="0.3">
      <c r="A243" s="38" t="s">
        <v>1736</v>
      </c>
      <c r="B243" s="38" t="s">
        <v>1734</v>
      </c>
      <c r="C243" s="38" t="s">
        <v>243</v>
      </c>
      <c r="D243" s="38" t="s">
        <v>245</v>
      </c>
      <c r="E243" s="38" t="s">
        <v>243</v>
      </c>
      <c r="F243" s="38"/>
      <c r="G243" s="38" t="s">
        <v>1734</v>
      </c>
      <c r="H243" s="38" t="s">
        <v>242</v>
      </c>
      <c r="I243" s="38" t="s">
        <v>316</v>
      </c>
      <c r="J243" s="38" t="s">
        <v>2679</v>
      </c>
    </row>
    <row r="244" spans="1:10" ht="28.8" x14ac:dyDescent="0.3">
      <c r="A244" s="37" t="s">
        <v>1736</v>
      </c>
      <c r="B244" s="37" t="s">
        <v>1734</v>
      </c>
      <c r="C244" s="37" t="s">
        <v>346</v>
      </c>
      <c r="D244" s="37" t="s">
        <v>245</v>
      </c>
      <c r="E244" s="37" t="s">
        <v>243</v>
      </c>
      <c r="F244" s="37"/>
      <c r="G244" s="37" t="s">
        <v>1734</v>
      </c>
      <c r="H244" s="37" t="s">
        <v>242</v>
      </c>
      <c r="I244" s="37" t="s">
        <v>356</v>
      </c>
      <c r="J244" s="37" t="s">
        <v>2679</v>
      </c>
    </row>
    <row r="245" spans="1:10" ht="28.8" x14ac:dyDescent="0.3">
      <c r="A245" s="38" t="s">
        <v>1740</v>
      </c>
      <c r="B245" s="38" t="s">
        <v>1738</v>
      </c>
      <c r="C245" s="38" t="s">
        <v>267</v>
      </c>
      <c r="D245" s="38" t="s">
        <v>245</v>
      </c>
      <c r="E245" s="38" t="s">
        <v>243</v>
      </c>
      <c r="F245" s="38"/>
      <c r="G245" s="38" t="s">
        <v>1738</v>
      </c>
      <c r="H245" s="38" t="s">
        <v>268</v>
      </c>
      <c r="I245" s="38" t="s">
        <v>277</v>
      </c>
      <c r="J245" s="38" t="s">
        <v>2679</v>
      </c>
    </row>
    <row r="246" spans="1:10" ht="28.8" x14ac:dyDescent="0.3">
      <c r="A246" s="37" t="s">
        <v>1740</v>
      </c>
      <c r="B246" s="37" t="s">
        <v>1738</v>
      </c>
      <c r="C246" s="37" t="s">
        <v>243</v>
      </c>
      <c r="D246" s="37" t="s">
        <v>245</v>
      </c>
      <c r="E246" s="37" t="s">
        <v>243</v>
      </c>
      <c r="F246" s="37"/>
      <c r="G246" s="37" t="s">
        <v>1738</v>
      </c>
      <c r="H246" s="37" t="s">
        <v>242</v>
      </c>
      <c r="I246" s="37" t="s">
        <v>316</v>
      </c>
      <c r="J246" s="37" t="s">
        <v>2679</v>
      </c>
    </row>
    <row r="247" spans="1:10" ht="28.8" x14ac:dyDescent="0.3">
      <c r="A247" s="38" t="s">
        <v>1740</v>
      </c>
      <c r="B247" s="38" t="s">
        <v>1738</v>
      </c>
      <c r="C247" s="38" t="s">
        <v>346</v>
      </c>
      <c r="D247" s="38" t="s">
        <v>245</v>
      </c>
      <c r="E247" s="38" t="s">
        <v>243</v>
      </c>
      <c r="F247" s="38"/>
      <c r="G247" s="38" t="s">
        <v>1738</v>
      </c>
      <c r="H247" s="38" t="s">
        <v>242</v>
      </c>
      <c r="I247" s="38" t="s">
        <v>356</v>
      </c>
      <c r="J247" s="38" t="s">
        <v>2679</v>
      </c>
    </row>
    <row r="248" spans="1:10" ht="28.8" x14ac:dyDescent="0.3">
      <c r="A248" s="37" t="s">
        <v>1744</v>
      </c>
      <c r="B248" s="37" t="s">
        <v>1742</v>
      </c>
      <c r="C248" s="37" t="s">
        <v>267</v>
      </c>
      <c r="D248" s="37" t="s">
        <v>245</v>
      </c>
      <c r="E248" s="37" t="s">
        <v>243</v>
      </c>
      <c r="F248" s="37"/>
      <c r="G248" s="37" t="s">
        <v>1742</v>
      </c>
      <c r="H248" s="37" t="s">
        <v>268</v>
      </c>
      <c r="I248" s="37" t="s">
        <v>277</v>
      </c>
      <c r="J248" s="37" t="s">
        <v>2679</v>
      </c>
    </row>
    <row r="249" spans="1:10" ht="28.8" x14ac:dyDescent="0.3">
      <c r="A249" s="38" t="s">
        <v>1744</v>
      </c>
      <c r="B249" s="38" t="s">
        <v>1742</v>
      </c>
      <c r="C249" s="38" t="s">
        <v>243</v>
      </c>
      <c r="D249" s="38" t="s">
        <v>245</v>
      </c>
      <c r="E249" s="38" t="s">
        <v>243</v>
      </c>
      <c r="F249" s="38"/>
      <c r="G249" s="38" t="s">
        <v>1742</v>
      </c>
      <c r="H249" s="38" t="s">
        <v>242</v>
      </c>
      <c r="I249" s="38" t="s">
        <v>316</v>
      </c>
      <c r="J249" s="38" t="s">
        <v>2679</v>
      </c>
    </row>
    <row r="250" spans="1:10" ht="28.8" x14ac:dyDescent="0.3">
      <c r="A250" s="37" t="s">
        <v>1744</v>
      </c>
      <c r="B250" s="37" t="s">
        <v>1742</v>
      </c>
      <c r="C250" s="37" t="s">
        <v>346</v>
      </c>
      <c r="D250" s="37" t="s">
        <v>245</v>
      </c>
      <c r="E250" s="37" t="s">
        <v>243</v>
      </c>
      <c r="F250" s="37"/>
      <c r="G250" s="37" t="s">
        <v>1742</v>
      </c>
      <c r="H250" s="37" t="s">
        <v>242</v>
      </c>
      <c r="I250" s="37" t="s">
        <v>356</v>
      </c>
      <c r="J250" s="37" t="s">
        <v>2679</v>
      </c>
    </row>
    <row r="251" spans="1:10" ht="28.8" x14ac:dyDescent="0.3">
      <c r="A251" s="38" t="s">
        <v>1747</v>
      </c>
      <c r="B251" s="38" t="s">
        <v>1746</v>
      </c>
      <c r="C251" s="38" t="s">
        <v>267</v>
      </c>
      <c r="D251" s="38" t="s">
        <v>245</v>
      </c>
      <c r="E251" s="38" t="s">
        <v>243</v>
      </c>
      <c r="F251" s="38"/>
      <c r="G251" s="38" t="s">
        <v>1746</v>
      </c>
      <c r="H251" s="38" t="s">
        <v>268</v>
      </c>
      <c r="I251" s="38" t="s">
        <v>277</v>
      </c>
      <c r="J251" s="38" t="s">
        <v>2679</v>
      </c>
    </row>
    <row r="252" spans="1:10" ht="28.8" x14ac:dyDescent="0.3">
      <c r="A252" s="37" t="s">
        <v>1747</v>
      </c>
      <c r="B252" s="37" t="s">
        <v>1746</v>
      </c>
      <c r="C252" s="37" t="s">
        <v>243</v>
      </c>
      <c r="D252" s="37" t="s">
        <v>245</v>
      </c>
      <c r="E252" s="37" t="s">
        <v>243</v>
      </c>
      <c r="F252" s="37"/>
      <c r="G252" s="37" t="s">
        <v>1746</v>
      </c>
      <c r="H252" s="37" t="s">
        <v>242</v>
      </c>
      <c r="I252" s="37" t="s">
        <v>316</v>
      </c>
      <c r="J252" s="37" t="s">
        <v>2679</v>
      </c>
    </row>
    <row r="253" spans="1:10" ht="28.8" x14ac:dyDescent="0.3">
      <c r="A253" s="38" t="s">
        <v>1747</v>
      </c>
      <c r="B253" s="38" t="s">
        <v>1746</v>
      </c>
      <c r="C253" s="38" t="s">
        <v>346</v>
      </c>
      <c r="D253" s="38" t="s">
        <v>245</v>
      </c>
      <c r="E253" s="38" t="s">
        <v>243</v>
      </c>
      <c r="F253" s="38"/>
      <c r="G253" s="38" t="s">
        <v>1746</v>
      </c>
      <c r="H253" s="38" t="s">
        <v>242</v>
      </c>
      <c r="I253" s="38" t="s">
        <v>356</v>
      </c>
      <c r="J253" s="38" t="s">
        <v>2679</v>
      </c>
    </row>
    <row r="254" spans="1:10" ht="43.2" x14ac:dyDescent="0.3">
      <c r="A254" s="37" t="s">
        <v>1768</v>
      </c>
      <c r="B254" s="37" t="s">
        <v>1767</v>
      </c>
      <c r="C254" s="37" t="s">
        <v>267</v>
      </c>
      <c r="D254" s="37" t="s">
        <v>245</v>
      </c>
      <c r="E254" s="37" t="s">
        <v>243</v>
      </c>
      <c r="F254" s="37"/>
      <c r="G254" s="37" t="s">
        <v>1767</v>
      </c>
      <c r="H254" s="37" t="s">
        <v>268</v>
      </c>
      <c r="I254" s="37" t="s">
        <v>277</v>
      </c>
      <c r="J254" s="37" t="s">
        <v>2679</v>
      </c>
    </row>
    <row r="255" spans="1:10" ht="43.2" x14ac:dyDescent="0.3">
      <c r="A255" s="38" t="s">
        <v>1768</v>
      </c>
      <c r="B255" s="38" t="s">
        <v>1767</v>
      </c>
      <c r="C255" s="38" t="s">
        <v>243</v>
      </c>
      <c r="D255" s="38" t="s">
        <v>245</v>
      </c>
      <c r="E255" s="38" t="s">
        <v>243</v>
      </c>
      <c r="F255" s="38"/>
      <c r="G255" s="38" t="s">
        <v>1767</v>
      </c>
      <c r="H255" s="38" t="s">
        <v>242</v>
      </c>
      <c r="I255" s="38" t="s">
        <v>316</v>
      </c>
      <c r="J255" s="38" t="s">
        <v>2679</v>
      </c>
    </row>
    <row r="256" spans="1:10" ht="43.2" x14ac:dyDescent="0.3">
      <c r="A256" s="37" t="s">
        <v>1768</v>
      </c>
      <c r="B256" s="37" t="s">
        <v>1767</v>
      </c>
      <c r="C256" s="37" t="s">
        <v>346</v>
      </c>
      <c r="D256" s="37" t="s">
        <v>245</v>
      </c>
      <c r="E256" s="37" t="s">
        <v>243</v>
      </c>
      <c r="F256" s="37"/>
      <c r="G256" s="37" t="s">
        <v>1767</v>
      </c>
      <c r="H256" s="37" t="s">
        <v>242</v>
      </c>
      <c r="I256" s="37" t="s">
        <v>356</v>
      </c>
      <c r="J256" s="37" t="s">
        <v>2679</v>
      </c>
    </row>
    <row r="257" spans="1:10" ht="43.2" x14ac:dyDescent="0.3">
      <c r="A257" s="38" t="s">
        <v>1772</v>
      </c>
      <c r="B257" s="38" t="s">
        <v>1770</v>
      </c>
      <c r="C257" s="38" t="s">
        <v>267</v>
      </c>
      <c r="D257" s="38" t="s">
        <v>245</v>
      </c>
      <c r="E257" s="38" t="s">
        <v>243</v>
      </c>
      <c r="F257" s="38"/>
      <c r="G257" s="38" t="s">
        <v>1770</v>
      </c>
      <c r="H257" s="38" t="s">
        <v>268</v>
      </c>
      <c r="I257" s="38" t="s">
        <v>277</v>
      </c>
      <c r="J257" s="38" t="s">
        <v>2679</v>
      </c>
    </row>
    <row r="258" spans="1:10" ht="43.2" x14ac:dyDescent="0.3">
      <c r="A258" s="37" t="s">
        <v>1772</v>
      </c>
      <c r="B258" s="37" t="s">
        <v>1770</v>
      </c>
      <c r="C258" s="37" t="s">
        <v>243</v>
      </c>
      <c r="D258" s="37" t="s">
        <v>245</v>
      </c>
      <c r="E258" s="37" t="s">
        <v>243</v>
      </c>
      <c r="F258" s="37"/>
      <c r="G258" s="37" t="s">
        <v>1770</v>
      </c>
      <c r="H258" s="37" t="s">
        <v>242</v>
      </c>
      <c r="I258" s="37" t="s">
        <v>316</v>
      </c>
      <c r="J258" s="37" t="s">
        <v>2679</v>
      </c>
    </row>
    <row r="259" spans="1:10" ht="43.2" x14ac:dyDescent="0.3">
      <c r="A259" s="38" t="s">
        <v>1772</v>
      </c>
      <c r="B259" s="38" t="s">
        <v>1770</v>
      </c>
      <c r="C259" s="38" t="s">
        <v>346</v>
      </c>
      <c r="D259" s="38" t="s">
        <v>245</v>
      </c>
      <c r="E259" s="38" t="s">
        <v>243</v>
      </c>
      <c r="F259" s="38"/>
      <c r="G259" s="38" t="s">
        <v>1770</v>
      </c>
      <c r="H259" s="38" t="s">
        <v>242</v>
      </c>
      <c r="I259" s="38" t="s">
        <v>356</v>
      </c>
      <c r="J259" s="38" t="s">
        <v>2679</v>
      </c>
    </row>
    <row r="260" spans="1:10" ht="28.8" x14ac:dyDescent="0.3">
      <c r="A260" s="37" t="s">
        <v>1775</v>
      </c>
      <c r="B260" s="37" t="s">
        <v>1774</v>
      </c>
      <c r="C260" s="37" t="s">
        <v>267</v>
      </c>
      <c r="D260" s="37" t="s">
        <v>245</v>
      </c>
      <c r="E260" s="37" t="s">
        <v>243</v>
      </c>
      <c r="F260" s="37"/>
      <c r="G260" s="37" t="s">
        <v>1774</v>
      </c>
      <c r="H260" s="37" t="s">
        <v>268</v>
      </c>
      <c r="I260" s="37" t="s">
        <v>277</v>
      </c>
      <c r="J260" s="37" t="s">
        <v>2679</v>
      </c>
    </row>
    <row r="261" spans="1:10" ht="28.8" x14ac:dyDescent="0.3">
      <c r="A261" s="38" t="s">
        <v>1775</v>
      </c>
      <c r="B261" s="38" t="s">
        <v>1774</v>
      </c>
      <c r="C261" s="38" t="s">
        <v>243</v>
      </c>
      <c r="D261" s="38" t="s">
        <v>245</v>
      </c>
      <c r="E261" s="38" t="s">
        <v>243</v>
      </c>
      <c r="F261" s="38"/>
      <c r="G261" s="38" t="s">
        <v>1774</v>
      </c>
      <c r="H261" s="38" t="s">
        <v>242</v>
      </c>
      <c r="I261" s="38" t="s">
        <v>316</v>
      </c>
      <c r="J261" s="38" t="s">
        <v>2679</v>
      </c>
    </row>
    <row r="262" spans="1:10" ht="28.8" x14ac:dyDescent="0.3">
      <c r="A262" s="37" t="s">
        <v>1775</v>
      </c>
      <c r="B262" s="37" t="s">
        <v>1774</v>
      </c>
      <c r="C262" s="37" t="s">
        <v>346</v>
      </c>
      <c r="D262" s="37" t="s">
        <v>245</v>
      </c>
      <c r="E262" s="37" t="s">
        <v>243</v>
      </c>
      <c r="F262" s="37"/>
      <c r="G262" s="37" t="s">
        <v>1774</v>
      </c>
      <c r="H262" s="37" t="s">
        <v>242</v>
      </c>
      <c r="I262" s="37" t="s">
        <v>356</v>
      </c>
      <c r="J262" s="37" t="s">
        <v>2679</v>
      </c>
    </row>
    <row r="263" spans="1:10" ht="28.8" x14ac:dyDescent="0.3">
      <c r="A263" s="38" t="s">
        <v>1779</v>
      </c>
      <c r="B263" s="38" t="s">
        <v>1777</v>
      </c>
      <c r="C263" s="38" t="s">
        <v>267</v>
      </c>
      <c r="D263" s="38" t="s">
        <v>245</v>
      </c>
      <c r="E263" s="38" t="s">
        <v>243</v>
      </c>
      <c r="F263" s="38"/>
      <c r="G263" s="38" t="s">
        <v>1777</v>
      </c>
      <c r="H263" s="38" t="s">
        <v>268</v>
      </c>
      <c r="I263" s="38" t="s">
        <v>277</v>
      </c>
      <c r="J263" s="38" t="s">
        <v>2679</v>
      </c>
    </row>
    <row r="264" spans="1:10" ht="28.8" x14ac:dyDescent="0.3">
      <c r="A264" s="37" t="s">
        <v>1779</v>
      </c>
      <c r="B264" s="37" t="s">
        <v>1777</v>
      </c>
      <c r="C264" s="37" t="s">
        <v>243</v>
      </c>
      <c r="D264" s="37" t="s">
        <v>245</v>
      </c>
      <c r="E264" s="37" t="s">
        <v>243</v>
      </c>
      <c r="F264" s="37"/>
      <c r="G264" s="37" t="s">
        <v>1777</v>
      </c>
      <c r="H264" s="37" t="s">
        <v>242</v>
      </c>
      <c r="I264" s="37" t="s">
        <v>316</v>
      </c>
      <c r="J264" s="37" t="s">
        <v>2679</v>
      </c>
    </row>
    <row r="265" spans="1:10" ht="28.8" x14ac:dyDescent="0.3">
      <c r="A265" s="38" t="s">
        <v>1779</v>
      </c>
      <c r="B265" s="38" t="s">
        <v>1777</v>
      </c>
      <c r="C265" s="38" t="s">
        <v>346</v>
      </c>
      <c r="D265" s="38" t="s">
        <v>245</v>
      </c>
      <c r="E265" s="38" t="s">
        <v>243</v>
      </c>
      <c r="F265" s="38"/>
      <c r="G265" s="38" t="s">
        <v>1777</v>
      </c>
      <c r="H265" s="38" t="s">
        <v>242</v>
      </c>
      <c r="I265" s="38" t="s">
        <v>356</v>
      </c>
      <c r="J265" s="38" t="s">
        <v>2679</v>
      </c>
    </row>
    <row r="266" spans="1:10" ht="28.8" x14ac:dyDescent="0.3">
      <c r="A266" s="37" t="s">
        <v>1782</v>
      </c>
      <c r="B266" s="37" t="s">
        <v>1781</v>
      </c>
      <c r="C266" s="37" t="s">
        <v>267</v>
      </c>
      <c r="D266" s="37" t="s">
        <v>245</v>
      </c>
      <c r="E266" s="37" t="s">
        <v>243</v>
      </c>
      <c r="F266" s="37"/>
      <c r="G266" s="37" t="s">
        <v>1781</v>
      </c>
      <c r="H266" s="37" t="s">
        <v>268</v>
      </c>
      <c r="I266" s="37" t="s">
        <v>277</v>
      </c>
      <c r="J266" s="37" t="s">
        <v>2679</v>
      </c>
    </row>
    <row r="267" spans="1:10" ht="28.8" x14ac:dyDescent="0.3">
      <c r="A267" s="38" t="s">
        <v>1782</v>
      </c>
      <c r="B267" s="38" t="s">
        <v>1781</v>
      </c>
      <c r="C267" s="38" t="s">
        <v>243</v>
      </c>
      <c r="D267" s="38" t="s">
        <v>245</v>
      </c>
      <c r="E267" s="38" t="s">
        <v>243</v>
      </c>
      <c r="F267" s="38"/>
      <c r="G267" s="38" t="s">
        <v>1781</v>
      </c>
      <c r="H267" s="38" t="s">
        <v>242</v>
      </c>
      <c r="I267" s="38" t="s">
        <v>316</v>
      </c>
      <c r="J267" s="38" t="s">
        <v>2679</v>
      </c>
    </row>
    <row r="268" spans="1:10" ht="28.8" x14ac:dyDescent="0.3">
      <c r="A268" s="37" t="s">
        <v>1782</v>
      </c>
      <c r="B268" s="37" t="s">
        <v>1781</v>
      </c>
      <c r="C268" s="37" t="s">
        <v>346</v>
      </c>
      <c r="D268" s="37" t="s">
        <v>245</v>
      </c>
      <c r="E268" s="37" t="s">
        <v>243</v>
      </c>
      <c r="F268" s="37"/>
      <c r="G268" s="37" t="s">
        <v>1781</v>
      </c>
      <c r="H268" s="37" t="s">
        <v>242</v>
      </c>
      <c r="I268" s="37" t="s">
        <v>356</v>
      </c>
      <c r="J268" s="37" t="s">
        <v>2679</v>
      </c>
    </row>
    <row r="269" spans="1:10" ht="28.8" x14ac:dyDescent="0.3">
      <c r="A269" s="38" t="s">
        <v>1817</v>
      </c>
      <c r="B269" s="38" t="s">
        <v>1816</v>
      </c>
      <c r="C269" s="38" t="s">
        <v>267</v>
      </c>
      <c r="D269" s="38" t="s">
        <v>245</v>
      </c>
      <c r="E269" s="38" t="s">
        <v>243</v>
      </c>
      <c r="F269" s="38"/>
      <c r="G269" s="38" t="s">
        <v>1816</v>
      </c>
      <c r="H269" s="38" t="s">
        <v>268</v>
      </c>
      <c r="I269" s="38" t="s">
        <v>277</v>
      </c>
      <c r="J269" s="38" t="s">
        <v>2679</v>
      </c>
    </row>
    <row r="270" spans="1:10" ht="28.8" x14ac:dyDescent="0.3">
      <c r="A270" s="37" t="s">
        <v>1817</v>
      </c>
      <c r="B270" s="37" t="s">
        <v>1816</v>
      </c>
      <c r="C270" s="37" t="s">
        <v>243</v>
      </c>
      <c r="D270" s="37" t="s">
        <v>245</v>
      </c>
      <c r="E270" s="37" t="s">
        <v>243</v>
      </c>
      <c r="F270" s="37"/>
      <c r="G270" s="37" t="s">
        <v>1816</v>
      </c>
      <c r="H270" s="37" t="s">
        <v>268</v>
      </c>
      <c r="I270" s="37" t="s">
        <v>316</v>
      </c>
      <c r="J270" s="37" t="s">
        <v>2679</v>
      </c>
    </row>
    <row r="271" spans="1:10" ht="28.8" x14ac:dyDescent="0.3">
      <c r="A271" s="38" t="s">
        <v>1817</v>
      </c>
      <c r="B271" s="38" t="s">
        <v>1816</v>
      </c>
      <c r="C271" s="38" t="s">
        <v>346</v>
      </c>
      <c r="D271" s="38" t="s">
        <v>245</v>
      </c>
      <c r="E271" s="38" t="s">
        <v>243</v>
      </c>
      <c r="F271" s="38"/>
      <c r="G271" s="38" t="s">
        <v>1816</v>
      </c>
      <c r="H271" s="38" t="s">
        <v>242</v>
      </c>
      <c r="I271" s="38" t="s">
        <v>356</v>
      </c>
      <c r="J271" s="38" t="s">
        <v>2679</v>
      </c>
    </row>
    <row r="272" spans="1:10" ht="28.8" x14ac:dyDescent="0.3">
      <c r="A272" s="37" t="s">
        <v>1820</v>
      </c>
      <c r="B272" s="37" t="s">
        <v>1819</v>
      </c>
      <c r="C272" s="37" t="s">
        <v>267</v>
      </c>
      <c r="D272" s="37" t="s">
        <v>245</v>
      </c>
      <c r="E272" s="37" t="s">
        <v>243</v>
      </c>
      <c r="F272" s="37"/>
      <c r="G272" s="37" t="s">
        <v>1819</v>
      </c>
      <c r="H272" s="37" t="s">
        <v>268</v>
      </c>
      <c r="I272" s="37" t="s">
        <v>277</v>
      </c>
      <c r="J272" s="37" t="s">
        <v>2679</v>
      </c>
    </row>
    <row r="273" spans="1:10" ht="28.8" x14ac:dyDescent="0.3">
      <c r="A273" s="38" t="s">
        <v>1820</v>
      </c>
      <c r="B273" s="38" t="s">
        <v>1819</v>
      </c>
      <c r="C273" s="38" t="s">
        <v>243</v>
      </c>
      <c r="D273" s="38" t="s">
        <v>245</v>
      </c>
      <c r="E273" s="38" t="s">
        <v>243</v>
      </c>
      <c r="F273" s="38"/>
      <c r="G273" s="38" t="s">
        <v>1819</v>
      </c>
      <c r="H273" s="38" t="s">
        <v>242</v>
      </c>
      <c r="I273" s="38" t="s">
        <v>316</v>
      </c>
      <c r="J273" s="38" t="s">
        <v>2679</v>
      </c>
    </row>
    <row r="274" spans="1:10" ht="28.8" x14ac:dyDescent="0.3">
      <c r="A274" s="37" t="s">
        <v>1820</v>
      </c>
      <c r="B274" s="37" t="s">
        <v>1819</v>
      </c>
      <c r="C274" s="37" t="s">
        <v>346</v>
      </c>
      <c r="D274" s="37" t="s">
        <v>245</v>
      </c>
      <c r="E274" s="37" t="s">
        <v>243</v>
      </c>
      <c r="F274" s="37"/>
      <c r="G274" s="37" t="s">
        <v>1819</v>
      </c>
      <c r="H274" s="37" t="s">
        <v>242</v>
      </c>
      <c r="I274" s="37" t="s">
        <v>356</v>
      </c>
      <c r="J274" s="37" t="s">
        <v>2679</v>
      </c>
    </row>
    <row r="275" spans="1:10" ht="28.8" x14ac:dyDescent="0.3">
      <c r="A275" s="38" t="s">
        <v>1823</v>
      </c>
      <c r="B275" s="38" t="s">
        <v>1822</v>
      </c>
      <c r="C275" s="38" t="s">
        <v>267</v>
      </c>
      <c r="D275" s="38" t="s">
        <v>245</v>
      </c>
      <c r="E275" s="38" t="s">
        <v>243</v>
      </c>
      <c r="F275" s="38"/>
      <c r="G275" s="38" t="s">
        <v>1822</v>
      </c>
      <c r="H275" s="38" t="s">
        <v>268</v>
      </c>
      <c r="I275" s="38" t="s">
        <v>277</v>
      </c>
      <c r="J275" s="38" t="s">
        <v>2679</v>
      </c>
    </row>
    <row r="276" spans="1:10" ht="28.8" x14ac:dyDescent="0.3">
      <c r="A276" s="37" t="s">
        <v>1823</v>
      </c>
      <c r="B276" s="37" t="s">
        <v>1822</v>
      </c>
      <c r="C276" s="37" t="s">
        <v>243</v>
      </c>
      <c r="D276" s="37" t="s">
        <v>245</v>
      </c>
      <c r="E276" s="37" t="s">
        <v>243</v>
      </c>
      <c r="F276" s="37"/>
      <c r="G276" s="37" t="s">
        <v>1822</v>
      </c>
      <c r="H276" s="37" t="s">
        <v>242</v>
      </c>
      <c r="I276" s="37" t="s">
        <v>316</v>
      </c>
      <c r="J276" s="37" t="s">
        <v>2679</v>
      </c>
    </row>
    <row r="277" spans="1:10" ht="28.8" x14ac:dyDescent="0.3">
      <c r="A277" s="38" t="s">
        <v>1823</v>
      </c>
      <c r="B277" s="38" t="s">
        <v>1822</v>
      </c>
      <c r="C277" s="38" t="s">
        <v>346</v>
      </c>
      <c r="D277" s="38" t="s">
        <v>245</v>
      </c>
      <c r="E277" s="38" t="s">
        <v>243</v>
      </c>
      <c r="F277" s="38"/>
      <c r="G277" s="38" t="s">
        <v>1822</v>
      </c>
      <c r="H277" s="38" t="s">
        <v>242</v>
      </c>
      <c r="I277" s="38" t="s">
        <v>356</v>
      </c>
      <c r="J277" s="38" t="s">
        <v>2679</v>
      </c>
    </row>
    <row r="278" spans="1:10" ht="28.8" x14ac:dyDescent="0.3">
      <c r="A278" s="37" t="s">
        <v>1827</v>
      </c>
      <c r="B278" s="37" t="s">
        <v>1825</v>
      </c>
      <c r="C278" s="37" t="s">
        <v>267</v>
      </c>
      <c r="D278" s="37" t="s">
        <v>245</v>
      </c>
      <c r="E278" s="37" t="s">
        <v>243</v>
      </c>
      <c r="F278" s="37"/>
      <c r="G278" s="37" t="s">
        <v>1825</v>
      </c>
      <c r="H278" s="37" t="s">
        <v>268</v>
      </c>
      <c r="I278" s="37" t="s">
        <v>277</v>
      </c>
      <c r="J278" s="37" t="s">
        <v>2679</v>
      </c>
    </row>
    <row r="279" spans="1:10" ht="28.8" x14ac:dyDescent="0.3">
      <c r="A279" s="38" t="s">
        <v>1827</v>
      </c>
      <c r="B279" s="38" t="s">
        <v>1825</v>
      </c>
      <c r="C279" s="38" t="s">
        <v>243</v>
      </c>
      <c r="D279" s="38" t="s">
        <v>245</v>
      </c>
      <c r="E279" s="38" t="s">
        <v>243</v>
      </c>
      <c r="F279" s="38"/>
      <c r="G279" s="38" t="s">
        <v>1825</v>
      </c>
      <c r="H279" s="38" t="s">
        <v>242</v>
      </c>
      <c r="I279" s="38" t="s">
        <v>316</v>
      </c>
      <c r="J279" s="38" t="s">
        <v>2679</v>
      </c>
    </row>
    <row r="280" spans="1:10" ht="28.8" x14ac:dyDescent="0.3">
      <c r="A280" s="37" t="s">
        <v>1827</v>
      </c>
      <c r="B280" s="37" t="s">
        <v>1825</v>
      </c>
      <c r="C280" s="37" t="s">
        <v>346</v>
      </c>
      <c r="D280" s="37" t="s">
        <v>245</v>
      </c>
      <c r="E280" s="37" t="s">
        <v>243</v>
      </c>
      <c r="F280" s="37"/>
      <c r="G280" s="37" t="s">
        <v>1825</v>
      </c>
      <c r="H280" s="37" t="s">
        <v>242</v>
      </c>
      <c r="I280" s="37" t="s">
        <v>356</v>
      </c>
      <c r="J280" s="37" t="s">
        <v>2679</v>
      </c>
    </row>
    <row r="281" spans="1:10" ht="28.8" x14ac:dyDescent="0.3">
      <c r="A281" s="38" t="s">
        <v>1830</v>
      </c>
      <c r="B281" s="38" t="s">
        <v>1829</v>
      </c>
      <c r="C281" s="38" t="s">
        <v>267</v>
      </c>
      <c r="D281" s="38" t="s">
        <v>245</v>
      </c>
      <c r="E281" s="38" t="s">
        <v>243</v>
      </c>
      <c r="F281" s="38"/>
      <c r="G281" s="38" t="s">
        <v>1829</v>
      </c>
      <c r="H281" s="38" t="s">
        <v>268</v>
      </c>
      <c r="I281" s="38" t="s">
        <v>277</v>
      </c>
      <c r="J281" s="38" t="s">
        <v>2679</v>
      </c>
    </row>
    <row r="282" spans="1:10" ht="28.8" x14ac:dyDescent="0.3">
      <c r="A282" s="37" t="s">
        <v>1830</v>
      </c>
      <c r="B282" s="37" t="s">
        <v>1829</v>
      </c>
      <c r="C282" s="37" t="s">
        <v>243</v>
      </c>
      <c r="D282" s="37" t="s">
        <v>245</v>
      </c>
      <c r="E282" s="37" t="s">
        <v>243</v>
      </c>
      <c r="F282" s="37"/>
      <c r="G282" s="37" t="s">
        <v>1829</v>
      </c>
      <c r="H282" s="37" t="s">
        <v>242</v>
      </c>
      <c r="I282" s="37" t="s">
        <v>316</v>
      </c>
      <c r="J282" s="37" t="s">
        <v>2679</v>
      </c>
    </row>
    <row r="283" spans="1:10" ht="28.8" x14ac:dyDescent="0.3">
      <c r="A283" s="38" t="s">
        <v>1830</v>
      </c>
      <c r="B283" s="38" t="s">
        <v>1829</v>
      </c>
      <c r="C283" s="38" t="s">
        <v>346</v>
      </c>
      <c r="D283" s="38" t="s">
        <v>245</v>
      </c>
      <c r="E283" s="38" t="s">
        <v>243</v>
      </c>
      <c r="F283" s="38"/>
      <c r="G283" s="38" t="s">
        <v>1829</v>
      </c>
      <c r="H283" s="38" t="s">
        <v>242</v>
      </c>
      <c r="I283" s="38" t="s">
        <v>356</v>
      </c>
      <c r="J283" s="38" t="s">
        <v>2679</v>
      </c>
    </row>
    <row r="284" spans="1:10" ht="28.8" x14ac:dyDescent="0.3">
      <c r="A284" s="37" t="s">
        <v>1842</v>
      </c>
      <c r="B284" s="37" t="s">
        <v>1841</v>
      </c>
      <c r="C284" s="37" t="s">
        <v>267</v>
      </c>
      <c r="D284" s="37" t="s">
        <v>245</v>
      </c>
      <c r="E284" s="37" t="s">
        <v>243</v>
      </c>
      <c r="F284" s="37"/>
      <c r="G284" s="37" t="s">
        <v>1841</v>
      </c>
      <c r="H284" s="37" t="s">
        <v>268</v>
      </c>
      <c r="I284" s="37" t="s">
        <v>277</v>
      </c>
      <c r="J284" s="37" t="s">
        <v>2679</v>
      </c>
    </row>
    <row r="285" spans="1:10" ht="28.8" x14ac:dyDescent="0.3">
      <c r="A285" s="38" t="s">
        <v>1842</v>
      </c>
      <c r="B285" s="38" t="s">
        <v>1841</v>
      </c>
      <c r="C285" s="38" t="s">
        <v>243</v>
      </c>
      <c r="D285" s="38" t="s">
        <v>245</v>
      </c>
      <c r="E285" s="38" t="s">
        <v>243</v>
      </c>
      <c r="F285" s="38"/>
      <c r="G285" s="38" t="s">
        <v>1841</v>
      </c>
      <c r="H285" s="38" t="s">
        <v>242</v>
      </c>
      <c r="I285" s="38" t="s">
        <v>316</v>
      </c>
      <c r="J285" s="38" t="s">
        <v>2679</v>
      </c>
    </row>
    <row r="286" spans="1:10" ht="28.8" x14ac:dyDescent="0.3">
      <c r="A286" s="37" t="s">
        <v>1842</v>
      </c>
      <c r="B286" s="37" t="s">
        <v>1841</v>
      </c>
      <c r="C286" s="37" t="s">
        <v>346</v>
      </c>
      <c r="D286" s="37" t="s">
        <v>245</v>
      </c>
      <c r="E286" s="37" t="s">
        <v>243</v>
      </c>
      <c r="F286" s="37"/>
      <c r="G286" s="37" t="s">
        <v>1841</v>
      </c>
      <c r="H286" s="37" t="s">
        <v>242</v>
      </c>
      <c r="I286" s="37" t="s">
        <v>356</v>
      </c>
      <c r="J286" s="37" t="s">
        <v>2679</v>
      </c>
    </row>
    <row r="287" spans="1:10" ht="28.8" x14ac:dyDescent="0.3">
      <c r="A287" s="38" t="s">
        <v>1849</v>
      </c>
      <c r="B287" s="38" t="s">
        <v>1848</v>
      </c>
      <c r="C287" s="38" t="s">
        <v>267</v>
      </c>
      <c r="D287" s="38" t="s">
        <v>245</v>
      </c>
      <c r="E287" s="38" t="s">
        <v>243</v>
      </c>
      <c r="F287" s="38"/>
      <c r="G287" s="38" t="s">
        <v>1848</v>
      </c>
      <c r="H287" s="38" t="s">
        <v>268</v>
      </c>
      <c r="I287" s="38" t="s">
        <v>277</v>
      </c>
      <c r="J287" s="38" t="s">
        <v>2679</v>
      </c>
    </row>
    <row r="288" spans="1:10" ht="28.8" x14ac:dyDescent="0.3">
      <c r="A288" s="37" t="s">
        <v>1849</v>
      </c>
      <c r="B288" s="37" t="s">
        <v>1848</v>
      </c>
      <c r="C288" s="37" t="s">
        <v>243</v>
      </c>
      <c r="D288" s="37" t="s">
        <v>245</v>
      </c>
      <c r="E288" s="37" t="s">
        <v>243</v>
      </c>
      <c r="F288" s="37"/>
      <c r="G288" s="37" t="s">
        <v>1848</v>
      </c>
      <c r="H288" s="37" t="s">
        <v>242</v>
      </c>
      <c r="I288" s="37" t="s">
        <v>316</v>
      </c>
      <c r="J288" s="37" t="s">
        <v>2679</v>
      </c>
    </row>
    <row r="289" spans="1:10" ht="28.8" x14ac:dyDescent="0.3">
      <c r="A289" s="38" t="s">
        <v>1849</v>
      </c>
      <c r="B289" s="38" t="s">
        <v>1848</v>
      </c>
      <c r="C289" s="38" t="s">
        <v>346</v>
      </c>
      <c r="D289" s="38" t="s">
        <v>245</v>
      </c>
      <c r="E289" s="38" t="s">
        <v>243</v>
      </c>
      <c r="F289" s="38"/>
      <c r="G289" s="38" t="s">
        <v>1848</v>
      </c>
      <c r="H289" s="38" t="s">
        <v>242</v>
      </c>
      <c r="I289" s="38" t="s">
        <v>356</v>
      </c>
      <c r="J289" s="38" t="s">
        <v>2679</v>
      </c>
    </row>
    <row r="290" spans="1:10" ht="28.8" x14ac:dyDescent="0.3">
      <c r="A290" s="37" t="s">
        <v>1863</v>
      </c>
      <c r="B290" s="37" t="s">
        <v>1861</v>
      </c>
      <c r="C290" s="37" t="s">
        <v>267</v>
      </c>
      <c r="D290" s="37" t="s">
        <v>245</v>
      </c>
      <c r="E290" s="37" t="s">
        <v>323</v>
      </c>
      <c r="F290" s="37"/>
      <c r="G290" s="37" t="s">
        <v>1861</v>
      </c>
      <c r="H290" s="37" t="s">
        <v>268</v>
      </c>
      <c r="I290" s="37" t="s">
        <v>277</v>
      </c>
      <c r="J290" s="37" t="s">
        <v>2679</v>
      </c>
    </row>
    <row r="291" spans="1:10" ht="28.8" x14ac:dyDescent="0.3">
      <c r="A291" s="38" t="s">
        <v>1863</v>
      </c>
      <c r="B291" s="38" t="s">
        <v>1861</v>
      </c>
      <c r="C291" s="38" t="s">
        <v>243</v>
      </c>
      <c r="D291" s="38" t="s">
        <v>245</v>
      </c>
      <c r="E291" s="38" t="s">
        <v>323</v>
      </c>
      <c r="F291" s="38"/>
      <c r="G291" s="38" t="s">
        <v>1861</v>
      </c>
      <c r="H291" s="38" t="s">
        <v>268</v>
      </c>
      <c r="I291" s="38" t="s">
        <v>316</v>
      </c>
      <c r="J291" s="38" t="s">
        <v>2679</v>
      </c>
    </row>
    <row r="292" spans="1:10" ht="28.8" x14ac:dyDescent="0.3">
      <c r="A292" s="37" t="s">
        <v>1863</v>
      </c>
      <c r="B292" s="37" t="s">
        <v>1861</v>
      </c>
      <c r="C292" s="37" t="s">
        <v>346</v>
      </c>
      <c r="D292" s="37" t="s">
        <v>245</v>
      </c>
      <c r="E292" s="37" t="s">
        <v>323</v>
      </c>
      <c r="F292" s="37"/>
      <c r="G292" s="37" t="s">
        <v>1861</v>
      </c>
      <c r="H292" s="37" t="s">
        <v>268</v>
      </c>
      <c r="I292" s="37" t="s">
        <v>356</v>
      </c>
      <c r="J292" s="37" t="s">
        <v>2679</v>
      </c>
    </row>
    <row r="293" spans="1:10" ht="43.2" x14ac:dyDescent="0.3">
      <c r="A293" s="38" t="s">
        <v>1867</v>
      </c>
      <c r="B293" s="38" t="s">
        <v>1865</v>
      </c>
      <c r="C293" s="38" t="s">
        <v>267</v>
      </c>
      <c r="D293" s="38" t="s">
        <v>245</v>
      </c>
      <c r="E293" s="38" t="s">
        <v>243</v>
      </c>
      <c r="F293" s="38"/>
      <c r="G293" s="38" t="s">
        <v>1865</v>
      </c>
      <c r="H293" s="38" t="s">
        <v>268</v>
      </c>
      <c r="I293" s="38" t="s">
        <v>277</v>
      </c>
      <c r="J293" s="38" t="s">
        <v>2679</v>
      </c>
    </row>
    <row r="294" spans="1:10" ht="43.2" x14ac:dyDescent="0.3">
      <c r="A294" s="37" t="s">
        <v>1867</v>
      </c>
      <c r="B294" s="37" t="s">
        <v>1865</v>
      </c>
      <c r="C294" s="37" t="s">
        <v>243</v>
      </c>
      <c r="D294" s="37" t="s">
        <v>245</v>
      </c>
      <c r="E294" s="37" t="s">
        <v>243</v>
      </c>
      <c r="F294" s="37"/>
      <c r="G294" s="37" t="s">
        <v>1865</v>
      </c>
      <c r="H294" s="37" t="s">
        <v>242</v>
      </c>
      <c r="I294" s="37" t="s">
        <v>316</v>
      </c>
      <c r="J294" s="37" t="s">
        <v>2679</v>
      </c>
    </row>
    <row r="295" spans="1:10" ht="43.2" x14ac:dyDescent="0.3">
      <c r="A295" s="38" t="s">
        <v>1867</v>
      </c>
      <c r="B295" s="38" t="s">
        <v>1865</v>
      </c>
      <c r="C295" s="38" t="s">
        <v>346</v>
      </c>
      <c r="D295" s="38" t="s">
        <v>245</v>
      </c>
      <c r="E295" s="38" t="s">
        <v>243</v>
      </c>
      <c r="F295" s="38"/>
      <c r="G295" s="38" t="s">
        <v>1865</v>
      </c>
      <c r="H295" s="38" t="s">
        <v>242</v>
      </c>
      <c r="I295" s="38" t="s">
        <v>356</v>
      </c>
      <c r="J295" s="38" t="s">
        <v>2679</v>
      </c>
    </row>
    <row r="296" spans="1:10" ht="28.8" x14ac:dyDescent="0.3">
      <c r="A296" s="37" t="s">
        <v>1870</v>
      </c>
      <c r="B296" s="37" t="s">
        <v>1869</v>
      </c>
      <c r="C296" s="37" t="s">
        <v>267</v>
      </c>
      <c r="D296" s="37" t="s">
        <v>245</v>
      </c>
      <c r="E296" s="37" t="s">
        <v>243</v>
      </c>
      <c r="F296" s="37"/>
      <c r="G296" s="37" t="s">
        <v>1869</v>
      </c>
      <c r="H296" s="37" t="s">
        <v>268</v>
      </c>
      <c r="I296" s="37" t="s">
        <v>277</v>
      </c>
      <c r="J296" s="37" t="s">
        <v>2679</v>
      </c>
    </row>
    <row r="297" spans="1:10" ht="28.8" x14ac:dyDescent="0.3">
      <c r="A297" s="38" t="s">
        <v>1870</v>
      </c>
      <c r="B297" s="38" t="s">
        <v>1869</v>
      </c>
      <c r="C297" s="38" t="s">
        <v>243</v>
      </c>
      <c r="D297" s="38" t="s">
        <v>245</v>
      </c>
      <c r="E297" s="38" t="s">
        <v>243</v>
      </c>
      <c r="F297" s="38"/>
      <c r="G297" s="38" t="s">
        <v>1869</v>
      </c>
      <c r="H297" s="38" t="s">
        <v>242</v>
      </c>
      <c r="I297" s="38" t="s">
        <v>316</v>
      </c>
      <c r="J297" s="38" t="s">
        <v>2679</v>
      </c>
    </row>
    <row r="298" spans="1:10" ht="28.8" x14ac:dyDescent="0.3">
      <c r="A298" s="37" t="s">
        <v>1870</v>
      </c>
      <c r="B298" s="37" t="s">
        <v>1869</v>
      </c>
      <c r="C298" s="37" t="s">
        <v>346</v>
      </c>
      <c r="D298" s="37" t="s">
        <v>245</v>
      </c>
      <c r="E298" s="37" t="s">
        <v>243</v>
      </c>
      <c r="F298" s="37"/>
      <c r="G298" s="37" t="s">
        <v>1869</v>
      </c>
      <c r="H298" s="37" t="s">
        <v>242</v>
      </c>
      <c r="I298" s="37" t="s">
        <v>356</v>
      </c>
      <c r="J298" s="37" t="s">
        <v>2679</v>
      </c>
    </row>
    <row r="299" spans="1:10" ht="43.2" x14ac:dyDescent="0.3">
      <c r="A299" s="38" t="s">
        <v>1873</v>
      </c>
      <c r="B299" s="38" t="s">
        <v>1872</v>
      </c>
      <c r="C299" s="38" t="s">
        <v>267</v>
      </c>
      <c r="D299" s="38" t="s">
        <v>245</v>
      </c>
      <c r="E299" s="38" t="s">
        <v>243</v>
      </c>
      <c r="F299" s="38"/>
      <c r="G299" s="38" t="s">
        <v>1872</v>
      </c>
      <c r="H299" s="38" t="s">
        <v>268</v>
      </c>
      <c r="I299" s="38" t="s">
        <v>277</v>
      </c>
      <c r="J299" s="38" t="s">
        <v>2679</v>
      </c>
    </row>
    <row r="300" spans="1:10" ht="43.2" x14ac:dyDescent="0.3">
      <c r="A300" s="37" t="s">
        <v>1873</v>
      </c>
      <c r="B300" s="37" t="s">
        <v>1872</v>
      </c>
      <c r="C300" s="37" t="s">
        <v>243</v>
      </c>
      <c r="D300" s="37" t="s">
        <v>245</v>
      </c>
      <c r="E300" s="37" t="s">
        <v>243</v>
      </c>
      <c r="F300" s="37"/>
      <c r="G300" s="37" t="s">
        <v>1872</v>
      </c>
      <c r="H300" s="37" t="s">
        <v>242</v>
      </c>
      <c r="I300" s="37" t="s">
        <v>316</v>
      </c>
      <c r="J300" s="37" t="s">
        <v>2679</v>
      </c>
    </row>
    <row r="301" spans="1:10" ht="43.2" x14ac:dyDescent="0.3">
      <c r="A301" s="38" t="s">
        <v>1873</v>
      </c>
      <c r="B301" s="38" t="s">
        <v>1872</v>
      </c>
      <c r="C301" s="38" t="s">
        <v>346</v>
      </c>
      <c r="D301" s="38" t="s">
        <v>245</v>
      </c>
      <c r="E301" s="38" t="s">
        <v>243</v>
      </c>
      <c r="F301" s="38"/>
      <c r="G301" s="38" t="s">
        <v>1872</v>
      </c>
      <c r="H301" s="38" t="s">
        <v>242</v>
      </c>
      <c r="I301" s="38" t="s">
        <v>356</v>
      </c>
      <c r="J301" s="38" t="s">
        <v>2679</v>
      </c>
    </row>
    <row r="302" spans="1:10" ht="28.8" x14ac:dyDescent="0.3">
      <c r="A302" s="37" t="s">
        <v>1896</v>
      </c>
      <c r="B302" s="37" t="s">
        <v>1894</v>
      </c>
      <c r="C302" s="37" t="s">
        <v>267</v>
      </c>
      <c r="D302" s="37" t="s">
        <v>245</v>
      </c>
      <c r="E302" s="37" t="s">
        <v>284</v>
      </c>
      <c r="F302" s="37"/>
      <c r="G302" s="37" t="s">
        <v>1894</v>
      </c>
      <c r="H302" s="37" t="s">
        <v>268</v>
      </c>
      <c r="I302" s="37" t="s">
        <v>277</v>
      </c>
      <c r="J302" s="37" t="s">
        <v>2679</v>
      </c>
    </row>
    <row r="303" spans="1:10" ht="28.8" x14ac:dyDescent="0.3">
      <c r="A303" s="38" t="s">
        <v>1896</v>
      </c>
      <c r="B303" s="38" t="s">
        <v>1894</v>
      </c>
      <c r="C303" s="38" t="s">
        <v>243</v>
      </c>
      <c r="D303" s="38" t="s">
        <v>245</v>
      </c>
      <c r="E303" s="38" t="s">
        <v>284</v>
      </c>
      <c r="F303" s="38"/>
      <c r="G303" s="38" t="s">
        <v>1894</v>
      </c>
      <c r="H303" s="38" t="s">
        <v>242</v>
      </c>
      <c r="I303" s="38" t="s">
        <v>316</v>
      </c>
      <c r="J303" s="38" t="s">
        <v>2679</v>
      </c>
    </row>
    <row r="304" spans="1:10" ht="28.8" x14ac:dyDescent="0.3">
      <c r="A304" s="37" t="s">
        <v>1896</v>
      </c>
      <c r="B304" s="37" t="s">
        <v>1894</v>
      </c>
      <c r="C304" s="37" t="s">
        <v>346</v>
      </c>
      <c r="D304" s="37" t="s">
        <v>245</v>
      </c>
      <c r="E304" s="37" t="s">
        <v>284</v>
      </c>
      <c r="F304" s="37"/>
      <c r="G304" s="37" t="s">
        <v>1894</v>
      </c>
      <c r="H304" s="37" t="s">
        <v>242</v>
      </c>
      <c r="I304" s="37" t="s">
        <v>356</v>
      </c>
      <c r="J304" s="37" t="s">
        <v>2679</v>
      </c>
    </row>
    <row r="305" spans="1:10" ht="28.8" x14ac:dyDescent="0.3">
      <c r="A305" s="38" t="s">
        <v>1937</v>
      </c>
      <c r="B305" s="38" t="s">
        <v>1936</v>
      </c>
      <c r="C305" s="38" t="s">
        <v>267</v>
      </c>
      <c r="D305" s="38" t="s">
        <v>245</v>
      </c>
      <c r="E305" s="38" t="s">
        <v>243</v>
      </c>
      <c r="F305" s="38"/>
      <c r="G305" s="38" t="s">
        <v>1936</v>
      </c>
      <c r="H305" s="38" t="s">
        <v>268</v>
      </c>
      <c r="I305" s="38" t="s">
        <v>277</v>
      </c>
      <c r="J305" s="38" t="s">
        <v>2679</v>
      </c>
    </row>
    <row r="306" spans="1:10" ht="28.8" x14ac:dyDescent="0.3">
      <c r="A306" s="37" t="s">
        <v>1937</v>
      </c>
      <c r="B306" s="37" t="s">
        <v>1936</v>
      </c>
      <c r="C306" s="37" t="s">
        <v>243</v>
      </c>
      <c r="D306" s="37" t="s">
        <v>245</v>
      </c>
      <c r="E306" s="37" t="s">
        <v>243</v>
      </c>
      <c r="F306" s="37"/>
      <c r="G306" s="37" t="s">
        <v>1936</v>
      </c>
      <c r="H306" s="37" t="s">
        <v>242</v>
      </c>
      <c r="I306" s="37" t="s">
        <v>316</v>
      </c>
      <c r="J306" s="37" t="s">
        <v>2679</v>
      </c>
    </row>
    <row r="307" spans="1:10" ht="28.8" x14ac:dyDescent="0.3">
      <c r="A307" s="38" t="s">
        <v>1937</v>
      </c>
      <c r="B307" s="38" t="s">
        <v>1936</v>
      </c>
      <c r="C307" s="38" t="s">
        <v>346</v>
      </c>
      <c r="D307" s="38" t="s">
        <v>245</v>
      </c>
      <c r="E307" s="38" t="s">
        <v>243</v>
      </c>
      <c r="F307" s="38"/>
      <c r="G307" s="38" t="s">
        <v>1936</v>
      </c>
      <c r="H307" s="38" t="s">
        <v>242</v>
      </c>
      <c r="I307" s="38" t="s">
        <v>356</v>
      </c>
      <c r="J307" s="38" t="s">
        <v>2679</v>
      </c>
    </row>
    <row r="308" spans="1:10" ht="28.8" x14ac:dyDescent="0.3">
      <c r="A308" s="37" t="s">
        <v>1941</v>
      </c>
      <c r="B308" s="37" t="s">
        <v>1939</v>
      </c>
      <c r="C308" s="37" t="s">
        <v>267</v>
      </c>
      <c r="D308" s="37" t="s">
        <v>245</v>
      </c>
      <c r="E308" s="37" t="s">
        <v>243</v>
      </c>
      <c r="F308" s="37"/>
      <c r="G308" s="37" t="s">
        <v>1939</v>
      </c>
      <c r="H308" s="37" t="s">
        <v>268</v>
      </c>
      <c r="I308" s="37" t="s">
        <v>277</v>
      </c>
      <c r="J308" s="37" t="s">
        <v>2679</v>
      </c>
    </row>
    <row r="309" spans="1:10" ht="28.8" x14ac:dyDescent="0.3">
      <c r="A309" s="38" t="s">
        <v>1941</v>
      </c>
      <c r="B309" s="38" t="s">
        <v>1939</v>
      </c>
      <c r="C309" s="38" t="s">
        <v>243</v>
      </c>
      <c r="D309" s="38" t="s">
        <v>245</v>
      </c>
      <c r="E309" s="38" t="s">
        <v>243</v>
      </c>
      <c r="F309" s="38"/>
      <c r="G309" s="38" t="s">
        <v>1939</v>
      </c>
      <c r="H309" s="38" t="s">
        <v>242</v>
      </c>
      <c r="I309" s="38" t="s">
        <v>316</v>
      </c>
      <c r="J309" s="38" t="s">
        <v>2679</v>
      </c>
    </row>
    <row r="310" spans="1:10" ht="28.8" x14ac:dyDescent="0.3">
      <c r="A310" s="37" t="s">
        <v>1941</v>
      </c>
      <c r="B310" s="37" t="s">
        <v>1939</v>
      </c>
      <c r="C310" s="37" t="s">
        <v>346</v>
      </c>
      <c r="D310" s="37" t="s">
        <v>245</v>
      </c>
      <c r="E310" s="37" t="s">
        <v>243</v>
      </c>
      <c r="F310" s="37"/>
      <c r="G310" s="37" t="s">
        <v>1939</v>
      </c>
      <c r="H310" s="37" t="s">
        <v>242</v>
      </c>
      <c r="I310" s="37" t="s">
        <v>356</v>
      </c>
      <c r="J310" s="37" t="s">
        <v>2679</v>
      </c>
    </row>
    <row r="311" spans="1:10" ht="28.8" x14ac:dyDescent="0.3">
      <c r="A311" s="38" t="s">
        <v>1949</v>
      </c>
      <c r="B311" s="38" t="s">
        <v>1947</v>
      </c>
      <c r="C311" s="38" t="s">
        <v>267</v>
      </c>
      <c r="D311" s="38" t="s">
        <v>245</v>
      </c>
      <c r="E311" s="38" t="s">
        <v>243</v>
      </c>
      <c r="F311" s="38"/>
      <c r="G311" s="38" t="s">
        <v>1947</v>
      </c>
      <c r="H311" s="38" t="s">
        <v>268</v>
      </c>
      <c r="I311" s="38" t="s">
        <v>277</v>
      </c>
      <c r="J311" s="38" t="s">
        <v>2679</v>
      </c>
    </row>
    <row r="312" spans="1:10" ht="28.8" x14ac:dyDescent="0.3">
      <c r="A312" s="37" t="s">
        <v>1949</v>
      </c>
      <c r="B312" s="37" t="s">
        <v>1947</v>
      </c>
      <c r="C312" s="37" t="s">
        <v>243</v>
      </c>
      <c r="D312" s="37" t="s">
        <v>245</v>
      </c>
      <c r="E312" s="37" t="s">
        <v>243</v>
      </c>
      <c r="F312" s="37"/>
      <c r="G312" s="37" t="s">
        <v>1947</v>
      </c>
      <c r="H312" s="37" t="s">
        <v>242</v>
      </c>
      <c r="I312" s="37" t="s">
        <v>316</v>
      </c>
      <c r="J312" s="37" t="s">
        <v>2679</v>
      </c>
    </row>
    <row r="313" spans="1:10" ht="28.8" x14ac:dyDescent="0.3">
      <c r="A313" s="38" t="s">
        <v>1949</v>
      </c>
      <c r="B313" s="38" t="s">
        <v>1947</v>
      </c>
      <c r="C313" s="38" t="s">
        <v>346</v>
      </c>
      <c r="D313" s="38" t="s">
        <v>245</v>
      </c>
      <c r="E313" s="38" t="s">
        <v>243</v>
      </c>
      <c r="F313" s="38"/>
      <c r="G313" s="38" t="s">
        <v>1947</v>
      </c>
      <c r="H313" s="38" t="s">
        <v>242</v>
      </c>
      <c r="I313" s="38" t="s">
        <v>356</v>
      </c>
      <c r="J313" s="38" t="s">
        <v>2679</v>
      </c>
    </row>
    <row r="314" spans="1:10" ht="28.8" x14ac:dyDescent="0.3">
      <c r="A314" s="37" t="s">
        <v>1963</v>
      </c>
      <c r="B314" s="37" t="s">
        <v>1960</v>
      </c>
      <c r="C314" s="37" t="s">
        <v>267</v>
      </c>
      <c r="D314" s="37" t="s">
        <v>245</v>
      </c>
      <c r="E314" s="37" t="s">
        <v>243</v>
      </c>
      <c r="F314" s="37"/>
      <c r="G314" s="37" t="s">
        <v>1960</v>
      </c>
      <c r="H314" s="37" t="s">
        <v>322</v>
      </c>
      <c r="I314" s="37" t="s">
        <v>277</v>
      </c>
      <c r="J314" s="37" t="s">
        <v>2679</v>
      </c>
    </row>
    <row r="315" spans="1:10" ht="28.8" x14ac:dyDescent="0.3">
      <c r="A315" s="38" t="s">
        <v>1963</v>
      </c>
      <c r="B315" s="38" t="s">
        <v>1960</v>
      </c>
      <c r="C315" s="38" t="s">
        <v>243</v>
      </c>
      <c r="D315" s="38" t="s">
        <v>245</v>
      </c>
      <c r="E315" s="38" t="s">
        <v>243</v>
      </c>
      <c r="F315" s="38"/>
      <c r="G315" s="38" t="s">
        <v>1960</v>
      </c>
      <c r="H315" s="38" t="s">
        <v>322</v>
      </c>
      <c r="I315" s="38" t="s">
        <v>316</v>
      </c>
      <c r="J315" s="38" t="s">
        <v>2679</v>
      </c>
    </row>
    <row r="316" spans="1:10" ht="28.8" x14ac:dyDescent="0.3">
      <c r="A316" s="37" t="s">
        <v>1963</v>
      </c>
      <c r="B316" s="37" t="s">
        <v>1960</v>
      </c>
      <c r="C316" s="37" t="s">
        <v>346</v>
      </c>
      <c r="D316" s="37" t="s">
        <v>245</v>
      </c>
      <c r="E316" s="37" t="s">
        <v>243</v>
      </c>
      <c r="F316" s="37"/>
      <c r="G316" s="37" t="s">
        <v>1960</v>
      </c>
      <c r="H316" s="37" t="s">
        <v>322</v>
      </c>
      <c r="I316" s="37" t="s">
        <v>356</v>
      </c>
      <c r="J316" s="37" t="s">
        <v>2679</v>
      </c>
    </row>
    <row r="317" spans="1:10" ht="28.8" x14ac:dyDescent="0.3">
      <c r="A317" s="38" t="s">
        <v>2003</v>
      </c>
      <c r="B317" s="38" t="s">
        <v>2002</v>
      </c>
      <c r="C317" s="38" t="s">
        <v>267</v>
      </c>
      <c r="D317" s="38" t="s">
        <v>245</v>
      </c>
      <c r="E317" s="38" t="s">
        <v>243</v>
      </c>
      <c r="F317" s="38"/>
      <c r="G317" s="38" t="s">
        <v>2002</v>
      </c>
      <c r="H317" s="38" t="s">
        <v>268</v>
      </c>
      <c r="I317" s="38" t="s">
        <v>277</v>
      </c>
      <c r="J317" s="38" t="s">
        <v>2679</v>
      </c>
    </row>
    <row r="318" spans="1:10" ht="28.8" x14ac:dyDescent="0.3">
      <c r="A318" s="37" t="s">
        <v>2003</v>
      </c>
      <c r="B318" s="37" t="s">
        <v>2002</v>
      </c>
      <c r="C318" s="37" t="s">
        <v>243</v>
      </c>
      <c r="D318" s="37" t="s">
        <v>245</v>
      </c>
      <c r="E318" s="37" t="s">
        <v>243</v>
      </c>
      <c r="F318" s="37"/>
      <c r="G318" s="37" t="s">
        <v>2002</v>
      </c>
      <c r="H318" s="37" t="s">
        <v>242</v>
      </c>
      <c r="I318" s="37" t="s">
        <v>316</v>
      </c>
      <c r="J318" s="37" t="s">
        <v>2679</v>
      </c>
    </row>
    <row r="319" spans="1:10" ht="28.8" x14ac:dyDescent="0.3">
      <c r="A319" s="38" t="s">
        <v>2003</v>
      </c>
      <c r="B319" s="38" t="s">
        <v>2002</v>
      </c>
      <c r="C319" s="38" t="s">
        <v>346</v>
      </c>
      <c r="D319" s="38" t="s">
        <v>245</v>
      </c>
      <c r="E319" s="38" t="s">
        <v>243</v>
      </c>
      <c r="F319" s="38"/>
      <c r="G319" s="38" t="s">
        <v>2002</v>
      </c>
      <c r="H319" s="38" t="s">
        <v>242</v>
      </c>
      <c r="I319" s="38" t="s">
        <v>356</v>
      </c>
      <c r="J319" s="38" t="s">
        <v>2679</v>
      </c>
    </row>
    <row r="320" spans="1:10" ht="28.8" x14ac:dyDescent="0.3">
      <c r="A320" s="37" t="s">
        <v>2006</v>
      </c>
      <c r="B320" s="37" t="s">
        <v>2005</v>
      </c>
      <c r="C320" s="37" t="s">
        <v>267</v>
      </c>
      <c r="D320" s="37" t="s">
        <v>245</v>
      </c>
      <c r="E320" s="37" t="s">
        <v>243</v>
      </c>
      <c r="F320" s="37"/>
      <c r="G320" s="37" t="s">
        <v>2005</v>
      </c>
      <c r="H320" s="37" t="s">
        <v>268</v>
      </c>
      <c r="I320" s="37" t="s">
        <v>277</v>
      </c>
      <c r="J320" s="37" t="s">
        <v>2679</v>
      </c>
    </row>
    <row r="321" spans="1:10" ht="28.8" x14ac:dyDescent="0.3">
      <c r="A321" s="38" t="s">
        <v>2006</v>
      </c>
      <c r="B321" s="38" t="s">
        <v>2005</v>
      </c>
      <c r="C321" s="38" t="s">
        <v>243</v>
      </c>
      <c r="D321" s="38" t="s">
        <v>245</v>
      </c>
      <c r="E321" s="38" t="s">
        <v>243</v>
      </c>
      <c r="F321" s="38"/>
      <c r="G321" s="38" t="s">
        <v>2005</v>
      </c>
      <c r="H321" s="38" t="s">
        <v>242</v>
      </c>
      <c r="I321" s="38" t="s">
        <v>316</v>
      </c>
      <c r="J321" s="38" t="s">
        <v>2679</v>
      </c>
    </row>
    <row r="322" spans="1:10" ht="28.8" x14ac:dyDescent="0.3">
      <c r="A322" s="37" t="s">
        <v>2006</v>
      </c>
      <c r="B322" s="37" t="s">
        <v>2005</v>
      </c>
      <c r="C322" s="37" t="s">
        <v>346</v>
      </c>
      <c r="D322" s="37" t="s">
        <v>245</v>
      </c>
      <c r="E322" s="37" t="s">
        <v>243</v>
      </c>
      <c r="F322" s="37"/>
      <c r="G322" s="37" t="s">
        <v>2005</v>
      </c>
      <c r="H322" s="37" t="s">
        <v>242</v>
      </c>
      <c r="I322" s="37" t="s">
        <v>356</v>
      </c>
      <c r="J322" s="37" t="s">
        <v>2679</v>
      </c>
    </row>
    <row r="323" spans="1:10" ht="43.2" x14ac:dyDescent="0.3">
      <c r="A323" s="38" t="s">
        <v>2010</v>
      </c>
      <c r="B323" s="38" t="s">
        <v>2008</v>
      </c>
      <c r="C323" s="38" t="s">
        <v>267</v>
      </c>
      <c r="D323" s="38" t="s">
        <v>245</v>
      </c>
      <c r="E323" s="38" t="s">
        <v>243</v>
      </c>
      <c r="F323" s="38"/>
      <c r="G323" s="38" t="s">
        <v>2008</v>
      </c>
      <c r="H323" s="38" t="s">
        <v>268</v>
      </c>
      <c r="I323" s="38" t="s">
        <v>277</v>
      </c>
      <c r="J323" s="38" t="s">
        <v>2679</v>
      </c>
    </row>
    <row r="324" spans="1:10" ht="43.2" x14ac:dyDescent="0.3">
      <c r="A324" s="37" t="s">
        <v>2010</v>
      </c>
      <c r="B324" s="37" t="s">
        <v>2008</v>
      </c>
      <c r="C324" s="37" t="s">
        <v>243</v>
      </c>
      <c r="D324" s="37" t="s">
        <v>245</v>
      </c>
      <c r="E324" s="37" t="s">
        <v>243</v>
      </c>
      <c r="F324" s="37"/>
      <c r="G324" s="37" t="s">
        <v>2008</v>
      </c>
      <c r="H324" s="37" t="s">
        <v>242</v>
      </c>
      <c r="I324" s="37" t="s">
        <v>316</v>
      </c>
      <c r="J324" s="37" t="s">
        <v>2679</v>
      </c>
    </row>
    <row r="325" spans="1:10" ht="43.2" x14ac:dyDescent="0.3">
      <c r="A325" s="38" t="s">
        <v>2010</v>
      </c>
      <c r="B325" s="38" t="s">
        <v>2008</v>
      </c>
      <c r="C325" s="38" t="s">
        <v>346</v>
      </c>
      <c r="D325" s="38" t="s">
        <v>245</v>
      </c>
      <c r="E325" s="38" t="s">
        <v>243</v>
      </c>
      <c r="F325" s="38"/>
      <c r="G325" s="38" t="s">
        <v>2008</v>
      </c>
      <c r="H325" s="38" t="s">
        <v>242</v>
      </c>
      <c r="I325" s="38" t="s">
        <v>356</v>
      </c>
      <c r="J325" s="38" t="s">
        <v>2679</v>
      </c>
    </row>
    <row r="326" spans="1:10" ht="28.8" x14ac:dyDescent="0.3">
      <c r="A326" s="37" t="s">
        <v>2013</v>
      </c>
      <c r="B326" s="37" t="s">
        <v>2012</v>
      </c>
      <c r="C326" s="37" t="s">
        <v>267</v>
      </c>
      <c r="D326" s="37" t="s">
        <v>245</v>
      </c>
      <c r="E326" s="37" t="s">
        <v>243</v>
      </c>
      <c r="F326" s="37"/>
      <c r="G326" s="37" t="s">
        <v>2012</v>
      </c>
      <c r="H326" s="37" t="s">
        <v>268</v>
      </c>
      <c r="I326" s="37" t="s">
        <v>277</v>
      </c>
      <c r="J326" s="37" t="s">
        <v>2679</v>
      </c>
    </row>
    <row r="327" spans="1:10" ht="28.8" x14ac:dyDescent="0.3">
      <c r="A327" s="38" t="s">
        <v>2013</v>
      </c>
      <c r="B327" s="38" t="s">
        <v>2012</v>
      </c>
      <c r="C327" s="38" t="s">
        <v>243</v>
      </c>
      <c r="D327" s="38" t="s">
        <v>245</v>
      </c>
      <c r="E327" s="38" t="s">
        <v>243</v>
      </c>
      <c r="F327" s="38"/>
      <c r="G327" s="38" t="s">
        <v>2012</v>
      </c>
      <c r="H327" s="38" t="s">
        <v>242</v>
      </c>
      <c r="I327" s="38" t="s">
        <v>316</v>
      </c>
      <c r="J327" s="38" t="s">
        <v>2679</v>
      </c>
    </row>
    <row r="328" spans="1:10" ht="28.8" x14ac:dyDescent="0.3">
      <c r="A328" s="37" t="s">
        <v>2013</v>
      </c>
      <c r="B328" s="37" t="s">
        <v>2012</v>
      </c>
      <c r="C328" s="37" t="s">
        <v>346</v>
      </c>
      <c r="D328" s="37" t="s">
        <v>245</v>
      </c>
      <c r="E328" s="37" t="s">
        <v>243</v>
      </c>
      <c r="F328" s="37"/>
      <c r="G328" s="37" t="s">
        <v>2012</v>
      </c>
      <c r="H328" s="37" t="s">
        <v>242</v>
      </c>
      <c r="I328" s="37" t="s">
        <v>356</v>
      </c>
      <c r="J328" s="37" t="s">
        <v>2679</v>
      </c>
    </row>
    <row r="329" spans="1:10" ht="28.8" x14ac:dyDescent="0.3">
      <c r="A329" s="38" t="s">
        <v>2017</v>
      </c>
      <c r="B329" s="38" t="s">
        <v>2015</v>
      </c>
      <c r="C329" s="38" t="s">
        <v>267</v>
      </c>
      <c r="D329" s="38" t="s">
        <v>245</v>
      </c>
      <c r="E329" s="38" t="s">
        <v>323</v>
      </c>
      <c r="F329" s="38"/>
      <c r="G329" s="38" t="s">
        <v>2015</v>
      </c>
      <c r="H329" s="38" t="s">
        <v>268</v>
      </c>
      <c r="I329" s="38" t="s">
        <v>277</v>
      </c>
      <c r="J329" s="38" t="s">
        <v>2679</v>
      </c>
    </row>
    <row r="330" spans="1:10" ht="28.8" x14ac:dyDescent="0.3">
      <c r="A330" s="37" t="s">
        <v>2017</v>
      </c>
      <c r="B330" s="37" t="s">
        <v>2015</v>
      </c>
      <c r="C330" s="37" t="s">
        <v>243</v>
      </c>
      <c r="D330" s="37" t="s">
        <v>245</v>
      </c>
      <c r="E330" s="37" t="s">
        <v>323</v>
      </c>
      <c r="F330" s="37"/>
      <c r="G330" s="37" t="s">
        <v>2015</v>
      </c>
      <c r="H330" s="37" t="s">
        <v>242</v>
      </c>
      <c r="I330" s="37" t="s">
        <v>316</v>
      </c>
      <c r="J330" s="37" t="s">
        <v>2679</v>
      </c>
    </row>
    <row r="331" spans="1:10" ht="28.8" x14ac:dyDescent="0.3">
      <c r="A331" s="38" t="s">
        <v>2017</v>
      </c>
      <c r="B331" s="38" t="s">
        <v>2015</v>
      </c>
      <c r="C331" s="38" t="s">
        <v>346</v>
      </c>
      <c r="D331" s="38" t="s">
        <v>245</v>
      </c>
      <c r="E331" s="38" t="s">
        <v>323</v>
      </c>
      <c r="F331" s="38"/>
      <c r="G331" s="38" t="s">
        <v>2015</v>
      </c>
      <c r="H331" s="38" t="s">
        <v>242</v>
      </c>
      <c r="I331" s="38" t="s">
        <v>356</v>
      </c>
      <c r="J331" s="38" t="s">
        <v>2679</v>
      </c>
    </row>
    <row r="332" spans="1:10" ht="28.8" x14ac:dyDescent="0.3">
      <c r="A332" s="37" t="s">
        <v>2038</v>
      </c>
      <c r="B332" s="37" t="s">
        <v>2037</v>
      </c>
      <c r="C332" s="37" t="s">
        <v>267</v>
      </c>
      <c r="D332" s="37" t="s">
        <v>245</v>
      </c>
      <c r="E332" s="37" t="s">
        <v>243</v>
      </c>
      <c r="F332" s="37"/>
      <c r="G332" s="37" t="s">
        <v>2037</v>
      </c>
      <c r="H332" s="37" t="s">
        <v>268</v>
      </c>
      <c r="I332" s="37" t="s">
        <v>277</v>
      </c>
      <c r="J332" s="37" t="s">
        <v>2679</v>
      </c>
    </row>
    <row r="333" spans="1:10" ht="28.8" x14ac:dyDescent="0.3">
      <c r="A333" s="38" t="s">
        <v>2038</v>
      </c>
      <c r="B333" s="38" t="s">
        <v>2037</v>
      </c>
      <c r="C333" s="38" t="s">
        <v>243</v>
      </c>
      <c r="D333" s="38" t="s">
        <v>245</v>
      </c>
      <c r="E333" s="38" t="s">
        <v>243</v>
      </c>
      <c r="F333" s="38"/>
      <c r="G333" s="38" t="s">
        <v>2037</v>
      </c>
      <c r="H333" s="38" t="s">
        <v>242</v>
      </c>
      <c r="I333" s="38" t="s">
        <v>316</v>
      </c>
      <c r="J333" s="38" t="s">
        <v>2679</v>
      </c>
    </row>
    <row r="334" spans="1:10" ht="28.8" x14ac:dyDescent="0.3">
      <c r="A334" s="37" t="s">
        <v>2038</v>
      </c>
      <c r="B334" s="37" t="s">
        <v>2037</v>
      </c>
      <c r="C334" s="37" t="s">
        <v>346</v>
      </c>
      <c r="D334" s="37" t="s">
        <v>245</v>
      </c>
      <c r="E334" s="37" t="s">
        <v>243</v>
      </c>
      <c r="F334" s="37"/>
      <c r="G334" s="37" t="s">
        <v>2037</v>
      </c>
      <c r="H334" s="37" t="s">
        <v>242</v>
      </c>
      <c r="I334" s="37" t="s">
        <v>356</v>
      </c>
      <c r="J334" s="37" t="s">
        <v>2679</v>
      </c>
    </row>
    <row r="335" spans="1:10" ht="43.2" x14ac:dyDescent="0.3">
      <c r="A335" s="38" t="s">
        <v>2042</v>
      </c>
      <c r="B335" s="38" t="s">
        <v>2040</v>
      </c>
      <c r="C335" s="38" t="s">
        <v>267</v>
      </c>
      <c r="D335" s="38" t="s">
        <v>245</v>
      </c>
      <c r="E335" s="38" t="s">
        <v>243</v>
      </c>
      <c r="F335" s="38"/>
      <c r="G335" s="38" t="s">
        <v>2040</v>
      </c>
      <c r="H335" s="38" t="s">
        <v>268</v>
      </c>
      <c r="I335" s="38" t="s">
        <v>277</v>
      </c>
      <c r="J335" s="38" t="s">
        <v>2679</v>
      </c>
    </row>
    <row r="336" spans="1:10" ht="43.2" x14ac:dyDescent="0.3">
      <c r="A336" s="37" t="s">
        <v>2042</v>
      </c>
      <c r="B336" s="37" t="s">
        <v>2040</v>
      </c>
      <c r="C336" s="37" t="s">
        <v>243</v>
      </c>
      <c r="D336" s="37" t="s">
        <v>245</v>
      </c>
      <c r="E336" s="37" t="s">
        <v>243</v>
      </c>
      <c r="F336" s="37"/>
      <c r="G336" s="37" t="s">
        <v>2040</v>
      </c>
      <c r="H336" s="37" t="s">
        <v>242</v>
      </c>
      <c r="I336" s="37" t="s">
        <v>316</v>
      </c>
      <c r="J336" s="37" t="s">
        <v>2679</v>
      </c>
    </row>
    <row r="337" spans="1:10" ht="43.2" x14ac:dyDescent="0.3">
      <c r="A337" s="38" t="s">
        <v>2042</v>
      </c>
      <c r="B337" s="38" t="s">
        <v>2040</v>
      </c>
      <c r="C337" s="38" t="s">
        <v>346</v>
      </c>
      <c r="D337" s="38" t="s">
        <v>245</v>
      </c>
      <c r="E337" s="38" t="s">
        <v>243</v>
      </c>
      <c r="F337" s="38"/>
      <c r="G337" s="38" t="s">
        <v>2040</v>
      </c>
      <c r="H337" s="38" t="s">
        <v>242</v>
      </c>
      <c r="I337" s="38" t="s">
        <v>356</v>
      </c>
      <c r="J337" s="38" t="s">
        <v>2679</v>
      </c>
    </row>
    <row r="338" spans="1:10" ht="28.8" x14ac:dyDescent="0.3">
      <c r="A338" s="37" t="s">
        <v>2046</v>
      </c>
      <c r="B338" s="37" t="s">
        <v>2044</v>
      </c>
      <c r="C338" s="37" t="s">
        <v>267</v>
      </c>
      <c r="D338" s="37" t="s">
        <v>245</v>
      </c>
      <c r="E338" s="37" t="s">
        <v>243</v>
      </c>
      <c r="F338" s="37"/>
      <c r="G338" s="37" t="s">
        <v>2044</v>
      </c>
      <c r="H338" s="37" t="s">
        <v>268</v>
      </c>
      <c r="I338" s="37" t="s">
        <v>277</v>
      </c>
      <c r="J338" s="37" t="s">
        <v>2679</v>
      </c>
    </row>
    <row r="339" spans="1:10" ht="28.8" x14ac:dyDescent="0.3">
      <c r="A339" s="38" t="s">
        <v>2046</v>
      </c>
      <c r="B339" s="38" t="s">
        <v>2044</v>
      </c>
      <c r="C339" s="38" t="s">
        <v>243</v>
      </c>
      <c r="D339" s="38" t="s">
        <v>245</v>
      </c>
      <c r="E339" s="38" t="s">
        <v>243</v>
      </c>
      <c r="F339" s="38"/>
      <c r="G339" s="38" t="s">
        <v>2044</v>
      </c>
      <c r="H339" s="38" t="s">
        <v>242</v>
      </c>
      <c r="I339" s="38" t="s">
        <v>316</v>
      </c>
      <c r="J339" s="38" t="s">
        <v>2679</v>
      </c>
    </row>
    <row r="340" spans="1:10" ht="28.8" x14ac:dyDescent="0.3">
      <c r="A340" s="37" t="s">
        <v>2046</v>
      </c>
      <c r="B340" s="37" t="s">
        <v>2044</v>
      </c>
      <c r="C340" s="37" t="s">
        <v>346</v>
      </c>
      <c r="D340" s="37" t="s">
        <v>245</v>
      </c>
      <c r="E340" s="37" t="s">
        <v>243</v>
      </c>
      <c r="F340" s="37"/>
      <c r="G340" s="37" t="s">
        <v>2044</v>
      </c>
      <c r="H340" s="37" t="s">
        <v>242</v>
      </c>
      <c r="I340" s="37" t="s">
        <v>356</v>
      </c>
      <c r="J340" s="37" t="s">
        <v>2679</v>
      </c>
    </row>
    <row r="341" spans="1:10" ht="28.8" x14ac:dyDescent="0.3">
      <c r="A341" s="38" t="s">
        <v>2049</v>
      </c>
      <c r="B341" s="38" t="s">
        <v>2048</v>
      </c>
      <c r="C341" s="38" t="s">
        <v>267</v>
      </c>
      <c r="D341" s="38" t="s">
        <v>245</v>
      </c>
      <c r="E341" s="38" t="s">
        <v>243</v>
      </c>
      <c r="F341" s="38"/>
      <c r="G341" s="38" t="s">
        <v>2048</v>
      </c>
      <c r="H341" s="38" t="s">
        <v>268</v>
      </c>
      <c r="I341" s="38" t="s">
        <v>277</v>
      </c>
      <c r="J341" s="38" t="s">
        <v>2679</v>
      </c>
    </row>
    <row r="342" spans="1:10" ht="28.8" x14ac:dyDescent="0.3">
      <c r="A342" s="37" t="s">
        <v>2049</v>
      </c>
      <c r="B342" s="37" t="s">
        <v>2048</v>
      </c>
      <c r="C342" s="37" t="s">
        <v>243</v>
      </c>
      <c r="D342" s="37" t="s">
        <v>245</v>
      </c>
      <c r="E342" s="37" t="s">
        <v>243</v>
      </c>
      <c r="F342" s="37"/>
      <c r="G342" s="37" t="s">
        <v>2048</v>
      </c>
      <c r="H342" s="37" t="s">
        <v>242</v>
      </c>
      <c r="I342" s="37" t="s">
        <v>316</v>
      </c>
      <c r="J342" s="37" t="s">
        <v>2679</v>
      </c>
    </row>
    <row r="343" spans="1:10" ht="28.8" x14ac:dyDescent="0.3">
      <c r="A343" s="38" t="s">
        <v>2049</v>
      </c>
      <c r="B343" s="38" t="s">
        <v>2048</v>
      </c>
      <c r="C343" s="38" t="s">
        <v>346</v>
      </c>
      <c r="D343" s="38" t="s">
        <v>245</v>
      </c>
      <c r="E343" s="38" t="s">
        <v>243</v>
      </c>
      <c r="F343" s="38"/>
      <c r="G343" s="38" t="s">
        <v>2048</v>
      </c>
      <c r="H343" s="38" t="s">
        <v>242</v>
      </c>
      <c r="I343" s="38" t="s">
        <v>356</v>
      </c>
      <c r="J343" s="38" t="s">
        <v>2679</v>
      </c>
    </row>
    <row r="344" spans="1:10" ht="28.8" x14ac:dyDescent="0.3">
      <c r="A344" s="37" t="s">
        <v>2052</v>
      </c>
      <c r="B344" s="37" t="s">
        <v>2051</v>
      </c>
      <c r="C344" s="37" t="s">
        <v>267</v>
      </c>
      <c r="D344" s="37" t="s">
        <v>245</v>
      </c>
      <c r="E344" s="37" t="s">
        <v>243</v>
      </c>
      <c r="F344" s="37"/>
      <c r="G344" s="37" t="s">
        <v>2051</v>
      </c>
      <c r="H344" s="37" t="s">
        <v>268</v>
      </c>
      <c r="I344" s="37" t="s">
        <v>277</v>
      </c>
      <c r="J344" s="37" t="s">
        <v>2679</v>
      </c>
    </row>
    <row r="345" spans="1:10" ht="28.8" x14ac:dyDescent="0.3">
      <c r="A345" s="38" t="s">
        <v>2052</v>
      </c>
      <c r="B345" s="38" t="s">
        <v>2051</v>
      </c>
      <c r="C345" s="38" t="s">
        <v>243</v>
      </c>
      <c r="D345" s="38" t="s">
        <v>245</v>
      </c>
      <c r="E345" s="38" t="s">
        <v>243</v>
      </c>
      <c r="F345" s="38"/>
      <c r="G345" s="38" t="s">
        <v>2051</v>
      </c>
      <c r="H345" s="38" t="s">
        <v>242</v>
      </c>
      <c r="I345" s="38" t="s">
        <v>316</v>
      </c>
      <c r="J345" s="38" t="s">
        <v>2679</v>
      </c>
    </row>
    <row r="346" spans="1:10" ht="28.8" x14ac:dyDescent="0.3">
      <c r="A346" s="37" t="s">
        <v>2052</v>
      </c>
      <c r="B346" s="37" t="s">
        <v>2051</v>
      </c>
      <c r="C346" s="37" t="s">
        <v>346</v>
      </c>
      <c r="D346" s="37" t="s">
        <v>245</v>
      </c>
      <c r="E346" s="37" t="s">
        <v>243</v>
      </c>
      <c r="F346" s="37"/>
      <c r="G346" s="37" t="s">
        <v>2051</v>
      </c>
      <c r="H346" s="37" t="s">
        <v>242</v>
      </c>
      <c r="I346" s="37" t="s">
        <v>356</v>
      </c>
      <c r="J346" s="37" t="s">
        <v>2679</v>
      </c>
    </row>
    <row r="347" spans="1:10" ht="28.8" x14ac:dyDescent="0.3">
      <c r="A347" s="38" t="s">
        <v>2055</v>
      </c>
      <c r="B347" s="38" t="s">
        <v>2054</v>
      </c>
      <c r="C347" s="38" t="s">
        <v>267</v>
      </c>
      <c r="D347" s="38" t="s">
        <v>245</v>
      </c>
      <c r="E347" s="38" t="s">
        <v>243</v>
      </c>
      <c r="F347" s="38"/>
      <c r="G347" s="38" t="s">
        <v>2054</v>
      </c>
      <c r="H347" s="38" t="s">
        <v>268</v>
      </c>
      <c r="I347" s="38" t="s">
        <v>277</v>
      </c>
      <c r="J347" s="38" t="s">
        <v>2679</v>
      </c>
    </row>
    <row r="348" spans="1:10" ht="28.8" x14ac:dyDescent="0.3">
      <c r="A348" s="37" t="s">
        <v>2055</v>
      </c>
      <c r="B348" s="37" t="s">
        <v>2054</v>
      </c>
      <c r="C348" s="37" t="s">
        <v>243</v>
      </c>
      <c r="D348" s="37" t="s">
        <v>245</v>
      </c>
      <c r="E348" s="37" t="s">
        <v>243</v>
      </c>
      <c r="F348" s="37"/>
      <c r="G348" s="37" t="s">
        <v>2054</v>
      </c>
      <c r="H348" s="37" t="s">
        <v>242</v>
      </c>
      <c r="I348" s="37" t="s">
        <v>316</v>
      </c>
      <c r="J348" s="37" t="s">
        <v>2679</v>
      </c>
    </row>
    <row r="349" spans="1:10" ht="28.8" x14ac:dyDescent="0.3">
      <c r="A349" s="38" t="s">
        <v>2055</v>
      </c>
      <c r="B349" s="38" t="s">
        <v>2054</v>
      </c>
      <c r="C349" s="38" t="s">
        <v>346</v>
      </c>
      <c r="D349" s="38" t="s">
        <v>245</v>
      </c>
      <c r="E349" s="38" t="s">
        <v>243</v>
      </c>
      <c r="F349" s="38"/>
      <c r="G349" s="38" t="s">
        <v>2054</v>
      </c>
      <c r="H349" s="38" t="s">
        <v>242</v>
      </c>
      <c r="I349" s="38" t="s">
        <v>356</v>
      </c>
      <c r="J349" s="38" t="s">
        <v>2679</v>
      </c>
    </row>
    <row r="350" spans="1:10" ht="28.8" x14ac:dyDescent="0.3">
      <c r="A350" s="37" t="s">
        <v>2058</v>
      </c>
      <c r="B350" s="37" t="s">
        <v>2057</v>
      </c>
      <c r="C350" s="37" t="s">
        <v>267</v>
      </c>
      <c r="D350" s="37" t="s">
        <v>245</v>
      </c>
      <c r="E350" s="37" t="s">
        <v>243</v>
      </c>
      <c r="F350" s="37"/>
      <c r="G350" s="37" t="s">
        <v>2057</v>
      </c>
      <c r="H350" s="37" t="s">
        <v>268</v>
      </c>
      <c r="I350" s="37" t="s">
        <v>277</v>
      </c>
      <c r="J350" s="37" t="s">
        <v>2679</v>
      </c>
    </row>
    <row r="351" spans="1:10" ht="28.8" x14ac:dyDescent="0.3">
      <c r="A351" s="38" t="s">
        <v>2058</v>
      </c>
      <c r="B351" s="38" t="s">
        <v>2057</v>
      </c>
      <c r="C351" s="38" t="s">
        <v>243</v>
      </c>
      <c r="D351" s="38" t="s">
        <v>245</v>
      </c>
      <c r="E351" s="38" t="s">
        <v>243</v>
      </c>
      <c r="F351" s="38"/>
      <c r="G351" s="38" t="s">
        <v>2057</v>
      </c>
      <c r="H351" s="38" t="s">
        <v>242</v>
      </c>
      <c r="I351" s="38" t="s">
        <v>316</v>
      </c>
      <c r="J351" s="38" t="s">
        <v>2679</v>
      </c>
    </row>
    <row r="352" spans="1:10" ht="28.8" x14ac:dyDescent="0.3">
      <c r="A352" s="37" t="s">
        <v>2058</v>
      </c>
      <c r="B352" s="37" t="s">
        <v>2057</v>
      </c>
      <c r="C352" s="37" t="s">
        <v>346</v>
      </c>
      <c r="D352" s="37" t="s">
        <v>245</v>
      </c>
      <c r="E352" s="37" t="s">
        <v>243</v>
      </c>
      <c r="F352" s="37"/>
      <c r="G352" s="37" t="s">
        <v>2057</v>
      </c>
      <c r="H352" s="37" t="s">
        <v>242</v>
      </c>
      <c r="I352" s="37" t="s">
        <v>356</v>
      </c>
      <c r="J352" s="37" t="s">
        <v>2679</v>
      </c>
    </row>
    <row r="353" spans="1:10" ht="28.8" x14ac:dyDescent="0.3">
      <c r="A353" s="38" t="s">
        <v>2062</v>
      </c>
      <c r="B353" s="38" t="s">
        <v>2060</v>
      </c>
      <c r="C353" s="38" t="s">
        <v>267</v>
      </c>
      <c r="D353" s="38" t="s">
        <v>245</v>
      </c>
      <c r="E353" s="38" t="s">
        <v>243</v>
      </c>
      <c r="F353" s="38"/>
      <c r="G353" s="38" t="s">
        <v>2060</v>
      </c>
      <c r="H353" s="38" t="s">
        <v>268</v>
      </c>
      <c r="I353" s="38" t="s">
        <v>277</v>
      </c>
      <c r="J353" s="38" t="s">
        <v>2679</v>
      </c>
    </row>
    <row r="354" spans="1:10" ht="28.8" x14ac:dyDescent="0.3">
      <c r="A354" s="37" t="s">
        <v>2062</v>
      </c>
      <c r="B354" s="37" t="s">
        <v>2060</v>
      </c>
      <c r="C354" s="37" t="s">
        <v>243</v>
      </c>
      <c r="D354" s="37" t="s">
        <v>245</v>
      </c>
      <c r="E354" s="37" t="s">
        <v>243</v>
      </c>
      <c r="F354" s="37"/>
      <c r="G354" s="37" t="s">
        <v>2060</v>
      </c>
      <c r="H354" s="37" t="s">
        <v>242</v>
      </c>
      <c r="I354" s="37" t="s">
        <v>316</v>
      </c>
      <c r="J354" s="37" t="s">
        <v>2679</v>
      </c>
    </row>
    <row r="355" spans="1:10" ht="28.8" x14ac:dyDescent="0.3">
      <c r="A355" s="38" t="s">
        <v>2062</v>
      </c>
      <c r="B355" s="38" t="s">
        <v>2060</v>
      </c>
      <c r="C355" s="38" t="s">
        <v>346</v>
      </c>
      <c r="D355" s="38" t="s">
        <v>245</v>
      </c>
      <c r="E355" s="38" t="s">
        <v>243</v>
      </c>
      <c r="F355" s="38"/>
      <c r="G355" s="38" t="s">
        <v>2060</v>
      </c>
      <c r="H355" s="38" t="s">
        <v>242</v>
      </c>
      <c r="I355" s="38" t="s">
        <v>356</v>
      </c>
      <c r="J355" s="38" t="s">
        <v>2679</v>
      </c>
    </row>
    <row r="356" spans="1:10" ht="28.8" x14ac:dyDescent="0.3">
      <c r="A356" s="37" t="s">
        <v>2065</v>
      </c>
      <c r="B356" s="37" t="s">
        <v>2064</v>
      </c>
      <c r="C356" s="37" t="s">
        <v>267</v>
      </c>
      <c r="D356" s="37" t="s">
        <v>245</v>
      </c>
      <c r="E356" s="37" t="s">
        <v>243</v>
      </c>
      <c r="F356" s="37"/>
      <c r="G356" s="37" t="s">
        <v>2064</v>
      </c>
      <c r="H356" s="37" t="s">
        <v>268</v>
      </c>
      <c r="I356" s="37" t="s">
        <v>277</v>
      </c>
      <c r="J356" s="37" t="s">
        <v>2679</v>
      </c>
    </row>
    <row r="357" spans="1:10" ht="28.8" x14ac:dyDescent="0.3">
      <c r="A357" s="38" t="s">
        <v>2065</v>
      </c>
      <c r="B357" s="38" t="s">
        <v>2064</v>
      </c>
      <c r="C357" s="38" t="s">
        <v>243</v>
      </c>
      <c r="D357" s="38" t="s">
        <v>245</v>
      </c>
      <c r="E357" s="38" t="s">
        <v>243</v>
      </c>
      <c r="F357" s="38"/>
      <c r="G357" s="38" t="s">
        <v>2064</v>
      </c>
      <c r="H357" s="38" t="s">
        <v>242</v>
      </c>
      <c r="I357" s="38" t="s">
        <v>316</v>
      </c>
      <c r="J357" s="38" t="s">
        <v>2679</v>
      </c>
    </row>
    <row r="358" spans="1:10" ht="28.8" x14ac:dyDescent="0.3">
      <c r="A358" s="37" t="s">
        <v>2065</v>
      </c>
      <c r="B358" s="37" t="s">
        <v>2064</v>
      </c>
      <c r="C358" s="37" t="s">
        <v>346</v>
      </c>
      <c r="D358" s="37" t="s">
        <v>245</v>
      </c>
      <c r="E358" s="37" t="s">
        <v>243</v>
      </c>
      <c r="F358" s="37"/>
      <c r="G358" s="37" t="s">
        <v>2064</v>
      </c>
      <c r="H358" s="37" t="s">
        <v>242</v>
      </c>
      <c r="I358" s="37" t="s">
        <v>356</v>
      </c>
      <c r="J358" s="37" t="s">
        <v>2679</v>
      </c>
    </row>
    <row r="359" spans="1:10" ht="28.8" x14ac:dyDescent="0.3">
      <c r="A359" s="38" t="s">
        <v>2067</v>
      </c>
      <c r="B359" s="38" t="s">
        <v>452</v>
      </c>
      <c r="C359" s="38" t="s">
        <v>267</v>
      </c>
      <c r="D359" s="38" t="s">
        <v>245</v>
      </c>
      <c r="E359" s="38" t="s">
        <v>243</v>
      </c>
      <c r="F359" s="38"/>
      <c r="G359" s="38" t="s">
        <v>452</v>
      </c>
      <c r="H359" s="38" t="s">
        <v>268</v>
      </c>
      <c r="I359" s="38" t="s">
        <v>277</v>
      </c>
      <c r="J359" s="38" t="s">
        <v>2679</v>
      </c>
    </row>
    <row r="360" spans="1:10" ht="28.8" x14ac:dyDescent="0.3">
      <c r="A360" s="37" t="s">
        <v>2067</v>
      </c>
      <c r="B360" s="37" t="s">
        <v>452</v>
      </c>
      <c r="C360" s="37" t="s">
        <v>243</v>
      </c>
      <c r="D360" s="37" t="s">
        <v>245</v>
      </c>
      <c r="E360" s="37" t="s">
        <v>243</v>
      </c>
      <c r="F360" s="37"/>
      <c r="G360" s="37" t="s">
        <v>452</v>
      </c>
      <c r="H360" s="37" t="s">
        <v>242</v>
      </c>
      <c r="I360" s="37" t="s">
        <v>316</v>
      </c>
      <c r="J360" s="37" t="s">
        <v>2679</v>
      </c>
    </row>
    <row r="361" spans="1:10" ht="28.8" x14ac:dyDescent="0.3">
      <c r="A361" s="38" t="s">
        <v>2067</v>
      </c>
      <c r="B361" s="38" t="s">
        <v>452</v>
      </c>
      <c r="C361" s="38" t="s">
        <v>346</v>
      </c>
      <c r="D361" s="38" t="s">
        <v>245</v>
      </c>
      <c r="E361" s="38" t="s">
        <v>243</v>
      </c>
      <c r="F361" s="38"/>
      <c r="G361" s="38" t="s">
        <v>452</v>
      </c>
      <c r="H361" s="38" t="s">
        <v>242</v>
      </c>
      <c r="I361" s="38" t="s">
        <v>356</v>
      </c>
      <c r="J361" s="38" t="s">
        <v>2679</v>
      </c>
    </row>
    <row r="362" spans="1:10" ht="57.6" x14ac:dyDescent="0.3">
      <c r="A362" s="37" t="s">
        <v>2071</v>
      </c>
      <c r="B362" s="37" t="s">
        <v>2069</v>
      </c>
      <c r="C362" s="37" t="s">
        <v>267</v>
      </c>
      <c r="D362" s="37" t="s">
        <v>245</v>
      </c>
      <c r="E362" s="37" t="s">
        <v>243</v>
      </c>
      <c r="F362" s="37"/>
      <c r="G362" s="37" t="s">
        <v>2069</v>
      </c>
      <c r="H362" s="37" t="s">
        <v>268</v>
      </c>
      <c r="I362" s="37" t="s">
        <v>277</v>
      </c>
      <c r="J362" s="37" t="s">
        <v>2679</v>
      </c>
    </row>
    <row r="363" spans="1:10" ht="57.6" x14ac:dyDescent="0.3">
      <c r="A363" s="38" t="s">
        <v>2071</v>
      </c>
      <c r="B363" s="38" t="s">
        <v>2069</v>
      </c>
      <c r="C363" s="38" t="s">
        <v>243</v>
      </c>
      <c r="D363" s="38" t="s">
        <v>245</v>
      </c>
      <c r="E363" s="38" t="s">
        <v>243</v>
      </c>
      <c r="F363" s="38"/>
      <c r="G363" s="38" t="s">
        <v>2069</v>
      </c>
      <c r="H363" s="38" t="s">
        <v>242</v>
      </c>
      <c r="I363" s="38" t="s">
        <v>316</v>
      </c>
      <c r="J363" s="38" t="s">
        <v>2679</v>
      </c>
    </row>
    <row r="364" spans="1:10" ht="57.6" x14ac:dyDescent="0.3">
      <c r="A364" s="37" t="s">
        <v>2071</v>
      </c>
      <c r="B364" s="37" t="s">
        <v>2069</v>
      </c>
      <c r="C364" s="37" t="s">
        <v>346</v>
      </c>
      <c r="D364" s="37" t="s">
        <v>245</v>
      </c>
      <c r="E364" s="37" t="s">
        <v>243</v>
      </c>
      <c r="F364" s="37"/>
      <c r="G364" s="37" t="s">
        <v>2069</v>
      </c>
      <c r="H364" s="37" t="s">
        <v>242</v>
      </c>
      <c r="I364" s="37" t="s">
        <v>356</v>
      </c>
      <c r="J364" s="37" t="s">
        <v>2679</v>
      </c>
    </row>
    <row r="365" spans="1:10" ht="57.6" x14ac:dyDescent="0.3">
      <c r="A365" s="38" t="s">
        <v>2075</v>
      </c>
      <c r="B365" s="38" t="s">
        <v>2073</v>
      </c>
      <c r="C365" s="38" t="s">
        <v>267</v>
      </c>
      <c r="D365" s="38" t="s">
        <v>245</v>
      </c>
      <c r="E365" s="38" t="s">
        <v>243</v>
      </c>
      <c r="F365" s="38"/>
      <c r="G365" s="38" t="s">
        <v>2073</v>
      </c>
      <c r="H365" s="38" t="s">
        <v>268</v>
      </c>
      <c r="I365" s="38" t="s">
        <v>277</v>
      </c>
      <c r="J365" s="38" t="s">
        <v>2679</v>
      </c>
    </row>
    <row r="366" spans="1:10" ht="57.6" x14ac:dyDescent="0.3">
      <c r="A366" s="37" t="s">
        <v>2075</v>
      </c>
      <c r="B366" s="37" t="s">
        <v>2073</v>
      </c>
      <c r="C366" s="37" t="s">
        <v>243</v>
      </c>
      <c r="D366" s="37" t="s">
        <v>245</v>
      </c>
      <c r="E366" s="37" t="s">
        <v>243</v>
      </c>
      <c r="F366" s="37"/>
      <c r="G366" s="37" t="s">
        <v>2073</v>
      </c>
      <c r="H366" s="37" t="s">
        <v>242</v>
      </c>
      <c r="I366" s="37" t="s">
        <v>316</v>
      </c>
      <c r="J366" s="37" t="s">
        <v>2679</v>
      </c>
    </row>
    <row r="367" spans="1:10" ht="57.6" x14ac:dyDescent="0.3">
      <c r="A367" s="38" t="s">
        <v>2075</v>
      </c>
      <c r="B367" s="38" t="s">
        <v>2073</v>
      </c>
      <c r="C367" s="38" t="s">
        <v>346</v>
      </c>
      <c r="D367" s="38" t="s">
        <v>245</v>
      </c>
      <c r="E367" s="38" t="s">
        <v>243</v>
      </c>
      <c r="F367" s="38"/>
      <c r="G367" s="38" t="s">
        <v>2073</v>
      </c>
      <c r="H367" s="38" t="s">
        <v>242</v>
      </c>
      <c r="I367" s="38" t="s">
        <v>356</v>
      </c>
      <c r="J367" s="38" t="s">
        <v>2679</v>
      </c>
    </row>
    <row r="368" spans="1:10" ht="28.8" x14ac:dyDescent="0.3">
      <c r="A368" s="37" t="s">
        <v>2078</v>
      </c>
      <c r="B368" s="37" t="s">
        <v>2077</v>
      </c>
      <c r="C368" s="37" t="s">
        <v>267</v>
      </c>
      <c r="D368" s="37" t="s">
        <v>245</v>
      </c>
      <c r="E368" s="37" t="s">
        <v>243</v>
      </c>
      <c r="F368" s="37"/>
      <c r="G368" s="37" t="s">
        <v>2077</v>
      </c>
      <c r="H368" s="37" t="s">
        <v>268</v>
      </c>
      <c r="I368" s="37" t="s">
        <v>277</v>
      </c>
      <c r="J368" s="37" t="s">
        <v>2679</v>
      </c>
    </row>
    <row r="369" spans="1:10" ht="28.8" x14ac:dyDescent="0.3">
      <c r="A369" s="38" t="s">
        <v>2078</v>
      </c>
      <c r="B369" s="38" t="s">
        <v>2077</v>
      </c>
      <c r="C369" s="38" t="s">
        <v>243</v>
      </c>
      <c r="D369" s="38" t="s">
        <v>245</v>
      </c>
      <c r="E369" s="38" t="s">
        <v>243</v>
      </c>
      <c r="F369" s="38"/>
      <c r="G369" s="38" t="s">
        <v>2077</v>
      </c>
      <c r="H369" s="38" t="s">
        <v>242</v>
      </c>
      <c r="I369" s="38" t="s">
        <v>316</v>
      </c>
      <c r="J369" s="38" t="s">
        <v>2679</v>
      </c>
    </row>
    <row r="370" spans="1:10" ht="28.8" x14ac:dyDescent="0.3">
      <c r="A370" s="37" t="s">
        <v>2078</v>
      </c>
      <c r="B370" s="37" t="s">
        <v>2077</v>
      </c>
      <c r="C370" s="37" t="s">
        <v>346</v>
      </c>
      <c r="D370" s="37" t="s">
        <v>245</v>
      </c>
      <c r="E370" s="37" t="s">
        <v>243</v>
      </c>
      <c r="F370" s="37"/>
      <c r="G370" s="37" t="s">
        <v>2077</v>
      </c>
      <c r="H370" s="37" t="s">
        <v>242</v>
      </c>
      <c r="I370" s="37" t="s">
        <v>356</v>
      </c>
      <c r="J370" s="37" t="s">
        <v>2679</v>
      </c>
    </row>
    <row r="371" spans="1:10" ht="28.8" x14ac:dyDescent="0.3">
      <c r="A371" s="38" t="s">
        <v>2081</v>
      </c>
      <c r="B371" s="38" t="s">
        <v>2080</v>
      </c>
      <c r="C371" s="38" t="s">
        <v>267</v>
      </c>
      <c r="D371" s="38" t="s">
        <v>245</v>
      </c>
      <c r="E371" s="38" t="s">
        <v>243</v>
      </c>
      <c r="F371" s="38"/>
      <c r="G371" s="38" t="s">
        <v>2080</v>
      </c>
      <c r="H371" s="38" t="s">
        <v>268</v>
      </c>
      <c r="I371" s="38" t="s">
        <v>277</v>
      </c>
      <c r="J371" s="38" t="s">
        <v>2679</v>
      </c>
    </row>
    <row r="372" spans="1:10" ht="28.8" x14ac:dyDescent="0.3">
      <c r="A372" s="37" t="s">
        <v>2081</v>
      </c>
      <c r="B372" s="37" t="s">
        <v>2080</v>
      </c>
      <c r="C372" s="37" t="s">
        <v>243</v>
      </c>
      <c r="D372" s="37" t="s">
        <v>245</v>
      </c>
      <c r="E372" s="37" t="s">
        <v>243</v>
      </c>
      <c r="F372" s="37"/>
      <c r="G372" s="37" t="s">
        <v>2080</v>
      </c>
      <c r="H372" s="37" t="s">
        <v>242</v>
      </c>
      <c r="I372" s="37" t="s">
        <v>316</v>
      </c>
      <c r="J372" s="37" t="s">
        <v>2679</v>
      </c>
    </row>
    <row r="373" spans="1:10" ht="28.8" x14ac:dyDescent="0.3">
      <c r="A373" s="38" t="s">
        <v>2081</v>
      </c>
      <c r="B373" s="38" t="s">
        <v>2080</v>
      </c>
      <c r="C373" s="38" t="s">
        <v>346</v>
      </c>
      <c r="D373" s="38" t="s">
        <v>245</v>
      </c>
      <c r="E373" s="38" t="s">
        <v>243</v>
      </c>
      <c r="F373" s="38"/>
      <c r="G373" s="38" t="s">
        <v>2080</v>
      </c>
      <c r="H373" s="38" t="s">
        <v>242</v>
      </c>
      <c r="I373" s="38" t="s">
        <v>356</v>
      </c>
      <c r="J373" s="38" t="s">
        <v>2679</v>
      </c>
    </row>
    <row r="374" spans="1:10" ht="28.8" x14ac:dyDescent="0.3">
      <c r="A374" s="37" t="s">
        <v>2085</v>
      </c>
      <c r="B374" s="37" t="s">
        <v>2083</v>
      </c>
      <c r="C374" s="37" t="s">
        <v>267</v>
      </c>
      <c r="D374" s="37" t="s">
        <v>245</v>
      </c>
      <c r="E374" s="37" t="s">
        <v>243</v>
      </c>
      <c r="F374" s="37"/>
      <c r="G374" s="37" t="s">
        <v>2083</v>
      </c>
      <c r="H374" s="37" t="s">
        <v>268</v>
      </c>
      <c r="I374" s="37" t="s">
        <v>277</v>
      </c>
      <c r="J374" s="37" t="s">
        <v>2679</v>
      </c>
    </row>
    <row r="375" spans="1:10" ht="28.8" x14ac:dyDescent="0.3">
      <c r="A375" s="38" t="s">
        <v>2085</v>
      </c>
      <c r="B375" s="38" t="s">
        <v>2083</v>
      </c>
      <c r="C375" s="38" t="s">
        <v>243</v>
      </c>
      <c r="D375" s="38" t="s">
        <v>245</v>
      </c>
      <c r="E375" s="38" t="s">
        <v>243</v>
      </c>
      <c r="F375" s="38"/>
      <c r="G375" s="38" t="s">
        <v>2083</v>
      </c>
      <c r="H375" s="38" t="s">
        <v>242</v>
      </c>
      <c r="I375" s="38" t="s">
        <v>316</v>
      </c>
      <c r="J375" s="38" t="s">
        <v>2679</v>
      </c>
    </row>
    <row r="376" spans="1:10" ht="28.8" x14ac:dyDescent="0.3">
      <c r="A376" s="37" t="s">
        <v>2085</v>
      </c>
      <c r="B376" s="37" t="s">
        <v>2083</v>
      </c>
      <c r="C376" s="37" t="s">
        <v>346</v>
      </c>
      <c r="D376" s="37" t="s">
        <v>245</v>
      </c>
      <c r="E376" s="37" t="s">
        <v>243</v>
      </c>
      <c r="F376" s="37"/>
      <c r="G376" s="37" t="s">
        <v>2083</v>
      </c>
      <c r="H376" s="37" t="s">
        <v>242</v>
      </c>
      <c r="I376" s="37" t="s">
        <v>356</v>
      </c>
      <c r="J376" s="37" t="s">
        <v>2679</v>
      </c>
    </row>
    <row r="377" spans="1:10" ht="43.2" x14ac:dyDescent="0.3">
      <c r="A377" s="38" t="s">
        <v>2089</v>
      </c>
      <c r="B377" s="38" t="s">
        <v>2087</v>
      </c>
      <c r="C377" s="38" t="s">
        <v>267</v>
      </c>
      <c r="D377" s="38" t="s">
        <v>245</v>
      </c>
      <c r="E377" s="38" t="s">
        <v>243</v>
      </c>
      <c r="F377" s="38"/>
      <c r="G377" s="38" t="s">
        <v>2087</v>
      </c>
      <c r="H377" s="38" t="s">
        <v>268</v>
      </c>
      <c r="I377" s="38" t="s">
        <v>277</v>
      </c>
      <c r="J377" s="38" t="s">
        <v>2679</v>
      </c>
    </row>
    <row r="378" spans="1:10" ht="43.2" x14ac:dyDescent="0.3">
      <c r="A378" s="37" t="s">
        <v>2089</v>
      </c>
      <c r="B378" s="37" t="s">
        <v>2087</v>
      </c>
      <c r="C378" s="37" t="s">
        <v>243</v>
      </c>
      <c r="D378" s="37" t="s">
        <v>245</v>
      </c>
      <c r="E378" s="37" t="s">
        <v>243</v>
      </c>
      <c r="F378" s="37"/>
      <c r="G378" s="37" t="s">
        <v>2087</v>
      </c>
      <c r="H378" s="37" t="s">
        <v>242</v>
      </c>
      <c r="I378" s="37" t="s">
        <v>316</v>
      </c>
      <c r="J378" s="37" t="s">
        <v>2679</v>
      </c>
    </row>
    <row r="379" spans="1:10" ht="43.2" x14ac:dyDescent="0.3">
      <c r="A379" s="38" t="s">
        <v>2089</v>
      </c>
      <c r="B379" s="38" t="s">
        <v>2087</v>
      </c>
      <c r="C379" s="38" t="s">
        <v>346</v>
      </c>
      <c r="D379" s="38" t="s">
        <v>245</v>
      </c>
      <c r="E379" s="38" t="s">
        <v>243</v>
      </c>
      <c r="F379" s="38"/>
      <c r="G379" s="38" t="s">
        <v>2087</v>
      </c>
      <c r="H379" s="38" t="s">
        <v>242</v>
      </c>
      <c r="I379" s="38" t="s">
        <v>356</v>
      </c>
      <c r="J379" s="38" t="s">
        <v>2679</v>
      </c>
    </row>
    <row r="380" spans="1:10" ht="43.2" x14ac:dyDescent="0.3">
      <c r="A380" s="37" t="s">
        <v>2093</v>
      </c>
      <c r="B380" s="37" t="s">
        <v>2091</v>
      </c>
      <c r="C380" s="37" t="s">
        <v>267</v>
      </c>
      <c r="D380" s="37" t="s">
        <v>245</v>
      </c>
      <c r="E380" s="37" t="s">
        <v>243</v>
      </c>
      <c r="F380" s="37"/>
      <c r="G380" s="37" t="s">
        <v>2091</v>
      </c>
      <c r="H380" s="37" t="s">
        <v>268</v>
      </c>
      <c r="I380" s="37" t="s">
        <v>277</v>
      </c>
      <c r="J380" s="37" t="s">
        <v>2679</v>
      </c>
    </row>
    <row r="381" spans="1:10" ht="43.2" x14ac:dyDescent="0.3">
      <c r="A381" s="38" t="s">
        <v>2093</v>
      </c>
      <c r="B381" s="38" t="s">
        <v>2091</v>
      </c>
      <c r="C381" s="38" t="s">
        <v>243</v>
      </c>
      <c r="D381" s="38" t="s">
        <v>245</v>
      </c>
      <c r="E381" s="38" t="s">
        <v>243</v>
      </c>
      <c r="F381" s="38"/>
      <c r="G381" s="38" t="s">
        <v>2091</v>
      </c>
      <c r="H381" s="38" t="s">
        <v>242</v>
      </c>
      <c r="I381" s="38" t="s">
        <v>316</v>
      </c>
      <c r="J381" s="38" t="s">
        <v>2679</v>
      </c>
    </row>
    <row r="382" spans="1:10" ht="43.2" x14ac:dyDescent="0.3">
      <c r="A382" s="37" t="s">
        <v>2093</v>
      </c>
      <c r="B382" s="37" t="s">
        <v>2091</v>
      </c>
      <c r="C382" s="37" t="s">
        <v>346</v>
      </c>
      <c r="D382" s="37" t="s">
        <v>245</v>
      </c>
      <c r="E382" s="37" t="s">
        <v>243</v>
      </c>
      <c r="F382" s="37"/>
      <c r="G382" s="37" t="s">
        <v>2091</v>
      </c>
      <c r="H382" s="37" t="s">
        <v>242</v>
      </c>
      <c r="I382" s="37" t="s">
        <v>356</v>
      </c>
      <c r="J382" s="37" t="s">
        <v>2679</v>
      </c>
    </row>
    <row r="383" spans="1:10" ht="28.8" x14ac:dyDescent="0.3">
      <c r="A383" s="38" t="s">
        <v>2097</v>
      </c>
      <c r="B383" s="38" t="s">
        <v>2095</v>
      </c>
      <c r="C383" s="38" t="s">
        <v>267</v>
      </c>
      <c r="D383" s="38" t="s">
        <v>245</v>
      </c>
      <c r="E383" s="38" t="s">
        <v>243</v>
      </c>
      <c r="F383" s="38"/>
      <c r="G383" s="38" t="s">
        <v>2095</v>
      </c>
      <c r="H383" s="38" t="s">
        <v>268</v>
      </c>
      <c r="I383" s="38" t="s">
        <v>277</v>
      </c>
      <c r="J383" s="38" t="s">
        <v>2679</v>
      </c>
    </row>
    <row r="384" spans="1:10" ht="28.8" x14ac:dyDescent="0.3">
      <c r="A384" s="37" t="s">
        <v>2097</v>
      </c>
      <c r="B384" s="37" t="s">
        <v>2095</v>
      </c>
      <c r="C384" s="37" t="s">
        <v>243</v>
      </c>
      <c r="D384" s="37" t="s">
        <v>245</v>
      </c>
      <c r="E384" s="37" t="s">
        <v>243</v>
      </c>
      <c r="F384" s="37"/>
      <c r="G384" s="37" t="s">
        <v>2095</v>
      </c>
      <c r="H384" s="37" t="s">
        <v>242</v>
      </c>
      <c r="I384" s="37" t="s">
        <v>316</v>
      </c>
      <c r="J384" s="37" t="s">
        <v>2679</v>
      </c>
    </row>
    <row r="385" spans="1:10" ht="28.8" x14ac:dyDescent="0.3">
      <c r="A385" s="38" t="s">
        <v>2097</v>
      </c>
      <c r="B385" s="38" t="s">
        <v>2095</v>
      </c>
      <c r="C385" s="38" t="s">
        <v>346</v>
      </c>
      <c r="D385" s="38" t="s">
        <v>245</v>
      </c>
      <c r="E385" s="38" t="s">
        <v>243</v>
      </c>
      <c r="F385" s="38"/>
      <c r="G385" s="38" t="s">
        <v>2095</v>
      </c>
      <c r="H385" s="38" t="s">
        <v>242</v>
      </c>
      <c r="I385" s="38" t="s">
        <v>356</v>
      </c>
      <c r="J385" s="38" t="s">
        <v>2679</v>
      </c>
    </row>
    <row r="386" spans="1:10" ht="28.8" x14ac:dyDescent="0.3">
      <c r="A386" s="37" t="s">
        <v>2101</v>
      </c>
      <c r="B386" s="37" t="s">
        <v>2099</v>
      </c>
      <c r="C386" s="37" t="s">
        <v>267</v>
      </c>
      <c r="D386" s="37" t="s">
        <v>245</v>
      </c>
      <c r="E386" s="37" t="s">
        <v>243</v>
      </c>
      <c r="F386" s="37"/>
      <c r="G386" s="37" t="s">
        <v>2099</v>
      </c>
      <c r="H386" s="37" t="s">
        <v>268</v>
      </c>
      <c r="I386" s="37" t="s">
        <v>277</v>
      </c>
      <c r="J386" s="37" t="s">
        <v>2679</v>
      </c>
    </row>
    <row r="387" spans="1:10" ht="28.8" x14ac:dyDescent="0.3">
      <c r="A387" s="38" t="s">
        <v>2101</v>
      </c>
      <c r="B387" s="38" t="s">
        <v>2099</v>
      </c>
      <c r="C387" s="38" t="s">
        <v>243</v>
      </c>
      <c r="D387" s="38" t="s">
        <v>245</v>
      </c>
      <c r="E387" s="38" t="s">
        <v>243</v>
      </c>
      <c r="F387" s="38"/>
      <c r="G387" s="38" t="s">
        <v>2099</v>
      </c>
      <c r="H387" s="38" t="s">
        <v>242</v>
      </c>
      <c r="I387" s="38" t="s">
        <v>316</v>
      </c>
      <c r="J387" s="38" t="s">
        <v>2679</v>
      </c>
    </row>
    <row r="388" spans="1:10" ht="28.8" x14ac:dyDescent="0.3">
      <c r="A388" s="37" t="s">
        <v>2101</v>
      </c>
      <c r="B388" s="37" t="s">
        <v>2099</v>
      </c>
      <c r="C388" s="37" t="s">
        <v>346</v>
      </c>
      <c r="D388" s="37" t="s">
        <v>245</v>
      </c>
      <c r="E388" s="37" t="s">
        <v>243</v>
      </c>
      <c r="F388" s="37"/>
      <c r="G388" s="37" t="s">
        <v>2099</v>
      </c>
      <c r="H388" s="37" t="s">
        <v>242</v>
      </c>
      <c r="I388" s="37" t="s">
        <v>356</v>
      </c>
      <c r="J388" s="37" t="s">
        <v>2679</v>
      </c>
    </row>
    <row r="389" spans="1:10" ht="28.8" x14ac:dyDescent="0.3">
      <c r="A389" s="38" t="s">
        <v>2104</v>
      </c>
      <c r="B389" s="38" t="s">
        <v>2103</v>
      </c>
      <c r="C389" s="38" t="s">
        <v>267</v>
      </c>
      <c r="D389" s="38" t="s">
        <v>245</v>
      </c>
      <c r="E389" s="38" t="s">
        <v>243</v>
      </c>
      <c r="F389" s="38"/>
      <c r="G389" s="38" t="s">
        <v>2103</v>
      </c>
      <c r="H389" s="38" t="s">
        <v>268</v>
      </c>
      <c r="I389" s="38" t="s">
        <v>277</v>
      </c>
      <c r="J389" s="38" t="s">
        <v>2679</v>
      </c>
    </row>
    <row r="390" spans="1:10" ht="28.8" x14ac:dyDescent="0.3">
      <c r="A390" s="37" t="s">
        <v>2104</v>
      </c>
      <c r="B390" s="37" t="s">
        <v>2103</v>
      </c>
      <c r="C390" s="37" t="s">
        <v>243</v>
      </c>
      <c r="D390" s="37" t="s">
        <v>245</v>
      </c>
      <c r="E390" s="37" t="s">
        <v>243</v>
      </c>
      <c r="F390" s="37"/>
      <c r="G390" s="37" t="s">
        <v>2103</v>
      </c>
      <c r="H390" s="37" t="s">
        <v>242</v>
      </c>
      <c r="I390" s="37" t="s">
        <v>316</v>
      </c>
      <c r="J390" s="37" t="s">
        <v>2679</v>
      </c>
    </row>
    <row r="391" spans="1:10" ht="28.8" x14ac:dyDescent="0.3">
      <c r="A391" s="38" t="s">
        <v>2104</v>
      </c>
      <c r="B391" s="38" t="s">
        <v>2103</v>
      </c>
      <c r="C391" s="38" t="s">
        <v>346</v>
      </c>
      <c r="D391" s="38" t="s">
        <v>245</v>
      </c>
      <c r="E391" s="38" t="s">
        <v>243</v>
      </c>
      <c r="F391" s="38"/>
      <c r="G391" s="38" t="s">
        <v>2103</v>
      </c>
      <c r="H391" s="38" t="s">
        <v>242</v>
      </c>
      <c r="I391" s="38" t="s">
        <v>356</v>
      </c>
      <c r="J391" s="38" t="s">
        <v>2679</v>
      </c>
    </row>
    <row r="392" spans="1:10" ht="28.8" x14ac:dyDescent="0.3">
      <c r="A392" s="37" t="s">
        <v>2108</v>
      </c>
      <c r="B392" s="37" t="s">
        <v>2106</v>
      </c>
      <c r="C392" s="37" t="s">
        <v>267</v>
      </c>
      <c r="D392" s="37" t="s">
        <v>245</v>
      </c>
      <c r="E392" s="37" t="s">
        <v>243</v>
      </c>
      <c r="F392" s="37"/>
      <c r="G392" s="37" t="s">
        <v>2106</v>
      </c>
      <c r="H392" s="37" t="s">
        <v>268</v>
      </c>
      <c r="I392" s="37" t="s">
        <v>277</v>
      </c>
      <c r="J392" s="37" t="s">
        <v>2679</v>
      </c>
    </row>
    <row r="393" spans="1:10" ht="28.8" x14ac:dyDescent="0.3">
      <c r="A393" s="38" t="s">
        <v>2108</v>
      </c>
      <c r="B393" s="38" t="s">
        <v>2106</v>
      </c>
      <c r="C393" s="38" t="s">
        <v>243</v>
      </c>
      <c r="D393" s="38" t="s">
        <v>245</v>
      </c>
      <c r="E393" s="38" t="s">
        <v>243</v>
      </c>
      <c r="F393" s="38"/>
      <c r="G393" s="38" t="s">
        <v>2106</v>
      </c>
      <c r="H393" s="38" t="s">
        <v>242</v>
      </c>
      <c r="I393" s="38" t="s">
        <v>316</v>
      </c>
      <c r="J393" s="38" t="s">
        <v>2679</v>
      </c>
    </row>
    <row r="394" spans="1:10" ht="28.8" x14ac:dyDescent="0.3">
      <c r="A394" s="37" t="s">
        <v>2108</v>
      </c>
      <c r="B394" s="37" t="s">
        <v>2106</v>
      </c>
      <c r="C394" s="37" t="s">
        <v>346</v>
      </c>
      <c r="D394" s="37" t="s">
        <v>245</v>
      </c>
      <c r="E394" s="37" t="s">
        <v>243</v>
      </c>
      <c r="F394" s="37"/>
      <c r="G394" s="37" t="s">
        <v>2106</v>
      </c>
      <c r="H394" s="37" t="s">
        <v>242</v>
      </c>
      <c r="I394" s="37" t="s">
        <v>356</v>
      </c>
      <c r="J394" s="37" t="s">
        <v>2679</v>
      </c>
    </row>
    <row r="395" spans="1:10" ht="43.2" x14ac:dyDescent="0.3">
      <c r="A395" s="38" t="s">
        <v>2111</v>
      </c>
      <c r="B395" s="38" t="s">
        <v>2110</v>
      </c>
      <c r="C395" s="38" t="s">
        <v>267</v>
      </c>
      <c r="D395" s="38" t="s">
        <v>245</v>
      </c>
      <c r="E395" s="38" t="s">
        <v>243</v>
      </c>
      <c r="F395" s="38"/>
      <c r="G395" s="38" t="s">
        <v>2110</v>
      </c>
      <c r="H395" s="38" t="s">
        <v>268</v>
      </c>
      <c r="I395" s="38" t="s">
        <v>277</v>
      </c>
      <c r="J395" s="38" t="s">
        <v>2679</v>
      </c>
    </row>
    <row r="396" spans="1:10" ht="43.2" x14ac:dyDescent="0.3">
      <c r="A396" s="37" t="s">
        <v>2111</v>
      </c>
      <c r="B396" s="37" t="s">
        <v>2110</v>
      </c>
      <c r="C396" s="37" t="s">
        <v>243</v>
      </c>
      <c r="D396" s="37" t="s">
        <v>245</v>
      </c>
      <c r="E396" s="37" t="s">
        <v>243</v>
      </c>
      <c r="F396" s="37"/>
      <c r="G396" s="37" t="s">
        <v>2110</v>
      </c>
      <c r="H396" s="37" t="s">
        <v>242</v>
      </c>
      <c r="I396" s="37" t="s">
        <v>316</v>
      </c>
      <c r="J396" s="37" t="s">
        <v>2679</v>
      </c>
    </row>
    <row r="397" spans="1:10" ht="43.2" x14ac:dyDescent="0.3">
      <c r="A397" s="38" t="s">
        <v>2111</v>
      </c>
      <c r="B397" s="38" t="s">
        <v>2110</v>
      </c>
      <c r="C397" s="38" t="s">
        <v>346</v>
      </c>
      <c r="D397" s="38" t="s">
        <v>245</v>
      </c>
      <c r="E397" s="38" t="s">
        <v>243</v>
      </c>
      <c r="F397" s="38"/>
      <c r="G397" s="38" t="s">
        <v>2110</v>
      </c>
      <c r="H397" s="38" t="s">
        <v>242</v>
      </c>
      <c r="I397" s="38" t="s">
        <v>356</v>
      </c>
      <c r="J397" s="38" t="s">
        <v>2679</v>
      </c>
    </row>
    <row r="398" spans="1:10" ht="28.8" x14ac:dyDescent="0.3">
      <c r="A398" s="37" t="s">
        <v>2114</v>
      </c>
      <c r="B398" s="37" t="s">
        <v>2113</v>
      </c>
      <c r="C398" s="37" t="s">
        <v>267</v>
      </c>
      <c r="D398" s="37" t="s">
        <v>245</v>
      </c>
      <c r="E398" s="37" t="s">
        <v>243</v>
      </c>
      <c r="F398" s="37"/>
      <c r="G398" s="37" t="s">
        <v>2113</v>
      </c>
      <c r="H398" s="37" t="s">
        <v>268</v>
      </c>
      <c r="I398" s="37" t="s">
        <v>277</v>
      </c>
      <c r="J398" s="37" t="s">
        <v>2679</v>
      </c>
    </row>
    <row r="399" spans="1:10" ht="28.8" x14ac:dyDescent="0.3">
      <c r="A399" s="38" t="s">
        <v>2114</v>
      </c>
      <c r="B399" s="38" t="s">
        <v>2113</v>
      </c>
      <c r="C399" s="38" t="s">
        <v>243</v>
      </c>
      <c r="D399" s="38" t="s">
        <v>245</v>
      </c>
      <c r="E399" s="38" t="s">
        <v>243</v>
      </c>
      <c r="F399" s="38"/>
      <c r="G399" s="38" t="s">
        <v>2113</v>
      </c>
      <c r="H399" s="38" t="s">
        <v>242</v>
      </c>
      <c r="I399" s="38" t="s">
        <v>316</v>
      </c>
      <c r="J399" s="38" t="s">
        <v>2679</v>
      </c>
    </row>
    <row r="400" spans="1:10" ht="28.8" x14ac:dyDescent="0.3">
      <c r="A400" s="37" t="s">
        <v>2114</v>
      </c>
      <c r="B400" s="37" t="s">
        <v>2113</v>
      </c>
      <c r="C400" s="37" t="s">
        <v>346</v>
      </c>
      <c r="D400" s="37" t="s">
        <v>245</v>
      </c>
      <c r="E400" s="37" t="s">
        <v>243</v>
      </c>
      <c r="F400" s="37"/>
      <c r="G400" s="37" t="s">
        <v>2113</v>
      </c>
      <c r="H400" s="37" t="s">
        <v>242</v>
      </c>
      <c r="I400" s="37" t="s">
        <v>356</v>
      </c>
      <c r="J400" s="37" t="s">
        <v>2679</v>
      </c>
    </row>
    <row r="401" spans="1:10" ht="28.8" x14ac:dyDescent="0.3">
      <c r="A401" s="38" t="s">
        <v>2117</v>
      </c>
      <c r="B401" s="38" t="s">
        <v>2116</v>
      </c>
      <c r="C401" s="38" t="s">
        <v>267</v>
      </c>
      <c r="D401" s="38" t="s">
        <v>245</v>
      </c>
      <c r="E401" s="38" t="s">
        <v>243</v>
      </c>
      <c r="F401" s="38"/>
      <c r="G401" s="38" t="s">
        <v>2116</v>
      </c>
      <c r="H401" s="38" t="s">
        <v>268</v>
      </c>
      <c r="I401" s="38" t="s">
        <v>277</v>
      </c>
      <c r="J401" s="38" t="s">
        <v>2679</v>
      </c>
    </row>
    <row r="402" spans="1:10" ht="28.8" x14ac:dyDescent="0.3">
      <c r="A402" s="37" t="s">
        <v>2117</v>
      </c>
      <c r="B402" s="37" t="s">
        <v>2116</v>
      </c>
      <c r="C402" s="37" t="s">
        <v>243</v>
      </c>
      <c r="D402" s="37" t="s">
        <v>245</v>
      </c>
      <c r="E402" s="37" t="s">
        <v>243</v>
      </c>
      <c r="F402" s="37"/>
      <c r="G402" s="37" t="s">
        <v>2116</v>
      </c>
      <c r="H402" s="37" t="s">
        <v>242</v>
      </c>
      <c r="I402" s="37" t="s">
        <v>316</v>
      </c>
      <c r="J402" s="37" t="s">
        <v>2679</v>
      </c>
    </row>
    <row r="403" spans="1:10" ht="28.8" x14ac:dyDescent="0.3">
      <c r="A403" s="38" t="s">
        <v>2117</v>
      </c>
      <c r="B403" s="38" t="s">
        <v>2116</v>
      </c>
      <c r="C403" s="38" t="s">
        <v>346</v>
      </c>
      <c r="D403" s="38" t="s">
        <v>245</v>
      </c>
      <c r="E403" s="38" t="s">
        <v>243</v>
      </c>
      <c r="F403" s="38"/>
      <c r="G403" s="38" t="s">
        <v>2116</v>
      </c>
      <c r="H403" s="38" t="s">
        <v>242</v>
      </c>
      <c r="I403" s="38" t="s">
        <v>356</v>
      </c>
      <c r="J403" s="38" t="s">
        <v>2679</v>
      </c>
    </row>
    <row r="404" spans="1:10" ht="28.8" x14ac:dyDescent="0.3">
      <c r="A404" s="37" t="s">
        <v>2121</v>
      </c>
      <c r="B404" s="37" t="s">
        <v>2119</v>
      </c>
      <c r="C404" s="37" t="s">
        <v>267</v>
      </c>
      <c r="D404" s="37" t="s">
        <v>245</v>
      </c>
      <c r="E404" s="37" t="s">
        <v>243</v>
      </c>
      <c r="F404" s="37"/>
      <c r="G404" s="37" t="s">
        <v>2119</v>
      </c>
      <c r="H404" s="37" t="s">
        <v>268</v>
      </c>
      <c r="I404" s="37" t="s">
        <v>277</v>
      </c>
      <c r="J404" s="37" t="s">
        <v>2679</v>
      </c>
    </row>
    <row r="405" spans="1:10" ht="28.8" x14ac:dyDescent="0.3">
      <c r="A405" s="38" t="s">
        <v>2121</v>
      </c>
      <c r="B405" s="38" t="s">
        <v>2119</v>
      </c>
      <c r="C405" s="38" t="s">
        <v>243</v>
      </c>
      <c r="D405" s="38" t="s">
        <v>245</v>
      </c>
      <c r="E405" s="38" t="s">
        <v>243</v>
      </c>
      <c r="F405" s="38"/>
      <c r="G405" s="38" t="s">
        <v>2119</v>
      </c>
      <c r="H405" s="38" t="s">
        <v>242</v>
      </c>
      <c r="I405" s="38" t="s">
        <v>316</v>
      </c>
      <c r="J405" s="38" t="s">
        <v>2679</v>
      </c>
    </row>
    <row r="406" spans="1:10" ht="28.8" x14ac:dyDescent="0.3">
      <c r="A406" s="37" t="s">
        <v>2121</v>
      </c>
      <c r="B406" s="37" t="s">
        <v>2119</v>
      </c>
      <c r="C406" s="37" t="s">
        <v>346</v>
      </c>
      <c r="D406" s="37" t="s">
        <v>245</v>
      </c>
      <c r="E406" s="37" t="s">
        <v>243</v>
      </c>
      <c r="F406" s="37"/>
      <c r="G406" s="37" t="s">
        <v>2119</v>
      </c>
      <c r="H406" s="37" t="s">
        <v>242</v>
      </c>
      <c r="I406" s="37" t="s">
        <v>356</v>
      </c>
      <c r="J406" s="37" t="s">
        <v>2679</v>
      </c>
    </row>
    <row r="407" spans="1:10" ht="28.8" x14ac:dyDescent="0.3">
      <c r="A407" s="38" t="s">
        <v>2124</v>
      </c>
      <c r="B407" s="38" t="s">
        <v>2123</v>
      </c>
      <c r="C407" s="38" t="s">
        <v>267</v>
      </c>
      <c r="D407" s="38" t="s">
        <v>245</v>
      </c>
      <c r="E407" s="38" t="s">
        <v>243</v>
      </c>
      <c r="F407" s="38"/>
      <c r="G407" s="38" t="s">
        <v>2123</v>
      </c>
      <c r="H407" s="38" t="s">
        <v>268</v>
      </c>
      <c r="I407" s="38" t="s">
        <v>277</v>
      </c>
      <c r="J407" s="38" t="s">
        <v>2679</v>
      </c>
    </row>
    <row r="408" spans="1:10" ht="28.8" x14ac:dyDescent="0.3">
      <c r="A408" s="37" t="s">
        <v>2124</v>
      </c>
      <c r="B408" s="37" t="s">
        <v>2123</v>
      </c>
      <c r="C408" s="37" t="s">
        <v>243</v>
      </c>
      <c r="D408" s="37" t="s">
        <v>245</v>
      </c>
      <c r="E408" s="37" t="s">
        <v>243</v>
      </c>
      <c r="F408" s="37"/>
      <c r="G408" s="37" t="s">
        <v>2123</v>
      </c>
      <c r="H408" s="37" t="s">
        <v>242</v>
      </c>
      <c r="I408" s="37" t="s">
        <v>316</v>
      </c>
      <c r="J408" s="37" t="s">
        <v>2679</v>
      </c>
    </row>
    <row r="409" spans="1:10" ht="28.8" x14ac:dyDescent="0.3">
      <c r="A409" s="38" t="s">
        <v>2124</v>
      </c>
      <c r="B409" s="38" t="s">
        <v>2123</v>
      </c>
      <c r="C409" s="38" t="s">
        <v>346</v>
      </c>
      <c r="D409" s="38" t="s">
        <v>245</v>
      </c>
      <c r="E409" s="38" t="s">
        <v>243</v>
      </c>
      <c r="F409" s="38"/>
      <c r="G409" s="38" t="s">
        <v>2123</v>
      </c>
      <c r="H409" s="38" t="s">
        <v>242</v>
      </c>
      <c r="I409" s="38" t="s">
        <v>356</v>
      </c>
      <c r="J409" s="38" t="s">
        <v>2679</v>
      </c>
    </row>
    <row r="410" spans="1:10" ht="28.8" x14ac:dyDescent="0.3">
      <c r="A410" s="37" t="s">
        <v>2128</v>
      </c>
      <c r="B410" s="37" t="s">
        <v>2126</v>
      </c>
      <c r="C410" s="37" t="s">
        <v>267</v>
      </c>
      <c r="D410" s="37" t="s">
        <v>245</v>
      </c>
      <c r="E410" s="37" t="s">
        <v>243</v>
      </c>
      <c r="F410" s="37"/>
      <c r="G410" s="37" t="s">
        <v>2126</v>
      </c>
      <c r="H410" s="37" t="s">
        <v>268</v>
      </c>
      <c r="I410" s="37" t="s">
        <v>277</v>
      </c>
      <c r="J410" s="37" t="s">
        <v>2679</v>
      </c>
    </row>
    <row r="411" spans="1:10" ht="28.8" x14ac:dyDescent="0.3">
      <c r="A411" s="38" t="s">
        <v>2128</v>
      </c>
      <c r="B411" s="38" t="s">
        <v>2126</v>
      </c>
      <c r="C411" s="38" t="s">
        <v>243</v>
      </c>
      <c r="D411" s="38" t="s">
        <v>245</v>
      </c>
      <c r="E411" s="38" t="s">
        <v>243</v>
      </c>
      <c r="F411" s="38"/>
      <c r="G411" s="38" t="s">
        <v>2126</v>
      </c>
      <c r="H411" s="38" t="s">
        <v>242</v>
      </c>
      <c r="I411" s="38" t="s">
        <v>316</v>
      </c>
      <c r="J411" s="38" t="s">
        <v>2679</v>
      </c>
    </row>
    <row r="412" spans="1:10" ht="28.8" x14ac:dyDescent="0.3">
      <c r="A412" s="37" t="s">
        <v>2128</v>
      </c>
      <c r="B412" s="37" t="s">
        <v>2126</v>
      </c>
      <c r="C412" s="37" t="s">
        <v>346</v>
      </c>
      <c r="D412" s="37" t="s">
        <v>245</v>
      </c>
      <c r="E412" s="37" t="s">
        <v>243</v>
      </c>
      <c r="F412" s="37"/>
      <c r="G412" s="37" t="s">
        <v>2126</v>
      </c>
      <c r="H412" s="37" t="s">
        <v>242</v>
      </c>
      <c r="I412" s="37" t="s">
        <v>356</v>
      </c>
      <c r="J412" s="37" t="s">
        <v>2679</v>
      </c>
    </row>
    <row r="413" spans="1:10" ht="28.8" x14ac:dyDescent="0.3">
      <c r="A413" s="38" t="s">
        <v>2132</v>
      </c>
      <c r="B413" s="38" t="s">
        <v>2130</v>
      </c>
      <c r="C413" s="38" t="s">
        <v>267</v>
      </c>
      <c r="D413" s="38" t="s">
        <v>245</v>
      </c>
      <c r="E413" s="38" t="s">
        <v>243</v>
      </c>
      <c r="F413" s="38"/>
      <c r="G413" s="38" t="s">
        <v>2130</v>
      </c>
      <c r="H413" s="38" t="s">
        <v>268</v>
      </c>
      <c r="I413" s="38" t="s">
        <v>277</v>
      </c>
      <c r="J413" s="38" t="s">
        <v>2679</v>
      </c>
    </row>
    <row r="414" spans="1:10" ht="28.8" x14ac:dyDescent="0.3">
      <c r="A414" s="37" t="s">
        <v>2132</v>
      </c>
      <c r="B414" s="37" t="s">
        <v>2130</v>
      </c>
      <c r="C414" s="37" t="s">
        <v>243</v>
      </c>
      <c r="D414" s="37" t="s">
        <v>245</v>
      </c>
      <c r="E414" s="37" t="s">
        <v>243</v>
      </c>
      <c r="F414" s="37"/>
      <c r="G414" s="37" t="s">
        <v>2130</v>
      </c>
      <c r="H414" s="37" t="s">
        <v>242</v>
      </c>
      <c r="I414" s="37" t="s">
        <v>316</v>
      </c>
      <c r="J414" s="37" t="s">
        <v>2679</v>
      </c>
    </row>
    <row r="415" spans="1:10" ht="28.8" x14ac:dyDescent="0.3">
      <c r="A415" s="38" t="s">
        <v>2132</v>
      </c>
      <c r="B415" s="38" t="s">
        <v>2130</v>
      </c>
      <c r="C415" s="38" t="s">
        <v>346</v>
      </c>
      <c r="D415" s="38" t="s">
        <v>245</v>
      </c>
      <c r="E415" s="38" t="s">
        <v>243</v>
      </c>
      <c r="F415" s="38"/>
      <c r="G415" s="38" t="s">
        <v>2130</v>
      </c>
      <c r="H415" s="38" t="s">
        <v>242</v>
      </c>
      <c r="I415" s="38" t="s">
        <v>356</v>
      </c>
      <c r="J415" s="38" t="s">
        <v>2679</v>
      </c>
    </row>
    <row r="416" spans="1:10" ht="57.6" x14ac:dyDescent="0.3">
      <c r="A416" s="37" t="s">
        <v>2136</v>
      </c>
      <c r="B416" s="37" t="s">
        <v>2134</v>
      </c>
      <c r="C416" s="37" t="s">
        <v>267</v>
      </c>
      <c r="D416" s="37" t="s">
        <v>245</v>
      </c>
      <c r="E416" s="37" t="s">
        <v>243</v>
      </c>
      <c r="F416" s="37"/>
      <c r="G416" s="37" t="s">
        <v>2134</v>
      </c>
      <c r="H416" s="37" t="s">
        <v>268</v>
      </c>
      <c r="I416" s="37" t="s">
        <v>277</v>
      </c>
      <c r="J416" s="37" t="s">
        <v>2679</v>
      </c>
    </row>
    <row r="417" spans="1:10" ht="57.6" x14ac:dyDescent="0.3">
      <c r="A417" s="38" t="s">
        <v>2136</v>
      </c>
      <c r="B417" s="38" t="s">
        <v>2134</v>
      </c>
      <c r="C417" s="38" t="s">
        <v>243</v>
      </c>
      <c r="D417" s="38" t="s">
        <v>245</v>
      </c>
      <c r="E417" s="38" t="s">
        <v>243</v>
      </c>
      <c r="F417" s="38"/>
      <c r="G417" s="38" t="s">
        <v>2134</v>
      </c>
      <c r="H417" s="38" t="s">
        <v>242</v>
      </c>
      <c r="I417" s="38" t="s">
        <v>316</v>
      </c>
      <c r="J417" s="38" t="s">
        <v>2679</v>
      </c>
    </row>
    <row r="418" spans="1:10" ht="57.6" x14ac:dyDescent="0.3">
      <c r="A418" s="37" t="s">
        <v>2136</v>
      </c>
      <c r="B418" s="37" t="s">
        <v>2134</v>
      </c>
      <c r="C418" s="37" t="s">
        <v>346</v>
      </c>
      <c r="D418" s="37" t="s">
        <v>245</v>
      </c>
      <c r="E418" s="37" t="s">
        <v>243</v>
      </c>
      <c r="F418" s="37"/>
      <c r="G418" s="37" t="s">
        <v>2134</v>
      </c>
      <c r="H418" s="37" t="s">
        <v>242</v>
      </c>
      <c r="I418" s="37" t="s">
        <v>356</v>
      </c>
      <c r="J418" s="37" t="s">
        <v>2679</v>
      </c>
    </row>
    <row r="419" spans="1:10" ht="57.6" x14ac:dyDescent="0.3">
      <c r="A419" s="38" t="s">
        <v>2139</v>
      </c>
      <c r="B419" s="38" t="s">
        <v>2138</v>
      </c>
      <c r="C419" s="38" t="s">
        <v>267</v>
      </c>
      <c r="D419" s="38" t="s">
        <v>245</v>
      </c>
      <c r="E419" s="38" t="s">
        <v>243</v>
      </c>
      <c r="F419" s="38"/>
      <c r="G419" s="38" t="s">
        <v>2138</v>
      </c>
      <c r="H419" s="38" t="s">
        <v>268</v>
      </c>
      <c r="I419" s="38" t="s">
        <v>277</v>
      </c>
      <c r="J419" s="38" t="s">
        <v>2679</v>
      </c>
    </row>
    <row r="420" spans="1:10" ht="57.6" x14ac:dyDescent="0.3">
      <c r="A420" s="37" t="s">
        <v>2139</v>
      </c>
      <c r="B420" s="37" t="s">
        <v>2138</v>
      </c>
      <c r="C420" s="37" t="s">
        <v>243</v>
      </c>
      <c r="D420" s="37" t="s">
        <v>245</v>
      </c>
      <c r="E420" s="37" t="s">
        <v>243</v>
      </c>
      <c r="F420" s="37"/>
      <c r="G420" s="37" t="s">
        <v>2138</v>
      </c>
      <c r="H420" s="37" t="s">
        <v>242</v>
      </c>
      <c r="I420" s="37" t="s">
        <v>316</v>
      </c>
      <c r="J420" s="37" t="s">
        <v>2679</v>
      </c>
    </row>
    <row r="421" spans="1:10" ht="57.6" x14ac:dyDescent="0.3">
      <c r="A421" s="38" t="s">
        <v>2139</v>
      </c>
      <c r="B421" s="38" t="s">
        <v>2138</v>
      </c>
      <c r="C421" s="38" t="s">
        <v>346</v>
      </c>
      <c r="D421" s="38" t="s">
        <v>245</v>
      </c>
      <c r="E421" s="38" t="s">
        <v>243</v>
      </c>
      <c r="F421" s="38"/>
      <c r="G421" s="38" t="s">
        <v>2138</v>
      </c>
      <c r="H421" s="38" t="s">
        <v>242</v>
      </c>
      <c r="I421" s="38" t="s">
        <v>356</v>
      </c>
      <c r="J421" s="38" t="s">
        <v>2679</v>
      </c>
    </row>
    <row r="422" spans="1:10" ht="57.6" x14ac:dyDescent="0.3">
      <c r="A422" s="37" t="s">
        <v>2142</v>
      </c>
      <c r="B422" s="37" t="s">
        <v>2141</v>
      </c>
      <c r="C422" s="37" t="s">
        <v>267</v>
      </c>
      <c r="D422" s="37" t="s">
        <v>245</v>
      </c>
      <c r="E422" s="37" t="s">
        <v>243</v>
      </c>
      <c r="F422" s="37"/>
      <c r="G422" s="37" t="s">
        <v>2141</v>
      </c>
      <c r="H422" s="37" t="s">
        <v>268</v>
      </c>
      <c r="I422" s="37" t="s">
        <v>277</v>
      </c>
      <c r="J422" s="37" t="s">
        <v>2679</v>
      </c>
    </row>
    <row r="423" spans="1:10" ht="57.6" x14ac:dyDescent="0.3">
      <c r="A423" s="38" t="s">
        <v>2142</v>
      </c>
      <c r="B423" s="38" t="s">
        <v>2141</v>
      </c>
      <c r="C423" s="38" t="s">
        <v>243</v>
      </c>
      <c r="D423" s="38" t="s">
        <v>245</v>
      </c>
      <c r="E423" s="38" t="s">
        <v>243</v>
      </c>
      <c r="F423" s="38"/>
      <c r="G423" s="38" t="s">
        <v>2141</v>
      </c>
      <c r="H423" s="38" t="s">
        <v>242</v>
      </c>
      <c r="I423" s="38" t="s">
        <v>316</v>
      </c>
      <c r="J423" s="38" t="s">
        <v>2679</v>
      </c>
    </row>
    <row r="424" spans="1:10" ht="57.6" x14ac:dyDescent="0.3">
      <c r="A424" s="37" t="s">
        <v>2142</v>
      </c>
      <c r="B424" s="37" t="s">
        <v>2141</v>
      </c>
      <c r="C424" s="37" t="s">
        <v>346</v>
      </c>
      <c r="D424" s="37" t="s">
        <v>245</v>
      </c>
      <c r="E424" s="37" t="s">
        <v>243</v>
      </c>
      <c r="F424" s="37"/>
      <c r="G424" s="37" t="s">
        <v>2141</v>
      </c>
      <c r="H424" s="37" t="s">
        <v>242</v>
      </c>
      <c r="I424" s="37" t="s">
        <v>356</v>
      </c>
      <c r="J424" s="37" t="s">
        <v>2679</v>
      </c>
    </row>
    <row r="425" spans="1:10" ht="72" x14ac:dyDescent="0.3">
      <c r="A425" s="38" t="s">
        <v>2146</v>
      </c>
      <c r="B425" s="38" t="s">
        <v>2144</v>
      </c>
      <c r="C425" s="38" t="s">
        <v>267</v>
      </c>
      <c r="D425" s="38" t="s">
        <v>245</v>
      </c>
      <c r="E425" s="38" t="s">
        <v>243</v>
      </c>
      <c r="F425" s="38"/>
      <c r="G425" s="38" t="s">
        <v>2144</v>
      </c>
      <c r="H425" s="38" t="s">
        <v>268</v>
      </c>
      <c r="I425" s="38" t="s">
        <v>277</v>
      </c>
      <c r="J425" s="38" t="s">
        <v>2679</v>
      </c>
    </row>
    <row r="426" spans="1:10" ht="72" x14ac:dyDescent="0.3">
      <c r="A426" s="37" t="s">
        <v>2146</v>
      </c>
      <c r="B426" s="37" t="s">
        <v>2144</v>
      </c>
      <c r="C426" s="37" t="s">
        <v>243</v>
      </c>
      <c r="D426" s="37" t="s">
        <v>245</v>
      </c>
      <c r="E426" s="37" t="s">
        <v>243</v>
      </c>
      <c r="F426" s="37"/>
      <c r="G426" s="37" t="s">
        <v>2144</v>
      </c>
      <c r="H426" s="37" t="s">
        <v>242</v>
      </c>
      <c r="I426" s="37" t="s">
        <v>316</v>
      </c>
      <c r="J426" s="37" t="s">
        <v>2679</v>
      </c>
    </row>
    <row r="427" spans="1:10" ht="72" x14ac:dyDescent="0.3">
      <c r="A427" s="38" t="s">
        <v>2146</v>
      </c>
      <c r="B427" s="38" t="s">
        <v>2144</v>
      </c>
      <c r="C427" s="38" t="s">
        <v>346</v>
      </c>
      <c r="D427" s="38" t="s">
        <v>245</v>
      </c>
      <c r="E427" s="38" t="s">
        <v>243</v>
      </c>
      <c r="F427" s="38"/>
      <c r="G427" s="38" t="s">
        <v>2144</v>
      </c>
      <c r="H427" s="38" t="s">
        <v>242</v>
      </c>
      <c r="I427" s="38" t="s">
        <v>356</v>
      </c>
      <c r="J427" s="38" t="s">
        <v>2679</v>
      </c>
    </row>
    <row r="428" spans="1:10" ht="28.8" x14ac:dyDescent="0.3">
      <c r="A428" s="37" t="s">
        <v>2149</v>
      </c>
      <c r="B428" s="37" t="s">
        <v>2148</v>
      </c>
      <c r="C428" s="37" t="s">
        <v>267</v>
      </c>
      <c r="D428" s="37" t="s">
        <v>245</v>
      </c>
      <c r="E428" s="37" t="s">
        <v>243</v>
      </c>
      <c r="F428" s="37"/>
      <c r="G428" s="37" t="s">
        <v>2148</v>
      </c>
      <c r="H428" s="37" t="s">
        <v>268</v>
      </c>
      <c r="I428" s="37" t="s">
        <v>277</v>
      </c>
      <c r="J428" s="37" t="s">
        <v>2679</v>
      </c>
    </row>
    <row r="429" spans="1:10" ht="28.8" x14ac:dyDescent="0.3">
      <c r="A429" s="38" t="s">
        <v>2149</v>
      </c>
      <c r="B429" s="38" t="s">
        <v>2148</v>
      </c>
      <c r="C429" s="38" t="s">
        <v>243</v>
      </c>
      <c r="D429" s="38" t="s">
        <v>245</v>
      </c>
      <c r="E429" s="38" t="s">
        <v>243</v>
      </c>
      <c r="F429" s="38"/>
      <c r="G429" s="38" t="s">
        <v>2148</v>
      </c>
      <c r="H429" s="38" t="s">
        <v>242</v>
      </c>
      <c r="I429" s="38" t="s">
        <v>316</v>
      </c>
      <c r="J429" s="38" t="s">
        <v>2679</v>
      </c>
    </row>
    <row r="430" spans="1:10" ht="28.8" x14ac:dyDescent="0.3">
      <c r="A430" s="37" t="s">
        <v>2149</v>
      </c>
      <c r="B430" s="37" t="s">
        <v>2148</v>
      </c>
      <c r="C430" s="37" t="s">
        <v>346</v>
      </c>
      <c r="D430" s="37" t="s">
        <v>245</v>
      </c>
      <c r="E430" s="37" t="s">
        <v>243</v>
      </c>
      <c r="F430" s="37"/>
      <c r="G430" s="37" t="s">
        <v>2148</v>
      </c>
      <c r="H430" s="37" t="s">
        <v>242</v>
      </c>
      <c r="I430" s="37" t="s">
        <v>356</v>
      </c>
      <c r="J430" s="37" t="s">
        <v>2679</v>
      </c>
    </row>
    <row r="431" spans="1:10" ht="28.8" x14ac:dyDescent="0.3">
      <c r="A431" s="38" t="s">
        <v>2152</v>
      </c>
      <c r="B431" s="38" t="s">
        <v>2151</v>
      </c>
      <c r="C431" s="38" t="s">
        <v>267</v>
      </c>
      <c r="D431" s="38" t="s">
        <v>245</v>
      </c>
      <c r="E431" s="38" t="s">
        <v>243</v>
      </c>
      <c r="F431" s="38"/>
      <c r="G431" s="38" t="s">
        <v>2151</v>
      </c>
      <c r="H431" s="38" t="s">
        <v>268</v>
      </c>
      <c r="I431" s="38" t="s">
        <v>277</v>
      </c>
      <c r="J431" s="38" t="s">
        <v>2679</v>
      </c>
    </row>
    <row r="432" spans="1:10" ht="28.8" x14ac:dyDescent="0.3">
      <c r="A432" s="37" t="s">
        <v>2152</v>
      </c>
      <c r="B432" s="37" t="s">
        <v>2151</v>
      </c>
      <c r="C432" s="37" t="s">
        <v>243</v>
      </c>
      <c r="D432" s="37" t="s">
        <v>245</v>
      </c>
      <c r="E432" s="37" t="s">
        <v>243</v>
      </c>
      <c r="F432" s="37"/>
      <c r="G432" s="37" t="s">
        <v>2151</v>
      </c>
      <c r="H432" s="37" t="s">
        <v>242</v>
      </c>
      <c r="I432" s="37" t="s">
        <v>316</v>
      </c>
      <c r="J432" s="37" t="s">
        <v>2679</v>
      </c>
    </row>
    <row r="433" spans="1:10" ht="28.8" x14ac:dyDescent="0.3">
      <c r="A433" s="38" t="s">
        <v>2152</v>
      </c>
      <c r="B433" s="38" t="s">
        <v>2151</v>
      </c>
      <c r="C433" s="38" t="s">
        <v>346</v>
      </c>
      <c r="D433" s="38" t="s">
        <v>245</v>
      </c>
      <c r="E433" s="38" t="s">
        <v>243</v>
      </c>
      <c r="F433" s="38"/>
      <c r="G433" s="38" t="s">
        <v>2151</v>
      </c>
      <c r="H433" s="38" t="s">
        <v>242</v>
      </c>
      <c r="I433" s="38" t="s">
        <v>356</v>
      </c>
      <c r="J433" s="38" t="s">
        <v>2679</v>
      </c>
    </row>
    <row r="434" spans="1:10" ht="28.8" x14ac:dyDescent="0.3">
      <c r="A434" s="37" t="s">
        <v>2156</v>
      </c>
      <c r="B434" s="37" t="s">
        <v>2154</v>
      </c>
      <c r="C434" s="37" t="s">
        <v>267</v>
      </c>
      <c r="D434" s="37" t="s">
        <v>245</v>
      </c>
      <c r="E434" s="37" t="s">
        <v>243</v>
      </c>
      <c r="F434" s="37"/>
      <c r="G434" s="37" t="s">
        <v>2154</v>
      </c>
      <c r="H434" s="37" t="s">
        <v>268</v>
      </c>
      <c r="I434" s="37" t="s">
        <v>277</v>
      </c>
      <c r="J434" s="37" t="s">
        <v>2679</v>
      </c>
    </row>
    <row r="435" spans="1:10" ht="28.8" x14ac:dyDescent="0.3">
      <c r="A435" s="38" t="s">
        <v>2156</v>
      </c>
      <c r="B435" s="38" t="s">
        <v>2154</v>
      </c>
      <c r="C435" s="38" t="s">
        <v>243</v>
      </c>
      <c r="D435" s="38" t="s">
        <v>245</v>
      </c>
      <c r="E435" s="38" t="s">
        <v>243</v>
      </c>
      <c r="F435" s="38"/>
      <c r="G435" s="38" t="s">
        <v>2154</v>
      </c>
      <c r="H435" s="38" t="s">
        <v>242</v>
      </c>
      <c r="I435" s="38" t="s">
        <v>316</v>
      </c>
      <c r="J435" s="38" t="s">
        <v>2679</v>
      </c>
    </row>
    <row r="436" spans="1:10" ht="28.8" x14ac:dyDescent="0.3">
      <c r="A436" s="37" t="s">
        <v>2156</v>
      </c>
      <c r="B436" s="37" t="s">
        <v>2154</v>
      </c>
      <c r="C436" s="37" t="s">
        <v>346</v>
      </c>
      <c r="D436" s="37" t="s">
        <v>245</v>
      </c>
      <c r="E436" s="37" t="s">
        <v>243</v>
      </c>
      <c r="F436" s="37"/>
      <c r="G436" s="37" t="s">
        <v>2154</v>
      </c>
      <c r="H436" s="37" t="s">
        <v>242</v>
      </c>
      <c r="I436" s="37" t="s">
        <v>356</v>
      </c>
      <c r="J436" s="37" t="s">
        <v>2679</v>
      </c>
    </row>
    <row r="437" spans="1:10" ht="28.8" x14ac:dyDescent="0.3">
      <c r="A437" s="38" t="s">
        <v>2160</v>
      </c>
      <c r="B437" s="38" t="s">
        <v>2158</v>
      </c>
      <c r="C437" s="38" t="s">
        <v>267</v>
      </c>
      <c r="D437" s="38" t="s">
        <v>245</v>
      </c>
      <c r="E437" s="38" t="s">
        <v>243</v>
      </c>
      <c r="F437" s="38"/>
      <c r="G437" s="38" t="s">
        <v>2158</v>
      </c>
      <c r="H437" s="38" t="s">
        <v>268</v>
      </c>
      <c r="I437" s="38" t="s">
        <v>277</v>
      </c>
      <c r="J437" s="38" t="s">
        <v>2679</v>
      </c>
    </row>
    <row r="438" spans="1:10" ht="28.8" x14ac:dyDescent="0.3">
      <c r="A438" s="37" t="s">
        <v>2160</v>
      </c>
      <c r="B438" s="37" t="s">
        <v>2158</v>
      </c>
      <c r="C438" s="37" t="s">
        <v>243</v>
      </c>
      <c r="D438" s="37" t="s">
        <v>245</v>
      </c>
      <c r="E438" s="37" t="s">
        <v>243</v>
      </c>
      <c r="F438" s="37"/>
      <c r="G438" s="37" t="s">
        <v>2158</v>
      </c>
      <c r="H438" s="37" t="s">
        <v>242</v>
      </c>
      <c r="I438" s="37" t="s">
        <v>316</v>
      </c>
      <c r="J438" s="37" t="s">
        <v>2679</v>
      </c>
    </row>
    <row r="439" spans="1:10" ht="28.8" x14ac:dyDescent="0.3">
      <c r="A439" s="38" t="s">
        <v>2160</v>
      </c>
      <c r="B439" s="38" t="s">
        <v>2158</v>
      </c>
      <c r="C439" s="38" t="s">
        <v>346</v>
      </c>
      <c r="D439" s="38" t="s">
        <v>245</v>
      </c>
      <c r="E439" s="38" t="s">
        <v>243</v>
      </c>
      <c r="F439" s="38"/>
      <c r="G439" s="38" t="s">
        <v>2158</v>
      </c>
      <c r="H439" s="38" t="s">
        <v>242</v>
      </c>
      <c r="I439" s="38" t="s">
        <v>356</v>
      </c>
      <c r="J439" s="38" t="s">
        <v>2679</v>
      </c>
    </row>
    <row r="440" spans="1:10" ht="28.8" x14ac:dyDescent="0.3">
      <c r="A440" s="37" t="s">
        <v>2164</v>
      </c>
      <c r="B440" s="37" t="s">
        <v>2162</v>
      </c>
      <c r="C440" s="37" t="s">
        <v>267</v>
      </c>
      <c r="D440" s="37" t="s">
        <v>245</v>
      </c>
      <c r="E440" s="37" t="s">
        <v>243</v>
      </c>
      <c r="F440" s="37"/>
      <c r="G440" s="37" t="s">
        <v>2162</v>
      </c>
      <c r="H440" s="37" t="s">
        <v>268</v>
      </c>
      <c r="I440" s="37" t="s">
        <v>277</v>
      </c>
      <c r="J440" s="37" t="s">
        <v>2679</v>
      </c>
    </row>
    <row r="441" spans="1:10" ht="28.8" x14ac:dyDescent="0.3">
      <c r="A441" s="38" t="s">
        <v>2164</v>
      </c>
      <c r="B441" s="38" t="s">
        <v>2162</v>
      </c>
      <c r="C441" s="38" t="s">
        <v>243</v>
      </c>
      <c r="D441" s="38" t="s">
        <v>245</v>
      </c>
      <c r="E441" s="38" t="s">
        <v>243</v>
      </c>
      <c r="F441" s="38"/>
      <c r="G441" s="38" t="s">
        <v>2162</v>
      </c>
      <c r="H441" s="38" t="s">
        <v>242</v>
      </c>
      <c r="I441" s="38" t="s">
        <v>316</v>
      </c>
      <c r="J441" s="38" t="s">
        <v>2679</v>
      </c>
    </row>
    <row r="442" spans="1:10" ht="28.8" x14ac:dyDescent="0.3">
      <c r="A442" s="37" t="s">
        <v>2164</v>
      </c>
      <c r="B442" s="37" t="s">
        <v>2162</v>
      </c>
      <c r="C442" s="37" t="s">
        <v>346</v>
      </c>
      <c r="D442" s="37" t="s">
        <v>245</v>
      </c>
      <c r="E442" s="37" t="s">
        <v>243</v>
      </c>
      <c r="F442" s="37"/>
      <c r="G442" s="37" t="s">
        <v>2162</v>
      </c>
      <c r="H442" s="37" t="s">
        <v>242</v>
      </c>
      <c r="I442" s="37" t="s">
        <v>356</v>
      </c>
      <c r="J442" s="37" t="s">
        <v>2679</v>
      </c>
    </row>
    <row r="443" spans="1:10" ht="28.8" x14ac:dyDescent="0.3">
      <c r="A443" s="38" t="s">
        <v>2168</v>
      </c>
      <c r="B443" s="38" t="s">
        <v>2166</v>
      </c>
      <c r="C443" s="38" t="s">
        <v>267</v>
      </c>
      <c r="D443" s="38" t="s">
        <v>245</v>
      </c>
      <c r="E443" s="38" t="s">
        <v>243</v>
      </c>
      <c r="F443" s="38"/>
      <c r="G443" s="38" t="s">
        <v>2166</v>
      </c>
      <c r="H443" s="38" t="s">
        <v>268</v>
      </c>
      <c r="I443" s="38" t="s">
        <v>277</v>
      </c>
      <c r="J443" s="38" t="s">
        <v>2679</v>
      </c>
    </row>
    <row r="444" spans="1:10" ht="28.8" x14ac:dyDescent="0.3">
      <c r="A444" s="37" t="s">
        <v>2168</v>
      </c>
      <c r="B444" s="37" t="s">
        <v>2166</v>
      </c>
      <c r="C444" s="37" t="s">
        <v>243</v>
      </c>
      <c r="D444" s="37" t="s">
        <v>245</v>
      </c>
      <c r="E444" s="37" t="s">
        <v>243</v>
      </c>
      <c r="F444" s="37"/>
      <c r="G444" s="37" t="s">
        <v>2166</v>
      </c>
      <c r="H444" s="37" t="s">
        <v>242</v>
      </c>
      <c r="I444" s="37" t="s">
        <v>316</v>
      </c>
      <c r="J444" s="37" t="s">
        <v>2679</v>
      </c>
    </row>
    <row r="445" spans="1:10" ht="28.8" x14ac:dyDescent="0.3">
      <c r="A445" s="38" t="s">
        <v>2168</v>
      </c>
      <c r="B445" s="38" t="s">
        <v>2166</v>
      </c>
      <c r="C445" s="38" t="s">
        <v>346</v>
      </c>
      <c r="D445" s="38" t="s">
        <v>245</v>
      </c>
      <c r="E445" s="38" t="s">
        <v>243</v>
      </c>
      <c r="F445" s="38"/>
      <c r="G445" s="38" t="s">
        <v>2166</v>
      </c>
      <c r="H445" s="38" t="s">
        <v>242</v>
      </c>
      <c r="I445" s="38" t="s">
        <v>356</v>
      </c>
      <c r="J445" s="38" t="s">
        <v>2679</v>
      </c>
    </row>
    <row r="446" spans="1:10" ht="28.8" x14ac:dyDescent="0.3">
      <c r="A446" s="37" t="s">
        <v>2171</v>
      </c>
      <c r="B446" s="37" t="s">
        <v>2170</v>
      </c>
      <c r="C446" s="37" t="s">
        <v>267</v>
      </c>
      <c r="D446" s="37" t="s">
        <v>245</v>
      </c>
      <c r="E446" s="37" t="s">
        <v>243</v>
      </c>
      <c r="F446" s="37"/>
      <c r="G446" s="37" t="s">
        <v>2170</v>
      </c>
      <c r="H446" s="37" t="s">
        <v>268</v>
      </c>
      <c r="I446" s="37" t="s">
        <v>277</v>
      </c>
      <c r="J446" s="37" t="s">
        <v>2679</v>
      </c>
    </row>
    <row r="447" spans="1:10" ht="28.8" x14ac:dyDescent="0.3">
      <c r="A447" s="38" t="s">
        <v>2171</v>
      </c>
      <c r="B447" s="38" t="s">
        <v>2170</v>
      </c>
      <c r="C447" s="38" t="s">
        <v>243</v>
      </c>
      <c r="D447" s="38" t="s">
        <v>245</v>
      </c>
      <c r="E447" s="38" t="s">
        <v>243</v>
      </c>
      <c r="F447" s="38"/>
      <c r="G447" s="38" t="s">
        <v>2170</v>
      </c>
      <c r="H447" s="38" t="s">
        <v>242</v>
      </c>
      <c r="I447" s="38" t="s">
        <v>316</v>
      </c>
      <c r="J447" s="38" t="s">
        <v>2679</v>
      </c>
    </row>
    <row r="448" spans="1:10" ht="28.8" x14ac:dyDescent="0.3">
      <c r="A448" s="37" t="s">
        <v>2171</v>
      </c>
      <c r="B448" s="37" t="s">
        <v>2170</v>
      </c>
      <c r="C448" s="37" t="s">
        <v>346</v>
      </c>
      <c r="D448" s="37" t="s">
        <v>245</v>
      </c>
      <c r="E448" s="37" t="s">
        <v>243</v>
      </c>
      <c r="F448" s="37"/>
      <c r="G448" s="37" t="s">
        <v>2170</v>
      </c>
      <c r="H448" s="37" t="s">
        <v>242</v>
      </c>
      <c r="I448" s="37" t="s">
        <v>356</v>
      </c>
      <c r="J448" s="37" t="s">
        <v>2679</v>
      </c>
    </row>
    <row r="449" spans="1:10" ht="28.8" x14ac:dyDescent="0.3">
      <c r="A449" s="38" t="s">
        <v>2175</v>
      </c>
      <c r="B449" s="38" t="s">
        <v>2173</v>
      </c>
      <c r="C449" s="38" t="s">
        <v>267</v>
      </c>
      <c r="D449" s="38" t="s">
        <v>245</v>
      </c>
      <c r="E449" s="38" t="s">
        <v>243</v>
      </c>
      <c r="F449" s="38"/>
      <c r="G449" s="38" t="s">
        <v>2173</v>
      </c>
      <c r="H449" s="38" t="s">
        <v>268</v>
      </c>
      <c r="I449" s="38" t="s">
        <v>277</v>
      </c>
      <c r="J449" s="38" t="s">
        <v>2679</v>
      </c>
    </row>
    <row r="450" spans="1:10" ht="28.8" x14ac:dyDescent="0.3">
      <c r="A450" s="37" t="s">
        <v>2175</v>
      </c>
      <c r="B450" s="37" t="s">
        <v>2173</v>
      </c>
      <c r="C450" s="37" t="s">
        <v>243</v>
      </c>
      <c r="D450" s="37" t="s">
        <v>245</v>
      </c>
      <c r="E450" s="37" t="s">
        <v>243</v>
      </c>
      <c r="F450" s="37"/>
      <c r="G450" s="37" t="s">
        <v>2173</v>
      </c>
      <c r="H450" s="37" t="s">
        <v>242</v>
      </c>
      <c r="I450" s="37" t="s">
        <v>316</v>
      </c>
      <c r="J450" s="37" t="s">
        <v>2679</v>
      </c>
    </row>
    <row r="451" spans="1:10" ht="28.8" x14ac:dyDescent="0.3">
      <c r="A451" s="38" t="s">
        <v>2175</v>
      </c>
      <c r="B451" s="38" t="s">
        <v>2173</v>
      </c>
      <c r="C451" s="38" t="s">
        <v>346</v>
      </c>
      <c r="D451" s="38" t="s">
        <v>245</v>
      </c>
      <c r="E451" s="38" t="s">
        <v>243</v>
      </c>
      <c r="F451" s="38"/>
      <c r="G451" s="38" t="s">
        <v>2173</v>
      </c>
      <c r="H451" s="38" t="s">
        <v>242</v>
      </c>
      <c r="I451" s="38" t="s">
        <v>356</v>
      </c>
      <c r="J451" s="38" t="s">
        <v>2679</v>
      </c>
    </row>
    <row r="452" spans="1:10" ht="28.8" x14ac:dyDescent="0.3">
      <c r="A452" s="37" t="s">
        <v>2178</v>
      </c>
      <c r="B452" s="37" t="s">
        <v>2177</v>
      </c>
      <c r="C452" s="37" t="s">
        <v>267</v>
      </c>
      <c r="D452" s="37" t="s">
        <v>245</v>
      </c>
      <c r="E452" s="37" t="s">
        <v>243</v>
      </c>
      <c r="F452" s="37"/>
      <c r="G452" s="37" t="s">
        <v>2177</v>
      </c>
      <c r="H452" s="37" t="s">
        <v>268</v>
      </c>
      <c r="I452" s="37" t="s">
        <v>277</v>
      </c>
      <c r="J452" s="37" t="s">
        <v>2679</v>
      </c>
    </row>
    <row r="453" spans="1:10" ht="28.8" x14ac:dyDescent="0.3">
      <c r="A453" s="38" t="s">
        <v>2178</v>
      </c>
      <c r="B453" s="38" t="s">
        <v>2177</v>
      </c>
      <c r="C453" s="38" t="s">
        <v>243</v>
      </c>
      <c r="D453" s="38" t="s">
        <v>245</v>
      </c>
      <c r="E453" s="38" t="s">
        <v>243</v>
      </c>
      <c r="F453" s="38"/>
      <c r="G453" s="38" t="s">
        <v>2177</v>
      </c>
      <c r="H453" s="38" t="s">
        <v>242</v>
      </c>
      <c r="I453" s="38" t="s">
        <v>316</v>
      </c>
      <c r="J453" s="38" t="s">
        <v>2679</v>
      </c>
    </row>
    <row r="454" spans="1:10" ht="28.8" x14ac:dyDescent="0.3">
      <c r="A454" s="37" t="s">
        <v>2178</v>
      </c>
      <c r="B454" s="37" t="s">
        <v>2177</v>
      </c>
      <c r="C454" s="37" t="s">
        <v>346</v>
      </c>
      <c r="D454" s="37" t="s">
        <v>245</v>
      </c>
      <c r="E454" s="37" t="s">
        <v>243</v>
      </c>
      <c r="F454" s="37"/>
      <c r="G454" s="37" t="s">
        <v>2177</v>
      </c>
      <c r="H454" s="37" t="s">
        <v>242</v>
      </c>
      <c r="I454" s="37" t="s">
        <v>356</v>
      </c>
      <c r="J454" s="37" t="s">
        <v>2679</v>
      </c>
    </row>
    <row r="455" spans="1:10" ht="28.8" x14ac:dyDescent="0.3">
      <c r="A455" s="38" t="s">
        <v>2181</v>
      </c>
      <c r="B455" s="38" t="s">
        <v>2180</v>
      </c>
      <c r="C455" s="38" t="s">
        <v>267</v>
      </c>
      <c r="D455" s="38" t="s">
        <v>245</v>
      </c>
      <c r="E455" s="38" t="s">
        <v>243</v>
      </c>
      <c r="F455" s="38"/>
      <c r="G455" s="38" t="s">
        <v>2180</v>
      </c>
      <c r="H455" s="38" t="s">
        <v>268</v>
      </c>
      <c r="I455" s="38" t="s">
        <v>277</v>
      </c>
      <c r="J455" s="38" t="s">
        <v>2679</v>
      </c>
    </row>
    <row r="456" spans="1:10" ht="28.8" x14ac:dyDescent="0.3">
      <c r="A456" s="37" t="s">
        <v>2181</v>
      </c>
      <c r="B456" s="37" t="s">
        <v>2180</v>
      </c>
      <c r="C456" s="37" t="s">
        <v>243</v>
      </c>
      <c r="D456" s="37" t="s">
        <v>245</v>
      </c>
      <c r="E456" s="37" t="s">
        <v>243</v>
      </c>
      <c r="F456" s="37"/>
      <c r="G456" s="37" t="s">
        <v>2180</v>
      </c>
      <c r="H456" s="37" t="s">
        <v>242</v>
      </c>
      <c r="I456" s="37" t="s">
        <v>316</v>
      </c>
      <c r="J456" s="37" t="s">
        <v>2679</v>
      </c>
    </row>
    <row r="457" spans="1:10" ht="28.8" x14ac:dyDescent="0.3">
      <c r="A457" s="38" t="s">
        <v>2181</v>
      </c>
      <c r="B457" s="38" t="s">
        <v>2180</v>
      </c>
      <c r="C457" s="38" t="s">
        <v>346</v>
      </c>
      <c r="D457" s="38" t="s">
        <v>245</v>
      </c>
      <c r="E457" s="38" t="s">
        <v>243</v>
      </c>
      <c r="F457" s="38"/>
      <c r="G457" s="38" t="s">
        <v>2180</v>
      </c>
      <c r="H457" s="38" t="s">
        <v>242</v>
      </c>
      <c r="I457" s="38" t="s">
        <v>356</v>
      </c>
      <c r="J457" s="38" t="s">
        <v>2679</v>
      </c>
    </row>
    <row r="458" spans="1:10" ht="43.2" x14ac:dyDescent="0.3">
      <c r="A458" s="37" t="s">
        <v>2185</v>
      </c>
      <c r="B458" s="37" t="s">
        <v>2183</v>
      </c>
      <c r="C458" s="37" t="s">
        <v>267</v>
      </c>
      <c r="D458" s="37" t="s">
        <v>245</v>
      </c>
      <c r="E458" s="37" t="s">
        <v>243</v>
      </c>
      <c r="F458" s="37"/>
      <c r="G458" s="37" t="s">
        <v>2183</v>
      </c>
      <c r="H458" s="37" t="s">
        <v>268</v>
      </c>
      <c r="I458" s="37" t="s">
        <v>277</v>
      </c>
      <c r="J458" s="37" t="s">
        <v>2679</v>
      </c>
    </row>
    <row r="459" spans="1:10" ht="43.2" x14ac:dyDescent="0.3">
      <c r="A459" s="38" t="s">
        <v>2185</v>
      </c>
      <c r="B459" s="38" t="s">
        <v>2183</v>
      </c>
      <c r="C459" s="38" t="s">
        <v>243</v>
      </c>
      <c r="D459" s="38" t="s">
        <v>245</v>
      </c>
      <c r="E459" s="38" t="s">
        <v>243</v>
      </c>
      <c r="F459" s="38"/>
      <c r="G459" s="38" t="s">
        <v>2183</v>
      </c>
      <c r="H459" s="38" t="s">
        <v>242</v>
      </c>
      <c r="I459" s="38" t="s">
        <v>316</v>
      </c>
      <c r="J459" s="38" t="s">
        <v>2679</v>
      </c>
    </row>
    <row r="460" spans="1:10" ht="43.2" x14ac:dyDescent="0.3">
      <c r="A460" s="37" t="s">
        <v>2185</v>
      </c>
      <c r="B460" s="37" t="s">
        <v>2183</v>
      </c>
      <c r="C460" s="37" t="s">
        <v>346</v>
      </c>
      <c r="D460" s="37" t="s">
        <v>245</v>
      </c>
      <c r="E460" s="37" t="s">
        <v>243</v>
      </c>
      <c r="F460" s="37"/>
      <c r="G460" s="37" t="s">
        <v>2183</v>
      </c>
      <c r="H460" s="37" t="s">
        <v>242</v>
      </c>
      <c r="I460" s="37" t="s">
        <v>356</v>
      </c>
      <c r="J460" s="37" t="s">
        <v>2679</v>
      </c>
    </row>
    <row r="461" spans="1:10" ht="28.8" x14ac:dyDescent="0.3">
      <c r="A461" s="38" t="s">
        <v>2188</v>
      </c>
      <c r="B461" s="38" t="s">
        <v>2187</v>
      </c>
      <c r="C461" s="38" t="s">
        <v>267</v>
      </c>
      <c r="D461" s="38" t="s">
        <v>245</v>
      </c>
      <c r="E461" s="38" t="s">
        <v>243</v>
      </c>
      <c r="F461" s="38"/>
      <c r="G461" s="38" t="s">
        <v>2187</v>
      </c>
      <c r="H461" s="38" t="s">
        <v>268</v>
      </c>
      <c r="I461" s="38" t="s">
        <v>277</v>
      </c>
      <c r="J461" s="38" t="s">
        <v>2679</v>
      </c>
    </row>
    <row r="462" spans="1:10" ht="28.8" x14ac:dyDescent="0.3">
      <c r="A462" s="37" t="s">
        <v>2188</v>
      </c>
      <c r="B462" s="37" t="s">
        <v>2187</v>
      </c>
      <c r="C462" s="37" t="s">
        <v>243</v>
      </c>
      <c r="D462" s="37" t="s">
        <v>245</v>
      </c>
      <c r="E462" s="37" t="s">
        <v>243</v>
      </c>
      <c r="F462" s="37"/>
      <c r="G462" s="37" t="s">
        <v>2187</v>
      </c>
      <c r="H462" s="37" t="s">
        <v>242</v>
      </c>
      <c r="I462" s="37" t="s">
        <v>316</v>
      </c>
      <c r="J462" s="37" t="s">
        <v>2679</v>
      </c>
    </row>
    <row r="463" spans="1:10" ht="28.8" x14ac:dyDescent="0.3">
      <c r="A463" s="38" t="s">
        <v>2188</v>
      </c>
      <c r="B463" s="38" t="s">
        <v>2187</v>
      </c>
      <c r="C463" s="38" t="s">
        <v>346</v>
      </c>
      <c r="D463" s="38" t="s">
        <v>245</v>
      </c>
      <c r="E463" s="38" t="s">
        <v>243</v>
      </c>
      <c r="F463" s="38"/>
      <c r="G463" s="38" t="s">
        <v>2187</v>
      </c>
      <c r="H463" s="38" t="s">
        <v>242</v>
      </c>
      <c r="I463" s="38" t="s">
        <v>356</v>
      </c>
      <c r="J463" s="38" t="s">
        <v>2679</v>
      </c>
    </row>
    <row r="464" spans="1:10" ht="28.8" x14ac:dyDescent="0.3">
      <c r="A464" s="37" t="s">
        <v>2191</v>
      </c>
      <c r="B464" s="37" t="s">
        <v>2190</v>
      </c>
      <c r="C464" s="37" t="s">
        <v>267</v>
      </c>
      <c r="D464" s="37" t="s">
        <v>245</v>
      </c>
      <c r="E464" s="37" t="s">
        <v>243</v>
      </c>
      <c r="F464" s="37"/>
      <c r="G464" s="37" t="s">
        <v>2190</v>
      </c>
      <c r="H464" s="37" t="s">
        <v>268</v>
      </c>
      <c r="I464" s="37" t="s">
        <v>277</v>
      </c>
      <c r="J464" s="37" t="s">
        <v>2679</v>
      </c>
    </row>
    <row r="465" spans="1:10" ht="28.8" x14ac:dyDescent="0.3">
      <c r="A465" s="38" t="s">
        <v>2191</v>
      </c>
      <c r="B465" s="38" t="s">
        <v>2190</v>
      </c>
      <c r="C465" s="38" t="s">
        <v>243</v>
      </c>
      <c r="D465" s="38" t="s">
        <v>245</v>
      </c>
      <c r="E465" s="38" t="s">
        <v>243</v>
      </c>
      <c r="F465" s="38"/>
      <c r="G465" s="38" t="s">
        <v>2190</v>
      </c>
      <c r="H465" s="38" t="s">
        <v>242</v>
      </c>
      <c r="I465" s="38" t="s">
        <v>316</v>
      </c>
      <c r="J465" s="38" t="s">
        <v>2679</v>
      </c>
    </row>
    <row r="466" spans="1:10" ht="28.8" x14ac:dyDescent="0.3">
      <c r="A466" s="37" t="s">
        <v>2191</v>
      </c>
      <c r="B466" s="37" t="s">
        <v>2190</v>
      </c>
      <c r="C466" s="37" t="s">
        <v>346</v>
      </c>
      <c r="D466" s="37" t="s">
        <v>245</v>
      </c>
      <c r="E466" s="37" t="s">
        <v>243</v>
      </c>
      <c r="F466" s="37"/>
      <c r="G466" s="37" t="s">
        <v>2190</v>
      </c>
      <c r="H466" s="37" t="s">
        <v>242</v>
      </c>
      <c r="I466" s="37" t="s">
        <v>356</v>
      </c>
      <c r="J466" s="37" t="s">
        <v>2679</v>
      </c>
    </row>
    <row r="467" spans="1:10" ht="28.8" x14ac:dyDescent="0.3">
      <c r="A467" s="38" t="s">
        <v>2213</v>
      </c>
      <c r="B467" s="38" t="s">
        <v>2212</v>
      </c>
      <c r="C467" s="38" t="s">
        <v>267</v>
      </c>
      <c r="D467" s="38" t="s">
        <v>245</v>
      </c>
      <c r="E467" s="38" t="s">
        <v>243</v>
      </c>
      <c r="F467" s="38"/>
      <c r="G467" s="38" t="s">
        <v>2212</v>
      </c>
      <c r="H467" s="38" t="s">
        <v>268</v>
      </c>
      <c r="I467" s="38" t="s">
        <v>277</v>
      </c>
      <c r="J467" s="38" t="s">
        <v>2679</v>
      </c>
    </row>
    <row r="468" spans="1:10" ht="28.8" x14ac:dyDescent="0.3">
      <c r="A468" s="37" t="s">
        <v>2213</v>
      </c>
      <c r="B468" s="37" t="s">
        <v>2212</v>
      </c>
      <c r="C468" s="37" t="s">
        <v>243</v>
      </c>
      <c r="D468" s="37" t="s">
        <v>245</v>
      </c>
      <c r="E468" s="37" t="s">
        <v>243</v>
      </c>
      <c r="F468" s="37"/>
      <c r="G468" s="37" t="s">
        <v>2212</v>
      </c>
      <c r="H468" s="37" t="s">
        <v>242</v>
      </c>
      <c r="I468" s="37" t="s">
        <v>316</v>
      </c>
      <c r="J468" s="37" t="s">
        <v>2679</v>
      </c>
    </row>
    <row r="469" spans="1:10" ht="28.8" x14ac:dyDescent="0.3">
      <c r="A469" s="38" t="s">
        <v>2213</v>
      </c>
      <c r="B469" s="38" t="s">
        <v>2212</v>
      </c>
      <c r="C469" s="38" t="s">
        <v>346</v>
      </c>
      <c r="D469" s="38" t="s">
        <v>245</v>
      </c>
      <c r="E469" s="38" t="s">
        <v>243</v>
      </c>
      <c r="F469" s="38"/>
      <c r="G469" s="38" t="s">
        <v>2212</v>
      </c>
      <c r="H469" s="38" t="s">
        <v>242</v>
      </c>
      <c r="I469" s="38" t="s">
        <v>356</v>
      </c>
      <c r="J469" s="38" t="s">
        <v>2679</v>
      </c>
    </row>
    <row r="470" spans="1:10" ht="28.8" x14ac:dyDescent="0.3">
      <c r="A470" s="37" t="s">
        <v>2216</v>
      </c>
      <c r="B470" s="37" t="s">
        <v>2215</v>
      </c>
      <c r="C470" s="37" t="s">
        <v>267</v>
      </c>
      <c r="D470" s="37" t="s">
        <v>245</v>
      </c>
      <c r="E470" s="37" t="s">
        <v>243</v>
      </c>
      <c r="F470" s="37"/>
      <c r="G470" s="37" t="s">
        <v>2215</v>
      </c>
      <c r="H470" s="37" t="s">
        <v>268</v>
      </c>
      <c r="I470" s="37" t="s">
        <v>277</v>
      </c>
      <c r="J470" s="37" t="s">
        <v>2679</v>
      </c>
    </row>
    <row r="471" spans="1:10" ht="28.8" x14ac:dyDescent="0.3">
      <c r="A471" s="38" t="s">
        <v>2216</v>
      </c>
      <c r="B471" s="38" t="s">
        <v>2215</v>
      </c>
      <c r="C471" s="38" t="s">
        <v>243</v>
      </c>
      <c r="D471" s="38" t="s">
        <v>245</v>
      </c>
      <c r="E471" s="38" t="s">
        <v>243</v>
      </c>
      <c r="F471" s="38"/>
      <c r="G471" s="38" t="s">
        <v>2215</v>
      </c>
      <c r="H471" s="38" t="s">
        <v>242</v>
      </c>
      <c r="I471" s="38" t="s">
        <v>316</v>
      </c>
      <c r="J471" s="38" t="s">
        <v>2679</v>
      </c>
    </row>
    <row r="472" spans="1:10" ht="28.8" x14ac:dyDescent="0.3">
      <c r="A472" s="37" t="s">
        <v>2216</v>
      </c>
      <c r="B472" s="37" t="s">
        <v>2215</v>
      </c>
      <c r="C472" s="37" t="s">
        <v>346</v>
      </c>
      <c r="D472" s="37" t="s">
        <v>245</v>
      </c>
      <c r="E472" s="37" t="s">
        <v>243</v>
      </c>
      <c r="F472" s="37"/>
      <c r="G472" s="37" t="s">
        <v>2215</v>
      </c>
      <c r="H472" s="37" t="s">
        <v>242</v>
      </c>
      <c r="I472" s="37" t="s">
        <v>356</v>
      </c>
      <c r="J472" s="37" t="s">
        <v>2679</v>
      </c>
    </row>
  </sheetData>
  <autoFilter ref="A1:J472" xr:uid="{00000000-0009-0000-0000-000026000000}"/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J364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40" customWidth="1"/>
    <col min="3" max="3" width="10" customWidth="1"/>
    <col min="4" max="4" width="20" customWidth="1"/>
    <col min="5" max="5" width="27" customWidth="1"/>
    <col min="6" max="6" width="21" customWidth="1"/>
    <col min="7" max="7" width="40" customWidth="1"/>
    <col min="8" max="8" width="21" customWidth="1"/>
    <col min="9" max="9" width="15" customWidth="1"/>
    <col min="10" max="10" width="40" customWidth="1"/>
  </cols>
  <sheetData>
    <row r="1" spans="1:10" x14ac:dyDescent="0.3">
      <c r="A1" s="36" t="s">
        <v>344</v>
      </c>
      <c r="B1" s="36" t="s">
        <v>485</v>
      </c>
      <c r="C1" s="36" t="s">
        <v>883</v>
      </c>
      <c r="D1" s="36" t="s">
        <v>929</v>
      </c>
      <c r="E1" s="36" t="s">
        <v>930</v>
      </c>
      <c r="F1" s="36" t="s">
        <v>931</v>
      </c>
      <c r="G1" s="36" t="s">
        <v>932</v>
      </c>
      <c r="H1" s="36" t="s">
        <v>918</v>
      </c>
      <c r="I1" s="36" t="s">
        <v>933</v>
      </c>
      <c r="J1" s="36" t="s">
        <v>116</v>
      </c>
    </row>
    <row r="2" spans="1:10" ht="28.8" x14ac:dyDescent="0.3">
      <c r="A2" s="37" t="s">
        <v>1043</v>
      </c>
      <c r="B2" s="37" t="s">
        <v>1040</v>
      </c>
      <c r="C2" s="37" t="s">
        <v>267</v>
      </c>
      <c r="D2" s="37" t="s">
        <v>536</v>
      </c>
      <c r="E2" s="55"/>
      <c r="F2" s="55">
        <v>1</v>
      </c>
      <c r="G2" s="37" t="s">
        <v>1040</v>
      </c>
      <c r="H2" s="37" t="s">
        <v>242</v>
      </c>
      <c r="I2" s="37" t="s">
        <v>267</v>
      </c>
      <c r="J2" s="37" t="s">
        <v>2680</v>
      </c>
    </row>
    <row r="3" spans="1:10" ht="28.8" x14ac:dyDescent="0.3">
      <c r="A3" s="38" t="s">
        <v>1043</v>
      </c>
      <c r="B3" s="38" t="s">
        <v>1040</v>
      </c>
      <c r="C3" s="38" t="s">
        <v>243</v>
      </c>
      <c r="D3" s="38" t="s">
        <v>536</v>
      </c>
      <c r="E3" s="56"/>
      <c r="F3" s="56">
        <v>1</v>
      </c>
      <c r="G3" s="38" t="s">
        <v>1040</v>
      </c>
      <c r="H3" s="38" t="s">
        <v>242</v>
      </c>
      <c r="I3" s="38" t="s">
        <v>243</v>
      </c>
      <c r="J3" s="38" t="s">
        <v>2680</v>
      </c>
    </row>
    <row r="4" spans="1:10" ht="28.8" x14ac:dyDescent="0.3">
      <c r="A4" s="37" t="s">
        <v>1043</v>
      </c>
      <c r="B4" s="37" t="s">
        <v>1040</v>
      </c>
      <c r="C4" s="37" t="s">
        <v>346</v>
      </c>
      <c r="D4" s="37" t="s">
        <v>536</v>
      </c>
      <c r="E4" s="55"/>
      <c r="F4" s="55">
        <v>1</v>
      </c>
      <c r="G4" s="37" t="s">
        <v>1040</v>
      </c>
      <c r="H4" s="37" t="s">
        <v>242</v>
      </c>
      <c r="I4" s="37" t="s">
        <v>346</v>
      </c>
      <c r="J4" s="37" t="s">
        <v>2680</v>
      </c>
    </row>
    <row r="5" spans="1:10" ht="43.2" x14ac:dyDescent="0.3">
      <c r="A5" s="38" t="s">
        <v>1050</v>
      </c>
      <c r="B5" s="38" t="s">
        <v>1045</v>
      </c>
      <c r="C5" s="38" t="s">
        <v>267</v>
      </c>
      <c r="D5" s="38" t="s">
        <v>540</v>
      </c>
      <c r="E5" s="56"/>
      <c r="F5" s="56">
        <v>1</v>
      </c>
      <c r="G5" s="38" t="s">
        <v>1045</v>
      </c>
      <c r="H5" s="38" t="s">
        <v>242</v>
      </c>
      <c r="I5" s="38" t="s">
        <v>267</v>
      </c>
      <c r="J5" s="38" t="s">
        <v>2680</v>
      </c>
    </row>
    <row r="6" spans="1:10" ht="43.2" x14ac:dyDescent="0.3">
      <c r="A6" s="37" t="s">
        <v>1050</v>
      </c>
      <c r="B6" s="37" t="s">
        <v>1045</v>
      </c>
      <c r="C6" s="37" t="s">
        <v>243</v>
      </c>
      <c r="D6" s="37" t="s">
        <v>540</v>
      </c>
      <c r="E6" s="55"/>
      <c r="F6" s="55">
        <v>1</v>
      </c>
      <c r="G6" s="37" t="s">
        <v>1045</v>
      </c>
      <c r="H6" s="37" t="s">
        <v>242</v>
      </c>
      <c r="I6" s="37" t="s">
        <v>243</v>
      </c>
      <c r="J6" s="37" t="s">
        <v>2680</v>
      </c>
    </row>
    <row r="7" spans="1:10" ht="43.2" x14ac:dyDescent="0.3">
      <c r="A7" s="38" t="s">
        <v>1050</v>
      </c>
      <c r="B7" s="38" t="s">
        <v>1045</v>
      </c>
      <c r="C7" s="38" t="s">
        <v>346</v>
      </c>
      <c r="D7" s="38" t="s">
        <v>540</v>
      </c>
      <c r="E7" s="56"/>
      <c r="F7" s="56">
        <v>1</v>
      </c>
      <c r="G7" s="38" t="s">
        <v>1045</v>
      </c>
      <c r="H7" s="38" t="s">
        <v>242</v>
      </c>
      <c r="I7" s="38" t="s">
        <v>346</v>
      </c>
      <c r="J7" s="38" t="s">
        <v>2680</v>
      </c>
    </row>
    <row r="8" spans="1:10" ht="28.8" x14ac:dyDescent="0.3">
      <c r="A8" s="37" t="s">
        <v>1057</v>
      </c>
      <c r="B8" s="37" t="s">
        <v>1052</v>
      </c>
      <c r="C8" s="37" t="s">
        <v>267</v>
      </c>
      <c r="D8" s="37" t="s">
        <v>543</v>
      </c>
      <c r="E8" s="55"/>
      <c r="F8" s="55">
        <v>1</v>
      </c>
      <c r="G8" s="37" t="s">
        <v>1052</v>
      </c>
      <c r="H8" s="37" t="s">
        <v>242</v>
      </c>
      <c r="I8" s="37" t="s">
        <v>267</v>
      </c>
      <c r="J8" s="37" t="s">
        <v>2680</v>
      </c>
    </row>
    <row r="9" spans="1:10" ht="28.8" x14ac:dyDescent="0.3">
      <c r="A9" s="38" t="s">
        <v>1057</v>
      </c>
      <c r="B9" s="38" t="s">
        <v>1052</v>
      </c>
      <c r="C9" s="38" t="s">
        <v>243</v>
      </c>
      <c r="D9" s="38" t="s">
        <v>543</v>
      </c>
      <c r="E9" s="56"/>
      <c r="F9" s="56">
        <v>1</v>
      </c>
      <c r="G9" s="38" t="s">
        <v>1052</v>
      </c>
      <c r="H9" s="38" t="s">
        <v>242</v>
      </c>
      <c r="I9" s="38" t="s">
        <v>243</v>
      </c>
      <c r="J9" s="38" t="s">
        <v>2680</v>
      </c>
    </row>
    <row r="10" spans="1:10" ht="28.8" x14ac:dyDescent="0.3">
      <c r="A10" s="37" t="s">
        <v>1057</v>
      </c>
      <c r="B10" s="37" t="s">
        <v>1052</v>
      </c>
      <c r="C10" s="37" t="s">
        <v>346</v>
      </c>
      <c r="D10" s="37" t="s">
        <v>543</v>
      </c>
      <c r="E10" s="55"/>
      <c r="F10" s="55">
        <v>1</v>
      </c>
      <c r="G10" s="37" t="s">
        <v>1052</v>
      </c>
      <c r="H10" s="37" t="s">
        <v>242</v>
      </c>
      <c r="I10" s="37" t="s">
        <v>346</v>
      </c>
      <c r="J10" s="37" t="s">
        <v>2680</v>
      </c>
    </row>
    <row r="11" spans="1:10" ht="28.8" x14ac:dyDescent="0.3">
      <c r="A11" s="38" t="s">
        <v>1105</v>
      </c>
      <c r="B11" s="38" t="s">
        <v>1102</v>
      </c>
      <c r="C11" s="38" t="s">
        <v>267</v>
      </c>
      <c r="D11" s="38" t="s">
        <v>545</v>
      </c>
      <c r="E11" s="56"/>
      <c r="F11" s="56">
        <v>1</v>
      </c>
      <c r="G11" s="38" t="s">
        <v>1102</v>
      </c>
      <c r="H11" s="38" t="s">
        <v>242</v>
      </c>
      <c r="I11" s="38" t="s">
        <v>267</v>
      </c>
      <c r="J11" s="38" t="s">
        <v>2680</v>
      </c>
    </row>
    <row r="12" spans="1:10" ht="28.8" x14ac:dyDescent="0.3">
      <c r="A12" s="37" t="s">
        <v>1105</v>
      </c>
      <c r="B12" s="37" t="s">
        <v>1102</v>
      </c>
      <c r="C12" s="37" t="s">
        <v>243</v>
      </c>
      <c r="D12" s="37" t="s">
        <v>545</v>
      </c>
      <c r="E12" s="55"/>
      <c r="F12" s="55">
        <v>1</v>
      </c>
      <c r="G12" s="37" t="s">
        <v>1102</v>
      </c>
      <c r="H12" s="37" t="s">
        <v>242</v>
      </c>
      <c r="I12" s="37" t="s">
        <v>243</v>
      </c>
      <c r="J12" s="37" t="s">
        <v>2680</v>
      </c>
    </row>
    <row r="13" spans="1:10" ht="28.8" x14ac:dyDescent="0.3">
      <c r="A13" s="38" t="s">
        <v>1105</v>
      </c>
      <c r="B13" s="38" t="s">
        <v>1102</v>
      </c>
      <c r="C13" s="38" t="s">
        <v>346</v>
      </c>
      <c r="D13" s="38" t="s">
        <v>545</v>
      </c>
      <c r="E13" s="56"/>
      <c r="F13" s="56">
        <v>1</v>
      </c>
      <c r="G13" s="38" t="s">
        <v>1102</v>
      </c>
      <c r="H13" s="38" t="s">
        <v>242</v>
      </c>
      <c r="I13" s="38" t="s">
        <v>346</v>
      </c>
      <c r="J13" s="38" t="s">
        <v>2680</v>
      </c>
    </row>
    <row r="14" spans="1:10" ht="28.8" x14ac:dyDescent="0.3">
      <c r="A14" s="37" t="s">
        <v>1109</v>
      </c>
      <c r="B14" s="37" t="s">
        <v>1107</v>
      </c>
      <c r="C14" s="37" t="s">
        <v>267</v>
      </c>
      <c r="D14" s="37" t="s">
        <v>547</v>
      </c>
      <c r="E14" s="55"/>
      <c r="F14" s="55">
        <v>1</v>
      </c>
      <c r="G14" s="37" t="s">
        <v>1107</v>
      </c>
      <c r="H14" s="37" t="s">
        <v>242</v>
      </c>
      <c r="I14" s="37" t="s">
        <v>267</v>
      </c>
      <c r="J14" s="37" t="s">
        <v>2680</v>
      </c>
    </row>
    <row r="15" spans="1:10" ht="28.8" x14ac:dyDescent="0.3">
      <c r="A15" s="38" t="s">
        <v>1109</v>
      </c>
      <c r="B15" s="38" t="s">
        <v>1107</v>
      </c>
      <c r="C15" s="38" t="s">
        <v>243</v>
      </c>
      <c r="D15" s="38" t="s">
        <v>547</v>
      </c>
      <c r="E15" s="56"/>
      <c r="F15" s="56">
        <v>1</v>
      </c>
      <c r="G15" s="38" t="s">
        <v>1107</v>
      </c>
      <c r="H15" s="38" t="s">
        <v>242</v>
      </c>
      <c r="I15" s="38" t="s">
        <v>243</v>
      </c>
      <c r="J15" s="38" t="s">
        <v>2680</v>
      </c>
    </row>
    <row r="16" spans="1:10" ht="28.8" x14ac:dyDescent="0.3">
      <c r="A16" s="37" t="s">
        <v>1109</v>
      </c>
      <c r="B16" s="37" t="s">
        <v>1107</v>
      </c>
      <c r="C16" s="37" t="s">
        <v>346</v>
      </c>
      <c r="D16" s="37" t="s">
        <v>547</v>
      </c>
      <c r="E16" s="55"/>
      <c r="F16" s="55">
        <v>1</v>
      </c>
      <c r="G16" s="37" t="s">
        <v>1107</v>
      </c>
      <c r="H16" s="37" t="s">
        <v>242</v>
      </c>
      <c r="I16" s="37" t="s">
        <v>346</v>
      </c>
      <c r="J16" s="37" t="s">
        <v>2680</v>
      </c>
    </row>
    <row r="17" spans="1:10" ht="28.8" x14ac:dyDescent="0.3">
      <c r="A17" s="38" t="s">
        <v>1121</v>
      </c>
      <c r="B17" s="38" t="s">
        <v>1116</v>
      </c>
      <c r="C17" s="38" t="s">
        <v>267</v>
      </c>
      <c r="D17" s="38" t="s">
        <v>549</v>
      </c>
      <c r="E17" s="56"/>
      <c r="F17" s="56">
        <v>1</v>
      </c>
      <c r="G17" s="38" t="s">
        <v>1116</v>
      </c>
      <c r="H17" s="38" t="s">
        <v>242</v>
      </c>
      <c r="I17" s="38" t="s">
        <v>267</v>
      </c>
      <c r="J17" s="38" t="s">
        <v>2680</v>
      </c>
    </row>
    <row r="18" spans="1:10" ht="28.8" x14ac:dyDescent="0.3">
      <c r="A18" s="37" t="s">
        <v>1121</v>
      </c>
      <c r="B18" s="37" t="s">
        <v>1116</v>
      </c>
      <c r="C18" s="37" t="s">
        <v>243</v>
      </c>
      <c r="D18" s="37" t="s">
        <v>549</v>
      </c>
      <c r="E18" s="55"/>
      <c r="F18" s="55">
        <v>1</v>
      </c>
      <c r="G18" s="37" t="s">
        <v>1116</v>
      </c>
      <c r="H18" s="37" t="s">
        <v>242</v>
      </c>
      <c r="I18" s="37" t="s">
        <v>243</v>
      </c>
      <c r="J18" s="37" t="s">
        <v>2680</v>
      </c>
    </row>
    <row r="19" spans="1:10" ht="28.8" x14ac:dyDescent="0.3">
      <c r="A19" s="38" t="s">
        <v>1121</v>
      </c>
      <c r="B19" s="38" t="s">
        <v>1116</v>
      </c>
      <c r="C19" s="38" t="s">
        <v>346</v>
      </c>
      <c r="D19" s="38" t="s">
        <v>549</v>
      </c>
      <c r="E19" s="56"/>
      <c r="F19" s="56">
        <v>1</v>
      </c>
      <c r="G19" s="38" t="s">
        <v>1116</v>
      </c>
      <c r="H19" s="38" t="s">
        <v>242</v>
      </c>
      <c r="I19" s="38" t="s">
        <v>346</v>
      </c>
      <c r="J19" s="38" t="s">
        <v>2680</v>
      </c>
    </row>
    <row r="20" spans="1:10" ht="28.8" x14ac:dyDescent="0.3">
      <c r="A20" s="37" t="s">
        <v>1131</v>
      </c>
      <c r="B20" s="37" t="s">
        <v>1128</v>
      </c>
      <c r="C20" s="37" t="s">
        <v>267</v>
      </c>
      <c r="D20" s="37" t="s">
        <v>551</v>
      </c>
      <c r="E20" s="55"/>
      <c r="F20" s="55">
        <v>1</v>
      </c>
      <c r="G20" s="37" t="s">
        <v>1128</v>
      </c>
      <c r="H20" s="37" t="s">
        <v>242</v>
      </c>
      <c r="I20" s="37" t="s">
        <v>267</v>
      </c>
      <c r="J20" s="37" t="s">
        <v>2680</v>
      </c>
    </row>
    <row r="21" spans="1:10" ht="28.8" x14ac:dyDescent="0.3">
      <c r="A21" s="38" t="s">
        <v>1131</v>
      </c>
      <c r="B21" s="38" t="s">
        <v>1128</v>
      </c>
      <c r="C21" s="38" t="s">
        <v>243</v>
      </c>
      <c r="D21" s="38" t="s">
        <v>551</v>
      </c>
      <c r="E21" s="56"/>
      <c r="F21" s="56">
        <v>1</v>
      </c>
      <c r="G21" s="38" t="s">
        <v>1128</v>
      </c>
      <c r="H21" s="38" t="s">
        <v>242</v>
      </c>
      <c r="I21" s="38" t="s">
        <v>243</v>
      </c>
      <c r="J21" s="38" t="s">
        <v>2680</v>
      </c>
    </row>
    <row r="22" spans="1:10" ht="28.8" x14ac:dyDescent="0.3">
      <c r="A22" s="37" t="s">
        <v>1131</v>
      </c>
      <c r="B22" s="37" t="s">
        <v>1128</v>
      </c>
      <c r="C22" s="37" t="s">
        <v>346</v>
      </c>
      <c r="D22" s="37" t="s">
        <v>551</v>
      </c>
      <c r="E22" s="55"/>
      <c r="F22" s="55">
        <v>1</v>
      </c>
      <c r="G22" s="37" t="s">
        <v>1128</v>
      </c>
      <c r="H22" s="37" t="s">
        <v>242</v>
      </c>
      <c r="I22" s="37" t="s">
        <v>346</v>
      </c>
      <c r="J22" s="37" t="s">
        <v>2680</v>
      </c>
    </row>
    <row r="23" spans="1:10" ht="28.8" x14ac:dyDescent="0.3">
      <c r="A23" s="38" t="s">
        <v>1136</v>
      </c>
      <c r="B23" s="38" t="s">
        <v>1133</v>
      </c>
      <c r="C23" s="38" t="s">
        <v>267</v>
      </c>
      <c r="D23" s="38" t="s">
        <v>553</v>
      </c>
      <c r="E23" s="56"/>
      <c r="F23" s="56">
        <v>1</v>
      </c>
      <c r="G23" s="38" t="s">
        <v>1133</v>
      </c>
      <c r="H23" s="38" t="s">
        <v>242</v>
      </c>
      <c r="I23" s="38" t="s">
        <v>267</v>
      </c>
      <c r="J23" s="38" t="s">
        <v>2680</v>
      </c>
    </row>
    <row r="24" spans="1:10" ht="28.8" x14ac:dyDescent="0.3">
      <c r="A24" s="37" t="s">
        <v>1136</v>
      </c>
      <c r="B24" s="37" t="s">
        <v>1133</v>
      </c>
      <c r="C24" s="37" t="s">
        <v>243</v>
      </c>
      <c r="D24" s="37" t="s">
        <v>553</v>
      </c>
      <c r="E24" s="55"/>
      <c r="F24" s="55">
        <v>1</v>
      </c>
      <c r="G24" s="37" t="s">
        <v>1133</v>
      </c>
      <c r="H24" s="37" t="s">
        <v>242</v>
      </c>
      <c r="I24" s="37" t="s">
        <v>243</v>
      </c>
      <c r="J24" s="37" t="s">
        <v>2680</v>
      </c>
    </row>
    <row r="25" spans="1:10" ht="28.8" x14ac:dyDescent="0.3">
      <c r="A25" s="38" t="s">
        <v>1136</v>
      </c>
      <c r="B25" s="38" t="s">
        <v>1133</v>
      </c>
      <c r="C25" s="38" t="s">
        <v>346</v>
      </c>
      <c r="D25" s="38" t="s">
        <v>553</v>
      </c>
      <c r="E25" s="56"/>
      <c r="F25" s="56">
        <v>1</v>
      </c>
      <c r="G25" s="38" t="s">
        <v>1133</v>
      </c>
      <c r="H25" s="38" t="s">
        <v>242</v>
      </c>
      <c r="I25" s="38" t="s">
        <v>346</v>
      </c>
      <c r="J25" s="38" t="s">
        <v>2680</v>
      </c>
    </row>
    <row r="26" spans="1:10" ht="28.8" x14ac:dyDescent="0.3">
      <c r="A26" s="37" t="s">
        <v>1140</v>
      </c>
      <c r="B26" s="37" t="s">
        <v>1138</v>
      </c>
      <c r="C26" s="37" t="s">
        <v>267</v>
      </c>
      <c r="D26" s="37" t="s">
        <v>1141</v>
      </c>
      <c r="E26" s="55"/>
      <c r="F26" s="55">
        <v>1</v>
      </c>
      <c r="G26" s="37" t="s">
        <v>1138</v>
      </c>
      <c r="H26" s="37" t="s">
        <v>242</v>
      </c>
      <c r="I26" s="37" t="s">
        <v>267</v>
      </c>
      <c r="J26" s="37" t="s">
        <v>2680</v>
      </c>
    </row>
    <row r="27" spans="1:10" ht="28.8" x14ac:dyDescent="0.3">
      <c r="A27" s="38" t="s">
        <v>1140</v>
      </c>
      <c r="B27" s="38" t="s">
        <v>1138</v>
      </c>
      <c r="C27" s="38" t="s">
        <v>243</v>
      </c>
      <c r="D27" s="38" t="s">
        <v>1141</v>
      </c>
      <c r="E27" s="56"/>
      <c r="F27" s="56">
        <v>1</v>
      </c>
      <c r="G27" s="38" t="s">
        <v>1138</v>
      </c>
      <c r="H27" s="38" t="s">
        <v>242</v>
      </c>
      <c r="I27" s="38" t="s">
        <v>243</v>
      </c>
      <c r="J27" s="38" t="s">
        <v>2680</v>
      </c>
    </row>
    <row r="28" spans="1:10" ht="28.8" x14ac:dyDescent="0.3">
      <c r="A28" s="37" t="s">
        <v>1140</v>
      </c>
      <c r="B28" s="37" t="s">
        <v>1138</v>
      </c>
      <c r="C28" s="37" t="s">
        <v>346</v>
      </c>
      <c r="D28" s="37" t="s">
        <v>1141</v>
      </c>
      <c r="E28" s="55"/>
      <c r="F28" s="55">
        <v>1</v>
      </c>
      <c r="G28" s="37" t="s">
        <v>1138</v>
      </c>
      <c r="H28" s="37" t="s">
        <v>242</v>
      </c>
      <c r="I28" s="37" t="s">
        <v>346</v>
      </c>
      <c r="J28" s="37" t="s">
        <v>2680</v>
      </c>
    </row>
    <row r="29" spans="1:10" ht="28.8" x14ac:dyDescent="0.3">
      <c r="A29" s="38" t="s">
        <v>1145</v>
      </c>
      <c r="B29" s="38" t="s">
        <v>1143</v>
      </c>
      <c r="C29" s="38" t="s">
        <v>267</v>
      </c>
      <c r="D29" s="38" t="s">
        <v>1146</v>
      </c>
      <c r="E29" s="56"/>
      <c r="F29" s="56">
        <v>1</v>
      </c>
      <c r="G29" s="38" t="s">
        <v>1143</v>
      </c>
      <c r="H29" s="38" t="s">
        <v>242</v>
      </c>
      <c r="I29" s="38" t="s">
        <v>267</v>
      </c>
      <c r="J29" s="38" t="s">
        <v>2680</v>
      </c>
    </row>
    <row r="30" spans="1:10" ht="28.8" x14ac:dyDescent="0.3">
      <c r="A30" s="37" t="s">
        <v>1145</v>
      </c>
      <c r="B30" s="37" t="s">
        <v>1143</v>
      </c>
      <c r="C30" s="37" t="s">
        <v>243</v>
      </c>
      <c r="D30" s="37" t="s">
        <v>1146</v>
      </c>
      <c r="E30" s="55"/>
      <c r="F30" s="55">
        <v>1</v>
      </c>
      <c r="G30" s="37" t="s">
        <v>1143</v>
      </c>
      <c r="H30" s="37" t="s">
        <v>242</v>
      </c>
      <c r="I30" s="37" t="s">
        <v>243</v>
      </c>
      <c r="J30" s="37" t="s">
        <v>2680</v>
      </c>
    </row>
    <row r="31" spans="1:10" ht="28.8" x14ac:dyDescent="0.3">
      <c r="A31" s="38" t="s">
        <v>1145</v>
      </c>
      <c r="B31" s="38" t="s">
        <v>1143</v>
      </c>
      <c r="C31" s="38" t="s">
        <v>346</v>
      </c>
      <c r="D31" s="38" t="s">
        <v>1146</v>
      </c>
      <c r="E31" s="56"/>
      <c r="F31" s="56">
        <v>1</v>
      </c>
      <c r="G31" s="38" t="s">
        <v>1143</v>
      </c>
      <c r="H31" s="38" t="s">
        <v>242</v>
      </c>
      <c r="I31" s="38" t="s">
        <v>346</v>
      </c>
      <c r="J31" s="38" t="s">
        <v>2680</v>
      </c>
    </row>
    <row r="32" spans="1:10" ht="28.8" x14ac:dyDescent="0.3">
      <c r="A32" s="37" t="s">
        <v>1151</v>
      </c>
      <c r="B32" s="37" t="s">
        <v>1148</v>
      </c>
      <c r="C32" s="37" t="s">
        <v>267</v>
      </c>
      <c r="D32" s="37" t="s">
        <v>1152</v>
      </c>
      <c r="E32" s="55"/>
      <c r="F32" s="55">
        <v>1</v>
      </c>
      <c r="G32" s="37" t="s">
        <v>1148</v>
      </c>
      <c r="H32" s="37" t="s">
        <v>242</v>
      </c>
      <c r="I32" s="37" t="s">
        <v>267</v>
      </c>
      <c r="J32" s="37" t="s">
        <v>2680</v>
      </c>
    </row>
    <row r="33" spans="1:10" ht="28.8" x14ac:dyDescent="0.3">
      <c r="A33" s="38" t="s">
        <v>1151</v>
      </c>
      <c r="B33" s="38" t="s">
        <v>1148</v>
      </c>
      <c r="C33" s="38" t="s">
        <v>243</v>
      </c>
      <c r="D33" s="38" t="s">
        <v>1152</v>
      </c>
      <c r="E33" s="56"/>
      <c r="F33" s="56">
        <v>1</v>
      </c>
      <c r="G33" s="38" t="s">
        <v>1148</v>
      </c>
      <c r="H33" s="38" t="s">
        <v>242</v>
      </c>
      <c r="I33" s="38" t="s">
        <v>243</v>
      </c>
      <c r="J33" s="38" t="s">
        <v>2680</v>
      </c>
    </row>
    <row r="34" spans="1:10" ht="28.8" x14ac:dyDescent="0.3">
      <c r="A34" s="37" t="s">
        <v>1151</v>
      </c>
      <c r="B34" s="37" t="s">
        <v>1148</v>
      </c>
      <c r="C34" s="37" t="s">
        <v>346</v>
      </c>
      <c r="D34" s="37" t="s">
        <v>1152</v>
      </c>
      <c r="E34" s="55"/>
      <c r="F34" s="55">
        <v>1</v>
      </c>
      <c r="G34" s="37" t="s">
        <v>1148</v>
      </c>
      <c r="H34" s="37" t="s">
        <v>242</v>
      </c>
      <c r="I34" s="37" t="s">
        <v>346</v>
      </c>
      <c r="J34" s="37" t="s">
        <v>2680</v>
      </c>
    </row>
    <row r="35" spans="1:10" ht="28.8" x14ac:dyDescent="0.3">
      <c r="A35" s="38" t="s">
        <v>1156</v>
      </c>
      <c r="B35" s="38" t="s">
        <v>1154</v>
      </c>
      <c r="C35" s="38" t="s">
        <v>267</v>
      </c>
      <c r="D35" s="38" t="s">
        <v>1157</v>
      </c>
      <c r="E35" s="56"/>
      <c r="F35" s="56">
        <v>1</v>
      </c>
      <c r="G35" s="38" t="s">
        <v>1154</v>
      </c>
      <c r="H35" s="38" t="s">
        <v>242</v>
      </c>
      <c r="I35" s="38" t="s">
        <v>267</v>
      </c>
      <c r="J35" s="38" t="s">
        <v>2680</v>
      </c>
    </row>
    <row r="36" spans="1:10" ht="28.8" x14ac:dyDescent="0.3">
      <c r="A36" s="37" t="s">
        <v>1156</v>
      </c>
      <c r="B36" s="37" t="s">
        <v>1154</v>
      </c>
      <c r="C36" s="37" t="s">
        <v>243</v>
      </c>
      <c r="D36" s="37" t="s">
        <v>1157</v>
      </c>
      <c r="E36" s="55"/>
      <c r="F36" s="55">
        <v>1</v>
      </c>
      <c r="G36" s="37" t="s">
        <v>1154</v>
      </c>
      <c r="H36" s="37" t="s">
        <v>242</v>
      </c>
      <c r="I36" s="37" t="s">
        <v>243</v>
      </c>
      <c r="J36" s="37" t="s">
        <v>2680</v>
      </c>
    </row>
    <row r="37" spans="1:10" ht="28.8" x14ac:dyDescent="0.3">
      <c r="A37" s="38" t="s">
        <v>1156</v>
      </c>
      <c r="B37" s="38" t="s">
        <v>1154</v>
      </c>
      <c r="C37" s="38" t="s">
        <v>346</v>
      </c>
      <c r="D37" s="38" t="s">
        <v>1157</v>
      </c>
      <c r="E37" s="56"/>
      <c r="F37" s="56">
        <v>1</v>
      </c>
      <c r="G37" s="38" t="s">
        <v>1154</v>
      </c>
      <c r="H37" s="38" t="s">
        <v>242</v>
      </c>
      <c r="I37" s="38" t="s">
        <v>346</v>
      </c>
      <c r="J37" s="38" t="s">
        <v>2680</v>
      </c>
    </row>
    <row r="38" spans="1:10" ht="28.8" x14ac:dyDescent="0.3">
      <c r="A38" s="37" t="s">
        <v>1161</v>
      </c>
      <c r="B38" s="37" t="s">
        <v>1159</v>
      </c>
      <c r="C38" s="37" t="s">
        <v>267</v>
      </c>
      <c r="D38" s="37" t="s">
        <v>1162</v>
      </c>
      <c r="E38" s="55"/>
      <c r="F38" s="55">
        <v>1</v>
      </c>
      <c r="G38" s="37" t="s">
        <v>1159</v>
      </c>
      <c r="H38" s="37" t="s">
        <v>242</v>
      </c>
      <c r="I38" s="37" t="s">
        <v>267</v>
      </c>
      <c r="J38" s="37" t="s">
        <v>2680</v>
      </c>
    </row>
    <row r="39" spans="1:10" ht="28.8" x14ac:dyDescent="0.3">
      <c r="A39" s="38" t="s">
        <v>1161</v>
      </c>
      <c r="B39" s="38" t="s">
        <v>1159</v>
      </c>
      <c r="C39" s="38" t="s">
        <v>243</v>
      </c>
      <c r="D39" s="38" t="s">
        <v>1162</v>
      </c>
      <c r="E39" s="56"/>
      <c r="F39" s="56">
        <v>1</v>
      </c>
      <c r="G39" s="38" t="s">
        <v>1159</v>
      </c>
      <c r="H39" s="38" t="s">
        <v>242</v>
      </c>
      <c r="I39" s="38" t="s">
        <v>243</v>
      </c>
      <c r="J39" s="38" t="s">
        <v>2680</v>
      </c>
    </row>
    <row r="40" spans="1:10" ht="28.8" x14ac:dyDescent="0.3">
      <c r="A40" s="37" t="s">
        <v>1161</v>
      </c>
      <c r="B40" s="37" t="s">
        <v>1159</v>
      </c>
      <c r="C40" s="37" t="s">
        <v>346</v>
      </c>
      <c r="D40" s="37" t="s">
        <v>1162</v>
      </c>
      <c r="E40" s="55"/>
      <c r="F40" s="55">
        <v>1</v>
      </c>
      <c r="G40" s="37" t="s">
        <v>1159</v>
      </c>
      <c r="H40" s="37" t="s">
        <v>242</v>
      </c>
      <c r="I40" s="37" t="s">
        <v>346</v>
      </c>
      <c r="J40" s="37" t="s">
        <v>2680</v>
      </c>
    </row>
    <row r="41" spans="1:10" ht="28.8" x14ac:dyDescent="0.3">
      <c r="A41" s="38" t="s">
        <v>1165</v>
      </c>
      <c r="B41" s="38" t="s">
        <v>1164</v>
      </c>
      <c r="C41" s="38" t="s">
        <v>267</v>
      </c>
      <c r="D41" s="38" t="s">
        <v>1166</v>
      </c>
      <c r="E41" s="56"/>
      <c r="F41" s="56">
        <v>1</v>
      </c>
      <c r="G41" s="38" t="s">
        <v>1164</v>
      </c>
      <c r="H41" s="38" t="s">
        <v>242</v>
      </c>
      <c r="I41" s="38" t="s">
        <v>267</v>
      </c>
      <c r="J41" s="38" t="s">
        <v>2680</v>
      </c>
    </row>
    <row r="42" spans="1:10" ht="28.8" x14ac:dyDescent="0.3">
      <c r="A42" s="37" t="s">
        <v>1165</v>
      </c>
      <c r="B42" s="37" t="s">
        <v>1164</v>
      </c>
      <c r="C42" s="37" t="s">
        <v>243</v>
      </c>
      <c r="D42" s="37" t="s">
        <v>1166</v>
      </c>
      <c r="E42" s="55"/>
      <c r="F42" s="55">
        <v>1</v>
      </c>
      <c r="G42" s="37" t="s">
        <v>1164</v>
      </c>
      <c r="H42" s="37" t="s">
        <v>242</v>
      </c>
      <c r="I42" s="37" t="s">
        <v>243</v>
      </c>
      <c r="J42" s="37" t="s">
        <v>2680</v>
      </c>
    </row>
    <row r="43" spans="1:10" ht="28.8" x14ac:dyDescent="0.3">
      <c r="A43" s="38" t="s">
        <v>1165</v>
      </c>
      <c r="B43" s="38" t="s">
        <v>1164</v>
      </c>
      <c r="C43" s="38" t="s">
        <v>346</v>
      </c>
      <c r="D43" s="38" t="s">
        <v>1166</v>
      </c>
      <c r="E43" s="56"/>
      <c r="F43" s="56">
        <v>1</v>
      </c>
      <c r="G43" s="38" t="s">
        <v>1164</v>
      </c>
      <c r="H43" s="38" t="s">
        <v>242</v>
      </c>
      <c r="I43" s="38" t="s">
        <v>346</v>
      </c>
      <c r="J43" s="38" t="s">
        <v>2680</v>
      </c>
    </row>
    <row r="44" spans="1:10" ht="28.8" x14ac:dyDescent="0.3">
      <c r="A44" s="37" t="s">
        <v>1170</v>
      </c>
      <c r="B44" s="37" t="s">
        <v>1168</v>
      </c>
      <c r="C44" s="37" t="s">
        <v>267</v>
      </c>
      <c r="D44" s="37" t="s">
        <v>1171</v>
      </c>
      <c r="E44" s="55"/>
      <c r="F44" s="55">
        <v>1</v>
      </c>
      <c r="G44" s="37" t="s">
        <v>1168</v>
      </c>
      <c r="H44" s="37" t="s">
        <v>242</v>
      </c>
      <c r="I44" s="37" t="s">
        <v>267</v>
      </c>
      <c r="J44" s="37" t="s">
        <v>2680</v>
      </c>
    </row>
    <row r="45" spans="1:10" ht="28.8" x14ac:dyDescent="0.3">
      <c r="A45" s="38" t="s">
        <v>1170</v>
      </c>
      <c r="B45" s="38" t="s">
        <v>1168</v>
      </c>
      <c r="C45" s="38" t="s">
        <v>243</v>
      </c>
      <c r="D45" s="38" t="s">
        <v>1171</v>
      </c>
      <c r="E45" s="56"/>
      <c r="F45" s="56">
        <v>1</v>
      </c>
      <c r="G45" s="38" t="s">
        <v>1168</v>
      </c>
      <c r="H45" s="38" t="s">
        <v>242</v>
      </c>
      <c r="I45" s="38" t="s">
        <v>243</v>
      </c>
      <c r="J45" s="38" t="s">
        <v>2680</v>
      </c>
    </row>
    <row r="46" spans="1:10" ht="28.8" x14ac:dyDescent="0.3">
      <c r="A46" s="37" t="s">
        <v>1170</v>
      </c>
      <c r="B46" s="37" t="s">
        <v>1168</v>
      </c>
      <c r="C46" s="37" t="s">
        <v>346</v>
      </c>
      <c r="D46" s="37" t="s">
        <v>1171</v>
      </c>
      <c r="E46" s="55"/>
      <c r="F46" s="55">
        <v>1</v>
      </c>
      <c r="G46" s="37" t="s">
        <v>1168</v>
      </c>
      <c r="H46" s="37" t="s">
        <v>242</v>
      </c>
      <c r="I46" s="37" t="s">
        <v>346</v>
      </c>
      <c r="J46" s="37" t="s">
        <v>2680</v>
      </c>
    </row>
    <row r="47" spans="1:10" ht="28.8" x14ac:dyDescent="0.3">
      <c r="A47" s="38" t="s">
        <v>1175</v>
      </c>
      <c r="B47" s="38" t="s">
        <v>1173</v>
      </c>
      <c r="C47" s="38" t="s">
        <v>267</v>
      </c>
      <c r="D47" s="38" t="s">
        <v>1176</v>
      </c>
      <c r="E47" s="56"/>
      <c r="F47" s="56">
        <v>1</v>
      </c>
      <c r="G47" s="38" t="s">
        <v>1173</v>
      </c>
      <c r="H47" s="38" t="s">
        <v>242</v>
      </c>
      <c r="I47" s="38" t="s">
        <v>267</v>
      </c>
      <c r="J47" s="38" t="s">
        <v>2680</v>
      </c>
    </row>
    <row r="48" spans="1:10" ht="28.8" x14ac:dyDescent="0.3">
      <c r="A48" s="37" t="s">
        <v>1175</v>
      </c>
      <c r="B48" s="37" t="s">
        <v>1173</v>
      </c>
      <c r="C48" s="37" t="s">
        <v>243</v>
      </c>
      <c r="D48" s="37" t="s">
        <v>1176</v>
      </c>
      <c r="E48" s="55"/>
      <c r="F48" s="55">
        <v>1</v>
      </c>
      <c r="G48" s="37" t="s">
        <v>1173</v>
      </c>
      <c r="H48" s="37" t="s">
        <v>242</v>
      </c>
      <c r="I48" s="37" t="s">
        <v>243</v>
      </c>
      <c r="J48" s="37" t="s">
        <v>2680</v>
      </c>
    </row>
    <row r="49" spans="1:10" ht="28.8" x14ac:dyDescent="0.3">
      <c r="A49" s="38" t="s">
        <v>1175</v>
      </c>
      <c r="B49" s="38" t="s">
        <v>1173</v>
      </c>
      <c r="C49" s="38" t="s">
        <v>346</v>
      </c>
      <c r="D49" s="38" t="s">
        <v>1176</v>
      </c>
      <c r="E49" s="56"/>
      <c r="F49" s="56">
        <v>1</v>
      </c>
      <c r="G49" s="38" t="s">
        <v>1173</v>
      </c>
      <c r="H49" s="38" t="s">
        <v>242</v>
      </c>
      <c r="I49" s="38" t="s">
        <v>346</v>
      </c>
      <c r="J49" s="38" t="s">
        <v>2680</v>
      </c>
    </row>
    <row r="50" spans="1:10" ht="28.8" x14ac:dyDescent="0.3">
      <c r="A50" s="37" t="s">
        <v>1180</v>
      </c>
      <c r="B50" s="37" t="s">
        <v>1178</v>
      </c>
      <c r="C50" s="37" t="s">
        <v>267</v>
      </c>
      <c r="D50" s="37" t="s">
        <v>1181</v>
      </c>
      <c r="E50" s="55"/>
      <c r="F50" s="55">
        <v>1</v>
      </c>
      <c r="G50" s="37" t="s">
        <v>1178</v>
      </c>
      <c r="H50" s="37" t="s">
        <v>242</v>
      </c>
      <c r="I50" s="37" t="s">
        <v>267</v>
      </c>
      <c r="J50" s="37" t="s">
        <v>2680</v>
      </c>
    </row>
    <row r="51" spans="1:10" ht="28.8" x14ac:dyDescent="0.3">
      <c r="A51" s="38" t="s">
        <v>1180</v>
      </c>
      <c r="B51" s="38" t="s">
        <v>1178</v>
      </c>
      <c r="C51" s="38" t="s">
        <v>243</v>
      </c>
      <c r="D51" s="38" t="s">
        <v>1181</v>
      </c>
      <c r="E51" s="56"/>
      <c r="F51" s="56">
        <v>1</v>
      </c>
      <c r="G51" s="38" t="s">
        <v>1178</v>
      </c>
      <c r="H51" s="38" t="s">
        <v>242</v>
      </c>
      <c r="I51" s="38" t="s">
        <v>243</v>
      </c>
      <c r="J51" s="38" t="s">
        <v>2680</v>
      </c>
    </row>
    <row r="52" spans="1:10" ht="28.8" x14ac:dyDescent="0.3">
      <c r="A52" s="37" t="s">
        <v>1180</v>
      </c>
      <c r="B52" s="37" t="s">
        <v>1178</v>
      </c>
      <c r="C52" s="37" t="s">
        <v>346</v>
      </c>
      <c r="D52" s="37" t="s">
        <v>1181</v>
      </c>
      <c r="E52" s="55"/>
      <c r="F52" s="55">
        <v>1</v>
      </c>
      <c r="G52" s="37" t="s">
        <v>1178</v>
      </c>
      <c r="H52" s="37" t="s">
        <v>242</v>
      </c>
      <c r="I52" s="37" t="s">
        <v>346</v>
      </c>
      <c r="J52" s="37" t="s">
        <v>2680</v>
      </c>
    </row>
    <row r="53" spans="1:10" ht="28.8" x14ac:dyDescent="0.3">
      <c r="A53" s="38" t="s">
        <v>1185</v>
      </c>
      <c r="B53" s="38" t="s">
        <v>1183</v>
      </c>
      <c r="C53" s="38" t="s">
        <v>267</v>
      </c>
      <c r="D53" s="38" t="s">
        <v>1186</v>
      </c>
      <c r="E53" s="56"/>
      <c r="F53" s="56">
        <v>1</v>
      </c>
      <c r="G53" s="38" t="s">
        <v>1183</v>
      </c>
      <c r="H53" s="38" t="s">
        <v>242</v>
      </c>
      <c r="I53" s="38" t="s">
        <v>267</v>
      </c>
      <c r="J53" s="38" t="s">
        <v>2680</v>
      </c>
    </row>
    <row r="54" spans="1:10" ht="28.8" x14ac:dyDescent="0.3">
      <c r="A54" s="37" t="s">
        <v>1185</v>
      </c>
      <c r="B54" s="37" t="s">
        <v>1183</v>
      </c>
      <c r="C54" s="37" t="s">
        <v>243</v>
      </c>
      <c r="D54" s="37" t="s">
        <v>1186</v>
      </c>
      <c r="E54" s="55"/>
      <c r="F54" s="55">
        <v>1</v>
      </c>
      <c r="G54" s="37" t="s">
        <v>1183</v>
      </c>
      <c r="H54" s="37" t="s">
        <v>242</v>
      </c>
      <c r="I54" s="37" t="s">
        <v>243</v>
      </c>
      <c r="J54" s="37" t="s">
        <v>2680</v>
      </c>
    </row>
    <row r="55" spans="1:10" ht="28.8" x14ac:dyDescent="0.3">
      <c r="A55" s="38" t="s">
        <v>1185</v>
      </c>
      <c r="B55" s="38" t="s">
        <v>1183</v>
      </c>
      <c r="C55" s="38" t="s">
        <v>346</v>
      </c>
      <c r="D55" s="38" t="s">
        <v>1186</v>
      </c>
      <c r="E55" s="56"/>
      <c r="F55" s="56">
        <v>1</v>
      </c>
      <c r="G55" s="38" t="s">
        <v>1183</v>
      </c>
      <c r="H55" s="38" t="s">
        <v>242</v>
      </c>
      <c r="I55" s="38" t="s">
        <v>346</v>
      </c>
      <c r="J55" s="38" t="s">
        <v>2680</v>
      </c>
    </row>
    <row r="56" spans="1:10" ht="28.8" x14ac:dyDescent="0.3">
      <c r="A56" s="37" t="s">
        <v>1190</v>
      </c>
      <c r="B56" s="37" t="s">
        <v>1188</v>
      </c>
      <c r="C56" s="37" t="s">
        <v>267</v>
      </c>
      <c r="D56" s="37" t="s">
        <v>1191</v>
      </c>
      <c r="E56" s="55"/>
      <c r="F56" s="55">
        <v>1</v>
      </c>
      <c r="G56" s="37" t="s">
        <v>1188</v>
      </c>
      <c r="H56" s="37" t="s">
        <v>242</v>
      </c>
      <c r="I56" s="37" t="s">
        <v>267</v>
      </c>
      <c r="J56" s="37" t="s">
        <v>2680</v>
      </c>
    </row>
    <row r="57" spans="1:10" ht="28.8" x14ac:dyDescent="0.3">
      <c r="A57" s="38" t="s">
        <v>1190</v>
      </c>
      <c r="B57" s="38" t="s">
        <v>1188</v>
      </c>
      <c r="C57" s="38" t="s">
        <v>243</v>
      </c>
      <c r="D57" s="38" t="s">
        <v>1191</v>
      </c>
      <c r="E57" s="56"/>
      <c r="F57" s="56">
        <v>1</v>
      </c>
      <c r="G57" s="38" t="s">
        <v>1188</v>
      </c>
      <c r="H57" s="38" t="s">
        <v>242</v>
      </c>
      <c r="I57" s="38" t="s">
        <v>243</v>
      </c>
      <c r="J57" s="38" t="s">
        <v>2680</v>
      </c>
    </row>
    <row r="58" spans="1:10" ht="28.8" x14ac:dyDescent="0.3">
      <c r="A58" s="37" t="s">
        <v>1190</v>
      </c>
      <c r="B58" s="37" t="s">
        <v>1188</v>
      </c>
      <c r="C58" s="37" t="s">
        <v>346</v>
      </c>
      <c r="D58" s="37" t="s">
        <v>1191</v>
      </c>
      <c r="E58" s="55"/>
      <c r="F58" s="55">
        <v>1</v>
      </c>
      <c r="G58" s="37" t="s">
        <v>1188</v>
      </c>
      <c r="H58" s="37" t="s">
        <v>242</v>
      </c>
      <c r="I58" s="37" t="s">
        <v>346</v>
      </c>
      <c r="J58" s="37" t="s">
        <v>2680</v>
      </c>
    </row>
    <row r="59" spans="1:10" ht="28.8" x14ac:dyDescent="0.3">
      <c r="A59" s="38" t="s">
        <v>1279</v>
      </c>
      <c r="B59" s="38" t="s">
        <v>1277</v>
      </c>
      <c r="C59" s="38" t="s">
        <v>267</v>
      </c>
      <c r="D59" s="38" t="s">
        <v>1280</v>
      </c>
      <c r="E59" s="56"/>
      <c r="F59" s="56">
        <v>1</v>
      </c>
      <c r="G59" s="38" t="s">
        <v>1277</v>
      </c>
      <c r="H59" s="38" t="s">
        <v>242</v>
      </c>
      <c r="I59" s="38" t="s">
        <v>267</v>
      </c>
      <c r="J59" s="38" t="s">
        <v>2680</v>
      </c>
    </row>
    <row r="60" spans="1:10" ht="28.8" x14ac:dyDescent="0.3">
      <c r="A60" s="37" t="s">
        <v>1279</v>
      </c>
      <c r="B60" s="37" t="s">
        <v>1277</v>
      </c>
      <c r="C60" s="37" t="s">
        <v>243</v>
      </c>
      <c r="D60" s="37" t="s">
        <v>1280</v>
      </c>
      <c r="E60" s="55"/>
      <c r="F60" s="55">
        <v>1</v>
      </c>
      <c r="G60" s="37" t="s">
        <v>1277</v>
      </c>
      <c r="H60" s="37" t="s">
        <v>242</v>
      </c>
      <c r="I60" s="37" t="s">
        <v>243</v>
      </c>
      <c r="J60" s="37" t="s">
        <v>2680</v>
      </c>
    </row>
    <row r="61" spans="1:10" ht="28.8" x14ac:dyDescent="0.3">
      <c r="A61" s="38" t="s">
        <v>1279</v>
      </c>
      <c r="B61" s="38" t="s">
        <v>1277</v>
      </c>
      <c r="C61" s="38" t="s">
        <v>346</v>
      </c>
      <c r="D61" s="38" t="s">
        <v>1280</v>
      </c>
      <c r="E61" s="56"/>
      <c r="F61" s="56">
        <v>1</v>
      </c>
      <c r="G61" s="38" t="s">
        <v>1277</v>
      </c>
      <c r="H61" s="38" t="s">
        <v>242</v>
      </c>
      <c r="I61" s="38" t="s">
        <v>346</v>
      </c>
      <c r="J61" s="38" t="s">
        <v>2680</v>
      </c>
    </row>
    <row r="62" spans="1:10" ht="28.8" x14ac:dyDescent="0.3">
      <c r="A62" s="37" t="s">
        <v>1284</v>
      </c>
      <c r="B62" s="37" t="s">
        <v>1282</v>
      </c>
      <c r="C62" s="37" t="s">
        <v>267</v>
      </c>
      <c r="D62" s="37" t="s">
        <v>1285</v>
      </c>
      <c r="E62" s="55"/>
      <c r="F62" s="55">
        <v>1</v>
      </c>
      <c r="G62" s="37" t="s">
        <v>1282</v>
      </c>
      <c r="H62" s="37" t="s">
        <v>242</v>
      </c>
      <c r="I62" s="37" t="s">
        <v>267</v>
      </c>
      <c r="J62" s="37" t="s">
        <v>2680</v>
      </c>
    </row>
    <row r="63" spans="1:10" ht="28.8" x14ac:dyDescent="0.3">
      <c r="A63" s="38" t="s">
        <v>1284</v>
      </c>
      <c r="B63" s="38" t="s">
        <v>1282</v>
      </c>
      <c r="C63" s="38" t="s">
        <v>243</v>
      </c>
      <c r="D63" s="38" t="s">
        <v>1285</v>
      </c>
      <c r="E63" s="56"/>
      <c r="F63" s="56">
        <v>1</v>
      </c>
      <c r="G63" s="38" t="s">
        <v>1282</v>
      </c>
      <c r="H63" s="38" t="s">
        <v>242</v>
      </c>
      <c r="I63" s="38" t="s">
        <v>243</v>
      </c>
      <c r="J63" s="38" t="s">
        <v>2680</v>
      </c>
    </row>
    <row r="64" spans="1:10" ht="28.8" x14ac:dyDescent="0.3">
      <c r="A64" s="37" t="s">
        <v>1284</v>
      </c>
      <c r="B64" s="37" t="s">
        <v>1282</v>
      </c>
      <c r="C64" s="37" t="s">
        <v>346</v>
      </c>
      <c r="D64" s="37" t="s">
        <v>1285</v>
      </c>
      <c r="E64" s="55"/>
      <c r="F64" s="55">
        <v>1</v>
      </c>
      <c r="G64" s="37" t="s">
        <v>1282</v>
      </c>
      <c r="H64" s="37" t="s">
        <v>242</v>
      </c>
      <c r="I64" s="37" t="s">
        <v>346</v>
      </c>
      <c r="J64" s="37" t="s">
        <v>2680</v>
      </c>
    </row>
    <row r="65" spans="1:10" ht="28.8" x14ac:dyDescent="0.3">
      <c r="A65" s="38" t="s">
        <v>1291</v>
      </c>
      <c r="B65" s="38" t="s">
        <v>1287</v>
      </c>
      <c r="C65" s="38" t="s">
        <v>267</v>
      </c>
      <c r="D65" s="38" t="s">
        <v>1292</v>
      </c>
      <c r="E65" s="56"/>
      <c r="F65" s="56">
        <v>1</v>
      </c>
      <c r="G65" s="38" t="s">
        <v>1287</v>
      </c>
      <c r="H65" s="38" t="s">
        <v>242</v>
      </c>
      <c r="I65" s="38" t="s">
        <v>267</v>
      </c>
      <c r="J65" s="38" t="s">
        <v>2680</v>
      </c>
    </row>
    <row r="66" spans="1:10" ht="28.8" x14ac:dyDescent="0.3">
      <c r="A66" s="37" t="s">
        <v>1291</v>
      </c>
      <c r="B66" s="37" t="s">
        <v>1287</v>
      </c>
      <c r="C66" s="37" t="s">
        <v>243</v>
      </c>
      <c r="D66" s="37" t="s">
        <v>1292</v>
      </c>
      <c r="E66" s="55"/>
      <c r="F66" s="55">
        <v>1</v>
      </c>
      <c r="G66" s="37" t="s">
        <v>1287</v>
      </c>
      <c r="H66" s="37" t="s">
        <v>242</v>
      </c>
      <c r="I66" s="37" t="s">
        <v>243</v>
      </c>
      <c r="J66" s="37" t="s">
        <v>2680</v>
      </c>
    </row>
    <row r="67" spans="1:10" ht="28.8" x14ac:dyDescent="0.3">
      <c r="A67" s="38" t="s">
        <v>1291</v>
      </c>
      <c r="B67" s="38" t="s">
        <v>1287</v>
      </c>
      <c r="C67" s="38" t="s">
        <v>346</v>
      </c>
      <c r="D67" s="38" t="s">
        <v>1292</v>
      </c>
      <c r="E67" s="56"/>
      <c r="F67" s="56">
        <v>1</v>
      </c>
      <c r="G67" s="38" t="s">
        <v>1287</v>
      </c>
      <c r="H67" s="38" t="s">
        <v>242</v>
      </c>
      <c r="I67" s="38" t="s">
        <v>346</v>
      </c>
      <c r="J67" s="38" t="s">
        <v>2680</v>
      </c>
    </row>
    <row r="68" spans="1:10" ht="28.8" x14ac:dyDescent="0.3">
      <c r="A68" s="37" t="s">
        <v>1296</v>
      </c>
      <c r="B68" s="37" t="s">
        <v>1294</v>
      </c>
      <c r="C68" s="37" t="s">
        <v>267</v>
      </c>
      <c r="D68" s="37" t="s">
        <v>1297</v>
      </c>
      <c r="E68" s="55"/>
      <c r="F68" s="55">
        <v>1</v>
      </c>
      <c r="G68" s="37" t="s">
        <v>1294</v>
      </c>
      <c r="H68" s="37" t="s">
        <v>242</v>
      </c>
      <c r="I68" s="37" t="s">
        <v>267</v>
      </c>
      <c r="J68" s="37" t="s">
        <v>2680</v>
      </c>
    </row>
    <row r="69" spans="1:10" ht="28.8" x14ac:dyDescent="0.3">
      <c r="A69" s="38" t="s">
        <v>1296</v>
      </c>
      <c r="B69" s="38" t="s">
        <v>1294</v>
      </c>
      <c r="C69" s="38" t="s">
        <v>243</v>
      </c>
      <c r="D69" s="38" t="s">
        <v>1297</v>
      </c>
      <c r="E69" s="56"/>
      <c r="F69" s="56">
        <v>1</v>
      </c>
      <c r="G69" s="38" t="s">
        <v>1294</v>
      </c>
      <c r="H69" s="38" t="s">
        <v>242</v>
      </c>
      <c r="I69" s="38" t="s">
        <v>243</v>
      </c>
      <c r="J69" s="38" t="s">
        <v>2680</v>
      </c>
    </row>
    <row r="70" spans="1:10" ht="28.8" x14ac:dyDescent="0.3">
      <c r="A70" s="37" t="s">
        <v>1296</v>
      </c>
      <c r="B70" s="37" t="s">
        <v>1294</v>
      </c>
      <c r="C70" s="37" t="s">
        <v>346</v>
      </c>
      <c r="D70" s="37" t="s">
        <v>1297</v>
      </c>
      <c r="E70" s="55"/>
      <c r="F70" s="55">
        <v>1</v>
      </c>
      <c r="G70" s="37" t="s">
        <v>1294</v>
      </c>
      <c r="H70" s="37" t="s">
        <v>242</v>
      </c>
      <c r="I70" s="37" t="s">
        <v>346</v>
      </c>
      <c r="J70" s="37" t="s">
        <v>2680</v>
      </c>
    </row>
    <row r="71" spans="1:10" ht="28.8" x14ac:dyDescent="0.3">
      <c r="A71" s="38" t="s">
        <v>1301</v>
      </c>
      <c r="B71" s="38" t="s">
        <v>1299</v>
      </c>
      <c r="C71" s="38" t="s">
        <v>267</v>
      </c>
      <c r="D71" s="38" t="s">
        <v>1302</v>
      </c>
      <c r="E71" s="56"/>
      <c r="F71" s="56">
        <v>1</v>
      </c>
      <c r="G71" s="38" t="s">
        <v>1299</v>
      </c>
      <c r="H71" s="38" t="s">
        <v>242</v>
      </c>
      <c r="I71" s="38" t="s">
        <v>267</v>
      </c>
      <c r="J71" s="38" t="s">
        <v>2680</v>
      </c>
    </row>
    <row r="72" spans="1:10" ht="28.8" x14ac:dyDescent="0.3">
      <c r="A72" s="37" t="s">
        <v>1301</v>
      </c>
      <c r="B72" s="37" t="s">
        <v>1299</v>
      </c>
      <c r="C72" s="37" t="s">
        <v>243</v>
      </c>
      <c r="D72" s="37" t="s">
        <v>1302</v>
      </c>
      <c r="E72" s="55"/>
      <c r="F72" s="55">
        <v>1</v>
      </c>
      <c r="G72" s="37" t="s">
        <v>1299</v>
      </c>
      <c r="H72" s="37" t="s">
        <v>242</v>
      </c>
      <c r="I72" s="37" t="s">
        <v>243</v>
      </c>
      <c r="J72" s="37" t="s">
        <v>2680</v>
      </c>
    </row>
    <row r="73" spans="1:10" ht="28.8" x14ac:dyDescent="0.3">
      <c r="A73" s="38" t="s">
        <v>1301</v>
      </c>
      <c r="B73" s="38" t="s">
        <v>1299</v>
      </c>
      <c r="C73" s="38" t="s">
        <v>346</v>
      </c>
      <c r="D73" s="38" t="s">
        <v>1302</v>
      </c>
      <c r="E73" s="56"/>
      <c r="F73" s="56">
        <v>1</v>
      </c>
      <c r="G73" s="38" t="s">
        <v>1299</v>
      </c>
      <c r="H73" s="38" t="s">
        <v>242</v>
      </c>
      <c r="I73" s="38" t="s">
        <v>346</v>
      </c>
      <c r="J73" s="38" t="s">
        <v>2680</v>
      </c>
    </row>
    <row r="74" spans="1:10" ht="28.8" x14ac:dyDescent="0.3">
      <c r="A74" s="37" t="s">
        <v>1306</v>
      </c>
      <c r="B74" s="37" t="s">
        <v>1304</v>
      </c>
      <c r="C74" s="37" t="s">
        <v>267</v>
      </c>
      <c r="D74" s="37" t="s">
        <v>1307</v>
      </c>
      <c r="E74" s="55"/>
      <c r="F74" s="55">
        <v>1</v>
      </c>
      <c r="G74" s="37" t="s">
        <v>1304</v>
      </c>
      <c r="H74" s="37" t="s">
        <v>242</v>
      </c>
      <c r="I74" s="37" t="s">
        <v>267</v>
      </c>
      <c r="J74" s="37" t="s">
        <v>2680</v>
      </c>
    </row>
    <row r="75" spans="1:10" ht="28.8" x14ac:dyDescent="0.3">
      <c r="A75" s="38" t="s">
        <v>1306</v>
      </c>
      <c r="B75" s="38" t="s">
        <v>1304</v>
      </c>
      <c r="C75" s="38" t="s">
        <v>243</v>
      </c>
      <c r="D75" s="38" t="s">
        <v>1307</v>
      </c>
      <c r="E75" s="56"/>
      <c r="F75" s="56">
        <v>1</v>
      </c>
      <c r="G75" s="38" t="s">
        <v>1304</v>
      </c>
      <c r="H75" s="38" t="s">
        <v>242</v>
      </c>
      <c r="I75" s="38" t="s">
        <v>243</v>
      </c>
      <c r="J75" s="38" t="s">
        <v>2680</v>
      </c>
    </row>
    <row r="76" spans="1:10" ht="28.8" x14ac:dyDescent="0.3">
      <c r="A76" s="37" t="s">
        <v>1306</v>
      </c>
      <c r="B76" s="37" t="s">
        <v>1304</v>
      </c>
      <c r="C76" s="37" t="s">
        <v>346</v>
      </c>
      <c r="D76" s="37" t="s">
        <v>1307</v>
      </c>
      <c r="E76" s="55"/>
      <c r="F76" s="55">
        <v>1</v>
      </c>
      <c r="G76" s="37" t="s">
        <v>1304</v>
      </c>
      <c r="H76" s="37" t="s">
        <v>242</v>
      </c>
      <c r="I76" s="37" t="s">
        <v>346</v>
      </c>
      <c r="J76" s="37" t="s">
        <v>2680</v>
      </c>
    </row>
    <row r="77" spans="1:10" ht="28.8" x14ac:dyDescent="0.3">
      <c r="A77" s="38" t="s">
        <v>1311</v>
      </c>
      <c r="B77" s="38" t="s">
        <v>1309</v>
      </c>
      <c r="C77" s="38" t="s">
        <v>267</v>
      </c>
      <c r="D77" s="38" t="s">
        <v>1312</v>
      </c>
      <c r="E77" s="56"/>
      <c r="F77" s="56">
        <v>1</v>
      </c>
      <c r="G77" s="38" t="s">
        <v>1309</v>
      </c>
      <c r="H77" s="38" t="s">
        <v>242</v>
      </c>
      <c r="I77" s="38" t="s">
        <v>267</v>
      </c>
      <c r="J77" s="38" t="s">
        <v>2680</v>
      </c>
    </row>
    <row r="78" spans="1:10" ht="28.8" x14ac:dyDescent="0.3">
      <c r="A78" s="37" t="s">
        <v>1311</v>
      </c>
      <c r="B78" s="37" t="s">
        <v>1309</v>
      </c>
      <c r="C78" s="37" t="s">
        <v>243</v>
      </c>
      <c r="D78" s="37" t="s">
        <v>1312</v>
      </c>
      <c r="E78" s="55"/>
      <c r="F78" s="55">
        <v>1</v>
      </c>
      <c r="G78" s="37" t="s">
        <v>1309</v>
      </c>
      <c r="H78" s="37" t="s">
        <v>242</v>
      </c>
      <c r="I78" s="37" t="s">
        <v>243</v>
      </c>
      <c r="J78" s="37" t="s">
        <v>2680</v>
      </c>
    </row>
    <row r="79" spans="1:10" ht="28.8" x14ac:dyDescent="0.3">
      <c r="A79" s="38" t="s">
        <v>1311</v>
      </c>
      <c r="B79" s="38" t="s">
        <v>1309</v>
      </c>
      <c r="C79" s="38" t="s">
        <v>346</v>
      </c>
      <c r="D79" s="38" t="s">
        <v>1312</v>
      </c>
      <c r="E79" s="56"/>
      <c r="F79" s="56">
        <v>1</v>
      </c>
      <c r="G79" s="38" t="s">
        <v>1309</v>
      </c>
      <c r="H79" s="38" t="s">
        <v>242</v>
      </c>
      <c r="I79" s="38" t="s">
        <v>346</v>
      </c>
      <c r="J79" s="38" t="s">
        <v>2680</v>
      </c>
    </row>
    <row r="80" spans="1:10" ht="28.8" x14ac:dyDescent="0.3">
      <c r="A80" s="37" t="s">
        <v>1317</v>
      </c>
      <c r="B80" s="37" t="s">
        <v>1314</v>
      </c>
      <c r="C80" s="37" t="s">
        <v>267</v>
      </c>
      <c r="D80" s="37" t="s">
        <v>1318</v>
      </c>
      <c r="E80" s="55"/>
      <c r="F80" s="55">
        <v>1</v>
      </c>
      <c r="G80" s="37" t="s">
        <v>1314</v>
      </c>
      <c r="H80" s="37" t="s">
        <v>242</v>
      </c>
      <c r="I80" s="37" t="s">
        <v>267</v>
      </c>
      <c r="J80" s="37" t="s">
        <v>2680</v>
      </c>
    </row>
    <row r="81" spans="1:10" ht="28.8" x14ac:dyDescent="0.3">
      <c r="A81" s="38" t="s">
        <v>1317</v>
      </c>
      <c r="B81" s="38" t="s">
        <v>1314</v>
      </c>
      <c r="C81" s="38" t="s">
        <v>243</v>
      </c>
      <c r="D81" s="38" t="s">
        <v>1318</v>
      </c>
      <c r="E81" s="56"/>
      <c r="F81" s="56">
        <v>1</v>
      </c>
      <c r="G81" s="38" t="s">
        <v>1314</v>
      </c>
      <c r="H81" s="38" t="s">
        <v>242</v>
      </c>
      <c r="I81" s="38" t="s">
        <v>243</v>
      </c>
      <c r="J81" s="38" t="s">
        <v>2680</v>
      </c>
    </row>
    <row r="82" spans="1:10" ht="28.8" x14ac:dyDescent="0.3">
      <c r="A82" s="37" t="s">
        <v>1317</v>
      </c>
      <c r="B82" s="37" t="s">
        <v>1314</v>
      </c>
      <c r="C82" s="37" t="s">
        <v>346</v>
      </c>
      <c r="D82" s="37" t="s">
        <v>1318</v>
      </c>
      <c r="E82" s="55"/>
      <c r="F82" s="55">
        <v>1</v>
      </c>
      <c r="G82" s="37" t="s">
        <v>1314</v>
      </c>
      <c r="H82" s="37" t="s">
        <v>242</v>
      </c>
      <c r="I82" s="37" t="s">
        <v>346</v>
      </c>
      <c r="J82" s="37" t="s">
        <v>2680</v>
      </c>
    </row>
    <row r="83" spans="1:10" ht="28.8" x14ac:dyDescent="0.3">
      <c r="A83" s="38" t="s">
        <v>1322</v>
      </c>
      <c r="B83" s="38" t="s">
        <v>1320</v>
      </c>
      <c r="C83" s="38" t="s">
        <v>267</v>
      </c>
      <c r="D83" s="38" t="s">
        <v>1323</v>
      </c>
      <c r="E83" s="56"/>
      <c r="F83" s="56">
        <v>1</v>
      </c>
      <c r="G83" s="38" t="s">
        <v>1320</v>
      </c>
      <c r="H83" s="38" t="s">
        <v>242</v>
      </c>
      <c r="I83" s="38" t="s">
        <v>267</v>
      </c>
      <c r="J83" s="38" t="s">
        <v>2680</v>
      </c>
    </row>
    <row r="84" spans="1:10" ht="28.8" x14ac:dyDescent="0.3">
      <c r="A84" s="37" t="s">
        <v>1322</v>
      </c>
      <c r="B84" s="37" t="s">
        <v>1320</v>
      </c>
      <c r="C84" s="37" t="s">
        <v>243</v>
      </c>
      <c r="D84" s="37" t="s">
        <v>1323</v>
      </c>
      <c r="E84" s="55"/>
      <c r="F84" s="55">
        <v>1</v>
      </c>
      <c r="G84" s="37" t="s">
        <v>1320</v>
      </c>
      <c r="H84" s="37" t="s">
        <v>242</v>
      </c>
      <c r="I84" s="37" t="s">
        <v>243</v>
      </c>
      <c r="J84" s="37" t="s">
        <v>2680</v>
      </c>
    </row>
    <row r="85" spans="1:10" ht="28.8" x14ac:dyDescent="0.3">
      <c r="A85" s="38" t="s">
        <v>1322</v>
      </c>
      <c r="B85" s="38" t="s">
        <v>1320</v>
      </c>
      <c r="C85" s="38" t="s">
        <v>346</v>
      </c>
      <c r="D85" s="38" t="s">
        <v>1323</v>
      </c>
      <c r="E85" s="56"/>
      <c r="F85" s="56">
        <v>1</v>
      </c>
      <c r="G85" s="38" t="s">
        <v>1320</v>
      </c>
      <c r="H85" s="38" t="s">
        <v>242</v>
      </c>
      <c r="I85" s="38" t="s">
        <v>346</v>
      </c>
      <c r="J85" s="38" t="s">
        <v>2680</v>
      </c>
    </row>
    <row r="86" spans="1:10" ht="28.8" x14ac:dyDescent="0.3">
      <c r="A86" s="37" t="s">
        <v>1327</v>
      </c>
      <c r="B86" s="37" t="s">
        <v>1325</v>
      </c>
      <c r="C86" s="37" t="s">
        <v>267</v>
      </c>
      <c r="D86" s="37" t="s">
        <v>1328</v>
      </c>
      <c r="E86" s="55"/>
      <c r="F86" s="55">
        <v>1</v>
      </c>
      <c r="G86" s="37" t="s">
        <v>1325</v>
      </c>
      <c r="H86" s="37" t="s">
        <v>242</v>
      </c>
      <c r="I86" s="37" t="s">
        <v>267</v>
      </c>
      <c r="J86" s="37" t="s">
        <v>2680</v>
      </c>
    </row>
    <row r="87" spans="1:10" ht="28.8" x14ac:dyDescent="0.3">
      <c r="A87" s="38" t="s">
        <v>1327</v>
      </c>
      <c r="B87" s="38" t="s">
        <v>1325</v>
      </c>
      <c r="C87" s="38" t="s">
        <v>243</v>
      </c>
      <c r="D87" s="38" t="s">
        <v>1328</v>
      </c>
      <c r="E87" s="56"/>
      <c r="F87" s="56">
        <v>1</v>
      </c>
      <c r="G87" s="38" t="s">
        <v>1325</v>
      </c>
      <c r="H87" s="38" t="s">
        <v>242</v>
      </c>
      <c r="I87" s="38" t="s">
        <v>243</v>
      </c>
      <c r="J87" s="38" t="s">
        <v>2680</v>
      </c>
    </row>
    <row r="88" spans="1:10" ht="28.8" x14ac:dyDescent="0.3">
      <c r="A88" s="37" t="s">
        <v>1327</v>
      </c>
      <c r="B88" s="37" t="s">
        <v>1325</v>
      </c>
      <c r="C88" s="37" t="s">
        <v>346</v>
      </c>
      <c r="D88" s="37" t="s">
        <v>1328</v>
      </c>
      <c r="E88" s="55"/>
      <c r="F88" s="55">
        <v>1</v>
      </c>
      <c r="G88" s="37" t="s">
        <v>1325</v>
      </c>
      <c r="H88" s="37" t="s">
        <v>242</v>
      </c>
      <c r="I88" s="37" t="s">
        <v>346</v>
      </c>
      <c r="J88" s="37" t="s">
        <v>2680</v>
      </c>
    </row>
    <row r="89" spans="1:10" ht="28.8" x14ac:dyDescent="0.3">
      <c r="A89" s="38" t="s">
        <v>1331</v>
      </c>
      <c r="B89" s="38" t="s">
        <v>1330</v>
      </c>
      <c r="C89" s="38" t="s">
        <v>267</v>
      </c>
      <c r="D89" s="38" t="s">
        <v>1332</v>
      </c>
      <c r="E89" s="56"/>
      <c r="F89" s="56">
        <v>1</v>
      </c>
      <c r="G89" s="38" t="s">
        <v>1330</v>
      </c>
      <c r="H89" s="38" t="s">
        <v>242</v>
      </c>
      <c r="I89" s="38" t="s">
        <v>267</v>
      </c>
      <c r="J89" s="38" t="s">
        <v>2680</v>
      </c>
    </row>
    <row r="90" spans="1:10" ht="28.8" x14ac:dyDescent="0.3">
      <c r="A90" s="37" t="s">
        <v>1331</v>
      </c>
      <c r="B90" s="37" t="s">
        <v>1330</v>
      </c>
      <c r="C90" s="37" t="s">
        <v>243</v>
      </c>
      <c r="D90" s="37" t="s">
        <v>1332</v>
      </c>
      <c r="E90" s="55"/>
      <c r="F90" s="55">
        <v>1</v>
      </c>
      <c r="G90" s="37" t="s">
        <v>1330</v>
      </c>
      <c r="H90" s="37" t="s">
        <v>242</v>
      </c>
      <c r="I90" s="37" t="s">
        <v>243</v>
      </c>
      <c r="J90" s="37" t="s">
        <v>2680</v>
      </c>
    </row>
    <row r="91" spans="1:10" ht="28.8" x14ac:dyDescent="0.3">
      <c r="A91" s="38" t="s">
        <v>1331</v>
      </c>
      <c r="B91" s="38" t="s">
        <v>1330</v>
      </c>
      <c r="C91" s="38" t="s">
        <v>346</v>
      </c>
      <c r="D91" s="38" t="s">
        <v>1332</v>
      </c>
      <c r="E91" s="56"/>
      <c r="F91" s="56">
        <v>1</v>
      </c>
      <c r="G91" s="38" t="s">
        <v>1330</v>
      </c>
      <c r="H91" s="38" t="s">
        <v>242</v>
      </c>
      <c r="I91" s="38" t="s">
        <v>346</v>
      </c>
      <c r="J91" s="38" t="s">
        <v>2680</v>
      </c>
    </row>
    <row r="92" spans="1:10" ht="28.8" x14ac:dyDescent="0.3">
      <c r="A92" s="37" t="s">
        <v>1336</v>
      </c>
      <c r="B92" s="37" t="s">
        <v>1334</v>
      </c>
      <c r="C92" s="37" t="s">
        <v>267</v>
      </c>
      <c r="D92" s="37" t="s">
        <v>1337</v>
      </c>
      <c r="E92" s="55"/>
      <c r="F92" s="55">
        <v>1</v>
      </c>
      <c r="G92" s="37" t="s">
        <v>1334</v>
      </c>
      <c r="H92" s="37" t="s">
        <v>242</v>
      </c>
      <c r="I92" s="37" t="s">
        <v>267</v>
      </c>
      <c r="J92" s="37" t="s">
        <v>2680</v>
      </c>
    </row>
    <row r="93" spans="1:10" ht="28.8" x14ac:dyDescent="0.3">
      <c r="A93" s="38" t="s">
        <v>1336</v>
      </c>
      <c r="B93" s="38" t="s">
        <v>1334</v>
      </c>
      <c r="C93" s="38" t="s">
        <v>243</v>
      </c>
      <c r="D93" s="38" t="s">
        <v>1337</v>
      </c>
      <c r="E93" s="56"/>
      <c r="F93" s="56">
        <v>1</v>
      </c>
      <c r="G93" s="38" t="s">
        <v>1334</v>
      </c>
      <c r="H93" s="38" t="s">
        <v>242</v>
      </c>
      <c r="I93" s="38" t="s">
        <v>243</v>
      </c>
      <c r="J93" s="38" t="s">
        <v>2680</v>
      </c>
    </row>
    <row r="94" spans="1:10" ht="28.8" x14ac:dyDescent="0.3">
      <c r="A94" s="37" t="s">
        <v>1336</v>
      </c>
      <c r="B94" s="37" t="s">
        <v>1334</v>
      </c>
      <c r="C94" s="37" t="s">
        <v>346</v>
      </c>
      <c r="D94" s="37" t="s">
        <v>1337</v>
      </c>
      <c r="E94" s="55"/>
      <c r="F94" s="55">
        <v>1</v>
      </c>
      <c r="G94" s="37" t="s">
        <v>1334</v>
      </c>
      <c r="H94" s="37" t="s">
        <v>242</v>
      </c>
      <c r="I94" s="37" t="s">
        <v>346</v>
      </c>
      <c r="J94" s="37" t="s">
        <v>2680</v>
      </c>
    </row>
    <row r="95" spans="1:10" ht="28.8" x14ac:dyDescent="0.3">
      <c r="A95" s="38" t="s">
        <v>1340</v>
      </c>
      <c r="B95" s="38" t="s">
        <v>1339</v>
      </c>
      <c r="C95" s="38" t="s">
        <v>267</v>
      </c>
      <c r="D95" s="38" t="s">
        <v>1341</v>
      </c>
      <c r="E95" s="56"/>
      <c r="F95" s="56">
        <v>1</v>
      </c>
      <c r="G95" s="38" t="s">
        <v>1339</v>
      </c>
      <c r="H95" s="38" t="s">
        <v>242</v>
      </c>
      <c r="I95" s="38" t="s">
        <v>267</v>
      </c>
      <c r="J95" s="38" t="s">
        <v>2680</v>
      </c>
    </row>
    <row r="96" spans="1:10" ht="28.8" x14ac:dyDescent="0.3">
      <c r="A96" s="37" t="s">
        <v>1340</v>
      </c>
      <c r="B96" s="37" t="s">
        <v>1339</v>
      </c>
      <c r="C96" s="37" t="s">
        <v>243</v>
      </c>
      <c r="D96" s="37" t="s">
        <v>1341</v>
      </c>
      <c r="E96" s="55"/>
      <c r="F96" s="55">
        <v>1</v>
      </c>
      <c r="G96" s="37" t="s">
        <v>1339</v>
      </c>
      <c r="H96" s="37" t="s">
        <v>242</v>
      </c>
      <c r="I96" s="37" t="s">
        <v>243</v>
      </c>
      <c r="J96" s="37" t="s">
        <v>2680</v>
      </c>
    </row>
    <row r="97" spans="1:10" ht="28.8" x14ac:dyDescent="0.3">
      <c r="A97" s="38" t="s">
        <v>1340</v>
      </c>
      <c r="B97" s="38" t="s">
        <v>1339</v>
      </c>
      <c r="C97" s="38" t="s">
        <v>346</v>
      </c>
      <c r="D97" s="38" t="s">
        <v>1341</v>
      </c>
      <c r="E97" s="56"/>
      <c r="F97" s="56">
        <v>1</v>
      </c>
      <c r="G97" s="38" t="s">
        <v>1339</v>
      </c>
      <c r="H97" s="38" t="s">
        <v>242</v>
      </c>
      <c r="I97" s="38" t="s">
        <v>346</v>
      </c>
      <c r="J97" s="38" t="s">
        <v>2680</v>
      </c>
    </row>
    <row r="98" spans="1:10" ht="28.8" x14ac:dyDescent="0.3">
      <c r="A98" s="37" t="s">
        <v>1344</v>
      </c>
      <c r="B98" s="37" t="s">
        <v>1343</v>
      </c>
      <c r="C98" s="37" t="s">
        <v>267</v>
      </c>
      <c r="D98" s="37" t="s">
        <v>1345</v>
      </c>
      <c r="E98" s="55"/>
      <c r="F98" s="55">
        <v>1</v>
      </c>
      <c r="G98" s="37" t="s">
        <v>1343</v>
      </c>
      <c r="H98" s="37" t="s">
        <v>242</v>
      </c>
      <c r="I98" s="37" t="s">
        <v>267</v>
      </c>
      <c r="J98" s="37" t="s">
        <v>2680</v>
      </c>
    </row>
    <row r="99" spans="1:10" ht="28.8" x14ac:dyDescent="0.3">
      <c r="A99" s="38" t="s">
        <v>1344</v>
      </c>
      <c r="B99" s="38" t="s">
        <v>1343</v>
      </c>
      <c r="C99" s="38" t="s">
        <v>243</v>
      </c>
      <c r="D99" s="38" t="s">
        <v>1345</v>
      </c>
      <c r="E99" s="56"/>
      <c r="F99" s="56">
        <v>1</v>
      </c>
      <c r="G99" s="38" t="s">
        <v>1343</v>
      </c>
      <c r="H99" s="38" t="s">
        <v>242</v>
      </c>
      <c r="I99" s="38" t="s">
        <v>243</v>
      </c>
      <c r="J99" s="38" t="s">
        <v>2680</v>
      </c>
    </row>
    <row r="100" spans="1:10" ht="28.8" x14ac:dyDescent="0.3">
      <c r="A100" s="37" t="s">
        <v>1344</v>
      </c>
      <c r="B100" s="37" t="s">
        <v>1343</v>
      </c>
      <c r="C100" s="37" t="s">
        <v>346</v>
      </c>
      <c r="D100" s="37" t="s">
        <v>1345</v>
      </c>
      <c r="E100" s="55"/>
      <c r="F100" s="55">
        <v>1</v>
      </c>
      <c r="G100" s="37" t="s">
        <v>1343</v>
      </c>
      <c r="H100" s="37" t="s">
        <v>242</v>
      </c>
      <c r="I100" s="37" t="s">
        <v>346</v>
      </c>
      <c r="J100" s="37" t="s">
        <v>2680</v>
      </c>
    </row>
    <row r="101" spans="1:10" ht="28.8" x14ac:dyDescent="0.3">
      <c r="A101" s="38" t="s">
        <v>1353</v>
      </c>
      <c r="B101" s="38" t="s">
        <v>1351</v>
      </c>
      <c r="C101" s="38" t="s">
        <v>267</v>
      </c>
      <c r="D101" s="38" t="s">
        <v>1354</v>
      </c>
      <c r="E101" s="56"/>
      <c r="F101" s="56">
        <v>1</v>
      </c>
      <c r="G101" s="38" t="s">
        <v>1351</v>
      </c>
      <c r="H101" s="38" t="s">
        <v>242</v>
      </c>
      <c r="I101" s="38" t="s">
        <v>267</v>
      </c>
      <c r="J101" s="38" t="s">
        <v>2680</v>
      </c>
    </row>
    <row r="102" spans="1:10" ht="28.8" x14ac:dyDescent="0.3">
      <c r="A102" s="37" t="s">
        <v>1353</v>
      </c>
      <c r="B102" s="37" t="s">
        <v>1351</v>
      </c>
      <c r="C102" s="37" t="s">
        <v>243</v>
      </c>
      <c r="D102" s="37" t="s">
        <v>1354</v>
      </c>
      <c r="E102" s="55"/>
      <c r="F102" s="55">
        <v>1</v>
      </c>
      <c r="G102" s="37" t="s">
        <v>1351</v>
      </c>
      <c r="H102" s="37" t="s">
        <v>242</v>
      </c>
      <c r="I102" s="37" t="s">
        <v>243</v>
      </c>
      <c r="J102" s="37" t="s">
        <v>2680</v>
      </c>
    </row>
    <row r="103" spans="1:10" ht="28.8" x14ac:dyDescent="0.3">
      <c r="A103" s="38" t="s">
        <v>1353</v>
      </c>
      <c r="B103" s="38" t="s">
        <v>1351</v>
      </c>
      <c r="C103" s="38" t="s">
        <v>346</v>
      </c>
      <c r="D103" s="38" t="s">
        <v>1354</v>
      </c>
      <c r="E103" s="56"/>
      <c r="F103" s="56">
        <v>1</v>
      </c>
      <c r="G103" s="38" t="s">
        <v>1351</v>
      </c>
      <c r="H103" s="38" t="s">
        <v>242</v>
      </c>
      <c r="I103" s="38" t="s">
        <v>346</v>
      </c>
      <c r="J103" s="38" t="s">
        <v>2680</v>
      </c>
    </row>
    <row r="104" spans="1:10" ht="28.8" x14ac:dyDescent="0.3">
      <c r="A104" s="37" t="s">
        <v>1374</v>
      </c>
      <c r="B104" s="37" t="s">
        <v>1372</v>
      </c>
      <c r="C104" s="37" t="s">
        <v>267</v>
      </c>
      <c r="D104" s="37" t="s">
        <v>1375</v>
      </c>
      <c r="E104" s="55"/>
      <c r="F104" s="55">
        <v>1</v>
      </c>
      <c r="G104" s="37" t="s">
        <v>1372</v>
      </c>
      <c r="H104" s="37" t="s">
        <v>242</v>
      </c>
      <c r="I104" s="37" t="s">
        <v>267</v>
      </c>
      <c r="J104" s="37" t="s">
        <v>2680</v>
      </c>
    </row>
    <row r="105" spans="1:10" ht="28.8" x14ac:dyDescent="0.3">
      <c r="A105" s="38" t="s">
        <v>1374</v>
      </c>
      <c r="B105" s="38" t="s">
        <v>1372</v>
      </c>
      <c r="C105" s="38" t="s">
        <v>243</v>
      </c>
      <c r="D105" s="38" t="s">
        <v>1375</v>
      </c>
      <c r="E105" s="56"/>
      <c r="F105" s="56">
        <v>1</v>
      </c>
      <c r="G105" s="38" t="s">
        <v>1372</v>
      </c>
      <c r="H105" s="38" t="s">
        <v>242</v>
      </c>
      <c r="I105" s="38" t="s">
        <v>243</v>
      </c>
      <c r="J105" s="38" t="s">
        <v>2680</v>
      </c>
    </row>
    <row r="106" spans="1:10" ht="28.8" x14ac:dyDescent="0.3">
      <c r="A106" s="37" t="s">
        <v>1374</v>
      </c>
      <c r="B106" s="37" t="s">
        <v>1372</v>
      </c>
      <c r="C106" s="37" t="s">
        <v>346</v>
      </c>
      <c r="D106" s="37" t="s">
        <v>1375</v>
      </c>
      <c r="E106" s="55"/>
      <c r="F106" s="55">
        <v>1</v>
      </c>
      <c r="G106" s="37" t="s">
        <v>1372</v>
      </c>
      <c r="H106" s="37" t="s">
        <v>242</v>
      </c>
      <c r="I106" s="37" t="s">
        <v>346</v>
      </c>
      <c r="J106" s="37" t="s">
        <v>2680</v>
      </c>
    </row>
    <row r="107" spans="1:10" ht="28.8" x14ac:dyDescent="0.3">
      <c r="A107" s="38" t="s">
        <v>1379</v>
      </c>
      <c r="B107" s="38" t="s">
        <v>1377</v>
      </c>
      <c r="C107" s="38" t="s">
        <v>267</v>
      </c>
      <c r="D107" s="38" t="s">
        <v>1380</v>
      </c>
      <c r="E107" s="56"/>
      <c r="F107" s="56">
        <v>1</v>
      </c>
      <c r="G107" s="38" t="s">
        <v>1377</v>
      </c>
      <c r="H107" s="38" t="s">
        <v>242</v>
      </c>
      <c r="I107" s="38" t="s">
        <v>267</v>
      </c>
      <c r="J107" s="38" t="s">
        <v>2680</v>
      </c>
    </row>
    <row r="108" spans="1:10" ht="28.8" x14ac:dyDescent="0.3">
      <c r="A108" s="37" t="s">
        <v>1379</v>
      </c>
      <c r="B108" s="37" t="s">
        <v>1377</v>
      </c>
      <c r="C108" s="37" t="s">
        <v>243</v>
      </c>
      <c r="D108" s="37" t="s">
        <v>1380</v>
      </c>
      <c r="E108" s="55"/>
      <c r="F108" s="55">
        <v>1</v>
      </c>
      <c r="G108" s="37" t="s">
        <v>1377</v>
      </c>
      <c r="H108" s="37" t="s">
        <v>242</v>
      </c>
      <c r="I108" s="37" t="s">
        <v>243</v>
      </c>
      <c r="J108" s="37" t="s">
        <v>2680</v>
      </c>
    </row>
    <row r="109" spans="1:10" ht="28.8" x14ac:dyDescent="0.3">
      <c r="A109" s="38" t="s">
        <v>1379</v>
      </c>
      <c r="B109" s="38" t="s">
        <v>1377</v>
      </c>
      <c r="C109" s="38" t="s">
        <v>346</v>
      </c>
      <c r="D109" s="38" t="s">
        <v>1380</v>
      </c>
      <c r="E109" s="56"/>
      <c r="F109" s="56">
        <v>1</v>
      </c>
      <c r="G109" s="38" t="s">
        <v>1377</v>
      </c>
      <c r="H109" s="38" t="s">
        <v>242</v>
      </c>
      <c r="I109" s="38" t="s">
        <v>346</v>
      </c>
      <c r="J109" s="38" t="s">
        <v>2680</v>
      </c>
    </row>
    <row r="110" spans="1:10" ht="43.2" x14ac:dyDescent="0.3">
      <c r="A110" s="37" t="s">
        <v>1385</v>
      </c>
      <c r="B110" s="37" t="s">
        <v>1382</v>
      </c>
      <c r="C110" s="37" t="s">
        <v>267</v>
      </c>
      <c r="D110" s="37" t="s">
        <v>1386</v>
      </c>
      <c r="E110" s="55"/>
      <c r="F110" s="55">
        <v>1</v>
      </c>
      <c r="G110" s="37" t="s">
        <v>1382</v>
      </c>
      <c r="H110" s="37" t="s">
        <v>242</v>
      </c>
      <c r="I110" s="37" t="s">
        <v>267</v>
      </c>
      <c r="J110" s="37" t="s">
        <v>2680</v>
      </c>
    </row>
    <row r="111" spans="1:10" ht="43.2" x14ac:dyDescent="0.3">
      <c r="A111" s="38" t="s">
        <v>1385</v>
      </c>
      <c r="B111" s="38" t="s">
        <v>1382</v>
      </c>
      <c r="C111" s="38" t="s">
        <v>243</v>
      </c>
      <c r="D111" s="38" t="s">
        <v>1386</v>
      </c>
      <c r="E111" s="56"/>
      <c r="F111" s="56">
        <v>1</v>
      </c>
      <c r="G111" s="38" t="s">
        <v>1382</v>
      </c>
      <c r="H111" s="38" t="s">
        <v>242</v>
      </c>
      <c r="I111" s="38" t="s">
        <v>243</v>
      </c>
      <c r="J111" s="38" t="s">
        <v>2680</v>
      </c>
    </row>
    <row r="112" spans="1:10" ht="43.2" x14ac:dyDescent="0.3">
      <c r="A112" s="37" t="s">
        <v>1385</v>
      </c>
      <c r="B112" s="37" t="s">
        <v>1382</v>
      </c>
      <c r="C112" s="37" t="s">
        <v>346</v>
      </c>
      <c r="D112" s="37" t="s">
        <v>1386</v>
      </c>
      <c r="E112" s="55"/>
      <c r="F112" s="55">
        <v>1</v>
      </c>
      <c r="G112" s="37" t="s">
        <v>1382</v>
      </c>
      <c r="H112" s="37" t="s">
        <v>242</v>
      </c>
      <c r="I112" s="37" t="s">
        <v>346</v>
      </c>
      <c r="J112" s="37" t="s">
        <v>2680</v>
      </c>
    </row>
    <row r="113" spans="1:10" ht="28.8" x14ac:dyDescent="0.3">
      <c r="A113" s="38" t="s">
        <v>1391</v>
      </c>
      <c r="B113" s="38" t="s">
        <v>1388</v>
      </c>
      <c r="C113" s="38" t="s">
        <v>267</v>
      </c>
      <c r="D113" s="38" t="s">
        <v>1392</v>
      </c>
      <c r="E113" s="56"/>
      <c r="F113" s="56">
        <v>1</v>
      </c>
      <c r="G113" s="38" t="s">
        <v>1388</v>
      </c>
      <c r="H113" s="38" t="s">
        <v>242</v>
      </c>
      <c r="I113" s="38" t="s">
        <v>267</v>
      </c>
      <c r="J113" s="38" t="s">
        <v>2680</v>
      </c>
    </row>
    <row r="114" spans="1:10" ht="28.8" x14ac:dyDescent="0.3">
      <c r="A114" s="37" t="s">
        <v>1391</v>
      </c>
      <c r="B114" s="37" t="s">
        <v>1388</v>
      </c>
      <c r="C114" s="37" t="s">
        <v>243</v>
      </c>
      <c r="D114" s="37" t="s">
        <v>1392</v>
      </c>
      <c r="E114" s="55"/>
      <c r="F114" s="55">
        <v>1</v>
      </c>
      <c r="G114" s="37" t="s">
        <v>1388</v>
      </c>
      <c r="H114" s="37" t="s">
        <v>242</v>
      </c>
      <c r="I114" s="37" t="s">
        <v>243</v>
      </c>
      <c r="J114" s="37" t="s">
        <v>2680</v>
      </c>
    </row>
    <row r="115" spans="1:10" ht="28.8" x14ac:dyDescent="0.3">
      <c r="A115" s="38" t="s">
        <v>1391</v>
      </c>
      <c r="B115" s="38" t="s">
        <v>1388</v>
      </c>
      <c r="C115" s="38" t="s">
        <v>346</v>
      </c>
      <c r="D115" s="38" t="s">
        <v>1392</v>
      </c>
      <c r="E115" s="56"/>
      <c r="F115" s="56">
        <v>1</v>
      </c>
      <c r="G115" s="38" t="s">
        <v>1388</v>
      </c>
      <c r="H115" s="38" t="s">
        <v>242</v>
      </c>
      <c r="I115" s="38" t="s">
        <v>346</v>
      </c>
      <c r="J115" s="38" t="s">
        <v>2680</v>
      </c>
    </row>
    <row r="116" spans="1:10" ht="28.8" x14ac:dyDescent="0.3">
      <c r="A116" s="37" t="s">
        <v>1397</v>
      </c>
      <c r="B116" s="37" t="s">
        <v>1395</v>
      </c>
      <c r="C116" s="37" t="s">
        <v>267</v>
      </c>
      <c r="D116" s="37" t="s">
        <v>1398</v>
      </c>
      <c r="E116" s="55"/>
      <c r="F116" s="55">
        <v>1</v>
      </c>
      <c r="G116" s="37" t="s">
        <v>1395</v>
      </c>
      <c r="H116" s="37" t="s">
        <v>242</v>
      </c>
      <c r="I116" s="37" t="s">
        <v>267</v>
      </c>
      <c r="J116" s="37" t="s">
        <v>2680</v>
      </c>
    </row>
    <row r="117" spans="1:10" ht="28.8" x14ac:dyDescent="0.3">
      <c r="A117" s="38" t="s">
        <v>1397</v>
      </c>
      <c r="B117" s="38" t="s">
        <v>1395</v>
      </c>
      <c r="C117" s="38" t="s">
        <v>243</v>
      </c>
      <c r="D117" s="38" t="s">
        <v>1398</v>
      </c>
      <c r="E117" s="56"/>
      <c r="F117" s="56">
        <v>1</v>
      </c>
      <c r="G117" s="38" t="s">
        <v>1395</v>
      </c>
      <c r="H117" s="38" t="s">
        <v>242</v>
      </c>
      <c r="I117" s="38" t="s">
        <v>243</v>
      </c>
      <c r="J117" s="38" t="s">
        <v>2680</v>
      </c>
    </row>
    <row r="118" spans="1:10" ht="28.8" x14ac:dyDescent="0.3">
      <c r="A118" s="37" t="s">
        <v>1397</v>
      </c>
      <c r="B118" s="37" t="s">
        <v>1395</v>
      </c>
      <c r="C118" s="37" t="s">
        <v>346</v>
      </c>
      <c r="D118" s="37" t="s">
        <v>1398</v>
      </c>
      <c r="E118" s="55"/>
      <c r="F118" s="55">
        <v>1</v>
      </c>
      <c r="G118" s="37" t="s">
        <v>1395</v>
      </c>
      <c r="H118" s="37" t="s">
        <v>242</v>
      </c>
      <c r="I118" s="37" t="s">
        <v>346</v>
      </c>
      <c r="J118" s="37" t="s">
        <v>2680</v>
      </c>
    </row>
    <row r="119" spans="1:10" ht="28.8" x14ac:dyDescent="0.3">
      <c r="A119" s="38" t="s">
        <v>1402</v>
      </c>
      <c r="B119" s="38" t="s">
        <v>1400</v>
      </c>
      <c r="C119" s="38" t="s">
        <v>267</v>
      </c>
      <c r="D119" s="38" t="s">
        <v>1403</v>
      </c>
      <c r="E119" s="56"/>
      <c r="F119" s="56">
        <v>1</v>
      </c>
      <c r="G119" s="38" t="s">
        <v>1400</v>
      </c>
      <c r="H119" s="38" t="s">
        <v>242</v>
      </c>
      <c r="I119" s="38" t="s">
        <v>267</v>
      </c>
      <c r="J119" s="38" t="s">
        <v>2680</v>
      </c>
    </row>
    <row r="120" spans="1:10" ht="28.8" x14ac:dyDescent="0.3">
      <c r="A120" s="37" t="s">
        <v>1402</v>
      </c>
      <c r="B120" s="37" t="s">
        <v>1400</v>
      </c>
      <c r="C120" s="37" t="s">
        <v>243</v>
      </c>
      <c r="D120" s="37" t="s">
        <v>1403</v>
      </c>
      <c r="E120" s="55"/>
      <c r="F120" s="55">
        <v>1</v>
      </c>
      <c r="G120" s="37" t="s">
        <v>1400</v>
      </c>
      <c r="H120" s="37" t="s">
        <v>242</v>
      </c>
      <c r="I120" s="37" t="s">
        <v>243</v>
      </c>
      <c r="J120" s="37" t="s">
        <v>2680</v>
      </c>
    </row>
    <row r="121" spans="1:10" ht="28.8" x14ac:dyDescent="0.3">
      <c r="A121" s="38" t="s">
        <v>1402</v>
      </c>
      <c r="B121" s="38" t="s">
        <v>1400</v>
      </c>
      <c r="C121" s="38" t="s">
        <v>346</v>
      </c>
      <c r="D121" s="38" t="s">
        <v>1403</v>
      </c>
      <c r="E121" s="56"/>
      <c r="F121" s="56">
        <v>1</v>
      </c>
      <c r="G121" s="38" t="s">
        <v>1400</v>
      </c>
      <c r="H121" s="38" t="s">
        <v>242</v>
      </c>
      <c r="I121" s="38" t="s">
        <v>346</v>
      </c>
      <c r="J121" s="38" t="s">
        <v>2680</v>
      </c>
    </row>
    <row r="122" spans="1:10" ht="28.8" x14ac:dyDescent="0.3">
      <c r="A122" s="37" t="s">
        <v>1407</v>
      </c>
      <c r="B122" s="37" t="s">
        <v>1405</v>
      </c>
      <c r="C122" s="37" t="s">
        <v>267</v>
      </c>
      <c r="D122" s="37" t="s">
        <v>1408</v>
      </c>
      <c r="E122" s="55"/>
      <c r="F122" s="55">
        <v>1</v>
      </c>
      <c r="G122" s="37" t="s">
        <v>1405</v>
      </c>
      <c r="H122" s="37" t="s">
        <v>242</v>
      </c>
      <c r="I122" s="37" t="s">
        <v>267</v>
      </c>
      <c r="J122" s="37" t="s">
        <v>2680</v>
      </c>
    </row>
    <row r="123" spans="1:10" ht="28.8" x14ac:dyDescent="0.3">
      <c r="A123" s="38" t="s">
        <v>1407</v>
      </c>
      <c r="B123" s="38" t="s">
        <v>1405</v>
      </c>
      <c r="C123" s="38" t="s">
        <v>243</v>
      </c>
      <c r="D123" s="38" t="s">
        <v>1408</v>
      </c>
      <c r="E123" s="56"/>
      <c r="F123" s="56">
        <v>1</v>
      </c>
      <c r="G123" s="38" t="s">
        <v>1405</v>
      </c>
      <c r="H123" s="38" t="s">
        <v>242</v>
      </c>
      <c r="I123" s="38" t="s">
        <v>243</v>
      </c>
      <c r="J123" s="38" t="s">
        <v>2680</v>
      </c>
    </row>
    <row r="124" spans="1:10" ht="28.8" x14ac:dyDescent="0.3">
      <c r="A124" s="37" t="s">
        <v>1407</v>
      </c>
      <c r="B124" s="37" t="s">
        <v>1405</v>
      </c>
      <c r="C124" s="37" t="s">
        <v>346</v>
      </c>
      <c r="D124" s="37" t="s">
        <v>1408</v>
      </c>
      <c r="E124" s="55"/>
      <c r="F124" s="55">
        <v>1</v>
      </c>
      <c r="G124" s="37" t="s">
        <v>1405</v>
      </c>
      <c r="H124" s="37" t="s">
        <v>242</v>
      </c>
      <c r="I124" s="37" t="s">
        <v>346</v>
      </c>
      <c r="J124" s="37" t="s">
        <v>2680</v>
      </c>
    </row>
    <row r="125" spans="1:10" ht="28.8" x14ac:dyDescent="0.3">
      <c r="A125" s="38" t="s">
        <v>1412</v>
      </c>
      <c r="B125" s="38" t="s">
        <v>1410</v>
      </c>
      <c r="C125" s="38" t="s">
        <v>267</v>
      </c>
      <c r="D125" s="38" t="s">
        <v>1413</v>
      </c>
      <c r="E125" s="56"/>
      <c r="F125" s="56">
        <v>1</v>
      </c>
      <c r="G125" s="38" t="s">
        <v>1410</v>
      </c>
      <c r="H125" s="38" t="s">
        <v>242</v>
      </c>
      <c r="I125" s="38" t="s">
        <v>267</v>
      </c>
      <c r="J125" s="38" t="s">
        <v>2680</v>
      </c>
    </row>
    <row r="126" spans="1:10" ht="28.8" x14ac:dyDescent="0.3">
      <c r="A126" s="37" t="s">
        <v>1412</v>
      </c>
      <c r="B126" s="37" t="s">
        <v>1410</v>
      </c>
      <c r="C126" s="37" t="s">
        <v>243</v>
      </c>
      <c r="D126" s="37" t="s">
        <v>1413</v>
      </c>
      <c r="E126" s="55"/>
      <c r="F126" s="55">
        <v>1</v>
      </c>
      <c r="G126" s="37" t="s">
        <v>1410</v>
      </c>
      <c r="H126" s="37" t="s">
        <v>242</v>
      </c>
      <c r="I126" s="37" t="s">
        <v>243</v>
      </c>
      <c r="J126" s="37" t="s">
        <v>2680</v>
      </c>
    </row>
    <row r="127" spans="1:10" ht="28.8" x14ac:dyDescent="0.3">
      <c r="A127" s="38" t="s">
        <v>1412</v>
      </c>
      <c r="B127" s="38" t="s">
        <v>1410</v>
      </c>
      <c r="C127" s="38" t="s">
        <v>346</v>
      </c>
      <c r="D127" s="38" t="s">
        <v>1413</v>
      </c>
      <c r="E127" s="56"/>
      <c r="F127" s="56">
        <v>1</v>
      </c>
      <c r="G127" s="38" t="s">
        <v>1410</v>
      </c>
      <c r="H127" s="38" t="s">
        <v>242</v>
      </c>
      <c r="I127" s="38" t="s">
        <v>346</v>
      </c>
      <c r="J127" s="38" t="s">
        <v>2680</v>
      </c>
    </row>
    <row r="128" spans="1:10" ht="28.8" x14ac:dyDescent="0.3">
      <c r="A128" s="37" t="s">
        <v>1417</v>
      </c>
      <c r="B128" s="37" t="s">
        <v>1415</v>
      </c>
      <c r="C128" s="37" t="s">
        <v>267</v>
      </c>
      <c r="D128" s="37" t="s">
        <v>1418</v>
      </c>
      <c r="E128" s="55"/>
      <c r="F128" s="55">
        <v>1</v>
      </c>
      <c r="G128" s="37" t="s">
        <v>1415</v>
      </c>
      <c r="H128" s="37" t="s">
        <v>242</v>
      </c>
      <c r="I128" s="37" t="s">
        <v>267</v>
      </c>
      <c r="J128" s="37" t="s">
        <v>2680</v>
      </c>
    </row>
    <row r="129" spans="1:10" ht="28.8" x14ac:dyDescent="0.3">
      <c r="A129" s="38" t="s">
        <v>1417</v>
      </c>
      <c r="B129" s="38" t="s">
        <v>1415</v>
      </c>
      <c r="C129" s="38" t="s">
        <v>243</v>
      </c>
      <c r="D129" s="38" t="s">
        <v>1418</v>
      </c>
      <c r="E129" s="56"/>
      <c r="F129" s="56">
        <v>1</v>
      </c>
      <c r="G129" s="38" t="s">
        <v>1415</v>
      </c>
      <c r="H129" s="38" t="s">
        <v>242</v>
      </c>
      <c r="I129" s="38" t="s">
        <v>243</v>
      </c>
      <c r="J129" s="38" t="s">
        <v>2680</v>
      </c>
    </row>
    <row r="130" spans="1:10" ht="28.8" x14ac:dyDescent="0.3">
      <c r="A130" s="37" t="s">
        <v>1417</v>
      </c>
      <c r="B130" s="37" t="s">
        <v>1415</v>
      </c>
      <c r="C130" s="37" t="s">
        <v>346</v>
      </c>
      <c r="D130" s="37" t="s">
        <v>1418</v>
      </c>
      <c r="E130" s="55"/>
      <c r="F130" s="55">
        <v>1</v>
      </c>
      <c r="G130" s="37" t="s">
        <v>1415</v>
      </c>
      <c r="H130" s="37" t="s">
        <v>242</v>
      </c>
      <c r="I130" s="37" t="s">
        <v>346</v>
      </c>
      <c r="J130" s="37" t="s">
        <v>2680</v>
      </c>
    </row>
    <row r="131" spans="1:10" ht="28.8" x14ac:dyDescent="0.3">
      <c r="A131" s="38" t="s">
        <v>1422</v>
      </c>
      <c r="B131" s="38" t="s">
        <v>1420</v>
      </c>
      <c r="C131" s="38" t="s">
        <v>267</v>
      </c>
      <c r="D131" s="38" t="s">
        <v>1423</v>
      </c>
      <c r="E131" s="56"/>
      <c r="F131" s="56">
        <v>1</v>
      </c>
      <c r="G131" s="38" t="s">
        <v>1420</v>
      </c>
      <c r="H131" s="38" t="s">
        <v>242</v>
      </c>
      <c r="I131" s="38" t="s">
        <v>267</v>
      </c>
      <c r="J131" s="38" t="s">
        <v>2680</v>
      </c>
    </row>
    <row r="132" spans="1:10" ht="28.8" x14ac:dyDescent="0.3">
      <c r="A132" s="37" t="s">
        <v>1422</v>
      </c>
      <c r="B132" s="37" t="s">
        <v>1420</v>
      </c>
      <c r="C132" s="37" t="s">
        <v>243</v>
      </c>
      <c r="D132" s="37" t="s">
        <v>1423</v>
      </c>
      <c r="E132" s="55"/>
      <c r="F132" s="55">
        <v>1</v>
      </c>
      <c r="G132" s="37" t="s">
        <v>1420</v>
      </c>
      <c r="H132" s="37" t="s">
        <v>242</v>
      </c>
      <c r="I132" s="37" t="s">
        <v>243</v>
      </c>
      <c r="J132" s="37" t="s">
        <v>2680</v>
      </c>
    </row>
    <row r="133" spans="1:10" ht="28.8" x14ac:dyDescent="0.3">
      <c r="A133" s="38" t="s">
        <v>1422</v>
      </c>
      <c r="B133" s="38" t="s">
        <v>1420</v>
      </c>
      <c r="C133" s="38" t="s">
        <v>346</v>
      </c>
      <c r="D133" s="38" t="s">
        <v>1423</v>
      </c>
      <c r="E133" s="56"/>
      <c r="F133" s="56">
        <v>1</v>
      </c>
      <c r="G133" s="38" t="s">
        <v>1420</v>
      </c>
      <c r="H133" s="38" t="s">
        <v>242</v>
      </c>
      <c r="I133" s="38" t="s">
        <v>346</v>
      </c>
      <c r="J133" s="38" t="s">
        <v>2680</v>
      </c>
    </row>
    <row r="134" spans="1:10" ht="28.8" x14ac:dyDescent="0.3">
      <c r="A134" s="37" t="s">
        <v>1427</v>
      </c>
      <c r="B134" s="37" t="s">
        <v>1425</v>
      </c>
      <c r="C134" s="37" t="s">
        <v>267</v>
      </c>
      <c r="D134" s="37" t="s">
        <v>1428</v>
      </c>
      <c r="E134" s="55"/>
      <c r="F134" s="55">
        <v>1</v>
      </c>
      <c r="G134" s="37" t="s">
        <v>1425</v>
      </c>
      <c r="H134" s="37" t="s">
        <v>242</v>
      </c>
      <c r="I134" s="37" t="s">
        <v>267</v>
      </c>
      <c r="J134" s="37" t="s">
        <v>2680</v>
      </c>
    </row>
    <row r="135" spans="1:10" ht="28.8" x14ac:dyDescent="0.3">
      <c r="A135" s="38" t="s">
        <v>1427</v>
      </c>
      <c r="B135" s="38" t="s">
        <v>1425</v>
      </c>
      <c r="C135" s="38" t="s">
        <v>243</v>
      </c>
      <c r="D135" s="38" t="s">
        <v>1428</v>
      </c>
      <c r="E135" s="56"/>
      <c r="F135" s="56">
        <v>1</v>
      </c>
      <c r="G135" s="38" t="s">
        <v>1425</v>
      </c>
      <c r="H135" s="38" t="s">
        <v>242</v>
      </c>
      <c r="I135" s="38" t="s">
        <v>243</v>
      </c>
      <c r="J135" s="38" t="s">
        <v>2680</v>
      </c>
    </row>
    <row r="136" spans="1:10" ht="28.8" x14ac:dyDescent="0.3">
      <c r="A136" s="37" t="s">
        <v>1427</v>
      </c>
      <c r="B136" s="37" t="s">
        <v>1425</v>
      </c>
      <c r="C136" s="37" t="s">
        <v>346</v>
      </c>
      <c r="D136" s="37" t="s">
        <v>1428</v>
      </c>
      <c r="E136" s="55"/>
      <c r="F136" s="55">
        <v>1</v>
      </c>
      <c r="G136" s="37" t="s">
        <v>1425</v>
      </c>
      <c r="H136" s="37" t="s">
        <v>242</v>
      </c>
      <c r="I136" s="37" t="s">
        <v>346</v>
      </c>
      <c r="J136" s="37" t="s">
        <v>2680</v>
      </c>
    </row>
    <row r="137" spans="1:10" ht="28.8" x14ac:dyDescent="0.3">
      <c r="A137" s="38" t="s">
        <v>1442</v>
      </c>
      <c r="B137" s="38" t="s">
        <v>1440</v>
      </c>
      <c r="C137" s="38" t="s">
        <v>267</v>
      </c>
      <c r="D137" s="38" t="s">
        <v>1443</v>
      </c>
      <c r="E137" s="56"/>
      <c r="F137" s="56">
        <v>1</v>
      </c>
      <c r="G137" s="38" t="s">
        <v>1440</v>
      </c>
      <c r="H137" s="38" t="s">
        <v>242</v>
      </c>
      <c r="I137" s="38" t="s">
        <v>267</v>
      </c>
      <c r="J137" s="38" t="s">
        <v>2680</v>
      </c>
    </row>
    <row r="138" spans="1:10" ht="28.8" x14ac:dyDescent="0.3">
      <c r="A138" s="37" t="s">
        <v>1442</v>
      </c>
      <c r="B138" s="37" t="s">
        <v>1440</v>
      </c>
      <c r="C138" s="37" t="s">
        <v>243</v>
      </c>
      <c r="D138" s="37" t="s">
        <v>1443</v>
      </c>
      <c r="E138" s="55"/>
      <c r="F138" s="55">
        <v>1</v>
      </c>
      <c r="G138" s="37" t="s">
        <v>1440</v>
      </c>
      <c r="H138" s="37" t="s">
        <v>242</v>
      </c>
      <c r="I138" s="37" t="s">
        <v>243</v>
      </c>
      <c r="J138" s="37" t="s">
        <v>2680</v>
      </c>
    </row>
    <row r="139" spans="1:10" ht="28.8" x14ac:dyDescent="0.3">
      <c r="A139" s="38" t="s">
        <v>1442</v>
      </c>
      <c r="B139" s="38" t="s">
        <v>1440</v>
      </c>
      <c r="C139" s="38" t="s">
        <v>346</v>
      </c>
      <c r="D139" s="38" t="s">
        <v>1443</v>
      </c>
      <c r="E139" s="56"/>
      <c r="F139" s="56">
        <v>1</v>
      </c>
      <c r="G139" s="38" t="s">
        <v>1440</v>
      </c>
      <c r="H139" s="38" t="s">
        <v>242</v>
      </c>
      <c r="I139" s="38" t="s">
        <v>346</v>
      </c>
      <c r="J139" s="38" t="s">
        <v>2680</v>
      </c>
    </row>
    <row r="140" spans="1:10" ht="28.8" x14ac:dyDescent="0.3">
      <c r="A140" s="37" t="s">
        <v>1458</v>
      </c>
      <c r="B140" s="37" t="s">
        <v>1456</v>
      </c>
      <c r="C140" s="37" t="s">
        <v>267</v>
      </c>
      <c r="D140" s="37" t="s">
        <v>1459</v>
      </c>
      <c r="E140" s="55"/>
      <c r="F140" s="55">
        <v>1</v>
      </c>
      <c r="G140" s="37" t="s">
        <v>1456</v>
      </c>
      <c r="H140" s="37" t="s">
        <v>242</v>
      </c>
      <c r="I140" s="37" t="s">
        <v>267</v>
      </c>
      <c r="J140" s="37" t="s">
        <v>2680</v>
      </c>
    </row>
    <row r="141" spans="1:10" ht="28.8" x14ac:dyDescent="0.3">
      <c r="A141" s="38" t="s">
        <v>1458</v>
      </c>
      <c r="B141" s="38" t="s">
        <v>1456</v>
      </c>
      <c r="C141" s="38" t="s">
        <v>243</v>
      </c>
      <c r="D141" s="38" t="s">
        <v>1459</v>
      </c>
      <c r="E141" s="56"/>
      <c r="F141" s="56">
        <v>1</v>
      </c>
      <c r="G141" s="38" t="s">
        <v>1456</v>
      </c>
      <c r="H141" s="38" t="s">
        <v>242</v>
      </c>
      <c r="I141" s="38" t="s">
        <v>243</v>
      </c>
      <c r="J141" s="38" t="s">
        <v>2680</v>
      </c>
    </row>
    <row r="142" spans="1:10" ht="28.8" x14ac:dyDescent="0.3">
      <c r="A142" s="37" t="s">
        <v>1458</v>
      </c>
      <c r="B142" s="37" t="s">
        <v>1456</v>
      </c>
      <c r="C142" s="37" t="s">
        <v>346</v>
      </c>
      <c r="D142" s="37" t="s">
        <v>1459</v>
      </c>
      <c r="E142" s="55"/>
      <c r="F142" s="55">
        <v>1</v>
      </c>
      <c r="G142" s="37" t="s">
        <v>1456</v>
      </c>
      <c r="H142" s="37" t="s">
        <v>242</v>
      </c>
      <c r="I142" s="37" t="s">
        <v>346</v>
      </c>
      <c r="J142" s="37" t="s">
        <v>2680</v>
      </c>
    </row>
    <row r="143" spans="1:10" ht="28.8" x14ac:dyDescent="0.3">
      <c r="A143" s="38" t="s">
        <v>1470</v>
      </c>
      <c r="B143" s="38" t="s">
        <v>1467</v>
      </c>
      <c r="C143" s="38" t="s">
        <v>267</v>
      </c>
      <c r="D143" s="38" t="s">
        <v>1471</v>
      </c>
      <c r="E143" s="56"/>
      <c r="F143" s="56">
        <v>1</v>
      </c>
      <c r="G143" s="38" t="s">
        <v>1467</v>
      </c>
      <c r="H143" s="38" t="s">
        <v>242</v>
      </c>
      <c r="I143" s="38" t="s">
        <v>267</v>
      </c>
      <c r="J143" s="38" t="s">
        <v>2680</v>
      </c>
    </row>
    <row r="144" spans="1:10" ht="28.8" x14ac:dyDescent="0.3">
      <c r="A144" s="37" t="s">
        <v>1470</v>
      </c>
      <c r="B144" s="37" t="s">
        <v>1467</v>
      </c>
      <c r="C144" s="37" t="s">
        <v>243</v>
      </c>
      <c r="D144" s="37" t="s">
        <v>1471</v>
      </c>
      <c r="E144" s="55"/>
      <c r="F144" s="55">
        <v>1</v>
      </c>
      <c r="G144" s="37" t="s">
        <v>1467</v>
      </c>
      <c r="H144" s="37" t="s">
        <v>242</v>
      </c>
      <c r="I144" s="37" t="s">
        <v>243</v>
      </c>
      <c r="J144" s="37" t="s">
        <v>2680</v>
      </c>
    </row>
    <row r="145" spans="1:10" ht="28.8" x14ac:dyDescent="0.3">
      <c r="A145" s="38" t="s">
        <v>1470</v>
      </c>
      <c r="B145" s="38" t="s">
        <v>1467</v>
      </c>
      <c r="C145" s="38" t="s">
        <v>346</v>
      </c>
      <c r="D145" s="38" t="s">
        <v>1471</v>
      </c>
      <c r="E145" s="56"/>
      <c r="F145" s="56">
        <v>1</v>
      </c>
      <c r="G145" s="38" t="s">
        <v>1467</v>
      </c>
      <c r="H145" s="38" t="s">
        <v>242</v>
      </c>
      <c r="I145" s="38" t="s">
        <v>346</v>
      </c>
      <c r="J145" s="38" t="s">
        <v>2680</v>
      </c>
    </row>
    <row r="146" spans="1:10" ht="28.8" x14ac:dyDescent="0.3">
      <c r="A146" s="37" t="s">
        <v>1475</v>
      </c>
      <c r="B146" s="37" t="s">
        <v>1473</v>
      </c>
      <c r="C146" s="37" t="s">
        <v>267</v>
      </c>
      <c r="D146" s="37" t="s">
        <v>1476</v>
      </c>
      <c r="E146" s="55"/>
      <c r="F146" s="55">
        <v>1</v>
      </c>
      <c r="G146" s="37" t="s">
        <v>1473</v>
      </c>
      <c r="H146" s="37" t="s">
        <v>242</v>
      </c>
      <c r="I146" s="37" t="s">
        <v>267</v>
      </c>
      <c r="J146" s="37" t="s">
        <v>2680</v>
      </c>
    </row>
    <row r="147" spans="1:10" ht="28.8" x14ac:dyDescent="0.3">
      <c r="A147" s="38" t="s">
        <v>1475</v>
      </c>
      <c r="B147" s="38" t="s">
        <v>1473</v>
      </c>
      <c r="C147" s="38" t="s">
        <v>243</v>
      </c>
      <c r="D147" s="38" t="s">
        <v>1476</v>
      </c>
      <c r="E147" s="56"/>
      <c r="F147" s="56">
        <v>1</v>
      </c>
      <c r="G147" s="38" t="s">
        <v>1473</v>
      </c>
      <c r="H147" s="38" t="s">
        <v>242</v>
      </c>
      <c r="I147" s="38" t="s">
        <v>243</v>
      </c>
      <c r="J147" s="38" t="s">
        <v>2680</v>
      </c>
    </row>
    <row r="148" spans="1:10" ht="28.8" x14ac:dyDescent="0.3">
      <c r="A148" s="37" t="s">
        <v>1475</v>
      </c>
      <c r="B148" s="37" t="s">
        <v>1473</v>
      </c>
      <c r="C148" s="37" t="s">
        <v>346</v>
      </c>
      <c r="D148" s="37" t="s">
        <v>1476</v>
      </c>
      <c r="E148" s="55"/>
      <c r="F148" s="55">
        <v>1</v>
      </c>
      <c r="G148" s="37" t="s">
        <v>1473</v>
      </c>
      <c r="H148" s="37" t="s">
        <v>242</v>
      </c>
      <c r="I148" s="37" t="s">
        <v>346</v>
      </c>
      <c r="J148" s="37" t="s">
        <v>2680</v>
      </c>
    </row>
    <row r="149" spans="1:10" ht="28.8" x14ac:dyDescent="0.3">
      <c r="A149" s="38" t="s">
        <v>1480</v>
      </c>
      <c r="B149" s="38" t="s">
        <v>1478</v>
      </c>
      <c r="C149" s="38" t="s">
        <v>267</v>
      </c>
      <c r="D149" s="38" t="s">
        <v>1481</v>
      </c>
      <c r="E149" s="56"/>
      <c r="F149" s="56">
        <v>1</v>
      </c>
      <c r="G149" s="38" t="s">
        <v>1478</v>
      </c>
      <c r="H149" s="38" t="s">
        <v>242</v>
      </c>
      <c r="I149" s="38" t="s">
        <v>267</v>
      </c>
      <c r="J149" s="38" t="s">
        <v>2680</v>
      </c>
    </row>
    <row r="150" spans="1:10" ht="28.8" x14ac:dyDescent="0.3">
      <c r="A150" s="37" t="s">
        <v>1480</v>
      </c>
      <c r="B150" s="37" t="s">
        <v>1478</v>
      </c>
      <c r="C150" s="37" t="s">
        <v>243</v>
      </c>
      <c r="D150" s="37" t="s">
        <v>1481</v>
      </c>
      <c r="E150" s="55"/>
      <c r="F150" s="55">
        <v>1</v>
      </c>
      <c r="G150" s="37" t="s">
        <v>1478</v>
      </c>
      <c r="H150" s="37" t="s">
        <v>242</v>
      </c>
      <c r="I150" s="37" t="s">
        <v>243</v>
      </c>
      <c r="J150" s="37" t="s">
        <v>2680</v>
      </c>
    </row>
    <row r="151" spans="1:10" ht="28.8" x14ac:dyDescent="0.3">
      <c r="A151" s="38" t="s">
        <v>1480</v>
      </c>
      <c r="B151" s="38" t="s">
        <v>1478</v>
      </c>
      <c r="C151" s="38" t="s">
        <v>346</v>
      </c>
      <c r="D151" s="38" t="s">
        <v>1481</v>
      </c>
      <c r="E151" s="56"/>
      <c r="F151" s="56">
        <v>1</v>
      </c>
      <c r="G151" s="38" t="s">
        <v>1478</v>
      </c>
      <c r="H151" s="38" t="s">
        <v>242</v>
      </c>
      <c r="I151" s="38" t="s">
        <v>346</v>
      </c>
      <c r="J151" s="38" t="s">
        <v>2680</v>
      </c>
    </row>
    <row r="152" spans="1:10" ht="28.8" x14ac:dyDescent="0.3">
      <c r="A152" s="37" t="s">
        <v>1486</v>
      </c>
      <c r="B152" s="37" t="s">
        <v>1483</v>
      </c>
      <c r="C152" s="37" t="s">
        <v>267</v>
      </c>
      <c r="D152" s="37" t="s">
        <v>1487</v>
      </c>
      <c r="E152" s="55"/>
      <c r="F152" s="55">
        <v>1</v>
      </c>
      <c r="G152" s="37" t="s">
        <v>1483</v>
      </c>
      <c r="H152" s="37" t="s">
        <v>242</v>
      </c>
      <c r="I152" s="37" t="s">
        <v>267</v>
      </c>
      <c r="J152" s="37" t="s">
        <v>2680</v>
      </c>
    </row>
    <row r="153" spans="1:10" ht="28.8" x14ac:dyDescent="0.3">
      <c r="A153" s="38" t="s">
        <v>1486</v>
      </c>
      <c r="B153" s="38" t="s">
        <v>1483</v>
      </c>
      <c r="C153" s="38" t="s">
        <v>243</v>
      </c>
      <c r="D153" s="38" t="s">
        <v>1487</v>
      </c>
      <c r="E153" s="56"/>
      <c r="F153" s="56">
        <v>1</v>
      </c>
      <c r="G153" s="38" t="s">
        <v>1483</v>
      </c>
      <c r="H153" s="38" t="s">
        <v>242</v>
      </c>
      <c r="I153" s="38" t="s">
        <v>243</v>
      </c>
      <c r="J153" s="38" t="s">
        <v>2680</v>
      </c>
    </row>
    <row r="154" spans="1:10" ht="28.8" x14ac:dyDescent="0.3">
      <c r="A154" s="37" t="s">
        <v>1486</v>
      </c>
      <c r="B154" s="37" t="s">
        <v>1483</v>
      </c>
      <c r="C154" s="37" t="s">
        <v>346</v>
      </c>
      <c r="D154" s="37" t="s">
        <v>1487</v>
      </c>
      <c r="E154" s="55"/>
      <c r="F154" s="55">
        <v>1</v>
      </c>
      <c r="G154" s="37" t="s">
        <v>1483</v>
      </c>
      <c r="H154" s="37" t="s">
        <v>242</v>
      </c>
      <c r="I154" s="37" t="s">
        <v>346</v>
      </c>
      <c r="J154" s="37" t="s">
        <v>2680</v>
      </c>
    </row>
    <row r="155" spans="1:10" ht="28.8" x14ac:dyDescent="0.3">
      <c r="A155" s="38" t="s">
        <v>1491</v>
      </c>
      <c r="B155" s="38" t="s">
        <v>1489</v>
      </c>
      <c r="C155" s="38" t="s">
        <v>267</v>
      </c>
      <c r="D155" s="38" t="s">
        <v>1492</v>
      </c>
      <c r="E155" s="56"/>
      <c r="F155" s="56">
        <v>1</v>
      </c>
      <c r="G155" s="38" t="s">
        <v>1489</v>
      </c>
      <c r="H155" s="38" t="s">
        <v>242</v>
      </c>
      <c r="I155" s="38" t="s">
        <v>267</v>
      </c>
      <c r="J155" s="38" t="s">
        <v>2680</v>
      </c>
    </row>
    <row r="156" spans="1:10" ht="28.8" x14ac:dyDescent="0.3">
      <c r="A156" s="37" t="s">
        <v>1491</v>
      </c>
      <c r="B156" s="37" t="s">
        <v>1489</v>
      </c>
      <c r="C156" s="37" t="s">
        <v>243</v>
      </c>
      <c r="D156" s="37" t="s">
        <v>1492</v>
      </c>
      <c r="E156" s="55"/>
      <c r="F156" s="55">
        <v>1</v>
      </c>
      <c r="G156" s="37" t="s">
        <v>1489</v>
      </c>
      <c r="H156" s="37" t="s">
        <v>242</v>
      </c>
      <c r="I156" s="37" t="s">
        <v>243</v>
      </c>
      <c r="J156" s="37" t="s">
        <v>2680</v>
      </c>
    </row>
    <row r="157" spans="1:10" ht="28.8" x14ac:dyDescent="0.3">
      <c r="A157" s="38" t="s">
        <v>1491</v>
      </c>
      <c r="B157" s="38" t="s">
        <v>1489</v>
      </c>
      <c r="C157" s="38" t="s">
        <v>346</v>
      </c>
      <c r="D157" s="38" t="s">
        <v>1492</v>
      </c>
      <c r="E157" s="56"/>
      <c r="F157" s="56">
        <v>1</v>
      </c>
      <c r="G157" s="38" t="s">
        <v>1489</v>
      </c>
      <c r="H157" s="38" t="s">
        <v>242</v>
      </c>
      <c r="I157" s="38" t="s">
        <v>346</v>
      </c>
      <c r="J157" s="38" t="s">
        <v>2680</v>
      </c>
    </row>
    <row r="158" spans="1:10" ht="28.8" x14ac:dyDescent="0.3">
      <c r="A158" s="37" t="s">
        <v>1496</v>
      </c>
      <c r="B158" s="37" t="s">
        <v>1494</v>
      </c>
      <c r="C158" s="37" t="s">
        <v>267</v>
      </c>
      <c r="D158" s="37" t="s">
        <v>1497</v>
      </c>
      <c r="E158" s="55"/>
      <c r="F158" s="55">
        <v>1</v>
      </c>
      <c r="G158" s="37" t="s">
        <v>1494</v>
      </c>
      <c r="H158" s="37" t="s">
        <v>242</v>
      </c>
      <c r="I158" s="37" t="s">
        <v>267</v>
      </c>
      <c r="J158" s="37" t="s">
        <v>2680</v>
      </c>
    </row>
    <row r="159" spans="1:10" ht="28.8" x14ac:dyDescent="0.3">
      <c r="A159" s="38" t="s">
        <v>1496</v>
      </c>
      <c r="B159" s="38" t="s">
        <v>1494</v>
      </c>
      <c r="C159" s="38" t="s">
        <v>243</v>
      </c>
      <c r="D159" s="38" t="s">
        <v>1497</v>
      </c>
      <c r="E159" s="56"/>
      <c r="F159" s="56">
        <v>1</v>
      </c>
      <c r="G159" s="38" t="s">
        <v>1494</v>
      </c>
      <c r="H159" s="38" t="s">
        <v>242</v>
      </c>
      <c r="I159" s="38" t="s">
        <v>243</v>
      </c>
      <c r="J159" s="38" t="s">
        <v>2680</v>
      </c>
    </row>
    <row r="160" spans="1:10" ht="28.8" x14ac:dyDescent="0.3">
      <c r="A160" s="37" t="s">
        <v>1496</v>
      </c>
      <c r="B160" s="37" t="s">
        <v>1494</v>
      </c>
      <c r="C160" s="37" t="s">
        <v>346</v>
      </c>
      <c r="D160" s="37" t="s">
        <v>1497</v>
      </c>
      <c r="E160" s="55"/>
      <c r="F160" s="55">
        <v>1</v>
      </c>
      <c r="G160" s="37" t="s">
        <v>1494</v>
      </c>
      <c r="H160" s="37" t="s">
        <v>242</v>
      </c>
      <c r="I160" s="37" t="s">
        <v>346</v>
      </c>
      <c r="J160" s="37" t="s">
        <v>2680</v>
      </c>
    </row>
    <row r="161" spans="1:10" ht="28.8" x14ac:dyDescent="0.3">
      <c r="A161" s="38" t="s">
        <v>1502</v>
      </c>
      <c r="B161" s="38" t="s">
        <v>1499</v>
      </c>
      <c r="C161" s="38" t="s">
        <v>267</v>
      </c>
      <c r="D161" s="38" t="s">
        <v>1503</v>
      </c>
      <c r="E161" s="56"/>
      <c r="F161" s="56">
        <v>1</v>
      </c>
      <c r="G161" s="38" t="s">
        <v>1499</v>
      </c>
      <c r="H161" s="38" t="s">
        <v>242</v>
      </c>
      <c r="I161" s="38" t="s">
        <v>267</v>
      </c>
      <c r="J161" s="38" t="s">
        <v>2680</v>
      </c>
    </row>
    <row r="162" spans="1:10" ht="28.8" x14ac:dyDescent="0.3">
      <c r="A162" s="37" t="s">
        <v>1502</v>
      </c>
      <c r="B162" s="37" t="s">
        <v>1499</v>
      </c>
      <c r="C162" s="37" t="s">
        <v>243</v>
      </c>
      <c r="D162" s="37" t="s">
        <v>1503</v>
      </c>
      <c r="E162" s="55"/>
      <c r="F162" s="55">
        <v>1</v>
      </c>
      <c r="G162" s="37" t="s">
        <v>1499</v>
      </c>
      <c r="H162" s="37" t="s">
        <v>242</v>
      </c>
      <c r="I162" s="37" t="s">
        <v>243</v>
      </c>
      <c r="J162" s="37" t="s">
        <v>2680</v>
      </c>
    </row>
    <row r="163" spans="1:10" ht="28.8" x14ac:dyDescent="0.3">
      <c r="A163" s="38" t="s">
        <v>1502</v>
      </c>
      <c r="B163" s="38" t="s">
        <v>1499</v>
      </c>
      <c r="C163" s="38" t="s">
        <v>346</v>
      </c>
      <c r="D163" s="38" t="s">
        <v>1503</v>
      </c>
      <c r="E163" s="56"/>
      <c r="F163" s="56">
        <v>1</v>
      </c>
      <c r="G163" s="38" t="s">
        <v>1499</v>
      </c>
      <c r="H163" s="38" t="s">
        <v>242</v>
      </c>
      <c r="I163" s="38" t="s">
        <v>346</v>
      </c>
      <c r="J163" s="38" t="s">
        <v>2680</v>
      </c>
    </row>
    <row r="164" spans="1:10" ht="28.8" x14ac:dyDescent="0.3">
      <c r="A164" s="37" t="s">
        <v>1507</v>
      </c>
      <c r="B164" s="37" t="s">
        <v>1505</v>
      </c>
      <c r="C164" s="37" t="s">
        <v>267</v>
      </c>
      <c r="D164" s="37" t="s">
        <v>1508</v>
      </c>
      <c r="E164" s="55"/>
      <c r="F164" s="55">
        <v>1</v>
      </c>
      <c r="G164" s="37" t="s">
        <v>1505</v>
      </c>
      <c r="H164" s="37" t="s">
        <v>242</v>
      </c>
      <c r="I164" s="37" t="s">
        <v>267</v>
      </c>
      <c r="J164" s="37" t="s">
        <v>2680</v>
      </c>
    </row>
    <row r="165" spans="1:10" ht="28.8" x14ac:dyDescent="0.3">
      <c r="A165" s="38" t="s">
        <v>1507</v>
      </c>
      <c r="B165" s="38" t="s">
        <v>1505</v>
      </c>
      <c r="C165" s="38" t="s">
        <v>243</v>
      </c>
      <c r="D165" s="38" t="s">
        <v>1508</v>
      </c>
      <c r="E165" s="56"/>
      <c r="F165" s="56">
        <v>1</v>
      </c>
      <c r="G165" s="38" t="s">
        <v>1505</v>
      </c>
      <c r="H165" s="38" t="s">
        <v>242</v>
      </c>
      <c r="I165" s="38" t="s">
        <v>243</v>
      </c>
      <c r="J165" s="38" t="s">
        <v>2680</v>
      </c>
    </row>
    <row r="166" spans="1:10" ht="28.8" x14ac:dyDescent="0.3">
      <c r="A166" s="37" t="s">
        <v>1507</v>
      </c>
      <c r="B166" s="37" t="s">
        <v>1505</v>
      </c>
      <c r="C166" s="37" t="s">
        <v>346</v>
      </c>
      <c r="D166" s="37" t="s">
        <v>1508</v>
      </c>
      <c r="E166" s="55"/>
      <c r="F166" s="55">
        <v>1</v>
      </c>
      <c r="G166" s="37" t="s">
        <v>1505</v>
      </c>
      <c r="H166" s="37" t="s">
        <v>242</v>
      </c>
      <c r="I166" s="37" t="s">
        <v>346</v>
      </c>
      <c r="J166" s="37" t="s">
        <v>2680</v>
      </c>
    </row>
    <row r="167" spans="1:10" ht="28.8" x14ac:dyDescent="0.3">
      <c r="A167" s="38" t="s">
        <v>1512</v>
      </c>
      <c r="B167" s="38" t="s">
        <v>1510</v>
      </c>
      <c r="C167" s="38" t="s">
        <v>267</v>
      </c>
      <c r="D167" s="38" t="s">
        <v>1513</v>
      </c>
      <c r="E167" s="56"/>
      <c r="F167" s="56">
        <v>1</v>
      </c>
      <c r="G167" s="38" t="s">
        <v>1510</v>
      </c>
      <c r="H167" s="38" t="s">
        <v>242</v>
      </c>
      <c r="I167" s="38" t="s">
        <v>267</v>
      </c>
      <c r="J167" s="38" t="s">
        <v>2680</v>
      </c>
    </row>
    <row r="168" spans="1:10" ht="28.8" x14ac:dyDescent="0.3">
      <c r="A168" s="37" t="s">
        <v>1512</v>
      </c>
      <c r="B168" s="37" t="s">
        <v>1510</v>
      </c>
      <c r="C168" s="37" t="s">
        <v>243</v>
      </c>
      <c r="D168" s="37" t="s">
        <v>1513</v>
      </c>
      <c r="E168" s="55"/>
      <c r="F168" s="55">
        <v>1</v>
      </c>
      <c r="G168" s="37" t="s">
        <v>1510</v>
      </c>
      <c r="H168" s="37" t="s">
        <v>242</v>
      </c>
      <c r="I168" s="37" t="s">
        <v>243</v>
      </c>
      <c r="J168" s="37" t="s">
        <v>2680</v>
      </c>
    </row>
    <row r="169" spans="1:10" ht="28.8" x14ac:dyDescent="0.3">
      <c r="A169" s="38" t="s">
        <v>1512</v>
      </c>
      <c r="B169" s="38" t="s">
        <v>1510</v>
      </c>
      <c r="C169" s="38" t="s">
        <v>346</v>
      </c>
      <c r="D169" s="38" t="s">
        <v>1513</v>
      </c>
      <c r="E169" s="56"/>
      <c r="F169" s="56">
        <v>1</v>
      </c>
      <c r="G169" s="38" t="s">
        <v>1510</v>
      </c>
      <c r="H169" s="38" t="s">
        <v>242</v>
      </c>
      <c r="I169" s="38" t="s">
        <v>346</v>
      </c>
      <c r="J169" s="38" t="s">
        <v>2680</v>
      </c>
    </row>
    <row r="170" spans="1:10" ht="43.2" x14ac:dyDescent="0.3">
      <c r="A170" s="37" t="s">
        <v>1527</v>
      </c>
      <c r="B170" s="37" t="s">
        <v>1525</v>
      </c>
      <c r="C170" s="37" t="s">
        <v>267</v>
      </c>
      <c r="D170" s="37" t="s">
        <v>1528</v>
      </c>
      <c r="E170" s="55"/>
      <c r="F170" s="55">
        <v>1</v>
      </c>
      <c r="G170" s="37" t="s">
        <v>1525</v>
      </c>
      <c r="H170" s="37" t="s">
        <v>242</v>
      </c>
      <c r="I170" s="37" t="s">
        <v>267</v>
      </c>
      <c r="J170" s="37" t="s">
        <v>2680</v>
      </c>
    </row>
    <row r="171" spans="1:10" ht="43.2" x14ac:dyDescent="0.3">
      <c r="A171" s="38" t="s">
        <v>1527</v>
      </c>
      <c r="B171" s="38" t="s">
        <v>1525</v>
      </c>
      <c r="C171" s="38" t="s">
        <v>243</v>
      </c>
      <c r="D171" s="38" t="s">
        <v>1528</v>
      </c>
      <c r="E171" s="56"/>
      <c r="F171" s="56">
        <v>1</v>
      </c>
      <c r="G171" s="38" t="s">
        <v>1525</v>
      </c>
      <c r="H171" s="38" t="s">
        <v>242</v>
      </c>
      <c r="I171" s="38" t="s">
        <v>243</v>
      </c>
      <c r="J171" s="38" t="s">
        <v>2680</v>
      </c>
    </row>
    <row r="172" spans="1:10" ht="43.2" x14ac:dyDescent="0.3">
      <c r="A172" s="37" t="s">
        <v>1527</v>
      </c>
      <c r="B172" s="37" t="s">
        <v>1525</v>
      </c>
      <c r="C172" s="37" t="s">
        <v>346</v>
      </c>
      <c r="D172" s="37" t="s">
        <v>1528</v>
      </c>
      <c r="E172" s="55"/>
      <c r="F172" s="55">
        <v>1</v>
      </c>
      <c r="G172" s="37" t="s">
        <v>1525</v>
      </c>
      <c r="H172" s="37" t="s">
        <v>242</v>
      </c>
      <c r="I172" s="37" t="s">
        <v>346</v>
      </c>
      <c r="J172" s="37" t="s">
        <v>2680</v>
      </c>
    </row>
    <row r="173" spans="1:10" ht="28.8" x14ac:dyDescent="0.3">
      <c r="A173" s="38" t="s">
        <v>1537</v>
      </c>
      <c r="B173" s="38" t="s">
        <v>1535</v>
      </c>
      <c r="C173" s="38" t="s">
        <v>267</v>
      </c>
      <c r="D173" s="38" t="s">
        <v>1538</v>
      </c>
      <c r="E173" s="56"/>
      <c r="F173" s="56">
        <v>1</v>
      </c>
      <c r="G173" s="38" t="s">
        <v>1535</v>
      </c>
      <c r="H173" s="38" t="s">
        <v>242</v>
      </c>
      <c r="I173" s="38" t="s">
        <v>267</v>
      </c>
      <c r="J173" s="38" t="s">
        <v>2680</v>
      </c>
    </row>
    <row r="174" spans="1:10" ht="28.8" x14ac:dyDescent="0.3">
      <c r="A174" s="37" t="s">
        <v>1537</v>
      </c>
      <c r="B174" s="37" t="s">
        <v>1535</v>
      </c>
      <c r="C174" s="37" t="s">
        <v>243</v>
      </c>
      <c r="D174" s="37" t="s">
        <v>1538</v>
      </c>
      <c r="E174" s="55"/>
      <c r="F174" s="55">
        <v>1</v>
      </c>
      <c r="G174" s="37" t="s">
        <v>1535</v>
      </c>
      <c r="H174" s="37" t="s">
        <v>242</v>
      </c>
      <c r="I174" s="37" t="s">
        <v>243</v>
      </c>
      <c r="J174" s="37" t="s">
        <v>2680</v>
      </c>
    </row>
    <row r="175" spans="1:10" ht="28.8" x14ac:dyDescent="0.3">
      <c r="A175" s="38" t="s">
        <v>1537</v>
      </c>
      <c r="B175" s="38" t="s">
        <v>1535</v>
      </c>
      <c r="C175" s="38" t="s">
        <v>346</v>
      </c>
      <c r="D175" s="38" t="s">
        <v>1538</v>
      </c>
      <c r="E175" s="56"/>
      <c r="F175" s="56">
        <v>1</v>
      </c>
      <c r="G175" s="38" t="s">
        <v>1535</v>
      </c>
      <c r="H175" s="38" t="s">
        <v>242</v>
      </c>
      <c r="I175" s="38" t="s">
        <v>346</v>
      </c>
      <c r="J175" s="38" t="s">
        <v>2680</v>
      </c>
    </row>
    <row r="176" spans="1:10" ht="28.8" x14ac:dyDescent="0.3">
      <c r="A176" s="37" t="s">
        <v>1542</v>
      </c>
      <c r="B176" s="37" t="s">
        <v>1540</v>
      </c>
      <c r="C176" s="37" t="s">
        <v>267</v>
      </c>
      <c r="D176" s="37" t="s">
        <v>1543</v>
      </c>
      <c r="E176" s="55"/>
      <c r="F176" s="55">
        <v>1</v>
      </c>
      <c r="G176" s="37" t="s">
        <v>1540</v>
      </c>
      <c r="H176" s="37" t="s">
        <v>242</v>
      </c>
      <c r="I176" s="37" t="s">
        <v>267</v>
      </c>
      <c r="J176" s="37" t="s">
        <v>2680</v>
      </c>
    </row>
    <row r="177" spans="1:10" ht="28.8" x14ac:dyDescent="0.3">
      <c r="A177" s="38" t="s">
        <v>1542</v>
      </c>
      <c r="B177" s="38" t="s">
        <v>1540</v>
      </c>
      <c r="C177" s="38" t="s">
        <v>243</v>
      </c>
      <c r="D177" s="38" t="s">
        <v>1543</v>
      </c>
      <c r="E177" s="56"/>
      <c r="F177" s="56">
        <v>1</v>
      </c>
      <c r="G177" s="38" t="s">
        <v>1540</v>
      </c>
      <c r="H177" s="38" t="s">
        <v>242</v>
      </c>
      <c r="I177" s="38" t="s">
        <v>243</v>
      </c>
      <c r="J177" s="38" t="s">
        <v>2680</v>
      </c>
    </row>
    <row r="178" spans="1:10" ht="28.8" x14ac:dyDescent="0.3">
      <c r="A178" s="37" t="s">
        <v>1542</v>
      </c>
      <c r="B178" s="37" t="s">
        <v>1540</v>
      </c>
      <c r="C178" s="37" t="s">
        <v>346</v>
      </c>
      <c r="D178" s="37" t="s">
        <v>1543</v>
      </c>
      <c r="E178" s="55"/>
      <c r="F178" s="55">
        <v>1</v>
      </c>
      <c r="G178" s="37" t="s">
        <v>1540</v>
      </c>
      <c r="H178" s="37" t="s">
        <v>242</v>
      </c>
      <c r="I178" s="37" t="s">
        <v>346</v>
      </c>
      <c r="J178" s="37" t="s">
        <v>2680</v>
      </c>
    </row>
    <row r="179" spans="1:10" ht="28.8" x14ac:dyDescent="0.3">
      <c r="A179" s="38" t="s">
        <v>1547</v>
      </c>
      <c r="B179" s="38" t="s">
        <v>1545</v>
      </c>
      <c r="C179" s="38" t="s">
        <v>267</v>
      </c>
      <c r="D179" s="38" t="s">
        <v>1548</v>
      </c>
      <c r="E179" s="56"/>
      <c r="F179" s="56">
        <v>1</v>
      </c>
      <c r="G179" s="38" t="s">
        <v>1545</v>
      </c>
      <c r="H179" s="38" t="s">
        <v>242</v>
      </c>
      <c r="I179" s="38" t="s">
        <v>267</v>
      </c>
      <c r="J179" s="38" t="s">
        <v>2680</v>
      </c>
    </row>
    <row r="180" spans="1:10" ht="28.8" x14ac:dyDescent="0.3">
      <c r="A180" s="37" t="s">
        <v>1547</v>
      </c>
      <c r="B180" s="37" t="s">
        <v>1545</v>
      </c>
      <c r="C180" s="37" t="s">
        <v>243</v>
      </c>
      <c r="D180" s="37" t="s">
        <v>1548</v>
      </c>
      <c r="E180" s="55"/>
      <c r="F180" s="55">
        <v>1</v>
      </c>
      <c r="G180" s="37" t="s">
        <v>1545</v>
      </c>
      <c r="H180" s="37" t="s">
        <v>242</v>
      </c>
      <c r="I180" s="37" t="s">
        <v>243</v>
      </c>
      <c r="J180" s="37" t="s">
        <v>2680</v>
      </c>
    </row>
    <row r="181" spans="1:10" ht="28.8" x14ac:dyDescent="0.3">
      <c r="A181" s="38" t="s">
        <v>1547</v>
      </c>
      <c r="B181" s="38" t="s">
        <v>1545</v>
      </c>
      <c r="C181" s="38" t="s">
        <v>346</v>
      </c>
      <c r="D181" s="38" t="s">
        <v>1548</v>
      </c>
      <c r="E181" s="56"/>
      <c r="F181" s="56">
        <v>1</v>
      </c>
      <c r="G181" s="38" t="s">
        <v>1545</v>
      </c>
      <c r="H181" s="38" t="s">
        <v>242</v>
      </c>
      <c r="I181" s="38" t="s">
        <v>346</v>
      </c>
      <c r="J181" s="38" t="s">
        <v>2680</v>
      </c>
    </row>
    <row r="182" spans="1:10" ht="28.8" x14ac:dyDescent="0.3">
      <c r="A182" s="37" t="s">
        <v>1551</v>
      </c>
      <c r="B182" s="37" t="s">
        <v>1550</v>
      </c>
      <c r="C182" s="37" t="s">
        <v>267</v>
      </c>
      <c r="D182" s="37" t="s">
        <v>1552</v>
      </c>
      <c r="E182" s="55"/>
      <c r="F182" s="55">
        <v>1</v>
      </c>
      <c r="G182" s="37" t="s">
        <v>1550</v>
      </c>
      <c r="H182" s="37" t="s">
        <v>242</v>
      </c>
      <c r="I182" s="37" t="s">
        <v>267</v>
      </c>
      <c r="J182" s="37" t="s">
        <v>2680</v>
      </c>
    </row>
    <row r="183" spans="1:10" ht="28.8" x14ac:dyDescent="0.3">
      <c r="A183" s="38" t="s">
        <v>1551</v>
      </c>
      <c r="B183" s="38" t="s">
        <v>1550</v>
      </c>
      <c r="C183" s="38" t="s">
        <v>243</v>
      </c>
      <c r="D183" s="38" t="s">
        <v>1552</v>
      </c>
      <c r="E183" s="56"/>
      <c r="F183" s="56">
        <v>1</v>
      </c>
      <c r="G183" s="38" t="s">
        <v>1550</v>
      </c>
      <c r="H183" s="38" t="s">
        <v>242</v>
      </c>
      <c r="I183" s="38" t="s">
        <v>243</v>
      </c>
      <c r="J183" s="38" t="s">
        <v>2680</v>
      </c>
    </row>
    <row r="184" spans="1:10" ht="28.8" x14ac:dyDescent="0.3">
      <c r="A184" s="37" t="s">
        <v>1551</v>
      </c>
      <c r="B184" s="37" t="s">
        <v>1550</v>
      </c>
      <c r="C184" s="37" t="s">
        <v>346</v>
      </c>
      <c r="D184" s="37" t="s">
        <v>1552</v>
      </c>
      <c r="E184" s="55"/>
      <c r="F184" s="55">
        <v>1</v>
      </c>
      <c r="G184" s="37" t="s">
        <v>1550</v>
      </c>
      <c r="H184" s="37" t="s">
        <v>242</v>
      </c>
      <c r="I184" s="37" t="s">
        <v>346</v>
      </c>
      <c r="J184" s="37" t="s">
        <v>2680</v>
      </c>
    </row>
    <row r="185" spans="1:10" ht="28.8" x14ac:dyDescent="0.3">
      <c r="A185" s="38" t="s">
        <v>1556</v>
      </c>
      <c r="B185" s="38" t="s">
        <v>1554</v>
      </c>
      <c r="C185" s="38" t="s">
        <v>267</v>
      </c>
      <c r="D185" s="38" t="s">
        <v>1557</v>
      </c>
      <c r="E185" s="56"/>
      <c r="F185" s="56">
        <v>1</v>
      </c>
      <c r="G185" s="38" t="s">
        <v>1554</v>
      </c>
      <c r="H185" s="38" t="s">
        <v>242</v>
      </c>
      <c r="I185" s="38" t="s">
        <v>267</v>
      </c>
      <c r="J185" s="38" t="s">
        <v>2680</v>
      </c>
    </row>
    <row r="186" spans="1:10" ht="28.8" x14ac:dyDescent="0.3">
      <c r="A186" s="37" t="s">
        <v>1556</v>
      </c>
      <c r="B186" s="37" t="s">
        <v>1554</v>
      </c>
      <c r="C186" s="37" t="s">
        <v>243</v>
      </c>
      <c r="D186" s="37" t="s">
        <v>1557</v>
      </c>
      <c r="E186" s="55"/>
      <c r="F186" s="55">
        <v>1</v>
      </c>
      <c r="G186" s="37" t="s">
        <v>1554</v>
      </c>
      <c r="H186" s="37" t="s">
        <v>242</v>
      </c>
      <c r="I186" s="37" t="s">
        <v>243</v>
      </c>
      <c r="J186" s="37" t="s">
        <v>2680</v>
      </c>
    </row>
    <row r="187" spans="1:10" ht="28.8" x14ac:dyDescent="0.3">
      <c r="A187" s="38" t="s">
        <v>1556</v>
      </c>
      <c r="B187" s="38" t="s">
        <v>1554</v>
      </c>
      <c r="C187" s="38" t="s">
        <v>346</v>
      </c>
      <c r="D187" s="38" t="s">
        <v>1557</v>
      </c>
      <c r="E187" s="56"/>
      <c r="F187" s="56">
        <v>1</v>
      </c>
      <c r="G187" s="38" t="s">
        <v>1554</v>
      </c>
      <c r="H187" s="38" t="s">
        <v>242</v>
      </c>
      <c r="I187" s="38" t="s">
        <v>346</v>
      </c>
      <c r="J187" s="38" t="s">
        <v>2680</v>
      </c>
    </row>
    <row r="188" spans="1:10" ht="28.8" x14ac:dyDescent="0.3">
      <c r="A188" s="37" t="s">
        <v>1561</v>
      </c>
      <c r="B188" s="37" t="s">
        <v>1559</v>
      </c>
      <c r="C188" s="37" t="s">
        <v>267</v>
      </c>
      <c r="D188" s="37" t="s">
        <v>1562</v>
      </c>
      <c r="E188" s="55"/>
      <c r="F188" s="55">
        <v>1</v>
      </c>
      <c r="G188" s="37" t="s">
        <v>1559</v>
      </c>
      <c r="H188" s="37" t="s">
        <v>242</v>
      </c>
      <c r="I188" s="37" t="s">
        <v>267</v>
      </c>
      <c r="J188" s="37" t="s">
        <v>2680</v>
      </c>
    </row>
    <row r="189" spans="1:10" ht="28.8" x14ac:dyDescent="0.3">
      <c r="A189" s="38" t="s">
        <v>1561</v>
      </c>
      <c r="B189" s="38" t="s">
        <v>1559</v>
      </c>
      <c r="C189" s="38" t="s">
        <v>243</v>
      </c>
      <c r="D189" s="38" t="s">
        <v>1562</v>
      </c>
      <c r="E189" s="56"/>
      <c r="F189" s="56">
        <v>1</v>
      </c>
      <c r="G189" s="38" t="s">
        <v>1559</v>
      </c>
      <c r="H189" s="38" t="s">
        <v>242</v>
      </c>
      <c r="I189" s="38" t="s">
        <v>243</v>
      </c>
      <c r="J189" s="38" t="s">
        <v>2680</v>
      </c>
    </row>
    <row r="190" spans="1:10" ht="28.8" x14ac:dyDescent="0.3">
      <c r="A190" s="37" t="s">
        <v>1561</v>
      </c>
      <c r="B190" s="37" t="s">
        <v>1559</v>
      </c>
      <c r="C190" s="37" t="s">
        <v>346</v>
      </c>
      <c r="D190" s="37" t="s">
        <v>1562</v>
      </c>
      <c r="E190" s="55"/>
      <c r="F190" s="55">
        <v>1</v>
      </c>
      <c r="G190" s="37" t="s">
        <v>1559</v>
      </c>
      <c r="H190" s="37" t="s">
        <v>242</v>
      </c>
      <c r="I190" s="37" t="s">
        <v>346</v>
      </c>
      <c r="J190" s="37" t="s">
        <v>2680</v>
      </c>
    </row>
    <row r="191" spans="1:10" ht="28.8" x14ac:dyDescent="0.3">
      <c r="A191" s="38" t="s">
        <v>1566</v>
      </c>
      <c r="B191" s="38" t="s">
        <v>1564</v>
      </c>
      <c r="C191" s="38" t="s">
        <v>267</v>
      </c>
      <c r="D191" s="38" t="s">
        <v>1567</v>
      </c>
      <c r="E191" s="56"/>
      <c r="F191" s="56">
        <v>1</v>
      </c>
      <c r="G191" s="38" t="s">
        <v>1564</v>
      </c>
      <c r="H191" s="38" t="s">
        <v>242</v>
      </c>
      <c r="I191" s="38" t="s">
        <v>267</v>
      </c>
      <c r="J191" s="38" t="s">
        <v>2680</v>
      </c>
    </row>
    <row r="192" spans="1:10" ht="28.8" x14ac:dyDescent="0.3">
      <c r="A192" s="37" t="s">
        <v>1566</v>
      </c>
      <c r="B192" s="37" t="s">
        <v>1564</v>
      </c>
      <c r="C192" s="37" t="s">
        <v>243</v>
      </c>
      <c r="D192" s="37" t="s">
        <v>1567</v>
      </c>
      <c r="E192" s="55"/>
      <c r="F192" s="55">
        <v>1</v>
      </c>
      <c r="G192" s="37" t="s">
        <v>1564</v>
      </c>
      <c r="H192" s="37" t="s">
        <v>242</v>
      </c>
      <c r="I192" s="37" t="s">
        <v>243</v>
      </c>
      <c r="J192" s="37" t="s">
        <v>2680</v>
      </c>
    </row>
    <row r="193" spans="1:10" ht="28.8" x14ac:dyDescent="0.3">
      <c r="A193" s="38" t="s">
        <v>1566</v>
      </c>
      <c r="B193" s="38" t="s">
        <v>1564</v>
      </c>
      <c r="C193" s="38" t="s">
        <v>346</v>
      </c>
      <c r="D193" s="38" t="s">
        <v>1567</v>
      </c>
      <c r="E193" s="56"/>
      <c r="F193" s="56">
        <v>1</v>
      </c>
      <c r="G193" s="38" t="s">
        <v>1564</v>
      </c>
      <c r="H193" s="38" t="s">
        <v>242</v>
      </c>
      <c r="I193" s="38" t="s">
        <v>346</v>
      </c>
      <c r="J193" s="38" t="s">
        <v>2680</v>
      </c>
    </row>
    <row r="194" spans="1:10" ht="28.8" x14ac:dyDescent="0.3">
      <c r="A194" s="37" t="s">
        <v>1570</v>
      </c>
      <c r="B194" s="37" t="s">
        <v>1569</v>
      </c>
      <c r="C194" s="37" t="s">
        <v>267</v>
      </c>
      <c r="D194" s="37" t="s">
        <v>1571</v>
      </c>
      <c r="E194" s="55"/>
      <c r="F194" s="55">
        <v>1</v>
      </c>
      <c r="G194" s="37" t="s">
        <v>1569</v>
      </c>
      <c r="H194" s="37" t="s">
        <v>242</v>
      </c>
      <c r="I194" s="37" t="s">
        <v>267</v>
      </c>
      <c r="J194" s="37" t="s">
        <v>2680</v>
      </c>
    </row>
    <row r="195" spans="1:10" ht="28.8" x14ac:dyDescent="0.3">
      <c r="A195" s="38" t="s">
        <v>1570</v>
      </c>
      <c r="B195" s="38" t="s">
        <v>1569</v>
      </c>
      <c r="C195" s="38" t="s">
        <v>243</v>
      </c>
      <c r="D195" s="38" t="s">
        <v>1571</v>
      </c>
      <c r="E195" s="56"/>
      <c r="F195" s="56">
        <v>1</v>
      </c>
      <c r="G195" s="38" t="s">
        <v>1569</v>
      </c>
      <c r="H195" s="38" t="s">
        <v>242</v>
      </c>
      <c r="I195" s="38" t="s">
        <v>243</v>
      </c>
      <c r="J195" s="38" t="s">
        <v>2680</v>
      </c>
    </row>
    <row r="196" spans="1:10" ht="28.8" x14ac:dyDescent="0.3">
      <c r="A196" s="37" t="s">
        <v>1570</v>
      </c>
      <c r="B196" s="37" t="s">
        <v>1569</v>
      </c>
      <c r="C196" s="37" t="s">
        <v>346</v>
      </c>
      <c r="D196" s="37" t="s">
        <v>1571</v>
      </c>
      <c r="E196" s="55"/>
      <c r="F196" s="55">
        <v>1</v>
      </c>
      <c r="G196" s="37" t="s">
        <v>1569</v>
      </c>
      <c r="H196" s="37" t="s">
        <v>242</v>
      </c>
      <c r="I196" s="37" t="s">
        <v>346</v>
      </c>
      <c r="J196" s="37" t="s">
        <v>2680</v>
      </c>
    </row>
    <row r="197" spans="1:10" ht="28.8" x14ac:dyDescent="0.3">
      <c r="A197" s="38" t="s">
        <v>1575</v>
      </c>
      <c r="B197" s="38" t="s">
        <v>1573</v>
      </c>
      <c r="C197" s="38" t="s">
        <v>267</v>
      </c>
      <c r="D197" s="38" t="s">
        <v>1576</v>
      </c>
      <c r="E197" s="56"/>
      <c r="F197" s="56">
        <v>1</v>
      </c>
      <c r="G197" s="38" t="s">
        <v>1573</v>
      </c>
      <c r="H197" s="38" t="s">
        <v>242</v>
      </c>
      <c r="I197" s="38" t="s">
        <v>267</v>
      </c>
      <c r="J197" s="38" t="s">
        <v>2680</v>
      </c>
    </row>
    <row r="198" spans="1:10" ht="28.8" x14ac:dyDescent="0.3">
      <c r="A198" s="37" t="s">
        <v>1575</v>
      </c>
      <c r="B198" s="37" t="s">
        <v>1573</v>
      </c>
      <c r="C198" s="37" t="s">
        <v>243</v>
      </c>
      <c r="D198" s="37" t="s">
        <v>1576</v>
      </c>
      <c r="E198" s="55"/>
      <c r="F198" s="55">
        <v>1</v>
      </c>
      <c r="G198" s="37" t="s">
        <v>1573</v>
      </c>
      <c r="H198" s="37" t="s">
        <v>242</v>
      </c>
      <c r="I198" s="37" t="s">
        <v>243</v>
      </c>
      <c r="J198" s="37" t="s">
        <v>2680</v>
      </c>
    </row>
    <row r="199" spans="1:10" ht="28.8" x14ac:dyDescent="0.3">
      <c r="A199" s="38" t="s">
        <v>1575</v>
      </c>
      <c r="B199" s="38" t="s">
        <v>1573</v>
      </c>
      <c r="C199" s="38" t="s">
        <v>346</v>
      </c>
      <c r="D199" s="38" t="s">
        <v>1576</v>
      </c>
      <c r="E199" s="56"/>
      <c r="F199" s="56">
        <v>1</v>
      </c>
      <c r="G199" s="38" t="s">
        <v>1573</v>
      </c>
      <c r="H199" s="38" t="s">
        <v>242</v>
      </c>
      <c r="I199" s="38" t="s">
        <v>346</v>
      </c>
      <c r="J199" s="38" t="s">
        <v>2680</v>
      </c>
    </row>
    <row r="200" spans="1:10" ht="28.8" x14ac:dyDescent="0.3">
      <c r="A200" s="37" t="s">
        <v>1580</v>
      </c>
      <c r="B200" s="37" t="s">
        <v>1578</v>
      </c>
      <c r="C200" s="37" t="s">
        <v>267</v>
      </c>
      <c r="D200" s="37" t="s">
        <v>1581</v>
      </c>
      <c r="E200" s="55"/>
      <c r="F200" s="55">
        <v>1</v>
      </c>
      <c r="G200" s="37" t="s">
        <v>1578</v>
      </c>
      <c r="H200" s="37" t="s">
        <v>242</v>
      </c>
      <c r="I200" s="37" t="s">
        <v>267</v>
      </c>
      <c r="J200" s="37" t="s">
        <v>2680</v>
      </c>
    </row>
    <row r="201" spans="1:10" ht="28.8" x14ac:dyDescent="0.3">
      <c r="A201" s="38" t="s">
        <v>1580</v>
      </c>
      <c r="B201" s="38" t="s">
        <v>1578</v>
      </c>
      <c r="C201" s="38" t="s">
        <v>243</v>
      </c>
      <c r="D201" s="38" t="s">
        <v>1581</v>
      </c>
      <c r="E201" s="56"/>
      <c r="F201" s="56">
        <v>1</v>
      </c>
      <c r="G201" s="38" t="s">
        <v>1578</v>
      </c>
      <c r="H201" s="38" t="s">
        <v>242</v>
      </c>
      <c r="I201" s="38" t="s">
        <v>243</v>
      </c>
      <c r="J201" s="38" t="s">
        <v>2680</v>
      </c>
    </row>
    <row r="202" spans="1:10" ht="28.8" x14ac:dyDescent="0.3">
      <c r="A202" s="37" t="s">
        <v>1580</v>
      </c>
      <c r="B202" s="37" t="s">
        <v>1578</v>
      </c>
      <c r="C202" s="37" t="s">
        <v>346</v>
      </c>
      <c r="D202" s="37" t="s">
        <v>1581</v>
      </c>
      <c r="E202" s="55"/>
      <c r="F202" s="55">
        <v>1</v>
      </c>
      <c r="G202" s="37" t="s">
        <v>1578</v>
      </c>
      <c r="H202" s="37" t="s">
        <v>242</v>
      </c>
      <c r="I202" s="37" t="s">
        <v>346</v>
      </c>
      <c r="J202" s="37" t="s">
        <v>2680</v>
      </c>
    </row>
    <row r="203" spans="1:10" ht="28.8" x14ac:dyDescent="0.3">
      <c r="A203" s="38" t="s">
        <v>1584</v>
      </c>
      <c r="B203" s="38" t="s">
        <v>1583</v>
      </c>
      <c r="C203" s="38" t="s">
        <v>267</v>
      </c>
      <c r="D203" s="38" t="s">
        <v>1585</v>
      </c>
      <c r="E203" s="56"/>
      <c r="F203" s="56">
        <v>1</v>
      </c>
      <c r="G203" s="38" t="s">
        <v>1583</v>
      </c>
      <c r="H203" s="38" t="s">
        <v>242</v>
      </c>
      <c r="I203" s="38" t="s">
        <v>267</v>
      </c>
      <c r="J203" s="38" t="s">
        <v>2680</v>
      </c>
    </row>
    <row r="204" spans="1:10" ht="28.8" x14ac:dyDescent="0.3">
      <c r="A204" s="37" t="s">
        <v>1584</v>
      </c>
      <c r="B204" s="37" t="s">
        <v>1583</v>
      </c>
      <c r="C204" s="37" t="s">
        <v>243</v>
      </c>
      <c r="D204" s="37" t="s">
        <v>1585</v>
      </c>
      <c r="E204" s="55"/>
      <c r="F204" s="55">
        <v>1</v>
      </c>
      <c r="G204" s="37" t="s">
        <v>1583</v>
      </c>
      <c r="H204" s="37" t="s">
        <v>242</v>
      </c>
      <c r="I204" s="37" t="s">
        <v>243</v>
      </c>
      <c r="J204" s="37" t="s">
        <v>2680</v>
      </c>
    </row>
    <row r="205" spans="1:10" ht="28.8" x14ac:dyDescent="0.3">
      <c r="A205" s="38" t="s">
        <v>1584</v>
      </c>
      <c r="B205" s="38" t="s">
        <v>1583</v>
      </c>
      <c r="C205" s="38" t="s">
        <v>346</v>
      </c>
      <c r="D205" s="38" t="s">
        <v>1585</v>
      </c>
      <c r="E205" s="56"/>
      <c r="F205" s="56">
        <v>1</v>
      </c>
      <c r="G205" s="38" t="s">
        <v>1583</v>
      </c>
      <c r="H205" s="38" t="s">
        <v>242</v>
      </c>
      <c r="I205" s="38" t="s">
        <v>346</v>
      </c>
      <c r="J205" s="38" t="s">
        <v>2680</v>
      </c>
    </row>
    <row r="206" spans="1:10" ht="28.8" x14ac:dyDescent="0.3">
      <c r="A206" s="37" t="s">
        <v>1708</v>
      </c>
      <c r="B206" s="37" t="s">
        <v>1706</v>
      </c>
      <c r="C206" s="37" t="s">
        <v>267</v>
      </c>
      <c r="D206" s="37" t="s">
        <v>1709</v>
      </c>
      <c r="E206" s="55"/>
      <c r="F206" s="55">
        <v>1</v>
      </c>
      <c r="G206" s="37" t="s">
        <v>1706</v>
      </c>
      <c r="H206" s="37" t="s">
        <v>242</v>
      </c>
      <c r="I206" s="37" t="s">
        <v>267</v>
      </c>
      <c r="J206" s="37" t="s">
        <v>2680</v>
      </c>
    </row>
    <row r="207" spans="1:10" ht="28.8" x14ac:dyDescent="0.3">
      <c r="A207" s="38" t="s">
        <v>1708</v>
      </c>
      <c r="B207" s="38" t="s">
        <v>1706</v>
      </c>
      <c r="C207" s="38" t="s">
        <v>243</v>
      </c>
      <c r="D207" s="38" t="s">
        <v>1709</v>
      </c>
      <c r="E207" s="56"/>
      <c r="F207" s="56">
        <v>1</v>
      </c>
      <c r="G207" s="38" t="s">
        <v>1706</v>
      </c>
      <c r="H207" s="38" t="s">
        <v>242</v>
      </c>
      <c r="I207" s="38" t="s">
        <v>243</v>
      </c>
      <c r="J207" s="38" t="s">
        <v>2680</v>
      </c>
    </row>
    <row r="208" spans="1:10" ht="28.8" x14ac:dyDescent="0.3">
      <c r="A208" s="37" t="s">
        <v>1708</v>
      </c>
      <c r="B208" s="37" t="s">
        <v>1706</v>
      </c>
      <c r="C208" s="37" t="s">
        <v>346</v>
      </c>
      <c r="D208" s="37" t="s">
        <v>1709</v>
      </c>
      <c r="E208" s="55"/>
      <c r="F208" s="55">
        <v>1</v>
      </c>
      <c r="G208" s="37" t="s">
        <v>1706</v>
      </c>
      <c r="H208" s="37" t="s">
        <v>242</v>
      </c>
      <c r="I208" s="37" t="s">
        <v>346</v>
      </c>
      <c r="J208" s="37" t="s">
        <v>2680</v>
      </c>
    </row>
    <row r="209" spans="1:10" ht="28.8" x14ac:dyDescent="0.3">
      <c r="A209" s="38" t="s">
        <v>1712</v>
      </c>
      <c r="B209" s="38" t="s">
        <v>1711</v>
      </c>
      <c r="C209" s="38" t="s">
        <v>267</v>
      </c>
      <c r="D209" s="38" t="s">
        <v>1713</v>
      </c>
      <c r="E209" s="56"/>
      <c r="F209" s="56">
        <v>1</v>
      </c>
      <c r="G209" s="38" t="s">
        <v>1711</v>
      </c>
      <c r="H209" s="38" t="s">
        <v>242</v>
      </c>
      <c r="I209" s="38" t="s">
        <v>267</v>
      </c>
      <c r="J209" s="38" t="s">
        <v>2680</v>
      </c>
    </row>
    <row r="210" spans="1:10" ht="28.8" x14ac:dyDescent="0.3">
      <c r="A210" s="37" t="s">
        <v>1712</v>
      </c>
      <c r="B210" s="37" t="s">
        <v>1711</v>
      </c>
      <c r="C210" s="37" t="s">
        <v>243</v>
      </c>
      <c r="D210" s="37" t="s">
        <v>1713</v>
      </c>
      <c r="E210" s="55"/>
      <c r="F210" s="55">
        <v>1</v>
      </c>
      <c r="G210" s="37" t="s">
        <v>1711</v>
      </c>
      <c r="H210" s="37" t="s">
        <v>242</v>
      </c>
      <c r="I210" s="37" t="s">
        <v>243</v>
      </c>
      <c r="J210" s="37" t="s">
        <v>2680</v>
      </c>
    </row>
    <row r="211" spans="1:10" ht="28.8" x14ac:dyDescent="0.3">
      <c r="A211" s="38" t="s">
        <v>1712</v>
      </c>
      <c r="B211" s="38" t="s">
        <v>1711</v>
      </c>
      <c r="C211" s="38" t="s">
        <v>346</v>
      </c>
      <c r="D211" s="38" t="s">
        <v>1713</v>
      </c>
      <c r="E211" s="56"/>
      <c r="F211" s="56">
        <v>1</v>
      </c>
      <c r="G211" s="38" t="s">
        <v>1711</v>
      </c>
      <c r="H211" s="38" t="s">
        <v>242</v>
      </c>
      <c r="I211" s="38" t="s">
        <v>346</v>
      </c>
      <c r="J211" s="38" t="s">
        <v>2680</v>
      </c>
    </row>
    <row r="212" spans="1:10" ht="28.8" x14ac:dyDescent="0.3">
      <c r="A212" s="37" t="s">
        <v>1751</v>
      </c>
      <c r="B212" s="37" t="s">
        <v>1749</v>
      </c>
      <c r="C212" s="37" t="s">
        <v>267</v>
      </c>
      <c r="D212" s="37" t="s">
        <v>1752</v>
      </c>
      <c r="E212" s="55"/>
      <c r="F212" s="55">
        <v>1</v>
      </c>
      <c r="G212" s="37" t="s">
        <v>1749</v>
      </c>
      <c r="H212" s="37" t="s">
        <v>242</v>
      </c>
      <c r="I212" s="37" t="s">
        <v>267</v>
      </c>
      <c r="J212" s="37" t="s">
        <v>2680</v>
      </c>
    </row>
    <row r="213" spans="1:10" ht="28.8" x14ac:dyDescent="0.3">
      <c r="A213" s="38" t="s">
        <v>1751</v>
      </c>
      <c r="B213" s="38" t="s">
        <v>1749</v>
      </c>
      <c r="C213" s="38" t="s">
        <v>243</v>
      </c>
      <c r="D213" s="38" t="s">
        <v>1752</v>
      </c>
      <c r="E213" s="56"/>
      <c r="F213" s="56">
        <v>1</v>
      </c>
      <c r="G213" s="38" t="s">
        <v>1749</v>
      </c>
      <c r="H213" s="38" t="s">
        <v>242</v>
      </c>
      <c r="I213" s="38" t="s">
        <v>243</v>
      </c>
      <c r="J213" s="38" t="s">
        <v>2680</v>
      </c>
    </row>
    <row r="214" spans="1:10" ht="28.8" x14ac:dyDescent="0.3">
      <c r="A214" s="37" t="s">
        <v>1751</v>
      </c>
      <c r="B214" s="37" t="s">
        <v>1749</v>
      </c>
      <c r="C214" s="37" t="s">
        <v>346</v>
      </c>
      <c r="D214" s="37" t="s">
        <v>1752</v>
      </c>
      <c r="E214" s="55"/>
      <c r="F214" s="55">
        <v>1</v>
      </c>
      <c r="G214" s="37" t="s">
        <v>1749</v>
      </c>
      <c r="H214" s="37" t="s">
        <v>242</v>
      </c>
      <c r="I214" s="37" t="s">
        <v>346</v>
      </c>
      <c r="J214" s="37" t="s">
        <v>2680</v>
      </c>
    </row>
    <row r="215" spans="1:10" ht="28.8" x14ac:dyDescent="0.3">
      <c r="A215" s="38" t="s">
        <v>1756</v>
      </c>
      <c r="B215" s="38" t="s">
        <v>1754</v>
      </c>
      <c r="C215" s="38" t="s">
        <v>267</v>
      </c>
      <c r="D215" s="38" t="s">
        <v>1757</v>
      </c>
      <c r="E215" s="56"/>
      <c r="F215" s="56">
        <v>1</v>
      </c>
      <c r="G215" s="38" t="s">
        <v>1754</v>
      </c>
      <c r="H215" s="38" t="s">
        <v>242</v>
      </c>
      <c r="I215" s="38" t="s">
        <v>267</v>
      </c>
      <c r="J215" s="38" t="s">
        <v>2680</v>
      </c>
    </row>
    <row r="216" spans="1:10" ht="28.8" x14ac:dyDescent="0.3">
      <c r="A216" s="37" t="s">
        <v>1756</v>
      </c>
      <c r="B216" s="37" t="s">
        <v>1754</v>
      </c>
      <c r="C216" s="37" t="s">
        <v>243</v>
      </c>
      <c r="D216" s="37" t="s">
        <v>1757</v>
      </c>
      <c r="E216" s="55"/>
      <c r="F216" s="55">
        <v>1</v>
      </c>
      <c r="G216" s="37" t="s">
        <v>1754</v>
      </c>
      <c r="H216" s="37" t="s">
        <v>242</v>
      </c>
      <c r="I216" s="37" t="s">
        <v>243</v>
      </c>
      <c r="J216" s="37" t="s">
        <v>2680</v>
      </c>
    </row>
    <row r="217" spans="1:10" ht="28.8" x14ac:dyDescent="0.3">
      <c r="A217" s="38" t="s">
        <v>1756</v>
      </c>
      <c r="B217" s="38" t="s">
        <v>1754</v>
      </c>
      <c r="C217" s="38" t="s">
        <v>346</v>
      </c>
      <c r="D217" s="38" t="s">
        <v>1757</v>
      </c>
      <c r="E217" s="56"/>
      <c r="F217" s="56">
        <v>1</v>
      </c>
      <c r="G217" s="38" t="s">
        <v>1754</v>
      </c>
      <c r="H217" s="38" t="s">
        <v>242</v>
      </c>
      <c r="I217" s="38" t="s">
        <v>346</v>
      </c>
      <c r="J217" s="38" t="s">
        <v>2680</v>
      </c>
    </row>
    <row r="218" spans="1:10" ht="28.8" x14ac:dyDescent="0.3">
      <c r="A218" s="37" t="s">
        <v>1760</v>
      </c>
      <c r="B218" s="37" t="s">
        <v>1759</v>
      </c>
      <c r="C218" s="37" t="s">
        <v>267</v>
      </c>
      <c r="D218" s="37" t="s">
        <v>1761</v>
      </c>
      <c r="E218" s="55"/>
      <c r="F218" s="55">
        <v>1</v>
      </c>
      <c r="G218" s="37" t="s">
        <v>1759</v>
      </c>
      <c r="H218" s="37" t="s">
        <v>242</v>
      </c>
      <c r="I218" s="37" t="s">
        <v>267</v>
      </c>
      <c r="J218" s="37" t="s">
        <v>2680</v>
      </c>
    </row>
    <row r="219" spans="1:10" ht="28.8" x14ac:dyDescent="0.3">
      <c r="A219" s="38" t="s">
        <v>1760</v>
      </c>
      <c r="B219" s="38" t="s">
        <v>1759</v>
      </c>
      <c r="C219" s="38" t="s">
        <v>243</v>
      </c>
      <c r="D219" s="38" t="s">
        <v>1761</v>
      </c>
      <c r="E219" s="56"/>
      <c r="F219" s="56">
        <v>1</v>
      </c>
      <c r="G219" s="38" t="s">
        <v>1759</v>
      </c>
      <c r="H219" s="38" t="s">
        <v>242</v>
      </c>
      <c r="I219" s="38" t="s">
        <v>243</v>
      </c>
      <c r="J219" s="38" t="s">
        <v>2680</v>
      </c>
    </row>
    <row r="220" spans="1:10" ht="28.8" x14ac:dyDescent="0.3">
      <c r="A220" s="37" t="s">
        <v>1760</v>
      </c>
      <c r="B220" s="37" t="s">
        <v>1759</v>
      </c>
      <c r="C220" s="37" t="s">
        <v>346</v>
      </c>
      <c r="D220" s="37" t="s">
        <v>1761</v>
      </c>
      <c r="E220" s="55"/>
      <c r="F220" s="55">
        <v>1</v>
      </c>
      <c r="G220" s="37" t="s">
        <v>1759</v>
      </c>
      <c r="H220" s="37" t="s">
        <v>242</v>
      </c>
      <c r="I220" s="37" t="s">
        <v>346</v>
      </c>
      <c r="J220" s="37" t="s">
        <v>2680</v>
      </c>
    </row>
    <row r="221" spans="1:10" ht="28.8" x14ac:dyDescent="0.3">
      <c r="A221" s="38" t="s">
        <v>1764</v>
      </c>
      <c r="B221" s="38" t="s">
        <v>1763</v>
      </c>
      <c r="C221" s="38" t="s">
        <v>267</v>
      </c>
      <c r="D221" s="38" t="s">
        <v>1765</v>
      </c>
      <c r="E221" s="56"/>
      <c r="F221" s="56">
        <v>1</v>
      </c>
      <c r="G221" s="38" t="s">
        <v>1763</v>
      </c>
      <c r="H221" s="38" t="s">
        <v>242</v>
      </c>
      <c r="I221" s="38" t="s">
        <v>267</v>
      </c>
      <c r="J221" s="38" t="s">
        <v>2680</v>
      </c>
    </row>
    <row r="222" spans="1:10" ht="28.8" x14ac:dyDescent="0.3">
      <c r="A222" s="37" t="s">
        <v>1764</v>
      </c>
      <c r="B222" s="37" t="s">
        <v>1763</v>
      </c>
      <c r="C222" s="37" t="s">
        <v>243</v>
      </c>
      <c r="D222" s="37" t="s">
        <v>1765</v>
      </c>
      <c r="E222" s="55"/>
      <c r="F222" s="55">
        <v>1</v>
      </c>
      <c r="G222" s="37" t="s">
        <v>1763</v>
      </c>
      <c r="H222" s="37" t="s">
        <v>242</v>
      </c>
      <c r="I222" s="37" t="s">
        <v>243</v>
      </c>
      <c r="J222" s="37" t="s">
        <v>2680</v>
      </c>
    </row>
    <row r="223" spans="1:10" ht="28.8" x14ac:dyDescent="0.3">
      <c r="A223" s="38" t="s">
        <v>1764</v>
      </c>
      <c r="B223" s="38" t="s">
        <v>1763</v>
      </c>
      <c r="C223" s="38" t="s">
        <v>346</v>
      </c>
      <c r="D223" s="38" t="s">
        <v>1765</v>
      </c>
      <c r="E223" s="56"/>
      <c r="F223" s="56">
        <v>1</v>
      </c>
      <c r="G223" s="38" t="s">
        <v>1763</v>
      </c>
      <c r="H223" s="38" t="s">
        <v>242</v>
      </c>
      <c r="I223" s="38" t="s">
        <v>346</v>
      </c>
      <c r="J223" s="38" t="s">
        <v>2680</v>
      </c>
    </row>
    <row r="224" spans="1:10" ht="43.2" x14ac:dyDescent="0.3">
      <c r="A224" s="37" t="s">
        <v>1785</v>
      </c>
      <c r="B224" s="37" t="s">
        <v>1784</v>
      </c>
      <c r="C224" s="37" t="s">
        <v>267</v>
      </c>
      <c r="D224" s="37" t="s">
        <v>1786</v>
      </c>
      <c r="E224" s="55"/>
      <c r="F224" s="55">
        <v>1</v>
      </c>
      <c r="G224" s="37" t="s">
        <v>1784</v>
      </c>
      <c r="H224" s="37" t="s">
        <v>242</v>
      </c>
      <c r="I224" s="37" t="s">
        <v>267</v>
      </c>
      <c r="J224" s="37" t="s">
        <v>2680</v>
      </c>
    </row>
    <row r="225" spans="1:10" ht="43.2" x14ac:dyDescent="0.3">
      <c r="A225" s="38" t="s">
        <v>1785</v>
      </c>
      <c r="B225" s="38" t="s">
        <v>1784</v>
      </c>
      <c r="C225" s="38" t="s">
        <v>243</v>
      </c>
      <c r="D225" s="38" t="s">
        <v>1786</v>
      </c>
      <c r="E225" s="56"/>
      <c r="F225" s="56">
        <v>1</v>
      </c>
      <c r="G225" s="38" t="s">
        <v>1784</v>
      </c>
      <c r="H225" s="38" t="s">
        <v>242</v>
      </c>
      <c r="I225" s="38" t="s">
        <v>243</v>
      </c>
      <c r="J225" s="38" t="s">
        <v>2680</v>
      </c>
    </row>
    <row r="226" spans="1:10" ht="43.2" x14ac:dyDescent="0.3">
      <c r="A226" s="37" t="s">
        <v>1785</v>
      </c>
      <c r="B226" s="37" t="s">
        <v>1784</v>
      </c>
      <c r="C226" s="37" t="s">
        <v>346</v>
      </c>
      <c r="D226" s="37" t="s">
        <v>1786</v>
      </c>
      <c r="E226" s="55"/>
      <c r="F226" s="55">
        <v>1</v>
      </c>
      <c r="G226" s="37" t="s">
        <v>1784</v>
      </c>
      <c r="H226" s="37" t="s">
        <v>242</v>
      </c>
      <c r="I226" s="37" t="s">
        <v>346</v>
      </c>
      <c r="J226" s="37" t="s">
        <v>2680</v>
      </c>
    </row>
    <row r="227" spans="1:10" ht="28.8" x14ac:dyDescent="0.3">
      <c r="A227" s="38" t="s">
        <v>1790</v>
      </c>
      <c r="B227" s="38" t="s">
        <v>1788</v>
      </c>
      <c r="C227" s="38" t="s">
        <v>267</v>
      </c>
      <c r="D227" s="38" t="s">
        <v>1791</v>
      </c>
      <c r="E227" s="56"/>
      <c r="F227" s="56">
        <v>1</v>
      </c>
      <c r="G227" s="38" t="s">
        <v>1788</v>
      </c>
      <c r="H227" s="38" t="s">
        <v>242</v>
      </c>
      <c r="I227" s="38" t="s">
        <v>267</v>
      </c>
      <c r="J227" s="38" t="s">
        <v>2680</v>
      </c>
    </row>
    <row r="228" spans="1:10" ht="28.8" x14ac:dyDescent="0.3">
      <c r="A228" s="37" t="s">
        <v>1790</v>
      </c>
      <c r="B228" s="37" t="s">
        <v>1788</v>
      </c>
      <c r="C228" s="37" t="s">
        <v>243</v>
      </c>
      <c r="D228" s="37" t="s">
        <v>1791</v>
      </c>
      <c r="E228" s="55"/>
      <c r="F228" s="55">
        <v>1</v>
      </c>
      <c r="G228" s="37" t="s">
        <v>1788</v>
      </c>
      <c r="H228" s="37" t="s">
        <v>242</v>
      </c>
      <c r="I228" s="37" t="s">
        <v>243</v>
      </c>
      <c r="J228" s="37" t="s">
        <v>2680</v>
      </c>
    </row>
    <row r="229" spans="1:10" ht="28.8" x14ac:dyDescent="0.3">
      <c r="A229" s="38" t="s">
        <v>1790</v>
      </c>
      <c r="B229" s="38" t="s">
        <v>1788</v>
      </c>
      <c r="C229" s="38" t="s">
        <v>346</v>
      </c>
      <c r="D229" s="38" t="s">
        <v>1791</v>
      </c>
      <c r="E229" s="56"/>
      <c r="F229" s="56">
        <v>1</v>
      </c>
      <c r="G229" s="38" t="s">
        <v>1788</v>
      </c>
      <c r="H229" s="38" t="s">
        <v>242</v>
      </c>
      <c r="I229" s="38" t="s">
        <v>346</v>
      </c>
      <c r="J229" s="38" t="s">
        <v>2680</v>
      </c>
    </row>
    <row r="230" spans="1:10" ht="28.8" x14ac:dyDescent="0.3">
      <c r="A230" s="37" t="s">
        <v>1795</v>
      </c>
      <c r="B230" s="37" t="s">
        <v>1793</v>
      </c>
      <c r="C230" s="37" t="s">
        <v>267</v>
      </c>
      <c r="D230" s="37" t="s">
        <v>1796</v>
      </c>
      <c r="E230" s="55"/>
      <c r="F230" s="55">
        <v>1</v>
      </c>
      <c r="G230" s="37" t="s">
        <v>1793</v>
      </c>
      <c r="H230" s="37" t="s">
        <v>242</v>
      </c>
      <c r="I230" s="37" t="s">
        <v>267</v>
      </c>
      <c r="J230" s="37" t="s">
        <v>2680</v>
      </c>
    </row>
    <row r="231" spans="1:10" ht="28.8" x14ac:dyDescent="0.3">
      <c r="A231" s="38" t="s">
        <v>1795</v>
      </c>
      <c r="B231" s="38" t="s">
        <v>1793</v>
      </c>
      <c r="C231" s="38" t="s">
        <v>243</v>
      </c>
      <c r="D231" s="38" t="s">
        <v>1796</v>
      </c>
      <c r="E231" s="56"/>
      <c r="F231" s="56">
        <v>1</v>
      </c>
      <c r="G231" s="38" t="s">
        <v>1793</v>
      </c>
      <c r="H231" s="38" t="s">
        <v>242</v>
      </c>
      <c r="I231" s="38" t="s">
        <v>243</v>
      </c>
      <c r="J231" s="38" t="s">
        <v>2680</v>
      </c>
    </row>
    <row r="232" spans="1:10" ht="28.8" x14ac:dyDescent="0.3">
      <c r="A232" s="37" t="s">
        <v>1795</v>
      </c>
      <c r="B232" s="37" t="s">
        <v>1793</v>
      </c>
      <c r="C232" s="37" t="s">
        <v>346</v>
      </c>
      <c r="D232" s="37" t="s">
        <v>1796</v>
      </c>
      <c r="E232" s="55"/>
      <c r="F232" s="55">
        <v>1</v>
      </c>
      <c r="G232" s="37" t="s">
        <v>1793</v>
      </c>
      <c r="H232" s="37" t="s">
        <v>242</v>
      </c>
      <c r="I232" s="37" t="s">
        <v>346</v>
      </c>
      <c r="J232" s="37" t="s">
        <v>2680</v>
      </c>
    </row>
    <row r="233" spans="1:10" ht="28.8" x14ac:dyDescent="0.3">
      <c r="A233" s="38" t="s">
        <v>1799</v>
      </c>
      <c r="B233" s="38" t="s">
        <v>1798</v>
      </c>
      <c r="C233" s="38" t="s">
        <v>267</v>
      </c>
      <c r="D233" s="38" t="s">
        <v>1800</v>
      </c>
      <c r="E233" s="56"/>
      <c r="F233" s="56">
        <v>1</v>
      </c>
      <c r="G233" s="38" t="s">
        <v>1798</v>
      </c>
      <c r="H233" s="38" t="s">
        <v>242</v>
      </c>
      <c r="I233" s="38" t="s">
        <v>267</v>
      </c>
      <c r="J233" s="38" t="s">
        <v>2680</v>
      </c>
    </row>
    <row r="234" spans="1:10" ht="28.8" x14ac:dyDescent="0.3">
      <c r="A234" s="37" t="s">
        <v>1799</v>
      </c>
      <c r="B234" s="37" t="s">
        <v>1798</v>
      </c>
      <c r="C234" s="37" t="s">
        <v>243</v>
      </c>
      <c r="D234" s="37" t="s">
        <v>1800</v>
      </c>
      <c r="E234" s="55"/>
      <c r="F234" s="55">
        <v>1</v>
      </c>
      <c r="G234" s="37" t="s">
        <v>1798</v>
      </c>
      <c r="H234" s="37" t="s">
        <v>242</v>
      </c>
      <c r="I234" s="37" t="s">
        <v>243</v>
      </c>
      <c r="J234" s="37" t="s">
        <v>2680</v>
      </c>
    </row>
    <row r="235" spans="1:10" ht="28.8" x14ac:dyDescent="0.3">
      <c r="A235" s="38" t="s">
        <v>1799</v>
      </c>
      <c r="B235" s="38" t="s">
        <v>1798</v>
      </c>
      <c r="C235" s="38" t="s">
        <v>346</v>
      </c>
      <c r="D235" s="38" t="s">
        <v>1800</v>
      </c>
      <c r="E235" s="56"/>
      <c r="F235" s="56">
        <v>1</v>
      </c>
      <c r="G235" s="38" t="s">
        <v>1798</v>
      </c>
      <c r="H235" s="38" t="s">
        <v>242</v>
      </c>
      <c r="I235" s="38" t="s">
        <v>346</v>
      </c>
      <c r="J235" s="38" t="s">
        <v>2680</v>
      </c>
    </row>
    <row r="236" spans="1:10" ht="28.8" x14ac:dyDescent="0.3">
      <c r="A236" s="37" t="s">
        <v>1804</v>
      </c>
      <c r="B236" s="37" t="s">
        <v>1802</v>
      </c>
      <c r="C236" s="37" t="s">
        <v>267</v>
      </c>
      <c r="D236" s="37" t="s">
        <v>1805</v>
      </c>
      <c r="E236" s="55"/>
      <c r="F236" s="55">
        <v>1</v>
      </c>
      <c r="G236" s="37" t="s">
        <v>1802</v>
      </c>
      <c r="H236" s="37" t="s">
        <v>242</v>
      </c>
      <c r="I236" s="37" t="s">
        <v>267</v>
      </c>
      <c r="J236" s="37" t="s">
        <v>2680</v>
      </c>
    </row>
    <row r="237" spans="1:10" ht="28.8" x14ac:dyDescent="0.3">
      <c r="A237" s="38" t="s">
        <v>1804</v>
      </c>
      <c r="B237" s="38" t="s">
        <v>1802</v>
      </c>
      <c r="C237" s="38" t="s">
        <v>243</v>
      </c>
      <c r="D237" s="38" t="s">
        <v>1805</v>
      </c>
      <c r="E237" s="56"/>
      <c r="F237" s="56">
        <v>1</v>
      </c>
      <c r="G237" s="38" t="s">
        <v>1802</v>
      </c>
      <c r="H237" s="38" t="s">
        <v>242</v>
      </c>
      <c r="I237" s="38" t="s">
        <v>243</v>
      </c>
      <c r="J237" s="38" t="s">
        <v>2680</v>
      </c>
    </row>
    <row r="238" spans="1:10" ht="28.8" x14ac:dyDescent="0.3">
      <c r="A238" s="37" t="s">
        <v>1804</v>
      </c>
      <c r="B238" s="37" t="s">
        <v>1802</v>
      </c>
      <c r="C238" s="37" t="s">
        <v>346</v>
      </c>
      <c r="D238" s="37" t="s">
        <v>1805</v>
      </c>
      <c r="E238" s="55"/>
      <c r="F238" s="55">
        <v>1</v>
      </c>
      <c r="G238" s="37" t="s">
        <v>1802</v>
      </c>
      <c r="H238" s="37" t="s">
        <v>242</v>
      </c>
      <c r="I238" s="37" t="s">
        <v>346</v>
      </c>
      <c r="J238" s="37" t="s">
        <v>2680</v>
      </c>
    </row>
    <row r="239" spans="1:10" ht="28.8" x14ac:dyDescent="0.3">
      <c r="A239" s="38" t="s">
        <v>1808</v>
      </c>
      <c r="B239" s="38" t="s">
        <v>1807</v>
      </c>
      <c r="C239" s="38" t="s">
        <v>267</v>
      </c>
      <c r="D239" s="38" t="s">
        <v>1809</v>
      </c>
      <c r="E239" s="56"/>
      <c r="F239" s="56">
        <v>1</v>
      </c>
      <c r="G239" s="38" t="s">
        <v>1807</v>
      </c>
      <c r="H239" s="38" t="s">
        <v>242</v>
      </c>
      <c r="I239" s="38" t="s">
        <v>267</v>
      </c>
      <c r="J239" s="38" t="s">
        <v>2680</v>
      </c>
    </row>
    <row r="240" spans="1:10" ht="28.8" x14ac:dyDescent="0.3">
      <c r="A240" s="37" t="s">
        <v>1808</v>
      </c>
      <c r="B240" s="37" t="s">
        <v>1807</v>
      </c>
      <c r="C240" s="37" t="s">
        <v>243</v>
      </c>
      <c r="D240" s="37" t="s">
        <v>1809</v>
      </c>
      <c r="E240" s="55"/>
      <c r="F240" s="55">
        <v>1</v>
      </c>
      <c r="G240" s="37" t="s">
        <v>1807</v>
      </c>
      <c r="H240" s="37" t="s">
        <v>242</v>
      </c>
      <c r="I240" s="37" t="s">
        <v>243</v>
      </c>
      <c r="J240" s="37" t="s">
        <v>2680</v>
      </c>
    </row>
    <row r="241" spans="1:10" ht="28.8" x14ac:dyDescent="0.3">
      <c r="A241" s="38" t="s">
        <v>1808</v>
      </c>
      <c r="B241" s="38" t="s">
        <v>1807</v>
      </c>
      <c r="C241" s="38" t="s">
        <v>346</v>
      </c>
      <c r="D241" s="38" t="s">
        <v>1809</v>
      </c>
      <c r="E241" s="56"/>
      <c r="F241" s="56">
        <v>1</v>
      </c>
      <c r="G241" s="38" t="s">
        <v>1807</v>
      </c>
      <c r="H241" s="38" t="s">
        <v>242</v>
      </c>
      <c r="I241" s="38" t="s">
        <v>346</v>
      </c>
      <c r="J241" s="38" t="s">
        <v>2680</v>
      </c>
    </row>
    <row r="242" spans="1:10" ht="28.8" x14ac:dyDescent="0.3">
      <c r="A242" s="37" t="s">
        <v>1813</v>
      </c>
      <c r="B242" s="37" t="s">
        <v>1811</v>
      </c>
      <c r="C242" s="37" t="s">
        <v>267</v>
      </c>
      <c r="D242" s="37" t="s">
        <v>1814</v>
      </c>
      <c r="E242" s="55"/>
      <c r="F242" s="55">
        <v>1</v>
      </c>
      <c r="G242" s="37" t="s">
        <v>1811</v>
      </c>
      <c r="H242" s="37" t="s">
        <v>242</v>
      </c>
      <c r="I242" s="37" t="s">
        <v>267</v>
      </c>
      <c r="J242" s="37" t="s">
        <v>2680</v>
      </c>
    </row>
    <row r="243" spans="1:10" ht="28.8" x14ac:dyDescent="0.3">
      <c r="A243" s="38" t="s">
        <v>1813</v>
      </c>
      <c r="B243" s="38" t="s">
        <v>1811</v>
      </c>
      <c r="C243" s="38" t="s">
        <v>243</v>
      </c>
      <c r="D243" s="38" t="s">
        <v>1814</v>
      </c>
      <c r="E243" s="56"/>
      <c r="F243" s="56">
        <v>1</v>
      </c>
      <c r="G243" s="38" t="s">
        <v>1811</v>
      </c>
      <c r="H243" s="38" t="s">
        <v>242</v>
      </c>
      <c r="I243" s="38" t="s">
        <v>243</v>
      </c>
      <c r="J243" s="38" t="s">
        <v>2680</v>
      </c>
    </row>
    <row r="244" spans="1:10" ht="28.8" x14ac:dyDescent="0.3">
      <c r="A244" s="37" t="s">
        <v>1813</v>
      </c>
      <c r="B244" s="37" t="s">
        <v>1811</v>
      </c>
      <c r="C244" s="37" t="s">
        <v>346</v>
      </c>
      <c r="D244" s="37" t="s">
        <v>1814</v>
      </c>
      <c r="E244" s="55"/>
      <c r="F244" s="55">
        <v>1</v>
      </c>
      <c r="G244" s="37" t="s">
        <v>1811</v>
      </c>
      <c r="H244" s="37" t="s">
        <v>242</v>
      </c>
      <c r="I244" s="37" t="s">
        <v>346</v>
      </c>
      <c r="J244" s="37" t="s">
        <v>2680</v>
      </c>
    </row>
    <row r="245" spans="1:10" ht="57.6" x14ac:dyDescent="0.3">
      <c r="A245" s="38" t="s">
        <v>1833</v>
      </c>
      <c r="B245" s="38" t="s">
        <v>1832</v>
      </c>
      <c r="C245" s="38" t="s">
        <v>267</v>
      </c>
      <c r="D245" s="38" t="s">
        <v>1834</v>
      </c>
      <c r="E245" s="56"/>
      <c r="F245" s="56">
        <v>1</v>
      </c>
      <c r="G245" s="38" t="s">
        <v>1832</v>
      </c>
      <c r="H245" s="38" t="s">
        <v>242</v>
      </c>
      <c r="I245" s="38" t="s">
        <v>267</v>
      </c>
      <c r="J245" s="38" t="s">
        <v>2680</v>
      </c>
    </row>
    <row r="246" spans="1:10" ht="57.6" x14ac:dyDescent="0.3">
      <c r="A246" s="37" t="s">
        <v>1833</v>
      </c>
      <c r="B246" s="37" t="s">
        <v>1832</v>
      </c>
      <c r="C246" s="37" t="s">
        <v>243</v>
      </c>
      <c r="D246" s="37" t="s">
        <v>1834</v>
      </c>
      <c r="E246" s="55"/>
      <c r="F246" s="55">
        <v>1</v>
      </c>
      <c r="G246" s="37" t="s">
        <v>1832</v>
      </c>
      <c r="H246" s="37" t="s">
        <v>242</v>
      </c>
      <c r="I246" s="37" t="s">
        <v>243</v>
      </c>
      <c r="J246" s="37" t="s">
        <v>2680</v>
      </c>
    </row>
    <row r="247" spans="1:10" ht="57.6" x14ac:dyDescent="0.3">
      <c r="A247" s="38" t="s">
        <v>1833</v>
      </c>
      <c r="B247" s="38" t="s">
        <v>1832</v>
      </c>
      <c r="C247" s="38" t="s">
        <v>346</v>
      </c>
      <c r="D247" s="38" t="s">
        <v>1834</v>
      </c>
      <c r="E247" s="56"/>
      <c r="F247" s="56">
        <v>1</v>
      </c>
      <c r="G247" s="38" t="s">
        <v>1832</v>
      </c>
      <c r="H247" s="38" t="s">
        <v>242</v>
      </c>
      <c r="I247" s="38" t="s">
        <v>346</v>
      </c>
      <c r="J247" s="38" t="s">
        <v>2680</v>
      </c>
    </row>
    <row r="248" spans="1:10" ht="28.8" x14ac:dyDescent="0.3">
      <c r="A248" s="37" t="s">
        <v>1838</v>
      </c>
      <c r="B248" s="37" t="s">
        <v>1836</v>
      </c>
      <c r="C248" s="37" t="s">
        <v>267</v>
      </c>
      <c r="D248" s="37" t="s">
        <v>1839</v>
      </c>
      <c r="E248" s="55"/>
      <c r="F248" s="55">
        <v>1</v>
      </c>
      <c r="G248" s="37" t="s">
        <v>1836</v>
      </c>
      <c r="H248" s="37" t="s">
        <v>242</v>
      </c>
      <c r="I248" s="37" t="s">
        <v>267</v>
      </c>
      <c r="J248" s="37" t="s">
        <v>2680</v>
      </c>
    </row>
    <row r="249" spans="1:10" ht="28.8" x14ac:dyDescent="0.3">
      <c r="A249" s="38" t="s">
        <v>1838</v>
      </c>
      <c r="B249" s="38" t="s">
        <v>1836</v>
      </c>
      <c r="C249" s="38" t="s">
        <v>243</v>
      </c>
      <c r="D249" s="38" t="s">
        <v>1839</v>
      </c>
      <c r="E249" s="56"/>
      <c r="F249" s="56">
        <v>1</v>
      </c>
      <c r="G249" s="38" t="s">
        <v>1836</v>
      </c>
      <c r="H249" s="38" t="s">
        <v>242</v>
      </c>
      <c r="I249" s="38" t="s">
        <v>243</v>
      </c>
      <c r="J249" s="38" t="s">
        <v>2680</v>
      </c>
    </row>
    <row r="250" spans="1:10" ht="28.8" x14ac:dyDescent="0.3">
      <c r="A250" s="37" t="s">
        <v>1838</v>
      </c>
      <c r="B250" s="37" t="s">
        <v>1836</v>
      </c>
      <c r="C250" s="37" t="s">
        <v>346</v>
      </c>
      <c r="D250" s="37" t="s">
        <v>1839</v>
      </c>
      <c r="E250" s="55"/>
      <c r="F250" s="55">
        <v>1</v>
      </c>
      <c r="G250" s="37" t="s">
        <v>1836</v>
      </c>
      <c r="H250" s="37" t="s">
        <v>242</v>
      </c>
      <c r="I250" s="37" t="s">
        <v>346</v>
      </c>
      <c r="J250" s="37" t="s">
        <v>2680</v>
      </c>
    </row>
    <row r="251" spans="1:10" ht="28.8" x14ac:dyDescent="0.3">
      <c r="A251" s="38" t="s">
        <v>1845</v>
      </c>
      <c r="B251" s="38" t="s">
        <v>1844</v>
      </c>
      <c r="C251" s="38" t="s">
        <v>267</v>
      </c>
      <c r="D251" s="38" t="s">
        <v>1846</v>
      </c>
      <c r="E251" s="56"/>
      <c r="F251" s="56">
        <v>1</v>
      </c>
      <c r="G251" s="38" t="s">
        <v>1844</v>
      </c>
      <c r="H251" s="38" t="s">
        <v>242</v>
      </c>
      <c r="I251" s="38" t="s">
        <v>267</v>
      </c>
      <c r="J251" s="38" t="s">
        <v>2680</v>
      </c>
    </row>
    <row r="252" spans="1:10" ht="28.8" x14ac:dyDescent="0.3">
      <c r="A252" s="37" t="s">
        <v>1845</v>
      </c>
      <c r="B252" s="37" t="s">
        <v>1844</v>
      </c>
      <c r="C252" s="37" t="s">
        <v>243</v>
      </c>
      <c r="D252" s="37" t="s">
        <v>1846</v>
      </c>
      <c r="E252" s="55"/>
      <c r="F252" s="55">
        <v>1</v>
      </c>
      <c r="G252" s="37" t="s">
        <v>1844</v>
      </c>
      <c r="H252" s="37" t="s">
        <v>242</v>
      </c>
      <c r="I252" s="37" t="s">
        <v>243</v>
      </c>
      <c r="J252" s="37" t="s">
        <v>2680</v>
      </c>
    </row>
    <row r="253" spans="1:10" ht="28.8" x14ac:dyDescent="0.3">
      <c r="A253" s="38" t="s">
        <v>1845</v>
      </c>
      <c r="B253" s="38" t="s">
        <v>1844</v>
      </c>
      <c r="C253" s="38" t="s">
        <v>346</v>
      </c>
      <c r="D253" s="38" t="s">
        <v>1846</v>
      </c>
      <c r="E253" s="56"/>
      <c r="F253" s="56">
        <v>1</v>
      </c>
      <c r="G253" s="38" t="s">
        <v>1844</v>
      </c>
      <c r="H253" s="38" t="s">
        <v>242</v>
      </c>
      <c r="I253" s="38" t="s">
        <v>346</v>
      </c>
      <c r="J253" s="38" t="s">
        <v>2680</v>
      </c>
    </row>
    <row r="254" spans="1:10" ht="28.8" x14ac:dyDescent="0.3">
      <c r="A254" s="37" t="s">
        <v>1853</v>
      </c>
      <c r="B254" s="37" t="s">
        <v>1851</v>
      </c>
      <c r="C254" s="37" t="s">
        <v>267</v>
      </c>
      <c r="D254" s="37" t="s">
        <v>1854</v>
      </c>
      <c r="E254" s="55"/>
      <c r="F254" s="55">
        <v>1</v>
      </c>
      <c r="G254" s="37" t="s">
        <v>1851</v>
      </c>
      <c r="H254" s="37" t="s">
        <v>242</v>
      </c>
      <c r="I254" s="37" t="s">
        <v>267</v>
      </c>
      <c r="J254" s="37" t="s">
        <v>2680</v>
      </c>
    </row>
    <row r="255" spans="1:10" ht="28.8" x14ac:dyDescent="0.3">
      <c r="A255" s="38" t="s">
        <v>1853</v>
      </c>
      <c r="B255" s="38" t="s">
        <v>1851</v>
      </c>
      <c r="C255" s="38" t="s">
        <v>243</v>
      </c>
      <c r="D255" s="38" t="s">
        <v>1854</v>
      </c>
      <c r="E255" s="56"/>
      <c r="F255" s="56">
        <v>1</v>
      </c>
      <c r="G255" s="38" t="s">
        <v>1851</v>
      </c>
      <c r="H255" s="38" t="s">
        <v>242</v>
      </c>
      <c r="I255" s="38" t="s">
        <v>243</v>
      </c>
      <c r="J255" s="38" t="s">
        <v>2680</v>
      </c>
    </row>
    <row r="256" spans="1:10" ht="28.8" x14ac:dyDescent="0.3">
      <c r="A256" s="37" t="s">
        <v>1853</v>
      </c>
      <c r="B256" s="37" t="s">
        <v>1851</v>
      </c>
      <c r="C256" s="37" t="s">
        <v>346</v>
      </c>
      <c r="D256" s="37" t="s">
        <v>1854</v>
      </c>
      <c r="E256" s="55"/>
      <c r="F256" s="55">
        <v>1</v>
      </c>
      <c r="G256" s="37" t="s">
        <v>1851</v>
      </c>
      <c r="H256" s="37" t="s">
        <v>242</v>
      </c>
      <c r="I256" s="37" t="s">
        <v>346</v>
      </c>
      <c r="J256" s="37" t="s">
        <v>2680</v>
      </c>
    </row>
    <row r="257" spans="1:10" ht="28.8" x14ac:dyDescent="0.3">
      <c r="A257" s="38" t="s">
        <v>1858</v>
      </c>
      <c r="B257" s="38" t="s">
        <v>1856</v>
      </c>
      <c r="C257" s="38" t="s">
        <v>267</v>
      </c>
      <c r="D257" s="38" t="s">
        <v>1859</v>
      </c>
      <c r="E257" s="56"/>
      <c r="F257" s="56">
        <v>1</v>
      </c>
      <c r="G257" s="38" t="s">
        <v>1856</v>
      </c>
      <c r="H257" s="38" t="s">
        <v>242</v>
      </c>
      <c r="I257" s="38" t="s">
        <v>267</v>
      </c>
      <c r="J257" s="38" t="s">
        <v>2680</v>
      </c>
    </row>
    <row r="258" spans="1:10" ht="28.8" x14ac:dyDescent="0.3">
      <c r="A258" s="37" t="s">
        <v>1858</v>
      </c>
      <c r="B258" s="37" t="s">
        <v>1856</v>
      </c>
      <c r="C258" s="37" t="s">
        <v>243</v>
      </c>
      <c r="D258" s="37" t="s">
        <v>1859</v>
      </c>
      <c r="E258" s="55"/>
      <c r="F258" s="55">
        <v>1</v>
      </c>
      <c r="G258" s="37" t="s">
        <v>1856</v>
      </c>
      <c r="H258" s="37" t="s">
        <v>242</v>
      </c>
      <c r="I258" s="37" t="s">
        <v>243</v>
      </c>
      <c r="J258" s="37" t="s">
        <v>2680</v>
      </c>
    </row>
    <row r="259" spans="1:10" ht="28.8" x14ac:dyDescent="0.3">
      <c r="A259" s="38" t="s">
        <v>1858</v>
      </c>
      <c r="B259" s="38" t="s">
        <v>1856</v>
      </c>
      <c r="C259" s="38" t="s">
        <v>346</v>
      </c>
      <c r="D259" s="38" t="s">
        <v>1859</v>
      </c>
      <c r="E259" s="56"/>
      <c r="F259" s="56">
        <v>1</v>
      </c>
      <c r="G259" s="38" t="s">
        <v>1856</v>
      </c>
      <c r="H259" s="38" t="s">
        <v>242</v>
      </c>
      <c r="I259" s="38" t="s">
        <v>346</v>
      </c>
      <c r="J259" s="38" t="s">
        <v>2680</v>
      </c>
    </row>
    <row r="260" spans="1:10" ht="28.8" x14ac:dyDescent="0.3">
      <c r="A260" s="37" t="s">
        <v>1876</v>
      </c>
      <c r="B260" s="37" t="s">
        <v>1875</v>
      </c>
      <c r="C260" s="37" t="s">
        <v>267</v>
      </c>
      <c r="D260" s="37" t="s">
        <v>1877</v>
      </c>
      <c r="E260" s="55"/>
      <c r="F260" s="55">
        <v>1</v>
      </c>
      <c r="G260" s="37" t="s">
        <v>1875</v>
      </c>
      <c r="H260" s="37" t="s">
        <v>268</v>
      </c>
      <c r="I260" s="37" t="s">
        <v>267</v>
      </c>
      <c r="J260" s="37" t="s">
        <v>2680</v>
      </c>
    </row>
    <row r="261" spans="1:10" ht="28.8" x14ac:dyDescent="0.3">
      <c r="A261" s="38" t="s">
        <v>1876</v>
      </c>
      <c r="B261" s="38" t="s">
        <v>1875</v>
      </c>
      <c r="C261" s="38" t="s">
        <v>243</v>
      </c>
      <c r="D261" s="38" t="s">
        <v>1877</v>
      </c>
      <c r="E261" s="56"/>
      <c r="F261" s="56">
        <v>1</v>
      </c>
      <c r="G261" s="38" t="s">
        <v>1875</v>
      </c>
      <c r="H261" s="38" t="s">
        <v>268</v>
      </c>
      <c r="I261" s="38" t="s">
        <v>243</v>
      </c>
      <c r="J261" s="38" t="s">
        <v>2680</v>
      </c>
    </row>
    <row r="262" spans="1:10" ht="28.8" x14ac:dyDescent="0.3">
      <c r="A262" s="37" t="s">
        <v>1876</v>
      </c>
      <c r="B262" s="37" t="s">
        <v>1875</v>
      </c>
      <c r="C262" s="37" t="s">
        <v>346</v>
      </c>
      <c r="D262" s="37" t="s">
        <v>1877</v>
      </c>
      <c r="E262" s="55"/>
      <c r="F262" s="55">
        <v>1</v>
      </c>
      <c r="G262" s="37" t="s">
        <v>1875</v>
      </c>
      <c r="H262" s="37" t="s">
        <v>268</v>
      </c>
      <c r="I262" s="37" t="s">
        <v>346</v>
      </c>
      <c r="J262" s="37" t="s">
        <v>2680</v>
      </c>
    </row>
    <row r="263" spans="1:10" ht="28.8" x14ac:dyDescent="0.3">
      <c r="A263" s="38" t="s">
        <v>1882</v>
      </c>
      <c r="B263" s="38" t="s">
        <v>1880</v>
      </c>
      <c r="C263" s="38" t="s">
        <v>267</v>
      </c>
      <c r="D263" s="38" t="s">
        <v>1883</v>
      </c>
      <c r="E263" s="56"/>
      <c r="F263" s="56">
        <v>1</v>
      </c>
      <c r="G263" s="38" t="s">
        <v>1880</v>
      </c>
      <c r="H263" s="38" t="s">
        <v>242</v>
      </c>
      <c r="I263" s="38" t="s">
        <v>267</v>
      </c>
      <c r="J263" s="38" t="s">
        <v>2680</v>
      </c>
    </row>
    <row r="264" spans="1:10" ht="28.8" x14ac:dyDescent="0.3">
      <c r="A264" s="37" t="s">
        <v>1882</v>
      </c>
      <c r="B264" s="37" t="s">
        <v>1880</v>
      </c>
      <c r="C264" s="37" t="s">
        <v>243</v>
      </c>
      <c r="D264" s="37" t="s">
        <v>1883</v>
      </c>
      <c r="E264" s="55"/>
      <c r="F264" s="55">
        <v>1</v>
      </c>
      <c r="G264" s="37" t="s">
        <v>1880</v>
      </c>
      <c r="H264" s="37" t="s">
        <v>242</v>
      </c>
      <c r="I264" s="37" t="s">
        <v>243</v>
      </c>
      <c r="J264" s="37" t="s">
        <v>2680</v>
      </c>
    </row>
    <row r="265" spans="1:10" ht="28.8" x14ac:dyDescent="0.3">
      <c r="A265" s="38" t="s">
        <v>1882</v>
      </c>
      <c r="B265" s="38" t="s">
        <v>1880</v>
      </c>
      <c r="C265" s="38" t="s">
        <v>346</v>
      </c>
      <c r="D265" s="38" t="s">
        <v>1883</v>
      </c>
      <c r="E265" s="56"/>
      <c r="F265" s="56">
        <v>1</v>
      </c>
      <c r="G265" s="38" t="s">
        <v>1880</v>
      </c>
      <c r="H265" s="38" t="s">
        <v>242</v>
      </c>
      <c r="I265" s="38" t="s">
        <v>346</v>
      </c>
      <c r="J265" s="38" t="s">
        <v>2680</v>
      </c>
    </row>
    <row r="266" spans="1:10" ht="28.8" x14ac:dyDescent="0.3">
      <c r="A266" s="37" t="s">
        <v>1886</v>
      </c>
      <c r="B266" s="37" t="s">
        <v>1885</v>
      </c>
      <c r="C266" s="37" t="s">
        <v>267</v>
      </c>
      <c r="D266" s="37" t="s">
        <v>1887</v>
      </c>
      <c r="E266" s="55"/>
      <c r="F266" s="55">
        <v>1</v>
      </c>
      <c r="G266" s="37" t="s">
        <v>1885</v>
      </c>
      <c r="H266" s="37" t="s">
        <v>242</v>
      </c>
      <c r="I266" s="37" t="s">
        <v>267</v>
      </c>
      <c r="J266" s="37" t="s">
        <v>2680</v>
      </c>
    </row>
    <row r="267" spans="1:10" ht="28.8" x14ac:dyDescent="0.3">
      <c r="A267" s="38" t="s">
        <v>1886</v>
      </c>
      <c r="B267" s="38" t="s">
        <v>1885</v>
      </c>
      <c r="C267" s="38" t="s">
        <v>243</v>
      </c>
      <c r="D267" s="38" t="s">
        <v>1887</v>
      </c>
      <c r="E267" s="56"/>
      <c r="F267" s="56">
        <v>1</v>
      </c>
      <c r="G267" s="38" t="s">
        <v>1885</v>
      </c>
      <c r="H267" s="38" t="s">
        <v>242</v>
      </c>
      <c r="I267" s="38" t="s">
        <v>243</v>
      </c>
      <c r="J267" s="38" t="s">
        <v>2680</v>
      </c>
    </row>
    <row r="268" spans="1:10" ht="28.8" x14ac:dyDescent="0.3">
      <c r="A268" s="37" t="s">
        <v>1886</v>
      </c>
      <c r="B268" s="37" t="s">
        <v>1885</v>
      </c>
      <c r="C268" s="37" t="s">
        <v>346</v>
      </c>
      <c r="D268" s="37" t="s">
        <v>1887</v>
      </c>
      <c r="E268" s="55"/>
      <c r="F268" s="55">
        <v>1</v>
      </c>
      <c r="G268" s="37" t="s">
        <v>1885</v>
      </c>
      <c r="H268" s="37" t="s">
        <v>242</v>
      </c>
      <c r="I268" s="37" t="s">
        <v>346</v>
      </c>
      <c r="J268" s="37" t="s">
        <v>2680</v>
      </c>
    </row>
    <row r="269" spans="1:10" ht="28.8" x14ac:dyDescent="0.3">
      <c r="A269" s="38" t="s">
        <v>1891</v>
      </c>
      <c r="B269" s="38" t="s">
        <v>1889</v>
      </c>
      <c r="C269" s="38" t="s">
        <v>267</v>
      </c>
      <c r="D269" s="38" t="s">
        <v>1892</v>
      </c>
      <c r="E269" s="56"/>
      <c r="F269" s="56">
        <v>1</v>
      </c>
      <c r="G269" s="38" t="s">
        <v>1889</v>
      </c>
      <c r="H269" s="38" t="s">
        <v>242</v>
      </c>
      <c r="I269" s="38" t="s">
        <v>267</v>
      </c>
      <c r="J269" s="38" t="s">
        <v>2680</v>
      </c>
    </row>
    <row r="270" spans="1:10" ht="28.8" x14ac:dyDescent="0.3">
      <c r="A270" s="37" t="s">
        <v>1891</v>
      </c>
      <c r="B270" s="37" t="s">
        <v>1889</v>
      </c>
      <c r="C270" s="37" t="s">
        <v>243</v>
      </c>
      <c r="D270" s="37" t="s">
        <v>1892</v>
      </c>
      <c r="E270" s="55"/>
      <c r="F270" s="55">
        <v>1</v>
      </c>
      <c r="G270" s="37" t="s">
        <v>1889</v>
      </c>
      <c r="H270" s="37" t="s">
        <v>242</v>
      </c>
      <c r="I270" s="37" t="s">
        <v>243</v>
      </c>
      <c r="J270" s="37" t="s">
        <v>2680</v>
      </c>
    </row>
    <row r="271" spans="1:10" ht="28.8" x14ac:dyDescent="0.3">
      <c r="A271" s="38" t="s">
        <v>1891</v>
      </c>
      <c r="B271" s="38" t="s">
        <v>1889</v>
      </c>
      <c r="C271" s="38" t="s">
        <v>346</v>
      </c>
      <c r="D271" s="38" t="s">
        <v>1892</v>
      </c>
      <c r="E271" s="56"/>
      <c r="F271" s="56">
        <v>1</v>
      </c>
      <c r="G271" s="38" t="s">
        <v>1889</v>
      </c>
      <c r="H271" s="38" t="s">
        <v>242</v>
      </c>
      <c r="I271" s="38" t="s">
        <v>346</v>
      </c>
      <c r="J271" s="38" t="s">
        <v>2680</v>
      </c>
    </row>
    <row r="272" spans="1:10" ht="28.8" x14ac:dyDescent="0.3">
      <c r="A272" s="37" t="s">
        <v>1900</v>
      </c>
      <c r="B272" s="37" t="s">
        <v>1898</v>
      </c>
      <c r="C272" s="37" t="s">
        <v>267</v>
      </c>
      <c r="D272" s="37" t="s">
        <v>1901</v>
      </c>
      <c r="E272" s="55"/>
      <c r="F272" s="55">
        <v>1</v>
      </c>
      <c r="G272" s="37" t="s">
        <v>1898</v>
      </c>
      <c r="H272" s="37" t="s">
        <v>242</v>
      </c>
      <c r="I272" s="37" t="s">
        <v>267</v>
      </c>
      <c r="J272" s="37" t="s">
        <v>2680</v>
      </c>
    </row>
    <row r="273" spans="1:10" ht="28.8" x14ac:dyDescent="0.3">
      <c r="A273" s="38" t="s">
        <v>1900</v>
      </c>
      <c r="B273" s="38" t="s">
        <v>1898</v>
      </c>
      <c r="C273" s="38" t="s">
        <v>243</v>
      </c>
      <c r="D273" s="38" t="s">
        <v>1901</v>
      </c>
      <c r="E273" s="56"/>
      <c r="F273" s="56">
        <v>1</v>
      </c>
      <c r="G273" s="38" t="s">
        <v>1898</v>
      </c>
      <c r="H273" s="38" t="s">
        <v>242</v>
      </c>
      <c r="I273" s="38" t="s">
        <v>243</v>
      </c>
      <c r="J273" s="38" t="s">
        <v>2680</v>
      </c>
    </row>
    <row r="274" spans="1:10" ht="28.8" x14ac:dyDescent="0.3">
      <c r="A274" s="37" t="s">
        <v>1900</v>
      </c>
      <c r="B274" s="37" t="s">
        <v>1898</v>
      </c>
      <c r="C274" s="37" t="s">
        <v>346</v>
      </c>
      <c r="D274" s="37" t="s">
        <v>1901</v>
      </c>
      <c r="E274" s="55"/>
      <c r="F274" s="55">
        <v>1</v>
      </c>
      <c r="G274" s="37" t="s">
        <v>1898</v>
      </c>
      <c r="H274" s="37" t="s">
        <v>242</v>
      </c>
      <c r="I274" s="37" t="s">
        <v>346</v>
      </c>
      <c r="J274" s="37" t="s">
        <v>2680</v>
      </c>
    </row>
    <row r="275" spans="1:10" ht="28.8" x14ac:dyDescent="0.3">
      <c r="A275" s="38" t="s">
        <v>1905</v>
      </c>
      <c r="B275" s="38" t="s">
        <v>1903</v>
      </c>
      <c r="C275" s="38" t="s">
        <v>267</v>
      </c>
      <c r="D275" s="38" t="s">
        <v>1906</v>
      </c>
      <c r="E275" s="56"/>
      <c r="F275" s="56">
        <v>1</v>
      </c>
      <c r="G275" s="38" t="s">
        <v>1903</v>
      </c>
      <c r="H275" s="38" t="s">
        <v>242</v>
      </c>
      <c r="I275" s="38" t="s">
        <v>267</v>
      </c>
      <c r="J275" s="38" t="s">
        <v>2680</v>
      </c>
    </row>
    <row r="276" spans="1:10" ht="28.8" x14ac:dyDescent="0.3">
      <c r="A276" s="37" t="s">
        <v>1905</v>
      </c>
      <c r="B276" s="37" t="s">
        <v>1903</v>
      </c>
      <c r="C276" s="37" t="s">
        <v>243</v>
      </c>
      <c r="D276" s="37" t="s">
        <v>1906</v>
      </c>
      <c r="E276" s="55"/>
      <c r="F276" s="55">
        <v>1</v>
      </c>
      <c r="G276" s="37" t="s">
        <v>1903</v>
      </c>
      <c r="H276" s="37" t="s">
        <v>242</v>
      </c>
      <c r="I276" s="37" t="s">
        <v>243</v>
      </c>
      <c r="J276" s="37" t="s">
        <v>2680</v>
      </c>
    </row>
    <row r="277" spans="1:10" ht="28.8" x14ac:dyDescent="0.3">
      <c r="A277" s="38" t="s">
        <v>1905</v>
      </c>
      <c r="B277" s="38" t="s">
        <v>1903</v>
      </c>
      <c r="C277" s="38" t="s">
        <v>346</v>
      </c>
      <c r="D277" s="38" t="s">
        <v>1906</v>
      </c>
      <c r="E277" s="56"/>
      <c r="F277" s="56">
        <v>1</v>
      </c>
      <c r="G277" s="38" t="s">
        <v>1903</v>
      </c>
      <c r="H277" s="38" t="s">
        <v>242</v>
      </c>
      <c r="I277" s="38" t="s">
        <v>346</v>
      </c>
      <c r="J277" s="38" t="s">
        <v>2680</v>
      </c>
    </row>
    <row r="278" spans="1:10" ht="28.8" x14ac:dyDescent="0.3">
      <c r="A278" s="37" t="s">
        <v>1910</v>
      </c>
      <c r="B278" s="37" t="s">
        <v>1908</v>
      </c>
      <c r="C278" s="37" t="s">
        <v>267</v>
      </c>
      <c r="D278" s="37" t="s">
        <v>1911</v>
      </c>
      <c r="E278" s="55"/>
      <c r="F278" s="55">
        <v>1</v>
      </c>
      <c r="G278" s="37" t="s">
        <v>1908</v>
      </c>
      <c r="H278" s="37" t="s">
        <v>242</v>
      </c>
      <c r="I278" s="37" t="s">
        <v>267</v>
      </c>
      <c r="J278" s="37" t="s">
        <v>2680</v>
      </c>
    </row>
    <row r="279" spans="1:10" ht="28.8" x14ac:dyDescent="0.3">
      <c r="A279" s="38" t="s">
        <v>1910</v>
      </c>
      <c r="B279" s="38" t="s">
        <v>1908</v>
      </c>
      <c r="C279" s="38" t="s">
        <v>243</v>
      </c>
      <c r="D279" s="38" t="s">
        <v>1911</v>
      </c>
      <c r="E279" s="56"/>
      <c r="F279" s="56">
        <v>1</v>
      </c>
      <c r="G279" s="38" t="s">
        <v>1908</v>
      </c>
      <c r="H279" s="38" t="s">
        <v>242</v>
      </c>
      <c r="I279" s="38" t="s">
        <v>243</v>
      </c>
      <c r="J279" s="38" t="s">
        <v>2680</v>
      </c>
    </row>
    <row r="280" spans="1:10" ht="28.8" x14ac:dyDescent="0.3">
      <c r="A280" s="37" t="s">
        <v>1910</v>
      </c>
      <c r="B280" s="37" t="s">
        <v>1908</v>
      </c>
      <c r="C280" s="37" t="s">
        <v>346</v>
      </c>
      <c r="D280" s="37" t="s">
        <v>1911</v>
      </c>
      <c r="E280" s="55"/>
      <c r="F280" s="55">
        <v>1</v>
      </c>
      <c r="G280" s="37" t="s">
        <v>1908</v>
      </c>
      <c r="H280" s="37" t="s">
        <v>242</v>
      </c>
      <c r="I280" s="37" t="s">
        <v>346</v>
      </c>
      <c r="J280" s="37" t="s">
        <v>2680</v>
      </c>
    </row>
    <row r="281" spans="1:10" ht="28.8" x14ac:dyDescent="0.3">
      <c r="A281" s="38" t="s">
        <v>1915</v>
      </c>
      <c r="B281" s="38" t="s">
        <v>1913</v>
      </c>
      <c r="C281" s="38" t="s">
        <v>267</v>
      </c>
      <c r="D281" s="38" t="s">
        <v>1916</v>
      </c>
      <c r="E281" s="56"/>
      <c r="F281" s="56">
        <v>1</v>
      </c>
      <c r="G281" s="38" t="s">
        <v>1913</v>
      </c>
      <c r="H281" s="38" t="s">
        <v>242</v>
      </c>
      <c r="I281" s="38" t="s">
        <v>267</v>
      </c>
      <c r="J281" s="38" t="s">
        <v>2680</v>
      </c>
    </row>
    <row r="282" spans="1:10" ht="28.8" x14ac:dyDescent="0.3">
      <c r="A282" s="37" t="s">
        <v>1915</v>
      </c>
      <c r="B282" s="37" t="s">
        <v>1913</v>
      </c>
      <c r="C282" s="37" t="s">
        <v>243</v>
      </c>
      <c r="D282" s="37" t="s">
        <v>1916</v>
      </c>
      <c r="E282" s="55"/>
      <c r="F282" s="55">
        <v>1</v>
      </c>
      <c r="G282" s="37" t="s">
        <v>1913</v>
      </c>
      <c r="H282" s="37" t="s">
        <v>242</v>
      </c>
      <c r="I282" s="37" t="s">
        <v>243</v>
      </c>
      <c r="J282" s="37" t="s">
        <v>2680</v>
      </c>
    </row>
    <row r="283" spans="1:10" ht="28.8" x14ac:dyDescent="0.3">
      <c r="A283" s="38" t="s">
        <v>1915</v>
      </c>
      <c r="B283" s="38" t="s">
        <v>1913</v>
      </c>
      <c r="C283" s="38" t="s">
        <v>346</v>
      </c>
      <c r="D283" s="38" t="s">
        <v>1916</v>
      </c>
      <c r="E283" s="56"/>
      <c r="F283" s="56">
        <v>1</v>
      </c>
      <c r="G283" s="38" t="s">
        <v>1913</v>
      </c>
      <c r="H283" s="38" t="s">
        <v>242</v>
      </c>
      <c r="I283" s="38" t="s">
        <v>346</v>
      </c>
      <c r="J283" s="38" t="s">
        <v>2680</v>
      </c>
    </row>
    <row r="284" spans="1:10" ht="28.8" x14ac:dyDescent="0.3">
      <c r="A284" s="37" t="s">
        <v>1919</v>
      </c>
      <c r="B284" s="37" t="s">
        <v>1918</v>
      </c>
      <c r="C284" s="37" t="s">
        <v>267</v>
      </c>
      <c r="D284" s="37" t="s">
        <v>1920</v>
      </c>
      <c r="E284" s="55"/>
      <c r="F284" s="55">
        <v>1</v>
      </c>
      <c r="G284" s="37" t="s">
        <v>1918</v>
      </c>
      <c r="H284" s="37" t="s">
        <v>242</v>
      </c>
      <c r="I284" s="37" t="s">
        <v>267</v>
      </c>
      <c r="J284" s="37" t="s">
        <v>2680</v>
      </c>
    </row>
    <row r="285" spans="1:10" ht="28.8" x14ac:dyDescent="0.3">
      <c r="A285" s="38" t="s">
        <v>1919</v>
      </c>
      <c r="B285" s="38" t="s">
        <v>1918</v>
      </c>
      <c r="C285" s="38" t="s">
        <v>243</v>
      </c>
      <c r="D285" s="38" t="s">
        <v>1920</v>
      </c>
      <c r="E285" s="56"/>
      <c r="F285" s="56">
        <v>1</v>
      </c>
      <c r="G285" s="38" t="s">
        <v>1918</v>
      </c>
      <c r="H285" s="38" t="s">
        <v>242</v>
      </c>
      <c r="I285" s="38" t="s">
        <v>243</v>
      </c>
      <c r="J285" s="38" t="s">
        <v>2680</v>
      </c>
    </row>
    <row r="286" spans="1:10" ht="28.8" x14ac:dyDescent="0.3">
      <c r="A286" s="37" t="s">
        <v>1919</v>
      </c>
      <c r="B286" s="37" t="s">
        <v>1918</v>
      </c>
      <c r="C286" s="37" t="s">
        <v>346</v>
      </c>
      <c r="D286" s="37" t="s">
        <v>1920</v>
      </c>
      <c r="E286" s="55"/>
      <c r="F286" s="55">
        <v>1</v>
      </c>
      <c r="G286" s="37" t="s">
        <v>1918</v>
      </c>
      <c r="H286" s="37" t="s">
        <v>242</v>
      </c>
      <c r="I286" s="37" t="s">
        <v>346</v>
      </c>
      <c r="J286" s="37" t="s">
        <v>2680</v>
      </c>
    </row>
    <row r="287" spans="1:10" ht="28.8" x14ac:dyDescent="0.3">
      <c r="A287" s="38" t="s">
        <v>1924</v>
      </c>
      <c r="B287" s="38" t="s">
        <v>1922</v>
      </c>
      <c r="C287" s="38" t="s">
        <v>267</v>
      </c>
      <c r="D287" s="38" t="s">
        <v>1925</v>
      </c>
      <c r="E287" s="56"/>
      <c r="F287" s="56">
        <v>1</v>
      </c>
      <c r="G287" s="38" t="s">
        <v>1922</v>
      </c>
      <c r="H287" s="38" t="s">
        <v>242</v>
      </c>
      <c r="I287" s="38" t="s">
        <v>267</v>
      </c>
      <c r="J287" s="38" t="s">
        <v>2680</v>
      </c>
    </row>
    <row r="288" spans="1:10" ht="28.8" x14ac:dyDescent="0.3">
      <c r="A288" s="37" t="s">
        <v>1924</v>
      </c>
      <c r="B288" s="37" t="s">
        <v>1922</v>
      </c>
      <c r="C288" s="37" t="s">
        <v>243</v>
      </c>
      <c r="D288" s="37" t="s">
        <v>1925</v>
      </c>
      <c r="E288" s="55"/>
      <c r="F288" s="55">
        <v>1</v>
      </c>
      <c r="G288" s="37" t="s">
        <v>1922</v>
      </c>
      <c r="H288" s="37" t="s">
        <v>242</v>
      </c>
      <c r="I288" s="37" t="s">
        <v>243</v>
      </c>
      <c r="J288" s="37" t="s">
        <v>2680</v>
      </c>
    </row>
    <row r="289" spans="1:10" ht="28.8" x14ac:dyDescent="0.3">
      <c r="A289" s="38" t="s">
        <v>1924</v>
      </c>
      <c r="B289" s="38" t="s">
        <v>1922</v>
      </c>
      <c r="C289" s="38" t="s">
        <v>346</v>
      </c>
      <c r="D289" s="38" t="s">
        <v>1925</v>
      </c>
      <c r="E289" s="56"/>
      <c r="F289" s="56">
        <v>1</v>
      </c>
      <c r="G289" s="38" t="s">
        <v>1922</v>
      </c>
      <c r="H289" s="38" t="s">
        <v>242</v>
      </c>
      <c r="I289" s="38" t="s">
        <v>346</v>
      </c>
      <c r="J289" s="38" t="s">
        <v>2680</v>
      </c>
    </row>
    <row r="290" spans="1:10" ht="28.8" x14ac:dyDescent="0.3">
      <c r="A290" s="37" t="s">
        <v>1929</v>
      </c>
      <c r="B290" s="37" t="s">
        <v>1927</v>
      </c>
      <c r="C290" s="37" t="s">
        <v>267</v>
      </c>
      <c r="D290" s="37" t="s">
        <v>1930</v>
      </c>
      <c r="E290" s="55"/>
      <c r="F290" s="55">
        <v>1</v>
      </c>
      <c r="G290" s="37" t="s">
        <v>1927</v>
      </c>
      <c r="H290" s="37" t="s">
        <v>242</v>
      </c>
      <c r="I290" s="37" t="s">
        <v>267</v>
      </c>
      <c r="J290" s="37" t="s">
        <v>2680</v>
      </c>
    </row>
    <row r="291" spans="1:10" ht="28.8" x14ac:dyDescent="0.3">
      <c r="A291" s="38" t="s">
        <v>1929</v>
      </c>
      <c r="B291" s="38" t="s">
        <v>1927</v>
      </c>
      <c r="C291" s="38" t="s">
        <v>243</v>
      </c>
      <c r="D291" s="38" t="s">
        <v>1930</v>
      </c>
      <c r="E291" s="56"/>
      <c r="F291" s="56">
        <v>1</v>
      </c>
      <c r="G291" s="38" t="s">
        <v>1927</v>
      </c>
      <c r="H291" s="38" t="s">
        <v>242</v>
      </c>
      <c r="I291" s="38" t="s">
        <v>243</v>
      </c>
      <c r="J291" s="38" t="s">
        <v>2680</v>
      </c>
    </row>
    <row r="292" spans="1:10" ht="28.8" x14ac:dyDescent="0.3">
      <c r="A292" s="37" t="s">
        <v>1929</v>
      </c>
      <c r="B292" s="37" t="s">
        <v>1927</v>
      </c>
      <c r="C292" s="37" t="s">
        <v>346</v>
      </c>
      <c r="D292" s="37" t="s">
        <v>1930</v>
      </c>
      <c r="E292" s="55"/>
      <c r="F292" s="55">
        <v>1</v>
      </c>
      <c r="G292" s="37" t="s">
        <v>1927</v>
      </c>
      <c r="H292" s="37" t="s">
        <v>242</v>
      </c>
      <c r="I292" s="37" t="s">
        <v>346</v>
      </c>
      <c r="J292" s="37" t="s">
        <v>2680</v>
      </c>
    </row>
    <row r="293" spans="1:10" ht="28.8" x14ac:dyDescent="0.3">
      <c r="A293" s="38" t="s">
        <v>1933</v>
      </c>
      <c r="B293" s="38" t="s">
        <v>1932</v>
      </c>
      <c r="C293" s="38" t="s">
        <v>267</v>
      </c>
      <c r="D293" s="38" t="s">
        <v>1934</v>
      </c>
      <c r="E293" s="56"/>
      <c r="F293" s="56">
        <v>1</v>
      </c>
      <c r="G293" s="38" t="s">
        <v>1932</v>
      </c>
      <c r="H293" s="38" t="s">
        <v>242</v>
      </c>
      <c r="I293" s="38" t="s">
        <v>267</v>
      </c>
      <c r="J293" s="38" t="s">
        <v>2680</v>
      </c>
    </row>
    <row r="294" spans="1:10" ht="28.8" x14ac:dyDescent="0.3">
      <c r="A294" s="37" t="s">
        <v>1933</v>
      </c>
      <c r="B294" s="37" t="s">
        <v>1932</v>
      </c>
      <c r="C294" s="37" t="s">
        <v>243</v>
      </c>
      <c r="D294" s="37" t="s">
        <v>1934</v>
      </c>
      <c r="E294" s="55"/>
      <c r="F294" s="55">
        <v>1</v>
      </c>
      <c r="G294" s="37" t="s">
        <v>1932</v>
      </c>
      <c r="H294" s="37" t="s">
        <v>242</v>
      </c>
      <c r="I294" s="37" t="s">
        <v>243</v>
      </c>
      <c r="J294" s="37" t="s">
        <v>2680</v>
      </c>
    </row>
    <row r="295" spans="1:10" ht="28.8" x14ac:dyDescent="0.3">
      <c r="A295" s="38" t="s">
        <v>1933</v>
      </c>
      <c r="B295" s="38" t="s">
        <v>1932</v>
      </c>
      <c r="C295" s="38" t="s">
        <v>346</v>
      </c>
      <c r="D295" s="38" t="s">
        <v>1934</v>
      </c>
      <c r="E295" s="56"/>
      <c r="F295" s="56">
        <v>1</v>
      </c>
      <c r="G295" s="38" t="s">
        <v>1932</v>
      </c>
      <c r="H295" s="38" t="s">
        <v>242</v>
      </c>
      <c r="I295" s="38" t="s">
        <v>346</v>
      </c>
      <c r="J295" s="38" t="s">
        <v>2680</v>
      </c>
    </row>
    <row r="296" spans="1:10" ht="28.8" x14ac:dyDescent="0.3">
      <c r="A296" s="37" t="s">
        <v>1944</v>
      </c>
      <c r="B296" s="37" t="s">
        <v>1943</v>
      </c>
      <c r="C296" s="37" t="s">
        <v>267</v>
      </c>
      <c r="D296" s="37" t="s">
        <v>1945</v>
      </c>
      <c r="E296" s="55"/>
      <c r="F296" s="55">
        <v>1</v>
      </c>
      <c r="G296" s="37" t="s">
        <v>1943</v>
      </c>
      <c r="H296" s="37" t="s">
        <v>242</v>
      </c>
      <c r="I296" s="37" t="s">
        <v>267</v>
      </c>
      <c r="J296" s="37" t="s">
        <v>2680</v>
      </c>
    </row>
    <row r="297" spans="1:10" ht="28.8" x14ac:dyDescent="0.3">
      <c r="A297" s="38" t="s">
        <v>1944</v>
      </c>
      <c r="B297" s="38" t="s">
        <v>1943</v>
      </c>
      <c r="C297" s="38" t="s">
        <v>243</v>
      </c>
      <c r="D297" s="38" t="s">
        <v>1945</v>
      </c>
      <c r="E297" s="56"/>
      <c r="F297" s="56">
        <v>1</v>
      </c>
      <c r="G297" s="38" t="s">
        <v>1943</v>
      </c>
      <c r="H297" s="38" t="s">
        <v>242</v>
      </c>
      <c r="I297" s="38" t="s">
        <v>243</v>
      </c>
      <c r="J297" s="38" t="s">
        <v>2680</v>
      </c>
    </row>
    <row r="298" spans="1:10" ht="28.8" x14ac:dyDescent="0.3">
      <c r="A298" s="37" t="s">
        <v>1944</v>
      </c>
      <c r="B298" s="37" t="s">
        <v>1943</v>
      </c>
      <c r="C298" s="37" t="s">
        <v>346</v>
      </c>
      <c r="D298" s="37" t="s">
        <v>1945</v>
      </c>
      <c r="E298" s="55"/>
      <c r="F298" s="55">
        <v>1</v>
      </c>
      <c r="G298" s="37" t="s">
        <v>1943</v>
      </c>
      <c r="H298" s="37" t="s">
        <v>242</v>
      </c>
      <c r="I298" s="37" t="s">
        <v>346</v>
      </c>
      <c r="J298" s="37" t="s">
        <v>2680</v>
      </c>
    </row>
    <row r="299" spans="1:10" ht="28.8" x14ac:dyDescent="0.3">
      <c r="A299" s="38" t="s">
        <v>1953</v>
      </c>
      <c r="B299" s="38" t="s">
        <v>1951</v>
      </c>
      <c r="C299" s="38" t="s">
        <v>267</v>
      </c>
      <c r="D299" s="38" t="s">
        <v>1954</v>
      </c>
      <c r="E299" s="56"/>
      <c r="F299" s="56">
        <v>1</v>
      </c>
      <c r="G299" s="38" t="s">
        <v>1951</v>
      </c>
      <c r="H299" s="38" t="s">
        <v>242</v>
      </c>
      <c r="I299" s="38" t="s">
        <v>267</v>
      </c>
      <c r="J299" s="38" t="s">
        <v>2680</v>
      </c>
    </row>
    <row r="300" spans="1:10" ht="28.8" x14ac:dyDescent="0.3">
      <c r="A300" s="37" t="s">
        <v>1953</v>
      </c>
      <c r="B300" s="37" t="s">
        <v>1951</v>
      </c>
      <c r="C300" s="37" t="s">
        <v>243</v>
      </c>
      <c r="D300" s="37" t="s">
        <v>1954</v>
      </c>
      <c r="E300" s="55"/>
      <c r="F300" s="55">
        <v>1</v>
      </c>
      <c r="G300" s="37" t="s">
        <v>1951</v>
      </c>
      <c r="H300" s="37" t="s">
        <v>242</v>
      </c>
      <c r="I300" s="37" t="s">
        <v>243</v>
      </c>
      <c r="J300" s="37" t="s">
        <v>2680</v>
      </c>
    </row>
    <row r="301" spans="1:10" ht="28.8" x14ac:dyDescent="0.3">
      <c r="A301" s="38" t="s">
        <v>1953</v>
      </c>
      <c r="B301" s="38" t="s">
        <v>1951</v>
      </c>
      <c r="C301" s="38" t="s">
        <v>346</v>
      </c>
      <c r="D301" s="38" t="s">
        <v>1954</v>
      </c>
      <c r="E301" s="56"/>
      <c r="F301" s="56">
        <v>1</v>
      </c>
      <c r="G301" s="38" t="s">
        <v>1951</v>
      </c>
      <c r="H301" s="38" t="s">
        <v>242</v>
      </c>
      <c r="I301" s="38" t="s">
        <v>346</v>
      </c>
      <c r="J301" s="38" t="s">
        <v>2680</v>
      </c>
    </row>
    <row r="302" spans="1:10" ht="28.8" x14ac:dyDescent="0.3">
      <c r="A302" s="37" t="s">
        <v>1957</v>
      </c>
      <c r="B302" s="37" t="s">
        <v>1956</v>
      </c>
      <c r="C302" s="37" t="s">
        <v>267</v>
      </c>
      <c r="D302" s="37" t="s">
        <v>1958</v>
      </c>
      <c r="E302" s="55"/>
      <c r="F302" s="55">
        <v>1</v>
      </c>
      <c r="G302" s="37" t="s">
        <v>1956</v>
      </c>
      <c r="H302" s="37" t="s">
        <v>242</v>
      </c>
      <c r="I302" s="37" t="s">
        <v>267</v>
      </c>
      <c r="J302" s="37" t="s">
        <v>2680</v>
      </c>
    </row>
    <row r="303" spans="1:10" ht="28.8" x14ac:dyDescent="0.3">
      <c r="A303" s="38" t="s">
        <v>1957</v>
      </c>
      <c r="B303" s="38" t="s">
        <v>1956</v>
      </c>
      <c r="C303" s="38" t="s">
        <v>243</v>
      </c>
      <c r="D303" s="38" t="s">
        <v>1958</v>
      </c>
      <c r="E303" s="56"/>
      <c r="F303" s="56">
        <v>1</v>
      </c>
      <c r="G303" s="38" t="s">
        <v>1956</v>
      </c>
      <c r="H303" s="38" t="s">
        <v>242</v>
      </c>
      <c r="I303" s="38" t="s">
        <v>243</v>
      </c>
      <c r="J303" s="38" t="s">
        <v>2680</v>
      </c>
    </row>
    <row r="304" spans="1:10" ht="28.8" x14ac:dyDescent="0.3">
      <c r="A304" s="37" t="s">
        <v>1957</v>
      </c>
      <c r="B304" s="37" t="s">
        <v>1956</v>
      </c>
      <c r="C304" s="37" t="s">
        <v>346</v>
      </c>
      <c r="D304" s="37" t="s">
        <v>1958</v>
      </c>
      <c r="E304" s="55"/>
      <c r="F304" s="55">
        <v>1</v>
      </c>
      <c r="G304" s="37" t="s">
        <v>1956</v>
      </c>
      <c r="H304" s="37" t="s">
        <v>242</v>
      </c>
      <c r="I304" s="37" t="s">
        <v>346</v>
      </c>
      <c r="J304" s="37" t="s">
        <v>2680</v>
      </c>
    </row>
    <row r="305" spans="1:10" ht="28.8" x14ac:dyDescent="0.3">
      <c r="A305" s="38" t="s">
        <v>1969</v>
      </c>
      <c r="B305" s="38" t="s">
        <v>1966</v>
      </c>
      <c r="C305" s="38" t="s">
        <v>267</v>
      </c>
      <c r="D305" s="38" t="s">
        <v>1970</v>
      </c>
      <c r="E305" s="56"/>
      <c r="F305" s="56">
        <v>1</v>
      </c>
      <c r="G305" s="38" t="s">
        <v>1966</v>
      </c>
      <c r="H305" s="38" t="s">
        <v>242</v>
      </c>
      <c r="I305" s="38" t="s">
        <v>267</v>
      </c>
      <c r="J305" s="38" t="s">
        <v>2680</v>
      </c>
    </row>
    <row r="306" spans="1:10" ht="28.8" x14ac:dyDescent="0.3">
      <c r="A306" s="37" t="s">
        <v>1969</v>
      </c>
      <c r="B306" s="37" t="s">
        <v>1966</v>
      </c>
      <c r="C306" s="37" t="s">
        <v>243</v>
      </c>
      <c r="D306" s="37" t="s">
        <v>1970</v>
      </c>
      <c r="E306" s="55"/>
      <c r="F306" s="55">
        <v>1</v>
      </c>
      <c r="G306" s="37" t="s">
        <v>1966</v>
      </c>
      <c r="H306" s="37" t="s">
        <v>242</v>
      </c>
      <c r="I306" s="37" t="s">
        <v>243</v>
      </c>
      <c r="J306" s="37" t="s">
        <v>2680</v>
      </c>
    </row>
    <row r="307" spans="1:10" ht="28.8" x14ac:dyDescent="0.3">
      <c r="A307" s="38" t="s">
        <v>1969</v>
      </c>
      <c r="B307" s="38" t="s">
        <v>1966</v>
      </c>
      <c r="C307" s="38" t="s">
        <v>346</v>
      </c>
      <c r="D307" s="38" t="s">
        <v>1970</v>
      </c>
      <c r="E307" s="56"/>
      <c r="F307" s="56">
        <v>1</v>
      </c>
      <c r="G307" s="38" t="s">
        <v>1966</v>
      </c>
      <c r="H307" s="38" t="s">
        <v>242</v>
      </c>
      <c r="I307" s="38" t="s">
        <v>346</v>
      </c>
      <c r="J307" s="38" t="s">
        <v>2680</v>
      </c>
    </row>
    <row r="308" spans="1:10" ht="28.8" x14ac:dyDescent="0.3">
      <c r="A308" s="37" t="s">
        <v>1975</v>
      </c>
      <c r="B308" s="37" t="s">
        <v>1972</v>
      </c>
      <c r="C308" s="37" t="s">
        <v>267</v>
      </c>
      <c r="D308" s="37" t="s">
        <v>1976</v>
      </c>
      <c r="E308" s="55"/>
      <c r="F308" s="55">
        <v>1</v>
      </c>
      <c r="G308" s="37" t="s">
        <v>1972</v>
      </c>
      <c r="H308" s="37" t="s">
        <v>242</v>
      </c>
      <c r="I308" s="37" t="s">
        <v>267</v>
      </c>
      <c r="J308" s="37" t="s">
        <v>2680</v>
      </c>
    </row>
    <row r="309" spans="1:10" ht="28.8" x14ac:dyDescent="0.3">
      <c r="A309" s="38" t="s">
        <v>1975</v>
      </c>
      <c r="B309" s="38" t="s">
        <v>1972</v>
      </c>
      <c r="C309" s="38" t="s">
        <v>243</v>
      </c>
      <c r="D309" s="38" t="s">
        <v>1976</v>
      </c>
      <c r="E309" s="56"/>
      <c r="F309" s="56">
        <v>1</v>
      </c>
      <c r="G309" s="38" t="s">
        <v>1972</v>
      </c>
      <c r="H309" s="38" t="s">
        <v>242</v>
      </c>
      <c r="I309" s="38" t="s">
        <v>243</v>
      </c>
      <c r="J309" s="38" t="s">
        <v>2680</v>
      </c>
    </row>
    <row r="310" spans="1:10" ht="28.8" x14ac:dyDescent="0.3">
      <c r="A310" s="37" t="s">
        <v>1975</v>
      </c>
      <c r="B310" s="37" t="s">
        <v>1972</v>
      </c>
      <c r="C310" s="37" t="s">
        <v>346</v>
      </c>
      <c r="D310" s="37" t="s">
        <v>1976</v>
      </c>
      <c r="E310" s="55"/>
      <c r="F310" s="55">
        <v>1</v>
      </c>
      <c r="G310" s="37" t="s">
        <v>1972</v>
      </c>
      <c r="H310" s="37" t="s">
        <v>242</v>
      </c>
      <c r="I310" s="37" t="s">
        <v>346</v>
      </c>
      <c r="J310" s="37" t="s">
        <v>2680</v>
      </c>
    </row>
    <row r="311" spans="1:10" ht="28.8" x14ac:dyDescent="0.3">
      <c r="A311" s="38" t="s">
        <v>1980</v>
      </c>
      <c r="B311" s="38" t="s">
        <v>1978</v>
      </c>
      <c r="C311" s="38" t="s">
        <v>267</v>
      </c>
      <c r="D311" s="38" t="s">
        <v>1981</v>
      </c>
      <c r="E311" s="56"/>
      <c r="F311" s="56">
        <v>1</v>
      </c>
      <c r="G311" s="38" t="s">
        <v>1978</v>
      </c>
      <c r="H311" s="38" t="s">
        <v>242</v>
      </c>
      <c r="I311" s="38" t="s">
        <v>267</v>
      </c>
      <c r="J311" s="38" t="s">
        <v>2680</v>
      </c>
    </row>
    <row r="312" spans="1:10" ht="28.8" x14ac:dyDescent="0.3">
      <c r="A312" s="37" t="s">
        <v>1980</v>
      </c>
      <c r="B312" s="37" t="s">
        <v>1978</v>
      </c>
      <c r="C312" s="37" t="s">
        <v>243</v>
      </c>
      <c r="D312" s="37" t="s">
        <v>1981</v>
      </c>
      <c r="E312" s="55"/>
      <c r="F312" s="55">
        <v>1</v>
      </c>
      <c r="G312" s="37" t="s">
        <v>1978</v>
      </c>
      <c r="H312" s="37" t="s">
        <v>242</v>
      </c>
      <c r="I312" s="37" t="s">
        <v>243</v>
      </c>
      <c r="J312" s="37" t="s">
        <v>2680</v>
      </c>
    </row>
    <row r="313" spans="1:10" ht="28.8" x14ac:dyDescent="0.3">
      <c r="A313" s="38" t="s">
        <v>1980</v>
      </c>
      <c r="B313" s="38" t="s">
        <v>1978</v>
      </c>
      <c r="C313" s="38" t="s">
        <v>346</v>
      </c>
      <c r="D313" s="38" t="s">
        <v>1981</v>
      </c>
      <c r="E313" s="56"/>
      <c r="F313" s="56">
        <v>1</v>
      </c>
      <c r="G313" s="38" t="s">
        <v>1978</v>
      </c>
      <c r="H313" s="38" t="s">
        <v>242</v>
      </c>
      <c r="I313" s="38" t="s">
        <v>346</v>
      </c>
      <c r="J313" s="38" t="s">
        <v>2680</v>
      </c>
    </row>
    <row r="314" spans="1:10" ht="28.8" x14ac:dyDescent="0.3">
      <c r="A314" s="37" t="s">
        <v>1985</v>
      </c>
      <c r="B314" s="37" t="s">
        <v>1983</v>
      </c>
      <c r="C314" s="37" t="s">
        <v>267</v>
      </c>
      <c r="D314" s="37" t="s">
        <v>1986</v>
      </c>
      <c r="E314" s="55"/>
      <c r="F314" s="55">
        <v>1</v>
      </c>
      <c r="G314" s="37" t="s">
        <v>1983</v>
      </c>
      <c r="H314" s="37" t="s">
        <v>242</v>
      </c>
      <c r="I314" s="37" t="s">
        <v>267</v>
      </c>
      <c r="J314" s="37" t="s">
        <v>2680</v>
      </c>
    </row>
    <row r="315" spans="1:10" ht="28.8" x14ac:dyDescent="0.3">
      <c r="A315" s="38" t="s">
        <v>1985</v>
      </c>
      <c r="B315" s="38" t="s">
        <v>1983</v>
      </c>
      <c r="C315" s="38" t="s">
        <v>243</v>
      </c>
      <c r="D315" s="38" t="s">
        <v>1986</v>
      </c>
      <c r="E315" s="56"/>
      <c r="F315" s="56">
        <v>1</v>
      </c>
      <c r="G315" s="38" t="s">
        <v>1983</v>
      </c>
      <c r="H315" s="38" t="s">
        <v>242</v>
      </c>
      <c r="I315" s="38" t="s">
        <v>243</v>
      </c>
      <c r="J315" s="38" t="s">
        <v>2680</v>
      </c>
    </row>
    <row r="316" spans="1:10" ht="28.8" x14ac:dyDescent="0.3">
      <c r="A316" s="37" t="s">
        <v>1985</v>
      </c>
      <c r="B316" s="37" t="s">
        <v>1983</v>
      </c>
      <c r="C316" s="37" t="s">
        <v>346</v>
      </c>
      <c r="D316" s="37" t="s">
        <v>1986</v>
      </c>
      <c r="E316" s="55"/>
      <c r="F316" s="55">
        <v>1</v>
      </c>
      <c r="G316" s="37" t="s">
        <v>1983</v>
      </c>
      <c r="H316" s="37" t="s">
        <v>242</v>
      </c>
      <c r="I316" s="37" t="s">
        <v>346</v>
      </c>
      <c r="J316" s="37" t="s">
        <v>2680</v>
      </c>
    </row>
    <row r="317" spans="1:10" ht="28.8" x14ac:dyDescent="0.3">
      <c r="A317" s="38" t="s">
        <v>1990</v>
      </c>
      <c r="B317" s="38" t="s">
        <v>1988</v>
      </c>
      <c r="C317" s="38" t="s">
        <v>267</v>
      </c>
      <c r="D317" s="38" t="s">
        <v>1991</v>
      </c>
      <c r="E317" s="56"/>
      <c r="F317" s="56">
        <v>1</v>
      </c>
      <c r="G317" s="38" t="s">
        <v>1988</v>
      </c>
      <c r="H317" s="38" t="s">
        <v>242</v>
      </c>
      <c r="I317" s="38" t="s">
        <v>267</v>
      </c>
      <c r="J317" s="38" t="s">
        <v>2680</v>
      </c>
    </row>
    <row r="318" spans="1:10" ht="28.8" x14ac:dyDescent="0.3">
      <c r="A318" s="37" t="s">
        <v>1990</v>
      </c>
      <c r="B318" s="37" t="s">
        <v>1988</v>
      </c>
      <c r="C318" s="37" t="s">
        <v>243</v>
      </c>
      <c r="D318" s="37" t="s">
        <v>1991</v>
      </c>
      <c r="E318" s="55"/>
      <c r="F318" s="55">
        <v>1</v>
      </c>
      <c r="G318" s="37" t="s">
        <v>1988</v>
      </c>
      <c r="H318" s="37" t="s">
        <v>242</v>
      </c>
      <c r="I318" s="37" t="s">
        <v>243</v>
      </c>
      <c r="J318" s="37" t="s">
        <v>2680</v>
      </c>
    </row>
    <row r="319" spans="1:10" ht="28.8" x14ac:dyDescent="0.3">
      <c r="A319" s="38" t="s">
        <v>1990</v>
      </c>
      <c r="B319" s="38" t="s">
        <v>1988</v>
      </c>
      <c r="C319" s="38" t="s">
        <v>346</v>
      </c>
      <c r="D319" s="38" t="s">
        <v>1991</v>
      </c>
      <c r="E319" s="56"/>
      <c r="F319" s="56">
        <v>1</v>
      </c>
      <c r="G319" s="38" t="s">
        <v>1988</v>
      </c>
      <c r="H319" s="38" t="s">
        <v>242</v>
      </c>
      <c r="I319" s="38" t="s">
        <v>346</v>
      </c>
      <c r="J319" s="38" t="s">
        <v>2680</v>
      </c>
    </row>
    <row r="320" spans="1:10" ht="28.8" x14ac:dyDescent="0.3">
      <c r="A320" s="37" t="s">
        <v>1995</v>
      </c>
      <c r="B320" s="37" t="s">
        <v>1993</v>
      </c>
      <c r="C320" s="37" t="s">
        <v>267</v>
      </c>
      <c r="D320" s="37" t="s">
        <v>1996</v>
      </c>
      <c r="E320" s="55"/>
      <c r="F320" s="55">
        <v>1</v>
      </c>
      <c r="G320" s="37" t="s">
        <v>1993</v>
      </c>
      <c r="H320" s="37" t="s">
        <v>242</v>
      </c>
      <c r="I320" s="37" t="s">
        <v>267</v>
      </c>
      <c r="J320" s="37" t="s">
        <v>2680</v>
      </c>
    </row>
    <row r="321" spans="1:10" ht="28.8" x14ac:dyDescent="0.3">
      <c r="A321" s="38" t="s">
        <v>1995</v>
      </c>
      <c r="B321" s="38" t="s">
        <v>1993</v>
      </c>
      <c r="C321" s="38" t="s">
        <v>243</v>
      </c>
      <c r="D321" s="38" t="s">
        <v>1996</v>
      </c>
      <c r="E321" s="56"/>
      <c r="F321" s="56">
        <v>1</v>
      </c>
      <c r="G321" s="38" t="s">
        <v>1993</v>
      </c>
      <c r="H321" s="38" t="s">
        <v>242</v>
      </c>
      <c r="I321" s="38" t="s">
        <v>243</v>
      </c>
      <c r="J321" s="38" t="s">
        <v>2680</v>
      </c>
    </row>
    <row r="322" spans="1:10" ht="28.8" x14ac:dyDescent="0.3">
      <c r="A322" s="37" t="s">
        <v>1995</v>
      </c>
      <c r="B322" s="37" t="s">
        <v>1993</v>
      </c>
      <c r="C322" s="37" t="s">
        <v>346</v>
      </c>
      <c r="D322" s="37" t="s">
        <v>1996</v>
      </c>
      <c r="E322" s="55"/>
      <c r="F322" s="55">
        <v>1</v>
      </c>
      <c r="G322" s="37" t="s">
        <v>1993</v>
      </c>
      <c r="H322" s="37" t="s">
        <v>242</v>
      </c>
      <c r="I322" s="37" t="s">
        <v>346</v>
      </c>
      <c r="J322" s="37" t="s">
        <v>2680</v>
      </c>
    </row>
    <row r="323" spans="1:10" ht="28.8" x14ac:dyDescent="0.3">
      <c r="A323" s="38" t="s">
        <v>1999</v>
      </c>
      <c r="B323" s="38" t="s">
        <v>1998</v>
      </c>
      <c r="C323" s="38" t="s">
        <v>267</v>
      </c>
      <c r="D323" s="38" t="s">
        <v>2000</v>
      </c>
      <c r="E323" s="56"/>
      <c r="F323" s="56">
        <v>1</v>
      </c>
      <c r="G323" s="38" t="s">
        <v>1998</v>
      </c>
      <c r="H323" s="38" t="s">
        <v>242</v>
      </c>
      <c r="I323" s="38" t="s">
        <v>267</v>
      </c>
      <c r="J323" s="38" t="s">
        <v>2680</v>
      </c>
    </row>
    <row r="324" spans="1:10" ht="28.8" x14ac:dyDescent="0.3">
      <c r="A324" s="37" t="s">
        <v>1999</v>
      </c>
      <c r="B324" s="37" t="s">
        <v>1998</v>
      </c>
      <c r="C324" s="37" t="s">
        <v>243</v>
      </c>
      <c r="D324" s="37" t="s">
        <v>2000</v>
      </c>
      <c r="E324" s="55"/>
      <c r="F324" s="55">
        <v>1</v>
      </c>
      <c r="G324" s="37" t="s">
        <v>1998</v>
      </c>
      <c r="H324" s="37" t="s">
        <v>242</v>
      </c>
      <c r="I324" s="37" t="s">
        <v>243</v>
      </c>
      <c r="J324" s="37" t="s">
        <v>2680</v>
      </c>
    </row>
    <row r="325" spans="1:10" ht="28.8" x14ac:dyDescent="0.3">
      <c r="A325" s="38" t="s">
        <v>1999</v>
      </c>
      <c r="B325" s="38" t="s">
        <v>1998</v>
      </c>
      <c r="C325" s="38" t="s">
        <v>346</v>
      </c>
      <c r="D325" s="38" t="s">
        <v>2000</v>
      </c>
      <c r="E325" s="56"/>
      <c r="F325" s="56">
        <v>1</v>
      </c>
      <c r="G325" s="38" t="s">
        <v>1998</v>
      </c>
      <c r="H325" s="38" t="s">
        <v>242</v>
      </c>
      <c r="I325" s="38" t="s">
        <v>346</v>
      </c>
      <c r="J325" s="38" t="s">
        <v>2680</v>
      </c>
    </row>
    <row r="326" spans="1:10" ht="28.8" x14ac:dyDescent="0.3">
      <c r="A326" s="37" t="s">
        <v>2021</v>
      </c>
      <c r="B326" s="37" t="s">
        <v>2019</v>
      </c>
      <c r="C326" s="37" t="s">
        <v>267</v>
      </c>
      <c r="D326" s="37" t="s">
        <v>2022</v>
      </c>
      <c r="E326" s="55"/>
      <c r="F326" s="55">
        <v>1</v>
      </c>
      <c r="G326" s="37" t="s">
        <v>2019</v>
      </c>
      <c r="H326" s="37" t="s">
        <v>242</v>
      </c>
      <c r="I326" s="37" t="s">
        <v>267</v>
      </c>
      <c r="J326" s="37" t="s">
        <v>2680</v>
      </c>
    </row>
    <row r="327" spans="1:10" ht="28.8" x14ac:dyDescent="0.3">
      <c r="A327" s="38" t="s">
        <v>2021</v>
      </c>
      <c r="B327" s="38" t="s">
        <v>2019</v>
      </c>
      <c r="C327" s="38" t="s">
        <v>243</v>
      </c>
      <c r="D327" s="38" t="s">
        <v>2022</v>
      </c>
      <c r="E327" s="56"/>
      <c r="F327" s="56">
        <v>1</v>
      </c>
      <c r="G327" s="38" t="s">
        <v>2019</v>
      </c>
      <c r="H327" s="38" t="s">
        <v>242</v>
      </c>
      <c r="I327" s="38" t="s">
        <v>243</v>
      </c>
      <c r="J327" s="38" t="s">
        <v>2680</v>
      </c>
    </row>
    <row r="328" spans="1:10" ht="28.8" x14ac:dyDescent="0.3">
      <c r="A328" s="37" t="s">
        <v>2021</v>
      </c>
      <c r="B328" s="37" t="s">
        <v>2019</v>
      </c>
      <c r="C328" s="37" t="s">
        <v>346</v>
      </c>
      <c r="D328" s="37" t="s">
        <v>2022</v>
      </c>
      <c r="E328" s="55"/>
      <c r="F328" s="55">
        <v>1</v>
      </c>
      <c r="G328" s="37" t="s">
        <v>2019</v>
      </c>
      <c r="H328" s="37" t="s">
        <v>242</v>
      </c>
      <c r="I328" s="37" t="s">
        <v>346</v>
      </c>
      <c r="J328" s="37" t="s">
        <v>2680</v>
      </c>
    </row>
    <row r="329" spans="1:10" ht="28.8" x14ac:dyDescent="0.3">
      <c r="A329" s="38" t="s">
        <v>2025</v>
      </c>
      <c r="B329" s="38" t="s">
        <v>2024</v>
      </c>
      <c r="C329" s="38" t="s">
        <v>267</v>
      </c>
      <c r="D329" s="38" t="s">
        <v>2026</v>
      </c>
      <c r="E329" s="56"/>
      <c r="F329" s="56">
        <v>1</v>
      </c>
      <c r="G329" s="38" t="s">
        <v>2024</v>
      </c>
      <c r="H329" s="38" t="s">
        <v>242</v>
      </c>
      <c r="I329" s="38" t="s">
        <v>267</v>
      </c>
      <c r="J329" s="38" t="s">
        <v>2680</v>
      </c>
    </row>
    <row r="330" spans="1:10" ht="28.8" x14ac:dyDescent="0.3">
      <c r="A330" s="37" t="s">
        <v>2025</v>
      </c>
      <c r="B330" s="37" t="s">
        <v>2024</v>
      </c>
      <c r="C330" s="37" t="s">
        <v>243</v>
      </c>
      <c r="D330" s="37" t="s">
        <v>2026</v>
      </c>
      <c r="E330" s="55"/>
      <c r="F330" s="55">
        <v>1</v>
      </c>
      <c r="G330" s="37" t="s">
        <v>2024</v>
      </c>
      <c r="H330" s="37" t="s">
        <v>242</v>
      </c>
      <c r="I330" s="37" t="s">
        <v>243</v>
      </c>
      <c r="J330" s="37" t="s">
        <v>2680</v>
      </c>
    </row>
    <row r="331" spans="1:10" ht="28.8" x14ac:dyDescent="0.3">
      <c r="A331" s="38" t="s">
        <v>2025</v>
      </c>
      <c r="B331" s="38" t="s">
        <v>2024</v>
      </c>
      <c r="C331" s="38" t="s">
        <v>346</v>
      </c>
      <c r="D331" s="38" t="s">
        <v>2026</v>
      </c>
      <c r="E331" s="56"/>
      <c r="F331" s="56">
        <v>1</v>
      </c>
      <c r="G331" s="38" t="s">
        <v>2024</v>
      </c>
      <c r="H331" s="38" t="s">
        <v>242</v>
      </c>
      <c r="I331" s="38" t="s">
        <v>346</v>
      </c>
      <c r="J331" s="38" t="s">
        <v>2680</v>
      </c>
    </row>
    <row r="332" spans="1:10" ht="28.8" x14ac:dyDescent="0.3">
      <c r="A332" s="37" t="s">
        <v>2029</v>
      </c>
      <c r="B332" s="37" t="s">
        <v>2028</v>
      </c>
      <c r="C332" s="37" t="s">
        <v>267</v>
      </c>
      <c r="D332" s="37" t="s">
        <v>2030</v>
      </c>
      <c r="E332" s="55"/>
      <c r="F332" s="55">
        <v>1</v>
      </c>
      <c r="G332" s="37" t="s">
        <v>2028</v>
      </c>
      <c r="H332" s="37" t="s">
        <v>242</v>
      </c>
      <c r="I332" s="37" t="s">
        <v>267</v>
      </c>
      <c r="J332" s="37" t="s">
        <v>2680</v>
      </c>
    </row>
    <row r="333" spans="1:10" ht="28.8" x14ac:dyDescent="0.3">
      <c r="A333" s="38" t="s">
        <v>2029</v>
      </c>
      <c r="B333" s="38" t="s">
        <v>2028</v>
      </c>
      <c r="C333" s="38" t="s">
        <v>243</v>
      </c>
      <c r="D333" s="38" t="s">
        <v>2030</v>
      </c>
      <c r="E333" s="56"/>
      <c r="F333" s="56">
        <v>1</v>
      </c>
      <c r="G333" s="38" t="s">
        <v>2028</v>
      </c>
      <c r="H333" s="38" t="s">
        <v>242</v>
      </c>
      <c r="I333" s="38" t="s">
        <v>243</v>
      </c>
      <c r="J333" s="38" t="s">
        <v>2680</v>
      </c>
    </row>
    <row r="334" spans="1:10" ht="28.8" x14ac:dyDescent="0.3">
      <c r="A334" s="37" t="s">
        <v>2029</v>
      </c>
      <c r="B334" s="37" t="s">
        <v>2028</v>
      </c>
      <c r="C334" s="37" t="s">
        <v>346</v>
      </c>
      <c r="D334" s="37" t="s">
        <v>2030</v>
      </c>
      <c r="E334" s="55"/>
      <c r="F334" s="55">
        <v>1</v>
      </c>
      <c r="G334" s="37" t="s">
        <v>2028</v>
      </c>
      <c r="H334" s="37" t="s">
        <v>242</v>
      </c>
      <c r="I334" s="37" t="s">
        <v>346</v>
      </c>
      <c r="J334" s="37" t="s">
        <v>2680</v>
      </c>
    </row>
    <row r="335" spans="1:10" ht="28.8" x14ac:dyDescent="0.3">
      <c r="A335" s="38" t="s">
        <v>2034</v>
      </c>
      <c r="B335" s="38" t="s">
        <v>2032</v>
      </c>
      <c r="C335" s="38" t="s">
        <v>267</v>
      </c>
      <c r="D335" s="38" t="s">
        <v>2035</v>
      </c>
      <c r="E335" s="56"/>
      <c r="F335" s="56">
        <v>1</v>
      </c>
      <c r="G335" s="38" t="s">
        <v>2032</v>
      </c>
      <c r="H335" s="38" t="s">
        <v>242</v>
      </c>
      <c r="I335" s="38" t="s">
        <v>267</v>
      </c>
      <c r="J335" s="38" t="s">
        <v>2680</v>
      </c>
    </row>
    <row r="336" spans="1:10" ht="28.8" x14ac:dyDescent="0.3">
      <c r="A336" s="37" t="s">
        <v>2034</v>
      </c>
      <c r="B336" s="37" t="s">
        <v>2032</v>
      </c>
      <c r="C336" s="37" t="s">
        <v>243</v>
      </c>
      <c r="D336" s="37" t="s">
        <v>2035</v>
      </c>
      <c r="E336" s="55"/>
      <c r="F336" s="55">
        <v>1</v>
      </c>
      <c r="G336" s="37" t="s">
        <v>2032</v>
      </c>
      <c r="H336" s="37" t="s">
        <v>242</v>
      </c>
      <c r="I336" s="37" t="s">
        <v>243</v>
      </c>
      <c r="J336" s="37" t="s">
        <v>2680</v>
      </c>
    </row>
    <row r="337" spans="1:10" ht="28.8" x14ac:dyDescent="0.3">
      <c r="A337" s="38" t="s">
        <v>2034</v>
      </c>
      <c r="B337" s="38" t="s">
        <v>2032</v>
      </c>
      <c r="C337" s="38" t="s">
        <v>346</v>
      </c>
      <c r="D337" s="38" t="s">
        <v>2035</v>
      </c>
      <c r="E337" s="56"/>
      <c r="F337" s="56">
        <v>1</v>
      </c>
      <c r="G337" s="38" t="s">
        <v>2032</v>
      </c>
      <c r="H337" s="38" t="s">
        <v>242</v>
      </c>
      <c r="I337" s="38" t="s">
        <v>346</v>
      </c>
      <c r="J337" s="38" t="s">
        <v>2680</v>
      </c>
    </row>
    <row r="338" spans="1:10" ht="28.8" x14ac:dyDescent="0.3">
      <c r="A338" s="37" t="s">
        <v>2195</v>
      </c>
      <c r="B338" s="37" t="s">
        <v>2193</v>
      </c>
      <c r="C338" s="37" t="s">
        <v>267</v>
      </c>
      <c r="D338" s="37" t="s">
        <v>2196</v>
      </c>
      <c r="E338" s="55"/>
      <c r="F338" s="55">
        <v>1</v>
      </c>
      <c r="G338" s="37" t="s">
        <v>2193</v>
      </c>
      <c r="H338" s="37" t="s">
        <v>242</v>
      </c>
      <c r="I338" s="37" t="s">
        <v>267</v>
      </c>
      <c r="J338" s="37" t="s">
        <v>2680</v>
      </c>
    </row>
    <row r="339" spans="1:10" ht="28.8" x14ac:dyDescent="0.3">
      <c r="A339" s="38" t="s">
        <v>2195</v>
      </c>
      <c r="B339" s="38" t="s">
        <v>2193</v>
      </c>
      <c r="C339" s="38" t="s">
        <v>243</v>
      </c>
      <c r="D339" s="38" t="s">
        <v>2196</v>
      </c>
      <c r="E339" s="56"/>
      <c r="F339" s="56">
        <v>1</v>
      </c>
      <c r="G339" s="38" t="s">
        <v>2193</v>
      </c>
      <c r="H339" s="38" t="s">
        <v>242</v>
      </c>
      <c r="I339" s="38" t="s">
        <v>243</v>
      </c>
      <c r="J339" s="38" t="s">
        <v>2680</v>
      </c>
    </row>
    <row r="340" spans="1:10" ht="28.8" x14ac:dyDescent="0.3">
      <c r="A340" s="37" t="s">
        <v>2195</v>
      </c>
      <c r="B340" s="37" t="s">
        <v>2193</v>
      </c>
      <c r="C340" s="37" t="s">
        <v>346</v>
      </c>
      <c r="D340" s="37" t="s">
        <v>2196</v>
      </c>
      <c r="E340" s="55"/>
      <c r="F340" s="55">
        <v>1</v>
      </c>
      <c r="G340" s="37" t="s">
        <v>2193</v>
      </c>
      <c r="H340" s="37" t="s">
        <v>242</v>
      </c>
      <c r="I340" s="37" t="s">
        <v>346</v>
      </c>
      <c r="J340" s="37" t="s">
        <v>2680</v>
      </c>
    </row>
    <row r="341" spans="1:10" ht="28.8" x14ac:dyDescent="0.3">
      <c r="A341" s="38" t="s">
        <v>2199</v>
      </c>
      <c r="B341" s="38" t="s">
        <v>2198</v>
      </c>
      <c r="C341" s="38" t="s">
        <v>267</v>
      </c>
      <c r="D341" s="38" t="s">
        <v>2200</v>
      </c>
      <c r="E341" s="56"/>
      <c r="F341" s="56">
        <v>1</v>
      </c>
      <c r="G341" s="38" t="s">
        <v>2198</v>
      </c>
      <c r="H341" s="38" t="s">
        <v>242</v>
      </c>
      <c r="I341" s="38" t="s">
        <v>267</v>
      </c>
      <c r="J341" s="38" t="s">
        <v>2680</v>
      </c>
    </row>
    <row r="342" spans="1:10" ht="28.8" x14ac:dyDescent="0.3">
      <c r="A342" s="37" t="s">
        <v>2199</v>
      </c>
      <c r="B342" s="37" t="s">
        <v>2198</v>
      </c>
      <c r="C342" s="37" t="s">
        <v>243</v>
      </c>
      <c r="D342" s="37" t="s">
        <v>2200</v>
      </c>
      <c r="E342" s="55"/>
      <c r="F342" s="55">
        <v>1</v>
      </c>
      <c r="G342" s="37" t="s">
        <v>2198</v>
      </c>
      <c r="H342" s="37" t="s">
        <v>242</v>
      </c>
      <c r="I342" s="37" t="s">
        <v>243</v>
      </c>
      <c r="J342" s="37" t="s">
        <v>2680</v>
      </c>
    </row>
    <row r="343" spans="1:10" ht="28.8" x14ac:dyDescent="0.3">
      <c r="A343" s="38" t="s">
        <v>2199</v>
      </c>
      <c r="B343" s="38" t="s">
        <v>2198</v>
      </c>
      <c r="C343" s="38" t="s">
        <v>346</v>
      </c>
      <c r="D343" s="38" t="s">
        <v>2200</v>
      </c>
      <c r="E343" s="56"/>
      <c r="F343" s="56">
        <v>1</v>
      </c>
      <c r="G343" s="38" t="s">
        <v>2198</v>
      </c>
      <c r="H343" s="38" t="s">
        <v>242</v>
      </c>
      <c r="I343" s="38" t="s">
        <v>346</v>
      </c>
      <c r="J343" s="38" t="s">
        <v>2680</v>
      </c>
    </row>
    <row r="344" spans="1:10" ht="28.8" x14ac:dyDescent="0.3">
      <c r="A344" s="37" t="s">
        <v>2203</v>
      </c>
      <c r="B344" s="37" t="s">
        <v>2202</v>
      </c>
      <c r="C344" s="37" t="s">
        <v>267</v>
      </c>
      <c r="D344" s="37" t="s">
        <v>2204</v>
      </c>
      <c r="E344" s="55"/>
      <c r="F344" s="55">
        <v>1</v>
      </c>
      <c r="G344" s="37" t="s">
        <v>2202</v>
      </c>
      <c r="H344" s="37" t="s">
        <v>242</v>
      </c>
      <c r="I344" s="37" t="s">
        <v>267</v>
      </c>
      <c r="J344" s="37" t="s">
        <v>2680</v>
      </c>
    </row>
    <row r="345" spans="1:10" ht="28.8" x14ac:dyDescent="0.3">
      <c r="A345" s="38" t="s">
        <v>2203</v>
      </c>
      <c r="B345" s="38" t="s">
        <v>2202</v>
      </c>
      <c r="C345" s="38" t="s">
        <v>243</v>
      </c>
      <c r="D345" s="38" t="s">
        <v>2204</v>
      </c>
      <c r="E345" s="56"/>
      <c r="F345" s="56">
        <v>1</v>
      </c>
      <c r="G345" s="38" t="s">
        <v>2202</v>
      </c>
      <c r="H345" s="38" t="s">
        <v>242</v>
      </c>
      <c r="I345" s="38" t="s">
        <v>243</v>
      </c>
      <c r="J345" s="38" t="s">
        <v>2680</v>
      </c>
    </row>
    <row r="346" spans="1:10" ht="28.8" x14ac:dyDescent="0.3">
      <c r="A346" s="37" t="s">
        <v>2203</v>
      </c>
      <c r="B346" s="37" t="s">
        <v>2202</v>
      </c>
      <c r="C346" s="37" t="s">
        <v>346</v>
      </c>
      <c r="D346" s="37" t="s">
        <v>2204</v>
      </c>
      <c r="E346" s="55"/>
      <c r="F346" s="55">
        <v>1</v>
      </c>
      <c r="G346" s="37" t="s">
        <v>2202</v>
      </c>
      <c r="H346" s="37" t="s">
        <v>242</v>
      </c>
      <c r="I346" s="37" t="s">
        <v>346</v>
      </c>
      <c r="J346" s="37" t="s">
        <v>2680</v>
      </c>
    </row>
    <row r="347" spans="1:10" ht="28.8" x14ac:dyDescent="0.3">
      <c r="A347" s="38" t="s">
        <v>2209</v>
      </c>
      <c r="B347" s="38" t="s">
        <v>2206</v>
      </c>
      <c r="C347" s="38" t="s">
        <v>267</v>
      </c>
      <c r="D347" s="38" t="s">
        <v>2210</v>
      </c>
      <c r="E347" s="56"/>
      <c r="F347" s="56">
        <v>1</v>
      </c>
      <c r="G347" s="38" t="s">
        <v>2206</v>
      </c>
      <c r="H347" s="38" t="s">
        <v>242</v>
      </c>
      <c r="I347" s="38" t="s">
        <v>267</v>
      </c>
      <c r="J347" s="38" t="s">
        <v>2680</v>
      </c>
    </row>
    <row r="348" spans="1:10" ht="28.8" x14ac:dyDescent="0.3">
      <c r="A348" s="37" t="s">
        <v>2209</v>
      </c>
      <c r="B348" s="37" t="s">
        <v>2206</v>
      </c>
      <c r="C348" s="37" t="s">
        <v>243</v>
      </c>
      <c r="D348" s="37" t="s">
        <v>2210</v>
      </c>
      <c r="E348" s="55"/>
      <c r="F348" s="55">
        <v>1</v>
      </c>
      <c r="G348" s="37" t="s">
        <v>2206</v>
      </c>
      <c r="H348" s="37" t="s">
        <v>242</v>
      </c>
      <c r="I348" s="37" t="s">
        <v>243</v>
      </c>
      <c r="J348" s="37" t="s">
        <v>2680</v>
      </c>
    </row>
    <row r="349" spans="1:10" ht="28.8" x14ac:dyDescent="0.3">
      <c r="A349" s="38" t="s">
        <v>2209</v>
      </c>
      <c r="B349" s="38" t="s">
        <v>2206</v>
      </c>
      <c r="C349" s="38" t="s">
        <v>346</v>
      </c>
      <c r="D349" s="38" t="s">
        <v>2210</v>
      </c>
      <c r="E349" s="56"/>
      <c r="F349" s="56">
        <v>1</v>
      </c>
      <c r="G349" s="38" t="s">
        <v>2206</v>
      </c>
      <c r="H349" s="38" t="s">
        <v>242</v>
      </c>
      <c r="I349" s="38" t="s">
        <v>346</v>
      </c>
      <c r="J349" s="38" t="s">
        <v>2680</v>
      </c>
    </row>
    <row r="350" spans="1:10" ht="28.8" x14ac:dyDescent="0.3">
      <c r="A350" s="37" t="s">
        <v>2220</v>
      </c>
      <c r="B350" s="37" t="s">
        <v>2218</v>
      </c>
      <c r="C350" s="37" t="s">
        <v>267</v>
      </c>
      <c r="D350" s="37" t="s">
        <v>2221</v>
      </c>
      <c r="E350" s="55"/>
      <c r="F350" s="55">
        <v>1</v>
      </c>
      <c r="G350" s="37" t="s">
        <v>2218</v>
      </c>
      <c r="H350" s="37" t="s">
        <v>242</v>
      </c>
      <c r="I350" s="37" t="s">
        <v>267</v>
      </c>
      <c r="J350" s="37" t="s">
        <v>2680</v>
      </c>
    </row>
    <row r="351" spans="1:10" ht="28.8" x14ac:dyDescent="0.3">
      <c r="A351" s="38" t="s">
        <v>2220</v>
      </c>
      <c r="B351" s="38" t="s">
        <v>2218</v>
      </c>
      <c r="C351" s="38" t="s">
        <v>243</v>
      </c>
      <c r="D351" s="38" t="s">
        <v>2221</v>
      </c>
      <c r="E351" s="56"/>
      <c r="F351" s="56">
        <v>1</v>
      </c>
      <c r="G351" s="38" t="s">
        <v>2218</v>
      </c>
      <c r="H351" s="38" t="s">
        <v>242</v>
      </c>
      <c r="I351" s="38" t="s">
        <v>243</v>
      </c>
      <c r="J351" s="38" t="s">
        <v>2680</v>
      </c>
    </row>
    <row r="352" spans="1:10" ht="28.8" x14ac:dyDescent="0.3">
      <c r="A352" s="37" t="s">
        <v>2220</v>
      </c>
      <c r="B352" s="37" t="s">
        <v>2218</v>
      </c>
      <c r="C352" s="37" t="s">
        <v>346</v>
      </c>
      <c r="D352" s="37" t="s">
        <v>2221</v>
      </c>
      <c r="E352" s="55"/>
      <c r="F352" s="55">
        <v>1</v>
      </c>
      <c r="G352" s="37" t="s">
        <v>2218</v>
      </c>
      <c r="H352" s="37" t="s">
        <v>242</v>
      </c>
      <c r="I352" s="37" t="s">
        <v>346</v>
      </c>
      <c r="J352" s="37" t="s">
        <v>2680</v>
      </c>
    </row>
    <row r="353" spans="1:10" ht="28.8" x14ac:dyDescent="0.3">
      <c r="A353" s="38" t="s">
        <v>2225</v>
      </c>
      <c r="B353" s="38" t="s">
        <v>2223</v>
      </c>
      <c r="C353" s="38" t="s">
        <v>267</v>
      </c>
      <c r="D353" s="38" t="s">
        <v>2226</v>
      </c>
      <c r="E353" s="56"/>
      <c r="F353" s="56">
        <v>1</v>
      </c>
      <c r="G353" s="38" t="s">
        <v>2223</v>
      </c>
      <c r="H353" s="38" t="s">
        <v>242</v>
      </c>
      <c r="I353" s="38" t="s">
        <v>267</v>
      </c>
      <c r="J353" s="38" t="s">
        <v>2680</v>
      </c>
    </row>
    <row r="354" spans="1:10" ht="28.8" x14ac:dyDescent="0.3">
      <c r="A354" s="37" t="s">
        <v>2225</v>
      </c>
      <c r="B354" s="37" t="s">
        <v>2223</v>
      </c>
      <c r="C354" s="37" t="s">
        <v>243</v>
      </c>
      <c r="D354" s="37" t="s">
        <v>2226</v>
      </c>
      <c r="E354" s="55"/>
      <c r="F354" s="55">
        <v>1</v>
      </c>
      <c r="G354" s="37" t="s">
        <v>2223</v>
      </c>
      <c r="H354" s="37" t="s">
        <v>242</v>
      </c>
      <c r="I354" s="37" t="s">
        <v>243</v>
      </c>
      <c r="J354" s="37" t="s">
        <v>2680</v>
      </c>
    </row>
    <row r="355" spans="1:10" ht="28.8" x14ac:dyDescent="0.3">
      <c r="A355" s="38" t="s">
        <v>2225</v>
      </c>
      <c r="B355" s="38" t="s">
        <v>2223</v>
      </c>
      <c r="C355" s="38" t="s">
        <v>346</v>
      </c>
      <c r="D355" s="38" t="s">
        <v>2226</v>
      </c>
      <c r="E355" s="56"/>
      <c r="F355" s="56">
        <v>1</v>
      </c>
      <c r="G355" s="38" t="s">
        <v>2223</v>
      </c>
      <c r="H355" s="38" t="s">
        <v>242</v>
      </c>
      <c r="I355" s="38" t="s">
        <v>346</v>
      </c>
      <c r="J355" s="38" t="s">
        <v>2680</v>
      </c>
    </row>
    <row r="356" spans="1:10" ht="28.8" x14ac:dyDescent="0.3">
      <c r="A356" s="37" t="s">
        <v>2229</v>
      </c>
      <c r="B356" s="37" t="s">
        <v>2228</v>
      </c>
      <c r="C356" s="37" t="s">
        <v>267</v>
      </c>
      <c r="D356" s="37" t="s">
        <v>2230</v>
      </c>
      <c r="E356" s="55"/>
      <c r="F356" s="55">
        <v>1</v>
      </c>
      <c r="G356" s="37" t="s">
        <v>2228</v>
      </c>
      <c r="H356" s="37" t="s">
        <v>242</v>
      </c>
      <c r="I356" s="37" t="s">
        <v>267</v>
      </c>
      <c r="J356" s="37" t="s">
        <v>2680</v>
      </c>
    </row>
    <row r="357" spans="1:10" ht="28.8" x14ac:dyDescent="0.3">
      <c r="A357" s="38" t="s">
        <v>2229</v>
      </c>
      <c r="B357" s="38" t="s">
        <v>2228</v>
      </c>
      <c r="C357" s="38" t="s">
        <v>243</v>
      </c>
      <c r="D357" s="38" t="s">
        <v>2230</v>
      </c>
      <c r="E357" s="56"/>
      <c r="F357" s="56">
        <v>1</v>
      </c>
      <c r="G357" s="38" t="s">
        <v>2228</v>
      </c>
      <c r="H357" s="38" t="s">
        <v>242</v>
      </c>
      <c r="I357" s="38" t="s">
        <v>243</v>
      </c>
      <c r="J357" s="38" t="s">
        <v>2680</v>
      </c>
    </row>
    <row r="358" spans="1:10" ht="28.8" x14ac:dyDescent="0.3">
      <c r="A358" s="37" t="s">
        <v>2229</v>
      </c>
      <c r="B358" s="37" t="s">
        <v>2228</v>
      </c>
      <c r="C358" s="37" t="s">
        <v>346</v>
      </c>
      <c r="D358" s="37" t="s">
        <v>2230</v>
      </c>
      <c r="E358" s="55"/>
      <c r="F358" s="55">
        <v>1</v>
      </c>
      <c r="G358" s="37" t="s">
        <v>2228</v>
      </c>
      <c r="H358" s="37" t="s">
        <v>242</v>
      </c>
      <c r="I358" s="37" t="s">
        <v>346</v>
      </c>
      <c r="J358" s="37" t="s">
        <v>2680</v>
      </c>
    </row>
    <row r="359" spans="1:10" ht="57.6" x14ac:dyDescent="0.3">
      <c r="A359" s="38" t="s">
        <v>2234</v>
      </c>
      <c r="B359" s="38" t="s">
        <v>2232</v>
      </c>
      <c r="C359" s="38" t="s">
        <v>267</v>
      </c>
      <c r="D359" s="38" t="s">
        <v>2235</v>
      </c>
      <c r="E359" s="56"/>
      <c r="F359" s="56">
        <v>1</v>
      </c>
      <c r="G359" s="38" t="s">
        <v>2232</v>
      </c>
      <c r="H359" s="38" t="s">
        <v>242</v>
      </c>
      <c r="I359" s="38" t="s">
        <v>267</v>
      </c>
      <c r="J359" s="38" t="s">
        <v>2680</v>
      </c>
    </row>
    <row r="360" spans="1:10" ht="57.6" x14ac:dyDescent="0.3">
      <c r="A360" s="37" t="s">
        <v>2234</v>
      </c>
      <c r="B360" s="37" t="s">
        <v>2232</v>
      </c>
      <c r="C360" s="37" t="s">
        <v>243</v>
      </c>
      <c r="D360" s="37" t="s">
        <v>2235</v>
      </c>
      <c r="E360" s="55"/>
      <c r="F360" s="55">
        <v>1</v>
      </c>
      <c r="G360" s="37" t="s">
        <v>2232</v>
      </c>
      <c r="H360" s="37" t="s">
        <v>242</v>
      </c>
      <c r="I360" s="37" t="s">
        <v>243</v>
      </c>
      <c r="J360" s="37" t="s">
        <v>2680</v>
      </c>
    </row>
    <row r="361" spans="1:10" ht="57.6" x14ac:dyDescent="0.3">
      <c r="A361" s="38" t="s">
        <v>2234</v>
      </c>
      <c r="B361" s="38" t="s">
        <v>2232</v>
      </c>
      <c r="C361" s="38" t="s">
        <v>346</v>
      </c>
      <c r="D361" s="38" t="s">
        <v>2235</v>
      </c>
      <c r="E361" s="56"/>
      <c r="F361" s="56">
        <v>1</v>
      </c>
      <c r="G361" s="38" t="s">
        <v>2232</v>
      </c>
      <c r="H361" s="38" t="s">
        <v>242</v>
      </c>
      <c r="I361" s="38" t="s">
        <v>346</v>
      </c>
      <c r="J361" s="38" t="s">
        <v>2680</v>
      </c>
    </row>
    <row r="362" spans="1:10" ht="28.8" x14ac:dyDescent="0.3">
      <c r="A362" s="37" t="s">
        <v>2239</v>
      </c>
      <c r="B362" s="37" t="s">
        <v>2237</v>
      </c>
      <c r="C362" s="37" t="s">
        <v>267</v>
      </c>
      <c r="D362" s="37" t="s">
        <v>2240</v>
      </c>
      <c r="E362" s="55"/>
      <c r="F362" s="55">
        <v>1</v>
      </c>
      <c r="G362" s="37" t="s">
        <v>2237</v>
      </c>
      <c r="H362" s="37" t="s">
        <v>242</v>
      </c>
      <c r="I362" s="37" t="s">
        <v>267</v>
      </c>
      <c r="J362" s="37" t="s">
        <v>2680</v>
      </c>
    </row>
    <row r="363" spans="1:10" ht="28.8" x14ac:dyDescent="0.3">
      <c r="A363" s="38" t="s">
        <v>2239</v>
      </c>
      <c r="B363" s="38" t="s">
        <v>2237</v>
      </c>
      <c r="C363" s="38" t="s">
        <v>243</v>
      </c>
      <c r="D363" s="38" t="s">
        <v>2240</v>
      </c>
      <c r="E363" s="56"/>
      <c r="F363" s="56">
        <v>1</v>
      </c>
      <c r="G363" s="38" t="s">
        <v>2237</v>
      </c>
      <c r="H363" s="38" t="s">
        <v>242</v>
      </c>
      <c r="I363" s="38" t="s">
        <v>243</v>
      </c>
      <c r="J363" s="38" t="s">
        <v>2680</v>
      </c>
    </row>
    <row r="364" spans="1:10" ht="28.8" x14ac:dyDescent="0.3">
      <c r="A364" s="37" t="s">
        <v>2239</v>
      </c>
      <c r="B364" s="37" t="s">
        <v>2237</v>
      </c>
      <c r="C364" s="37" t="s">
        <v>346</v>
      </c>
      <c r="D364" s="37" t="s">
        <v>2240</v>
      </c>
      <c r="E364" s="55"/>
      <c r="F364" s="55">
        <v>1</v>
      </c>
      <c r="G364" s="37" t="s">
        <v>2237</v>
      </c>
      <c r="H364" s="37" t="s">
        <v>242</v>
      </c>
      <c r="I364" s="37" t="s">
        <v>346</v>
      </c>
      <c r="J364" s="37" t="s">
        <v>2680</v>
      </c>
    </row>
  </sheetData>
  <autoFilter ref="A1:J364" xr:uid="{00000000-0009-0000-0000-000027000000}"/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23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1" customWidth="1"/>
    <col min="2" max="2" width="40" customWidth="1"/>
    <col min="3" max="3" width="17" customWidth="1"/>
    <col min="4" max="7" width="40" customWidth="1"/>
  </cols>
  <sheetData>
    <row r="1" spans="1:7" x14ac:dyDescent="0.3">
      <c r="A1" s="36" t="s">
        <v>571</v>
      </c>
      <c r="B1" s="36" t="s">
        <v>2681</v>
      </c>
      <c r="C1" s="36" t="s">
        <v>2682</v>
      </c>
      <c r="D1" s="36" t="s">
        <v>2683</v>
      </c>
      <c r="E1" s="36" t="s">
        <v>2684</v>
      </c>
      <c r="F1" s="36" t="s">
        <v>2685</v>
      </c>
      <c r="G1" s="36" t="s">
        <v>2686</v>
      </c>
    </row>
    <row r="2" spans="1:7" ht="28.8" x14ac:dyDescent="0.3">
      <c r="A2" s="37" t="s">
        <v>246</v>
      </c>
      <c r="B2" s="37" t="s">
        <v>2687</v>
      </c>
      <c r="C2" s="53">
        <v>2</v>
      </c>
      <c r="D2" s="37" t="s">
        <v>2688</v>
      </c>
      <c r="E2" s="37" t="s">
        <v>2689</v>
      </c>
      <c r="F2" s="37" t="s">
        <v>2690</v>
      </c>
      <c r="G2" s="37" t="s">
        <v>2691</v>
      </c>
    </row>
    <row r="3" spans="1:7" ht="100.8" x14ac:dyDescent="0.3">
      <c r="A3" s="38" t="s">
        <v>246</v>
      </c>
      <c r="B3" s="38" t="s">
        <v>2692</v>
      </c>
      <c r="C3" s="54">
        <v>2</v>
      </c>
      <c r="D3" s="38" t="s">
        <v>2693</v>
      </c>
      <c r="E3" s="38" t="s">
        <v>2694</v>
      </c>
      <c r="F3" s="38" t="s">
        <v>2690</v>
      </c>
      <c r="G3" s="38" t="s">
        <v>2691</v>
      </c>
    </row>
    <row r="4" spans="1:7" ht="43.2" x14ac:dyDescent="0.3">
      <c r="A4" s="37" t="s">
        <v>246</v>
      </c>
      <c r="B4" s="37" t="s">
        <v>2695</v>
      </c>
      <c r="C4" s="53">
        <v>2</v>
      </c>
      <c r="D4" s="37" t="s">
        <v>2696</v>
      </c>
      <c r="E4" s="37" t="s">
        <v>2697</v>
      </c>
      <c r="F4" s="37" t="s">
        <v>2690</v>
      </c>
      <c r="G4" s="37" t="s">
        <v>2691</v>
      </c>
    </row>
    <row r="5" spans="1:7" ht="43.2" x14ac:dyDescent="0.3">
      <c r="A5" s="38" t="s">
        <v>246</v>
      </c>
      <c r="B5" s="38" t="s">
        <v>2698</v>
      </c>
      <c r="C5" s="54">
        <v>2</v>
      </c>
      <c r="D5" s="38" t="s">
        <v>2699</v>
      </c>
      <c r="E5" s="38" t="s">
        <v>2700</v>
      </c>
      <c r="F5" s="38" t="s">
        <v>2690</v>
      </c>
      <c r="G5" s="38" t="s">
        <v>2691</v>
      </c>
    </row>
    <row r="6" spans="1:7" ht="100.8" x14ac:dyDescent="0.3">
      <c r="A6" s="37" t="s">
        <v>246</v>
      </c>
      <c r="B6" s="37" t="s">
        <v>2701</v>
      </c>
      <c r="C6" s="53">
        <v>2</v>
      </c>
      <c r="D6" s="37" t="s">
        <v>2702</v>
      </c>
      <c r="E6" s="37" t="s">
        <v>2703</v>
      </c>
      <c r="F6" s="37" t="s">
        <v>2690</v>
      </c>
      <c r="G6" s="37" t="s">
        <v>2691</v>
      </c>
    </row>
    <row r="7" spans="1:7" ht="72" x14ac:dyDescent="0.3">
      <c r="A7" s="38" t="s">
        <v>246</v>
      </c>
      <c r="B7" s="38" t="s">
        <v>2704</v>
      </c>
      <c r="C7" s="54">
        <v>7</v>
      </c>
      <c r="D7" s="38" t="s">
        <v>2705</v>
      </c>
      <c r="E7" s="38" t="s">
        <v>2706</v>
      </c>
      <c r="F7" s="38" t="s">
        <v>2690</v>
      </c>
      <c r="G7" s="38" t="s">
        <v>2691</v>
      </c>
    </row>
    <row r="8" spans="1:7" ht="28.8" x14ac:dyDescent="0.3">
      <c r="A8" s="37" t="s">
        <v>286</v>
      </c>
      <c r="B8" s="37" t="s">
        <v>2562</v>
      </c>
      <c r="C8" s="53">
        <v>2</v>
      </c>
      <c r="D8" s="37" t="s">
        <v>2707</v>
      </c>
      <c r="E8" s="37" t="s">
        <v>2708</v>
      </c>
      <c r="F8" s="37" t="s">
        <v>2690</v>
      </c>
      <c r="G8" s="37" t="s">
        <v>2691</v>
      </c>
    </row>
    <row r="9" spans="1:7" ht="28.8" x14ac:dyDescent="0.3">
      <c r="A9" s="38" t="s">
        <v>286</v>
      </c>
      <c r="B9" s="38" t="s">
        <v>2575</v>
      </c>
      <c r="C9" s="54">
        <v>2</v>
      </c>
      <c r="D9" s="38" t="s">
        <v>2709</v>
      </c>
      <c r="E9" s="38" t="s">
        <v>2710</v>
      </c>
      <c r="F9" s="38" t="s">
        <v>2690</v>
      </c>
      <c r="G9" s="38" t="s">
        <v>2691</v>
      </c>
    </row>
    <row r="10" spans="1:7" ht="28.8" x14ac:dyDescent="0.3">
      <c r="A10" s="37" t="s">
        <v>286</v>
      </c>
      <c r="B10" s="37" t="s">
        <v>2581</v>
      </c>
      <c r="C10" s="53">
        <v>2</v>
      </c>
      <c r="D10" s="37" t="s">
        <v>2711</v>
      </c>
      <c r="E10" s="37" t="s">
        <v>2712</v>
      </c>
      <c r="F10" s="37" t="s">
        <v>2690</v>
      </c>
      <c r="G10" s="37" t="s">
        <v>2691</v>
      </c>
    </row>
    <row r="11" spans="1:7" ht="28.8" x14ac:dyDescent="0.3">
      <c r="A11" s="38" t="s">
        <v>286</v>
      </c>
      <c r="B11" s="38" t="s">
        <v>2585</v>
      </c>
      <c r="C11" s="54">
        <v>2</v>
      </c>
      <c r="D11" s="38" t="s">
        <v>2713</v>
      </c>
      <c r="E11" s="38" t="s">
        <v>2714</v>
      </c>
      <c r="F11" s="38" t="s">
        <v>2690</v>
      </c>
      <c r="G11" s="38" t="s">
        <v>2691</v>
      </c>
    </row>
    <row r="12" spans="1:7" ht="28.8" x14ac:dyDescent="0.3">
      <c r="A12" s="37" t="s">
        <v>286</v>
      </c>
      <c r="B12" s="37" t="s">
        <v>2586</v>
      </c>
      <c r="C12" s="53">
        <v>2</v>
      </c>
      <c r="D12" s="37" t="s">
        <v>2715</v>
      </c>
      <c r="E12" s="37" t="s">
        <v>2716</v>
      </c>
      <c r="F12" s="37" t="s">
        <v>2690</v>
      </c>
      <c r="G12" s="37" t="s">
        <v>2691</v>
      </c>
    </row>
    <row r="13" spans="1:7" ht="28.8" x14ac:dyDescent="0.3">
      <c r="A13" s="38" t="s">
        <v>286</v>
      </c>
      <c r="B13" s="38" t="s">
        <v>2603</v>
      </c>
      <c r="C13" s="54">
        <v>2</v>
      </c>
      <c r="D13" s="38" t="s">
        <v>2717</v>
      </c>
      <c r="E13" s="38" t="s">
        <v>2718</v>
      </c>
      <c r="F13" s="38" t="s">
        <v>2690</v>
      </c>
      <c r="G13" s="38" t="s">
        <v>2691</v>
      </c>
    </row>
    <row r="14" spans="1:7" ht="43.2" x14ac:dyDescent="0.3">
      <c r="A14" s="37" t="s">
        <v>286</v>
      </c>
      <c r="B14" s="37" t="s">
        <v>2608</v>
      </c>
      <c r="C14" s="53">
        <v>2</v>
      </c>
      <c r="D14" s="37" t="s">
        <v>2719</v>
      </c>
      <c r="E14" s="37" t="s">
        <v>2720</v>
      </c>
      <c r="F14" s="37" t="s">
        <v>2690</v>
      </c>
      <c r="G14" s="37" t="s">
        <v>2691</v>
      </c>
    </row>
    <row r="15" spans="1:7" ht="57.6" x14ac:dyDescent="0.3">
      <c r="A15" s="38" t="s">
        <v>286</v>
      </c>
      <c r="B15" s="38" t="s">
        <v>2610</v>
      </c>
      <c r="C15" s="54">
        <v>2</v>
      </c>
      <c r="D15" s="38" t="s">
        <v>2721</v>
      </c>
      <c r="E15" s="38" t="s">
        <v>2722</v>
      </c>
      <c r="F15" s="38" t="s">
        <v>2690</v>
      </c>
      <c r="G15" s="38" t="s">
        <v>2691</v>
      </c>
    </row>
    <row r="16" spans="1:7" ht="28.8" x14ac:dyDescent="0.3">
      <c r="A16" s="37" t="s">
        <v>286</v>
      </c>
      <c r="B16" s="37" t="s">
        <v>2673</v>
      </c>
      <c r="C16" s="53">
        <v>2</v>
      </c>
      <c r="D16" s="37" t="s">
        <v>2723</v>
      </c>
      <c r="E16" s="37" t="s">
        <v>2724</v>
      </c>
      <c r="F16" s="37" t="s">
        <v>2690</v>
      </c>
      <c r="G16" s="37" t="s">
        <v>2691</v>
      </c>
    </row>
    <row r="17" spans="1:7" ht="28.8" x14ac:dyDescent="0.3">
      <c r="A17" s="38" t="s">
        <v>2725</v>
      </c>
      <c r="B17" s="38" t="s">
        <v>1260</v>
      </c>
      <c r="C17" s="54">
        <v>1</v>
      </c>
      <c r="D17" s="38" t="s">
        <v>1259</v>
      </c>
      <c r="E17" s="38" t="s">
        <v>1260</v>
      </c>
      <c r="F17" s="38" t="s">
        <v>2726</v>
      </c>
      <c r="G17" s="38" t="s">
        <v>1264</v>
      </c>
    </row>
    <row r="18" spans="1:7" ht="28.8" x14ac:dyDescent="0.3">
      <c r="A18" s="37" t="s">
        <v>2725</v>
      </c>
      <c r="B18" s="37" t="s">
        <v>1266</v>
      </c>
      <c r="C18" s="53">
        <v>1</v>
      </c>
      <c r="D18" s="37" t="s">
        <v>1265</v>
      </c>
      <c r="E18" s="37" t="s">
        <v>1266</v>
      </c>
      <c r="F18" s="37" t="s">
        <v>2726</v>
      </c>
      <c r="G18" s="37" t="s">
        <v>1270</v>
      </c>
    </row>
    <row r="19" spans="1:7" ht="28.8" x14ac:dyDescent="0.3">
      <c r="A19" s="38" t="s">
        <v>2725</v>
      </c>
      <c r="B19" s="38" t="s">
        <v>1343</v>
      </c>
      <c r="C19" s="54">
        <v>1</v>
      </c>
      <c r="D19" s="38" t="s">
        <v>1342</v>
      </c>
      <c r="E19" s="38" t="s">
        <v>1343</v>
      </c>
      <c r="F19" s="38" t="s">
        <v>2726</v>
      </c>
      <c r="G19" s="38" t="s">
        <v>1044</v>
      </c>
    </row>
    <row r="20" spans="1:7" ht="43.2" x14ac:dyDescent="0.3">
      <c r="A20" s="37" t="s">
        <v>2725</v>
      </c>
      <c r="B20" s="37" t="s">
        <v>1388</v>
      </c>
      <c r="C20" s="53">
        <v>1</v>
      </c>
      <c r="D20" s="37" t="s">
        <v>1387</v>
      </c>
      <c r="E20" s="37" t="s">
        <v>1388</v>
      </c>
      <c r="F20" s="37" t="s">
        <v>2726</v>
      </c>
      <c r="G20" s="37" t="s">
        <v>1393</v>
      </c>
    </row>
    <row r="21" spans="1:7" ht="28.8" x14ac:dyDescent="0.3">
      <c r="A21" s="38" t="s">
        <v>2725</v>
      </c>
      <c r="B21" s="38" t="s">
        <v>1578</v>
      </c>
      <c r="C21" s="54">
        <v>1</v>
      </c>
      <c r="D21" s="38" t="s">
        <v>1577</v>
      </c>
      <c r="E21" s="38" t="s">
        <v>1578</v>
      </c>
      <c r="F21" s="38" t="s">
        <v>2726</v>
      </c>
      <c r="G21" s="38" t="s">
        <v>1044</v>
      </c>
    </row>
    <row r="22" spans="1:7" ht="28.8" x14ac:dyDescent="0.3">
      <c r="A22" s="37" t="s">
        <v>2725</v>
      </c>
      <c r="B22" s="37" t="s">
        <v>1875</v>
      </c>
      <c r="C22" s="53">
        <v>1</v>
      </c>
      <c r="D22" s="37" t="s">
        <v>1874</v>
      </c>
      <c r="E22" s="37" t="s">
        <v>1875</v>
      </c>
      <c r="F22" s="37" t="s">
        <v>2726</v>
      </c>
      <c r="G22" s="37" t="s">
        <v>1878</v>
      </c>
    </row>
    <row r="23" spans="1:7" ht="28.8" x14ac:dyDescent="0.3">
      <c r="A23" s="38" t="s">
        <v>2725</v>
      </c>
      <c r="B23" s="38" t="s">
        <v>1951</v>
      </c>
      <c r="C23" s="54">
        <v>1</v>
      </c>
      <c r="D23" s="38" t="s">
        <v>1950</v>
      </c>
      <c r="E23" s="38" t="s">
        <v>1951</v>
      </c>
      <c r="F23" s="38" t="s">
        <v>2726</v>
      </c>
      <c r="G23" s="38" t="s">
        <v>1044</v>
      </c>
    </row>
  </sheetData>
  <autoFilter ref="A1:G23" xr:uid="{00000000-0009-0000-0000-000028000000}"/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H18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3" customWidth="1"/>
    <col min="2" max="2" width="40" customWidth="1"/>
    <col min="3" max="3" width="12" customWidth="1"/>
    <col min="4" max="4" width="36" customWidth="1"/>
    <col min="5" max="5" width="14" customWidth="1"/>
    <col min="6" max="6" width="19" customWidth="1"/>
    <col min="7" max="8" width="40" customWidth="1"/>
  </cols>
  <sheetData>
    <row r="1" spans="1:8" x14ac:dyDescent="0.3">
      <c r="A1" s="36" t="s">
        <v>555</v>
      </c>
      <c r="B1" s="36" t="s">
        <v>556</v>
      </c>
      <c r="C1" s="36" t="s">
        <v>1026</v>
      </c>
      <c r="D1" s="36" t="s">
        <v>1030</v>
      </c>
      <c r="E1" s="36" t="s">
        <v>428</v>
      </c>
      <c r="F1" s="36" t="s">
        <v>196</v>
      </c>
      <c r="G1" s="36" t="s">
        <v>2727</v>
      </c>
      <c r="H1" s="36" t="s">
        <v>616</v>
      </c>
    </row>
    <row r="2" spans="1:8" ht="28.8" x14ac:dyDescent="0.3">
      <c r="A2" s="37" t="s">
        <v>563</v>
      </c>
      <c r="B2" s="37" t="s">
        <v>1035</v>
      </c>
      <c r="C2" s="37" t="s">
        <v>402</v>
      </c>
      <c r="D2" s="37" t="s">
        <v>423</v>
      </c>
      <c r="E2" s="37" t="s">
        <v>400</v>
      </c>
      <c r="F2" s="37" t="s">
        <v>335</v>
      </c>
      <c r="G2" s="37" t="s">
        <v>2728</v>
      </c>
      <c r="H2" s="37" t="s">
        <v>1039</v>
      </c>
    </row>
    <row r="3" spans="1:8" ht="28.8" x14ac:dyDescent="0.3">
      <c r="A3" s="38" t="s">
        <v>1065</v>
      </c>
      <c r="B3" s="38" t="s">
        <v>1066</v>
      </c>
      <c r="C3" s="38" t="s">
        <v>402</v>
      </c>
      <c r="D3" s="38" t="s">
        <v>420</v>
      </c>
      <c r="E3" s="38" t="s">
        <v>361</v>
      </c>
      <c r="F3" s="38" t="s">
        <v>335</v>
      </c>
      <c r="G3" s="38" t="s">
        <v>2728</v>
      </c>
      <c r="H3" s="38" t="s">
        <v>1073</v>
      </c>
    </row>
    <row r="4" spans="1:8" ht="28.8" x14ac:dyDescent="0.3">
      <c r="A4" s="37" t="s">
        <v>1092</v>
      </c>
      <c r="B4" s="37" t="s">
        <v>1093</v>
      </c>
      <c r="C4" s="37" t="s">
        <v>402</v>
      </c>
      <c r="D4" s="37" t="s">
        <v>420</v>
      </c>
      <c r="E4" s="37" t="s">
        <v>361</v>
      </c>
      <c r="F4" s="37" t="s">
        <v>335</v>
      </c>
      <c r="G4" s="37" t="s">
        <v>2728</v>
      </c>
      <c r="H4" s="37" t="s">
        <v>1073</v>
      </c>
    </row>
    <row r="5" spans="1:8" ht="28.8" x14ac:dyDescent="0.3">
      <c r="A5" s="38" t="s">
        <v>1211</v>
      </c>
      <c r="B5" s="38" t="s">
        <v>1212</v>
      </c>
      <c r="C5" s="38" t="s">
        <v>402</v>
      </c>
      <c r="D5" s="38" t="s">
        <v>420</v>
      </c>
      <c r="E5" s="38" t="s">
        <v>387</v>
      </c>
      <c r="F5" s="38" t="s">
        <v>335</v>
      </c>
      <c r="G5" s="38" t="s">
        <v>2729</v>
      </c>
      <c r="H5" s="38" t="s">
        <v>1216</v>
      </c>
    </row>
    <row r="6" spans="1:8" ht="28.8" x14ac:dyDescent="0.3">
      <c r="A6" s="37" t="s">
        <v>1238</v>
      </c>
      <c r="B6" s="37" t="s">
        <v>1239</v>
      </c>
      <c r="C6" s="37" t="s">
        <v>402</v>
      </c>
      <c r="D6" s="37" t="s">
        <v>420</v>
      </c>
      <c r="E6" s="37" t="s">
        <v>361</v>
      </c>
      <c r="F6" s="37" t="s">
        <v>335</v>
      </c>
      <c r="G6" s="37" t="s">
        <v>2728</v>
      </c>
      <c r="H6" s="37" t="s">
        <v>1073</v>
      </c>
    </row>
    <row r="7" spans="1:8" ht="28.8" x14ac:dyDescent="0.3">
      <c r="A7" s="45" t="s">
        <v>1259</v>
      </c>
      <c r="B7" s="45" t="s">
        <v>1260</v>
      </c>
      <c r="C7" s="45" t="s">
        <v>1061</v>
      </c>
      <c r="D7" s="45" t="s">
        <v>415</v>
      </c>
      <c r="E7" s="45" t="s">
        <v>240</v>
      </c>
      <c r="F7" s="45" t="s">
        <v>293</v>
      </c>
      <c r="G7" s="45" t="s">
        <v>2730</v>
      </c>
      <c r="H7" s="45" t="s">
        <v>1264</v>
      </c>
    </row>
    <row r="8" spans="1:8" ht="28.8" x14ac:dyDescent="0.3">
      <c r="A8" s="45" t="s">
        <v>1265</v>
      </c>
      <c r="B8" s="45" t="s">
        <v>1266</v>
      </c>
      <c r="C8" s="45" t="s">
        <v>1061</v>
      </c>
      <c r="D8" s="45" t="s">
        <v>413</v>
      </c>
      <c r="E8" s="45" t="s">
        <v>240</v>
      </c>
      <c r="F8" s="45" t="s">
        <v>293</v>
      </c>
      <c r="G8" s="45" t="s">
        <v>2730</v>
      </c>
      <c r="H8" s="45" t="s">
        <v>1270</v>
      </c>
    </row>
    <row r="9" spans="1:8" x14ac:dyDescent="0.3">
      <c r="A9" s="45" t="s">
        <v>1342</v>
      </c>
      <c r="B9" s="45" t="s">
        <v>1343</v>
      </c>
      <c r="C9" s="45" t="s">
        <v>1042</v>
      </c>
      <c r="D9" s="45" t="s">
        <v>399</v>
      </c>
      <c r="E9" s="45" t="s">
        <v>282</v>
      </c>
      <c r="F9" s="45" t="s">
        <v>293</v>
      </c>
      <c r="G9" s="45" t="s">
        <v>2730</v>
      </c>
      <c r="H9" s="45" t="s">
        <v>1044</v>
      </c>
    </row>
    <row r="10" spans="1:8" ht="43.2" x14ac:dyDescent="0.3">
      <c r="A10" s="45" t="s">
        <v>1387</v>
      </c>
      <c r="B10" s="45" t="s">
        <v>1388</v>
      </c>
      <c r="C10" s="45" t="s">
        <v>1042</v>
      </c>
      <c r="D10" s="45" t="s">
        <v>239</v>
      </c>
      <c r="E10" s="45" t="s">
        <v>282</v>
      </c>
      <c r="F10" s="45" t="s">
        <v>293</v>
      </c>
      <c r="G10" s="45" t="s">
        <v>2730</v>
      </c>
      <c r="H10" s="45" t="s">
        <v>1393</v>
      </c>
    </row>
    <row r="11" spans="1:8" ht="28.8" x14ac:dyDescent="0.3">
      <c r="A11" s="38" t="s">
        <v>1429</v>
      </c>
      <c r="B11" s="38" t="s">
        <v>1430</v>
      </c>
      <c r="C11" s="38" t="s">
        <v>402</v>
      </c>
      <c r="D11" s="38" t="s">
        <v>420</v>
      </c>
      <c r="E11" s="38" t="s">
        <v>361</v>
      </c>
      <c r="F11" s="38" t="s">
        <v>335</v>
      </c>
      <c r="G11" s="38" t="s">
        <v>2728</v>
      </c>
      <c r="H11" s="38" t="s">
        <v>1073</v>
      </c>
    </row>
    <row r="12" spans="1:8" ht="28.8" x14ac:dyDescent="0.3">
      <c r="A12" s="37" t="s">
        <v>1433</v>
      </c>
      <c r="B12" s="37" t="s">
        <v>1434</v>
      </c>
      <c r="C12" s="37" t="s">
        <v>402</v>
      </c>
      <c r="D12" s="37" t="s">
        <v>421</v>
      </c>
      <c r="E12" s="37" t="s">
        <v>361</v>
      </c>
      <c r="F12" s="37" t="s">
        <v>335</v>
      </c>
      <c r="G12" s="37" t="s">
        <v>2728</v>
      </c>
      <c r="H12" s="37" t="s">
        <v>1438</v>
      </c>
    </row>
    <row r="13" spans="1:8" ht="28.8" x14ac:dyDescent="0.3">
      <c r="A13" s="38" t="s">
        <v>1444</v>
      </c>
      <c r="B13" s="38" t="s">
        <v>1445</v>
      </c>
      <c r="C13" s="38" t="s">
        <v>402</v>
      </c>
      <c r="D13" s="38" t="s">
        <v>420</v>
      </c>
      <c r="E13" s="38" t="s">
        <v>361</v>
      </c>
      <c r="F13" s="38" t="s">
        <v>335</v>
      </c>
      <c r="G13" s="38" t="s">
        <v>2728</v>
      </c>
      <c r="H13" s="38" t="s">
        <v>1073</v>
      </c>
    </row>
    <row r="14" spans="1:8" x14ac:dyDescent="0.3">
      <c r="A14" s="45" t="s">
        <v>1577</v>
      </c>
      <c r="B14" s="45" t="s">
        <v>1578</v>
      </c>
      <c r="C14" s="45" t="s">
        <v>1042</v>
      </c>
      <c r="D14" s="45" t="s">
        <v>399</v>
      </c>
      <c r="E14" s="45" t="s">
        <v>282</v>
      </c>
      <c r="F14" s="45" t="s">
        <v>293</v>
      </c>
      <c r="G14" s="45" t="s">
        <v>2730</v>
      </c>
      <c r="H14" s="45" t="s">
        <v>1044</v>
      </c>
    </row>
    <row r="15" spans="1:8" ht="43.2" x14ac:dyDescent="0.3">
      <c r="A15" s="38" t="s">
        <v>1714</v>
      </c>
      <c r="B15" s="38" t="s">
        <v>1715</v>
      </c>
      <c r="C15" s="38" t="s">
        <v>402</v>
      </c>
      <c r="D15" s="38" t="s">
        <v>422</v>
      </c>
      <c r="E15" s="38" t="s">
        <v>387</v>
      </c>
      <c r="F15" s="38" t="s">
        <v>335</v>
      </c>
      <c r="G15" s="38" t="s">
        <v>2729</v>
      </c>
      <c r="H15" s="38" t="s">
        <v>1719</v>
      </c>
    </row>
    <row r="16" spans="1:8" ht="28.8" x14ac:dyDescent="0.3">
      <c r="A16" s="45" t="s">
        <v>1874</v>
      </c>
      <c r="B16" s="45" t="s">
        <v>1875</v>
      </c>
      <c r="C16" s="45" t="s">
        <v>1042</v>
      </c>
      <c r="D16" s="45" t="s">
        <v>320</v>
      </c>
      <c r="E16" s="45" t="s">
        <v>282</v>
      </c>
      <c r="F16" s="45" t="s">
        <v>293</v>
      </c>
      <c r="G16" s="45" t="s">
        <v>2730</v>
      </c>
      <c r="H16" s="45" t="s">
        <v>1878</v>
      </c>
    </row>
    <row r="17" spans="1:8" x14ac:dyDescent="0.3">
      <c r="A17" s="45" t="s">
        <v>1950</v>
      </c>
      <c r="B17" s="45" t="s">
        <v>1951</v>
      </c>
      <c r="C17" s="45" t="s">
        <v>1042</v>
      </c>
      <c r="D17" s="45" t="s">
        <v>399</v>
      </c>
      <c r="E17" s="45" t="s">
        <v>282</v>
      </c>
      <c r="F17" s="45" t="s">
        <v>293</v>
      </c>
      <c r="G17" s="45" t="s">
        <v>2730</v>
      </c>
      <c r="H17" s="45" t="s">
        <v>1044</v>
      </c>
    </row>
    <row r="18" spans="1:8" ht="28.8" x14ac:dyDescent="0.3">
      <c r="A18" s="37" t="s">
        <v>1959</v>
      </c>
      <c r="B18" s="37" t="s">
        <v>1960</v>
      </c>
      <c r="C18" s="37" t="s">
        <v>402</v>
      </c>
      <c r="D18" s="37" t="s">
        <v>421</v>
      </c>
      <c r="E18" s="37" t="s">
        <v>387</v>
      </c>
      <c r="F18" s="37" t="s">
        <v>335</v>
      </c>
      <c r="G18" s="37" t="s">
        <v>2729</v>
      </c>
      <c r="H18" s="37" t="s">
        <v>1964</v>
      </c>
    </row>
  </sheetData>
  <autoFilter ref="A1:H18" xr:uid="{00000000-0009-0000-0000-000029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42</vt:i4>
      </vt:variant>
    </vt:vector>
  </HeadingPairs>
  <TitlesOfParts>
    <vt:vector size="42" baseType="lpstr">
      <vt:lpstr>README</vt:lpstr>
      <vt:lpstr>CRITIQUE_AND_GAPS</vt:lpstr>
      <vt:lpstr>CALC_PRECEDENCE</vt:lpstr>
      <vt:lpstr>DICTIONARIES</vt:lpstr>
      <vt:lpstr>WORK_MASTER</vt:lpstr>
      <vt:lpstr>WORK_VARIANTS</vt:lpstr>
      <vt:lpstr>MATERIAL_MASTER</vt:lpstr>
      <vt:lpstr>MATERIAL_VARIANTS</vt:lpstr>
      <vt:lpstr>RAW_MAPPING</vt:lpstr>
      <vt:lpstr>VALIDATION_RULES</vt:lpstr>
      <vt:lpstr>VALIDATION_EXAMPLE</vt:lpstr>
      <vt:lpstr>OBJECT_CONDITIONS</vt:lpstr>
      <vt:lpstr>SITE_COEFFS</vt:lpstr>
      <vt:lpstr>OPERATING_COEFFS</vt:lpstr>
      <vt:lpstr>TAX_MODES</vt:lpstr>
      <vt:lpstr>WORK_FACTOR_APPLICABILITY</vt:lpstr>
      <vt:lpstr>CONDITION_RULES</vt:lpstr>
      <vt:lpstr>DEPENDENCY_RULES</vt:lpstr>
      <vt:lpstr>MATERIAL_ALLOWANCES</vt:lpstr>
      <vt:lpstr>PROCUREMENT_RULES</vt:lpstr>
      <vt:lpstr>MATERIAL_FACTOR_APPLICABILITY</vt:lpstr>
      <vt:lpstr>MATERIAL_QUANTITY_EXAMPLE</vt:lpstr>
      <vt:lpstr>TARIFF_PROFILES</vt:lpstr>
      <vt:lpstr>COMMERCIAL_POLICY</vt:lpstr>
      <vt:lpstr>WORK_TARIFF_RULES</vt:lpstr>
      <vt:lpstr>MATERIAL_TARIFF_RULES</vt:lpstr>
      <vt:lpstr>TARIFF_COMPOSITION_RULES</vt:lpstr>
      <vt:lpstr>OUTPUT_RULES</vt:lpstr>
      <vt:lpstr>EXCLUSIONS_LIBRARY</vt:lpstr>
      <vt:lpstr>TARIFF_KP_EXAMPLE</vt:lpstr>
      <vt:lpstr>KP_ENGINE_V5_EXAMPLE</vt:lpstr>
      <vt:lpstr>IMPORT_SUMMARY</vt:lpstr>
      <vt:lpstr>PRICE_MASTER_REAL</vt:lpstr>
      <vt:lpstr>WORK_MASTER_REAL</vt:lpstr>
      <vt:lpstr>WORK_VARIANTS_REAL</vt:lpstr>
      <vt:lpstr>MATERIAL_MASTER_REAL</vt:lpstr>
      <vt:lpstr>MATERIAL_VARIANTS_REAL</vt:lpstr>
      <vt:lpstr>RAW_MAPPING_REAL</vt:lpstr>
      <vt:lpstr>REAL_TARIFF_DEFAULTS_WORK</vt:lpstr>
      <vt:lpstr>REAL_TARIFF_DEFAULTS_MATERIAL</vt:lpstr>
      <vt:lpstr>REAL_NORMALIZATION_REVIEW</vt:lpstr>
      <vt:lpstr>REAL_GAPS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Алексей</cp:lastModifiedBy>
  <dcterms:created xsi:type="dcterms:W3CDTF">2026-03-19T21:57:55Z</dcterms:created>
  <dcterms:modified xsi:type="dcterms:W3CDTF">2026-03-23T17:05:03Z</dcterms:modified>
</cp:coreProperties>
</file>